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Balance Summary" sheetId="2" state="visible" r:id="rId4"/>
    <sheet name="Summary" sheetId="3" state="visible" r:id="rId5"/>
  </sheets>
  <definedNames>
    <definedName function="false" hidden="true" localSheetId="1" name="_xlnm._FilterDatabase" vbProcedure="false">'Balance Summary'!$A$4:$R$92</definedName>
    <definedName function="false" hidden="true" localSheetId="0" name="_xlnm._FilterDatabase" vbProcedure="false">Data!$A$1:$AL$89</definedName>
    <definedName function="false" hidden="true" localSheetId="2" name="_xlnm._FilterDatabase" vbProcedure="false">Summary!$A$4:$N$10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<sst xmlns="http://schemas.openxmlformats.org/spreadsheetml/2006/main" count="1430" uniqueCount="491">
  <si>
    <t xml:space="preserve">BK No</t>
  </si>
  <si>
    <t xml:space="preserve">VSL</t>
  </si>
  <si>
    <t xml:space="preserve">VOY</t>
  </si>
  <si>
    <t xml:space="preserve">ETD</t>
  </si>
  <si>
    <t xml:space="preserve">POR</t>
  </si>
  <si>
    <t xml:space="preserve">LOD</t>
  </si>
  <si>
    <t xml:space="preserve">DIS</t>
  </si>
  <si>
    <t xml:space="preserve">TPSZ</t>
  </si>
  <si>
    <t xml:space="preserve">Pickup</t>
  </si>
  <si>
    <t xml:space="preserve">Pickup Name</t>
  </si>
  <si>
    <t xml:space="preserve">TRAN DT</t>
  </si>
  <si>
    <t xml:space="preserve">DOC CUST</t>
  </si>
  <si>
    <t xml:space="preserve">ORG CUST</t>
  </si>
  <si>
    <t xml:space="preserve">COMMODITY</t>
  </si>
  <si>
    <t xml:space="preserve">TRAFFIC ORDER</t>
  </si>
  <si>
    <t xml:space="preserve">COMMON REMARK</t>
  </si>
  <si>
    <t xml:space="preserve">GP22</t>
  </si>
  <si>
    <t xml:space="preserve">GP42</t>
  </si>
  <si>
    <t xml:space="preserve">GP45</t>
  </si>
  <si>
    <t xml:space="preserve">RE22</t>
  </si>
  <si>
    <t xml:space="preserve">RE45</t>
  </si>
  <si>
    <t xml:space="preserve">UT22</t>
  </si>
  <si>
    <t xml:space="preserve">UT42</t>
  </si>
  <si>
    <t xml:space="preserve">PC22</t>
  </si>
  <si>
    <t xml:space="preserve">PC42</t>
  </si>
  <si>
    <t xml:space="preserve">Return</t>
  </si>
  <si>
    <t xml:space="preserve">Balance (Booked - Pickup)</t>
  </si>
  <si>
    <t xml:space="preserve">Group</t>
  </si>
  <si>
    <t xml:space="preserve">GP22 Remaining</t>
  </si>
  <si>
    <t xml:space="preserve">GP42 Remaining</t>
  </si>
  <si>
    <t xml:space="preserve">GP45 Remaining</t>
  </si>
  <si>
    <t xml:space="preserve">RE22 Remaining</t>
  </si>
  <si>
    <t xml:space="preserve">RE45 Remaining</t>
  </si>
  <si>
    <t xml:space="preserve">UT22 Remaining</t>
  </si>
  <si>
    <t xml:space="preserve">UT42 Remaining</t>
  </si>
  <si>
    <t xml:space="preserve">PC22 Remaining</t>
  </si>
  <si>
    <t xml:space="preserve">PC42 Remaining</t>
  </si>
  <si>
    <t xml:space="preserve">HASLS22260801752</t>
  </si>
  <si>
    <t xml:space="preserve">SWSR</t>
  </si>
  <si>
    <t xml:space="preserve">2610N</t>
  </si>
  <si>
    <t xml:space="preserve">202609170300</t>
  </si>
  <si>
    <t xml:space="preserve">THBKK</t>
  </si>
  <si>
    <t xml:space="preserve">HKHKG</t>
  </si>
  <si>
    <t xml:space="preserve">20'x1 </t>
  </si>
  <si>
    <t xml:space="preserve">BKK27</t>
  </si>
  <si>
    <t xml:space="preserve">B.C. DEPOT CO.,LTD. ( Bang-Na KM.18)</t>
  </si>
  <si>
    <t xml:space="preserve">20260905</t>
  </si>
  <si>
    <t xml:space="preserve">CARDINAL MARITIME (THAILAND) CO., LTD.</t>
  </si>
  <si>
    <t xml:space="preserve">HERITAGE SNACKS &amp; FOOD CO., LTD.</t>
  </si>
  <si>
    <t xml:space="preserve">NUTS</t>
  </si>
  <si>
    <t xml:space="preserve">Request food grade container </t>
  </si>
  <si>
    <t xml:space="preserve">Pickup : 2026-09-05, Return : 2026-09-07 *1ST RETURN CNTR DD.13/09/2026 WITHOUT RENT*</t>
  </si>
  <si>
    <t xml:space="preserve">HASLS22260802441</t>
  </si>
  <si>
    <t xml:space="preserve">20260908</t>
  </si>
  <si>
    <t xml:space="preserve">QONATUS SERVICE CO., LTD.</t>
  </si>
  <si>
    <t xml:space="preserve">AB FOOD &amp; BEVERAGES (THAILAND) LTD.</t>
  </si>
  <si>
    <t xml:space="preserve">BEVERAGE</t>
  </si>
  <si>
    <t xml:space="preserve">GOOD &amp; CLEAN CNTR</t>
  </si>
  <si>
    <t xml:space="preserve">Pickup : 2026-09-08, Return : 2026-09-09 *1ST RETURN CNTR DD.13/09/2026*</t>
  </si>
  <si>
    <t xml:space="preserve">HASLS22260801713</t>
  </si>
  <si>
    <t xml:space="preserve">SWCP</t>
  </si>
  <si>
    <t xml:space="preserve">2609N</t>
  </si>
  <si>
    <t xml:space="preserve">202609121200</t>
  </si>
  <si>
    <t xml:space="preserve">THLCH</t>
  </si>
  <si>
    <t xml:space="preserve">JPYKK</t>
  </si>
  <si>
    <t xml:space="preserve">LCHY5</t>
  </si>
  <si>
    <t xml:space="preserve">PW DEPOT CO., LTD.</t>
  </si>
  <si>
    <t xml:space="preserve">20260901</t>
  </si>
  <si>
    <t xml:space="preserve">DOW CHEMICAL THAILAND LTD.</t>
  </si>
  <si>
    <t xml:space="preserve">SIAM POLYETHYLENE CO., LTD.</t>
  </si>
  <si>
    <t xml:space="preserve">RESIN</t>
  </si>
  <si>
    <t xml:space="preserve">1X20' SEABULK</t>
  </si>
  <si>
    <t xml:space="preserve">Pickup : 2026-09-01, Return : 2026-09-08</t>
  </si>
  <si>
    <t xml:space="preserve">HASLS22260900144</t>
  </si>
  <si>
    <t xml:space="preserve">202609171400</t>
  </si>
  <si>
    <t xml:space="preserve">20260907</t>
  </si>
  <si>
    <t xml:space="preserve">IRPC PUBLIC COMPANY LIMITED</t>
  </si>
  <si>
    <t xml:space="preserve">GOOD AND CLEAN CTNR</t>
  </si>
  <si>
    <t xml:space="preserve">CY-RTN 07-08/09/26 (PI26050167-21)</t>
  </si>
  <si>
    <t xml:space="preserve">HASLS22260800345</t>
  </si>
  <si>
    <t xml:space="preserve">CARGO CARE LOGISTICS CO., LTD.</t>
  </si>
  <si>
    <t xml:space="preserve">SIAM DEL MONTE CO., LTD.</t>
  </si>
  <si>
    <t xml:space="preserve">SWEET CORN</t>
  </si>
  <si>
    <t xml:space="preserve">Good and Clean Container (Food Grade)
(No leaks, no odors, and no oil stains.)</t>
  </si>
  <si>
    <t xml:space="preserve">Pickup : 2026-09-07, Return : 2026-09-09
 ** PLEASE CHECK OPEN GATE BEFORE RETURN CNTR **
</t>
  </si>
  <si>
    <t xml:space="preserve">HASLS22260601389</t>
  </si>
  <si>
    <t xml:space="preserve">SWIC</t>
  </si>
  <si>
    <t xml:space="preserve">202609221100</t>
  </si>
  <si>
    <t xml:space="preserve">VNSGN</t>
  </si>
  <si>
    <t xml:space="preserve">BKK01</t>
  </si>
  <si>
    <t xml:space="preserve">PAT TERMINAL 2 (PORT AUTHORITY OF THAILAND)</t>
  </si>
  <si>
    <t xml:space="preserve">20260904</t>
  </si>
  <si>
    <t xml:space="preserve">UNITED MARINE LOGISTIC CO., LTD.</t>
  </si>
  <si>
    <t xml:space="preserve">GENERAL CARGO (CONSOL)</t>
  </si>
  <si>
    <t xml:space="preserve">CONSOL </t>
  </si>
  <si>
    <t xml:space="preserve">Pickup : 2026-09-04, Return : 2026-09-04  (1ST RTN 05/09 W/O RENT)
 CLS TIME 06/09 @23.59</t>
  </si>
  <si>
    <t xml:space="preserve">HASLS22260801718</t>
  </si>
  <si>
    <t xml:space="preserve">HASLS22260801624</t>
  </si>
  <si>
    <t xml:space="preserve">SONIC INTERFREIGHT PUBLIC COMPANY LIMITED</t>
  </si>
  <si>
    <t xml:space="preserve">THAI OTSUKA PHARMACEUTICAL CO., LTD.</t>
  </si>
  <si>
    <t xml:space="preserve">MEDICAL</t>
  </si>
  <si>
    <t xml:space="preserve">GOOD &amp; CLEAN CONT. NO SMELL</t>
  </si>
  <si>
    <t xml:space="preserve">Pickup : 2026-09-08, Return : 2026-09-09</t>
  </si>
  <si>
    <t xml:space="preserve">HASLS22260702326</t>
  </si>
  <si>
    <t xml:space="preserve">20260827</t>
  </si>
  <si>
    <t xml:space="preserve">THAI POLYCARBONATE CO., LTD.</t>
  </si>
  <si>
    <t xml:space="preserve">POLYCARBONATE RESIN , HS CODEIS 3907.40</t>
  </si>
  <si>
    <t xml:space="preserve"> PLEASE PROVIDE GOOD AND CLEAN CONTAINER, NO RUST, NO HOLE, NO SMELL WITH STRONG FLOORBOARD (LOAD BY FORKLIFT) AND BULLET SEAL TO THIS SHIPMENT</t>
  </si>
  <si>
    <t xml:space="preserve">Pickup : 2026-08-27, Return : 2026-08-28
**CHECK OPENGATE BEFORE RETURN CNTR**</t>
  </si>
  <si>
    <t xml:space="preserve">HASLS22260801715</t>
  </si>
  <si>
    <t xml:space="preserve">HASLS22260801712</t>
  </si>
  <si>
    <t xml:space="preserve">HASLS22260801667</t>
  </si>
  <si>
    <t xml:space="preserve">YSVY</t>
  </si>
  <si>
    <t xml:space="preserve">2607N</t>
  </si>
  <si>
    <t xml:space="preserve">202609150200</t>
  </si>
  <si>
    <t xml:space="preserve">JPNGO</t>
  </si>
  <si>
    <t xml:space="preserve">20260902</t>
  </si>
  <si>
    <t xml:space="preserve">Pickup : 2026-09-02, Return : 2026-09-08</t>
  </si>
  <si>
    <t xml:space="preserve">HASLS22260801116</t>
  </si>
  <si>
    <t xml:space="preserve">KJT</t>
  </si>
  <si>
    <t xml:space="preserve">202609211500</t>
  </si>
  <si>
    <t xml:space="preserve">CNSHK</t>
  </si>
  <si>
    <t xml:space="preserve">20260810</t>
  </si>
  <si>
    <t xml:space="preserve">POLYCARBONATE RESIN (HS CODE. 3907.40)</t>
  </si>
  <si>
    <t xml:space="preserve">Loading with pallet-by forklift, required good container with strong floorboard and bullet seal to this shipment</t>
  </si>
  <si>
    <t xml:space="preserve">Pickup : 2026-08-10, Return : 2026-08-14 
 ** PLEASE CHECK OPEN GATE BEFORE RETURN CNTR **
</t>
  </si>
  <si>
    <t xml:space="preserve">HASLS22260801721</t>
  </si>
  <si>
    <t xml:space="preserve">HASLS22260801665</t>
  </si>
  <si>
    <t xml:space="preserve">HASLS22260900305</t>
  </si>
  <si>
    <t xml:space="preserve">JPTYO</t>
  </si>
  <si>
    <t xml:space="preserve">LCH27</t>
  </si>
  <si>
    <t xml:space="preserve">HAST Logistics Co.,Ltd. </t>
  </si>
  <si>
    <t xml:space="preserve">20260903</t>
  </si>
  <si>
    <t xml:space="preserve">WHA GC LOGISTICS COMPANY LIMITED</t>
  </si>
  <si>
    <t xml:space="preserve">PTT GLOBAL CHEMICAL PUBLIC COMPANY LIMITED</t>
  </si>
  <si>
    <t xml:space="preserve">CY-RTN 03-05/09/26 
*PLS CHECK OPEN GATE BEFORE RETURN CTNR*</t>
  </si>
  <si>
    <t xml:space="preserve">HASLS22260801668</t>
  </si>
  <si>
    <t xml:space="preserve">HASLS22260801481</t>
  </si>
  <si>
    <t xml:space="preserve">NSSJ</t>
  </si>
  <si>
    <t xml:space="preserve">2607S</t>
  </si>
  <si>
    <t xml:space="preserve">202609222100</t>
  </si>
  <si>
    <t xml:space="preserve">IDJKT</t>
  </si>
  <si>
    <t xml:space="preserve">UBE CHEMICALS (ASIA) PUBLIC COMPANY LIMITED</t>
  </si>
  <si>
    <t xml:space="preserve">POLYAMIDE RESIN </t>
  </si>
  <si>
    <t xml:space="preserve">GOOD AND CLEAN CONTAINER</t>
  </si>
  <si>
    <t xml:space="preserve">CY-RTN :04-05/09/2026
**CHANGED FM VSL."KMSU 2606S" BY K.HATAIPACH DD.20/8/26**</t>
  </si>
  <si>
    <t xml:space="preserve">HASLS22260801720</t>
  </si>
  <si>
    <t xml:space="preserve">HASLS22260802294</t>
  </si>
  <si>
    <t xml:space="preserve">JPMOJ</t>
  </si>
  <si>
    <t xml:space="preserve">SAI GLOBAL EXPRESS CO., LTD.</t>
  </si>
  <si>
    <t xml:space="preserve">LUOYANG LONGMEN FERRO-ALLOY FACTORY (THAILAND) CO., LTD.</t>
  </si>
  <si>
    <t xml:space="preserve">ROASTED MOLYBDENUM CONCENTRATES</t>
  </si>
  <si>
    <t xml:space="preserve">RQST GOOD AND CLEAN CNTR NO RUST NO HOLE </t>
  </si>
  <si>
    <t xml:space="preserve">Pickup : 2026-09-07, Return : 2026-09-08</t>
  </si>
  <si>
    <t xml:space="preserve">HASLS22260900276</t>
  </si>
  <si>
    <t xml:space="preserve">KRPUS</t>
  </si>
  <si>
    <t xml:space="preserve">POLYAMIDE RESIN</t>
  </si>
  <si>
    <t xml:space="preserve">RQST CNTR SOUND AND CLEAN</t>
  </si>
  <si>
    <t xml:space="preserve">CY-RTN : 08-10/09/2026
REF : SAP 2002054403
RQST CNTR SOUND AND CLEAN</t>
  </si>
  <si>
    <t xml:space="preserve">HASLS22260802481</t>
  </si>
  <si>
    <t xml:space="preserve">CELESTIAL XPRESS LOGISTICS (THAILAND) CO., LTD.</t>
  </si>
  <si>
    <t xml:space="preserve">LONGWELL COMPANY (THAILAND) CO.,LTD.</t>
  </si>
  <si>
    <t xml:space="preserve">POWER CORD</t>
  </si>
  <si>
    <t xml:space="preserve">Pickup : 2026-09-08, Return : 2026-09-11</t>
  </si>
  <si>
    <t xml:space="preserve">HASLS22260802479</t>
  </si>
  <si>
    <t xml:space="preserve">TOPOCEAN (THAILAND) LIMITED</t>
  </si>
  <si>
    <t xml:space="preserve">JONGKOL PRODUCTS CO., LTD</t>
  </si>
  <si>
    <t xml:space="preserve">JELLY GUMMY </t>
  </si>
  <si>
    <t xml:space="preserve">
REQ : CLEAN,DRY CONTAINER AND UNDER DECK ONLY </t>
  </si>
  <si>
    <t xml:space="preserve">HASLS22260801723</t>
  </si>
  <si>
    <t xml:space="preserve">HASLS22260800343</t>
  </si>
  <si>
    <t xml:space="preserve">Pickup : 2026-09-07, Return : 2026-09-09 
 ** PLEASE CHECK OPEN GATE BEFORE RETURN CNTR **
</t>
  </si>
  <si>
    <t xml:space="preserve">HASLS22260802371</t>
  </si>
  <si>
    <t xml:space="preserve">CNSHA</t>
  </si>
  <si>
    <t xml:space="preserve">L.A.1 CO.,LTD.</t>
  </si>
  <si>
    <t xml:space="preserve">TANATEX CHEMICALS (THAILAND) CO., LTD.</t>
  </si>
  <si>
    <t xml:space="preserve">CHEMICALS PRODUCT DG CARGO</t>
  </si>
  <si>
    <t xml:space="preserve">**APPROVE DG BY CYS33 DD: 01/09/26** MIX DG22GPx1 (CLS 9 / UN 3082, CLS 8 / UN 3265) </t>
  </si>
  <si>
    <t xml:space="preserve">**APPROVE DG BY CYS33 DD: 01/09/26** MIX DG22GPx1 (CLS 9 / UN 3082, CLS 8 / UN 3265) 
Pickup : 2026-09-03, Return @JWD : 2026-09-04</t>
  </si>
  <si>
    <t xml:space="preserve">HASLS22260801739</t>
  </si>
  <si>
    <t xml:space="preserve">KUEHNE + NAGEL LIMITED</t>
  </si>
  <si>
    <t xml:space="preserve">CITY FARM INTERFOOD CO., LTD.</t>
  </si>
  <si>
    <t xml:space="preserve">CANNED COCONUT WATER</t>
  </si>
  <si>
    <t xml:space="preserve">Req Food grade container
</t>
  </si>
  <si>
    <t xml:space="preserve">Pickup : 2026-09-07, Return : 2026-09-09</t>
  </si>
  <si>
    <t xml:space="preserve">HASLS22260801625</t>
  </si>
  <si>
    <t xml:space="preserve">
GOOD &amp; CLEAN CONT. NO SMELL</t>
  </si>
  <si>
    <t xml:space="preserve">HASLS22260801994</t>
  </si>
  <si>
    <t xml:space="preserve">SEA &amp; AERO LOGISTICS CO., LTD.</t>
  </si>
  <si>
    <t xml:space="preserve">THAI PRESIDENT FOODS PUBLIC COMPANY LIMITED</t>
  </si>
  <si>
    <t xml:space="preserve">INSTANT NOODLES</t>
  </si>
  <si>
    <t xml:space="preserve">REQUEST CLEAN AND FOOD GRADE CONTAINER ONLY</t>
  </si>
  <si>
    <t xml:space="preserve">Pickup : 2026-09-08, Return : 2026-09-10</t>
  </si>
  <si>
    <t xml:space="preserve">HASLS22260801719</t>
  </si>
  <si>
    <t xml:space="preserve">HASLS22260900277</t>
  </si>
  <si>
    <t xml:space="preserve">CY-RTN : 08-10/09/2026
REF : SAP 2002054276
RQST CNTR SOUND AND CLEAN</t>
  </si>
  <si>
    <t xml:space="preserve">HASLS22260801623</t>
  </si>
  <si>
    <t xml:space="preserve">HASLS22260801612</t>
  </si>
  <si>
    <t xml:space="preserve">CMA</t>
  </si>
  <si>
    <t xml:space="preserve">2614N</t>
  </si>
  <si>
    <t xml:space="preserve">202609240700</t>
  </si>
  <si>
    <t xml:space="preserve">ONE WORLD LOGISTICS AND FREIGHT CO., LTD.</t>
  </si>
  <si>
    <t xml:space="preserve">DUNI (THAILAND) CO., LTD.</t>
  </si>
  <si>
    <t xml:space="preserve">PAPER NAPKIN </t>
  </si>
  <si>
    <t xml:space="preserve">
REQ. GOOD GRADE CONTAINER</t>
  </si>
  <si>
    <t xml:space="preserve">HASLS22260801714</t>
  </si>
  <si>
    <t xml:space="preserve">HASLS22260900236</t>
  </si>
  <si>
    <t xml:space="preserve">KMTP</t>
  </si>
  <si>
    <t xml:space="preserve">2611N</t>
  </si>
  <si>
    <t xml:space="preserve">202609200700</t>
  </si>
  <si>
    <t xml:space="preserve">BKK25</t>
  </si>
  <si>
    <t xml:space="preserve">Smart Logistics Service (Thailand ) Co.,Ltd. </t>
  </si>
  <si>
    <t xml:space="preserve">RIVER KWAI INTERNATIONAL FOOD INDUSTRY CO., LTD.</t>
  </si>
  <si>
    <t xml:space="preserve">Pickup : 2026-09-02, Return : 2026-09-15</t>
  </si>
  <si>
    <t xml:space="preserve">HASLS22260900321</t>
  </si>
  <si>
    <t xml:space="preserve">KMBK</t>
  </si>
  <si>
    <t xml:space="preserve">202609111400</t>
  </si>
  <si>
    <t xml:space="preserve">KNS PLUS LOGISTICS (THAILAND) CO., LTD.</t>
  </si>
  <si>
    <t xml:space="preserve">NEO AGRO BUSINESS CO.,LTD.</t>
  </si>
  <si>
    <t xml:space="preserve">MEDICAL EQUIPMENT</t>
  </si>
  <si>
    <t xml:space="preserve">STUFFING @PAT (SPORT LIGHT TOWER 2) DD 07/09/26 CLS TIME 07/09 @17.00HRS 
</t>
  </si>
  <si>
    <t xml:space="preserve">HASLS22260900421</t>
  </si>
  <si>
    <t xml:space="preserve">KMGY</t>
  </si>
  <si>
    <t xml:space="preserve">202609230130</t>
  </si>
  <si>
    <t xml:space="preserve">SEASKY SHIPPING (THAILAND) CO., LTD</t>
  </si>
  <si>
    <t xml:space="preserve">GIMSAN INTERNATIONAL CO.,LTD.</t>
  </si>
  <si>
    <t xml:space="preserve">OTC MEDICINE</t>
  </si>
  <si>
    <t xml:space="preserve">Pickup : 2026-09-08, Return : 2026-09-11 (1ST RTN DD : 18/09/26 WO/RENT)</t>
  </si>
  <si>
    <t xml:space="preserve">HASLS22260801620</t>
  </si>
  <si>
    <t xml:space="preserve">Pickup : 2026-09-07, Return : 2026-09-08  </t>
  </si>
  <si>
    <t xml:space="preserve">HASLS22260801983</t>
  </si>
  <si>
    <t xml:space="preserve">CHEMICALS PRODUCT (NON DG)</t>
  </si>
  <si>
    <t xml:space="preserve">HASLS22260801451</t>
  </si>
  <si>
    <t xml:space="preserve">ICVY</t>
  </si>
  <si>
    <t xml:space="preserve">202609191300</t>
  </si>
  <si>
    <t xml:space="preserve">CONNEXT LOG (THAILAND) CO.,LTD.</t>
  </si>
  <si>
    <t xml:space="preserve">HIMILE (THAILAND) CO., LTD.</t>
  </si>
  <si>
    <t xml:space="preserve">TIRE MOLD</t>
  </si>
  <si>
    <t xml:space="preserve">REQUEST: NO HOLE, NO SMELL, STRONG BOARD</t>
  </si>
  <si>
    <t xml:space="preserve">HASLS22260801444</t>
  </si>
  <si>
    <t xml:space="preserve">202609111900</t>
  </si>
  <si>
    <t xml:space="preserve">20'x10 </t>
  </si>
  <si>
    <t xml:space="preserve">SEA FLEXI LOGISTICS CO.,LTD.</t>
  </si>
  <si>
    <t xml:space="preserve">THANAKORN VEGETABLE OIL PRODUCTS CO., LTD.</t>
  </si>
  <si>
    <t xml:space="preserve">SOYBEAN OIL</t>
  </si>
  <si>
    <t xml:space="preserve">APPROVAL BY MR.SANGJUN KIM  DD.28/08/2026** *FLEXIBAG ONDECK* 
Survey : 2026-09-08, Pickup : 2026-09-09,
REQUEST STRONG, CLEAN, FOOD GRADE CONTAINER</t>
  </si>
  <si>
    <t xml:space="preserve">APPROVAL BY MR.SANGJUN KIM  DD.28/08/2026** *FLEXIBAG ONDECK* 
Survey : 2026-09-08, Pickup : 2026-09-09, Return : 2026-09-10 (EXTEND CLOSING 10/09/26 @23.59)</t>
  </si>
  <si>
    <t xml:space="preserve">HASLS22260801018</t>
  </si>
  <si>
    <t xml:space="preserve">JPKSM</t>
  </si>
  <si>
    <t xml:space="preserve">20'x12 </t>
  </si>
  <si>
    <t xml:space="preserve">MEGALOAD DEVELOPMENT LOGISTICS CO., LTD.</t>
  </si>
  <si>
    <t xml:space="preserve">FISHMEAL MARKETING DEVELOPMENT CO., LTD.</t>
  </si>
  <si>
    <t xml:space="preserve">THAILAND STEAM DRIED FISHMEAL</t>
  </si>
  <si>
    <t xml:space="preserve">**APPROVE BY SJUNKIM DD: 20/08/26**  DG22GPx12 (CLS 9 / UN 2216)</t>
  </si>
  <si>
    <t xml:space="preserve">[FIX]**APPROVE BY SJUNKIM DD: 20/08/26** DG22GPx12 (CLS 9 / UN 2216) 
Pickup : 2026-09-08, Return : 2026-09-09 (CLS TIME 10/09/26 @23.59 , 1ST RTN DD: 09/09/26 WO/RENT)</t>
  </si>
  <si>
    <t xml:space="preserve">HASLS22260801433</t>
  </si>
  <si>
    <t xml:space="preserve">THLKR</t>
  </si>
  <si>
    <t xml:space="preserve">20'x2 </t>
  </si>
  <si>
    <t xml:space="preserve">SCGJWD LOGISTICS PUBLIC COMPANY LIMITED</t>
  </si>
  <si>
    <t xml:space="preserve">NORITAKE SCG PLASTER CO., LTD.</t>
  </si>
  <si>
    <t xml:space="preserve">MOULDING PLASTER</t>
  </si>
  <si>
    <t xml:space="preserve">good and clean cont., no oil, no rusty </t>
  </si>
  <si>
    <t xml:space="preserve">CY-RTN : 04-07/09/2026 Paperless Code 2835
Closing Time LKB 2026-09-27 @ 23.59 // REF : ** PT Indoporcelain **</t>
  </si>
  <si>
    <t xml:space="preserve">HASLS22260900541</t>
  </si>
  <si>
    <t xml:space="preserve">PGPO</t>
  </si>
  <si>
    <t xml:space="preserve">2612N</t>
  </si>
  <si>
    <t xml:space="preserve">202610120730</t>
  </si>
  <si>
    <t xml:space="preserve">MERCURIAL LOGISTICS  CO.,LTD</t>
  </si>
  <si>
    <t xml:space="preserve">UENO FINE CHEMICALS INDUSTRY (THAILAND) LTD.</t>
  </si>
  <si>
    <t xml:space="preserve">MALTITOL SYRUP</t>
  </si>
  <si>
    <t xml:space="preserve">HASLS22260801621</t>
  </si>
  <si>
    <t xml:space="preserve">Pickup : 2026-09-07, Return : 2026-09-08 </t>
  </si>
  <si>
    <t xml:space="preserve">HASLS22260801987</t>
  </si>
  <si>
    <t xml:space="preserve">KMSU</t>
  </si>
  <si>
    <t xml:space="preserve">202609301500</t>
  </si>
  <si>
    <t xml:space="preserve">20260822</t>
  </si>
  <si>
    <t xml:space="preserve">Pickup : 2026-08-22, Return : 2026-08-24</t>
  </si>
  <si>
    <t xml:space="preserve">HASLS22260900145</t>
  </si>
  <si>
    <t xml:space="preserve">CY-RTN 07-08/09/26 (PI26050167-22)</t>
  </si>
  <si>
    <t xml:space="preserve">HASLS22260800103</t>
  </si>
  <si>
    <t xml:space="preserve">20260815</t>
  </si>
  <si>
    <t xml:space="preserve">QUANTERM LOGISTICS (THAILAND) CO., LTD.</t>
  </si>
  <si>
    <t xml:space="preserve">THAI GYPSUM PRODUCTS PCL.</t>
  </si>
  <si>
    <t xml:space="preserve">GYPSUM PLASTER - 25202090</t>
  </si>
  <si>
    <t xml:space="preserve">Pickup : 2026-08-15, Return : 2026-08-17 (1ST RTN DD: 18/09/26 WO/RENT)</t>
  </si>
  <si>
    <t xml:space="preserve">HASLS22260701999</t>
  </si>
  <si>
    <t xml:space="preserve">CNXMN</t>
  </si>
  <si>
    <t xml:space="preserve">20'x3 </t>
  </si>
  <si>
    <t xml:space="preserve">DIMERCO EXPRESS (THAILAND) CO., LTD.</t>
  </si>
  <si>
    <t xml:space="preserve">ASIA MODIFIED STARCH CO., LTD.</t>
  </si>
  <si>
    <t xml:space="preserve">STARCH</t>
  </si>
  <si>
    <t xml:space="preserve">Dry &amp; Clean Container (Food Grade) / Container grade A</t>
  </si>
  <si>
    <t xml:space="preserve">HASLS22260900416</t>
  </si>
  <si>
    <t xml:space="preserve">SWBT</t>
  </si>
  <si>
    <t xml:space="preserve">2615N</t>
  </si>
  <si>
    <t xml:space="preserve">202609210600</t>
  </si>
  <si>
    <t xml:space="preserve">40Hx1 </t>
  </si>
  <si>
    <t xml:space="preserve">AMPLUSCHEM CO., LTD.</t>
  </si>
  <si>
    <t xml:space="preserve">BLACK PEPPER GRIND</t>
  </si>
  <si>
    <t xml:space="preserve">Pickup : 2026-09-08, Return : 2026-09-08</t>
  </si>
  <si>
    <t xml:space="preserve">HASLS22260801876</t>
  </si>
  <si>
    <t xml:space="preserve">HANDLE INTER CONSOLIDATION CO., LTD.</t>
  </si>
  <si>
    <t xml:space="preserve">GENERAL CARGO</t>
  </si>
  <si>
    <t xml:space="preserve">CONSOL</t>
  </si>
  <si>
    <t xml:space="preserve">Pickup : 2026-09-07, Return : 2026-09-09 CONSOL</t>
  </si>
  <si>
    <t xml:space="preserve">HASLS22260801132</t>
  </si>
  <si>
    <t xml:space="preserve">SWMM</t>
  </si>
  <si>
    <t xml:space="preserve">202609230700</t>
  </si>
  <si>
    <t xml:space="preserve">JPMYJ</t>
  </si>
  <si>
    <t xml:space="preserve">C.P. INTERTRADE CO., LTD.</t>
  </si>
  <si>
    <t xml:space="preserve">PERFECT COMPANION GROUP CO., LTD.</t>
  </si>
  <si>
    <t xml:space="preserve">PET FOOD</t>
  </si>
  <si>
    <t xml:space="preserve">REQ CLEAN AND GOOD CNTR STRONG FLOOR </t>
  </si>
  <si>
    <t xml:space="preserve">Pickup : 2026-09-08, Return : 2026-09-09 </t>
  </si>
  <si>
    <t xml:space="preserve">HASLS22260900147</t>
  </si>
  <si>
    <t xml:space="preserve">PRO 3 BUILD INTERNATIONAL CO., LTD.</t>
  </si>
  <si>
    <t xml:space="preserve">ASK ME CO.,LTD</t>
  </si>
  <si>
    <t xml:space="preserve">TOYS </t>
  </si>
  <si>
    <t xml:space="preserve">Pickup : 2026-09-03, Return : 2026-09-04  (1ST RTN DD: 09/09/26 WO/RENT)</t>
  </si>
  <si>
    <t xml:space="preserve">HASLS22260802380</t>
  </si>
  <si>
    <t xml:space="preserve">KUS</t>
  </si>
  <si>
    <t xml:space="preserve">202609212300</t>
  </si>
  <si>
    <t xml:space="preserve">KRINC</t>
  </si>
  <si>
    <t xml:space="preserve">JGL WORLDWIDE (THAILAND) CO., LTD.</t>
  </si>
  <si>
    <t xml:space="preserve">ASIAN FOODS CO.,LTD.</t>
  </si>
  <si>
    <t xml:space="preserve">KRISPY ROLL </t>
  </si>
  <si>
    <t xml:space="preserve">Pickup : 2026-09-03, Return : 2026-09-04 (1ST RTN DD: 17/09/26 WO/RENT)</t>
  </si>
  <si>
    <t xml:space="preserve">HASLS22260900265</t>
  </si>
  <si>
    <t xml:space="preserve">THSRP</t>
  </si>
  <si>
    <t xml:space="preserve">THAIGO LOGISTICS CO.,LTD</t>
  </si>
  <si>
    <t xml:space="preserve">VAST OCEAN CO., LTD.</t>
  </si>
  <si>
    <t xml:space="preserve">HIPS RECYCLE PELLET</t>
  </si>
  <si>
    <t xml:space="preserve">RQST CNTR 32.5 TONS // 40'HQ</t>
  </si>
  <si>
    <t xml:space="preserve">Pickup : 2026-09-07, Return SRP : 2026-09-08 [PAPERLESS CODE 2829]
CLS TIME 11/09/26 @23.59</t>
  </si>
  <si>
    <t xml:space="preserve">HASLS22260702337</t>
  </si>
  <si>
    <t xml:space="preserve">DJCF</t>
  </si>
  <si>
    <t xml:space="preserve">0151N</t>
  </si>
  <si>
    <t xml:space="preserve">202609190600</t>
  </si>
  <si>
    <t xml:space="preserve">KRPTK</t>
  </si>
  <si>
    <t xml:space="preserve">SDS-ACUTECH CO., LTD.</t>
  </si>
  <si>
    <t xml:space="preserve">3AC (THAILAND) CO., LTD.</t>
  </si>
  <si>
    <t xml:space="preserve">AIR PURIFIER</t>
  </si>
  <si>
    <t xml:space="preserve">HASLS22260900251</t>
  </si>
  <si>
    <t xml:space="preserve">RTN LOGISTICS CO., LTD.</t>
  </si>
  <si>
    <t xml:space="preserve">CHIA TAI SEEDS CO., LTD.</t>
  </si>
  <si>
    <t xml:space="preserve">VEGETABLE SEEDS FOR SOWING PURPOSE</t>
  </si>
  <si>
    <t xml:space="preserve">** REQUEST GOOD &amp; CLEAN GRADE A CONTAINER FOR SEEDS CARGO**</t>
  </si>
  <si>
    <t xml:space="preserve">HASLS22260900181</t>
  </si>
  <si>
    <t xml:space="preserve">QUALITY ACCESS GLOBAL LOGISTICS CO., LTD</t>
  </si>
  <si>
    <t xml:space="preserve">Pickup : 2026-09-07, Return : 2026-09-11 CONSOL</t>
  </si>
  <si>
    <t xml:space="preserve">HASLS22260801889</t>
  </si>
  <si>
    <t xml:space="preserve">LCH28</t>
  </si>
  <si>
    <t xml:space="preserve">CELLO</t>
  </si>
  <si>
    <t xml:space="preserve">ILOGS GLOBAL CO.,LTD.</t>
  </si>
  <si>
    <t xml:space="preserve">MAJESTY HOLDINGS (ASIA) CO.,LTD.</t>
  </si>
  <si>
    <t xml:space="preserve">PIPE</t>
  </si>
  <si>
    <t xml:space="preserve">HASLS22260800573</t>
  </si>
  <si>
    <t xml:space="preserve">TRUE MARINE CO., LTD.</t>
  </si>
  <si>
    <t xml:space="preserve">INOAC (THAILAND) CO., LTD.</t>
  </si>
  <si>
    <t xml:space="preserve">POLYURETHANE FOAM</t>
  </si>
  <si>
    <t xml:space="preserve">**REQUEST GOOD AND CLEAN CONTAINER**</t>
  </si>
  <si>
    <t xml:space="preserve">Pickup : 2026-09-05, Return : 2026-09-07 // FM SWSR 2610N BY HAL DD.07/09
(1ST RETURN 14/09 W/O RENT)</t>
  </si>
  <si>
    <t xml:space="preserve">HASLS22260900696</t>
  </si>
  <si>
    <t xml:space="preserve">SWAL</t>
  </si>
  <si>
    <t xml:space="preserve">2608N</t>
  </si>
  <si>
    <t xml:space="preserve">202609281500</t>
  </si>
  <si>
    <t xml:space="preserve">20260825</t>
  </si>
  <si>
    <t xml:space="preserve">FREIGHT LINKS EXPRESS (THAILAND) CO., LTD.</t>
  </si>
  <si>
    <t xml:space="preserve">FEDERAL-MOGUL (THAILAND) COMPANY LIMITED</t>
  </si>
  <si>
    <t xml:space="preserve">EMPTY PLASTIC BOBBIN</t>
  </si>
  <si>
    <t xml:space="preserve">Pickup : 2026-08-25, Return : 2026-08-26</t>
  </si>
  <si>
    <t xml:space="preserve">HASLS22260801939</t>
  </si>
  <si>
    <t xml:space="preserve">202609201200</t>
  </si>
  <si>
    <t xml:space="preserve">VISTA DISTRIBUTION CO.,LTD.</t>
  </si>
  <si>
    <t xml:space="preserve">SNACK</t>
  </si>
  <si>
    <t xml:space="preserve">Pickup : 2026-09-05, Return : 2026-09-07 (1ST RTN DD: 13/09/26 WO/RENT)</t>
  </si>
  <si>
    <t xml:space="preserve">HASLS22260800736</t>
  </si>
  <si>
    <t xml:space="preserve">202609240000</t>
  </si>
  <si>
    <t xml:space="preserve">Pickup : 2026-09-08, Return : 2026-09-08 
** PLEASE CHECK OPEN GATE BEFORE RETURN CONTAINER **
</t>
  </si>
  <si>
    <t xml:space="preserve">HASLS22260802563</t>
  </si>
  <si>
    <t xml:space="preserve">KORCHINA FREIGHT (THAILAND) CO., LTD.</t>
  </si>
  <si>
    <t xml:space="preserve">BRIDGESTONE AIRCRAFT TIRE MANUFACTURING (THAILAND) CO., LTD.</t>
  </si>
  <si>
    <t xml:space="preserve">EVAPORATOR</t>
  </si>
  <si>
    <t xml:space="preserve">Pickup : 2026-09-08, Return : 2026-09-08
**CHECK OPENGATE BEFORE RETURN CNTR**  </t>
  </si>
  <si>
    <t xml:space="preserve">HASLS22260700701</t>
  </si>
  <si>
    <t xml:space="preserve">REQUEST :  CONTAINER MAX GROSS 32.50 TONS</t>
  </si>
  <si>
    <t xml:space="preserve">Pickup : 2026-08-22, Return : 2026-08-23</t>
  </si>
  <si>
    <t xml:space="preserve">HASLS22260900253</t>
  </si>
  <si>
    <t xml:space="preserve">CY-RTN 08-10/09/26</t>
  </si>
  <si>
    <t xml:space="preserve">HASLS22260700882</t>
  </si>
  <si>
    <t xml:space="preserve">40Hx1 20'x1 </t>
  </si>
  <si>
    <t xml:space="preserve">GATEWAY CONTAINER LINE CO., LTD.</t>
  </si>
  <si>
    <t xml:space="preserve">CONSOLE</t>
  </si>
  <si>
    <t xml:space="preserve">Pickup : 2026-08-27, Return : 2026-08-28 CONSOLE</t>
  </si>
  <si>
    <t xml:space="preserve">HASLS22260800854</t>
  </si>
  <si>
    <t xml:space="preserve">40Hx10 </t>
  </si>
  <si>
    <t xml:space="preserve">SAMSUNG SDS GLOBAL SCL (THAILAND) CO.,LTD.</t>
  </si>
  <si>
    <t xml:space="preserve">THAI SAMSUNG ELECTRONICS CO., LTD.</t>
  </si>
  <si>
    <t xml:space="preserve">REFRIGERATOR</t>
  </si>
  <si>
    <t xml:space="preserve">*No containers with cut and patch marks inside*
GOOD CLEAN CONTIANER NO BLEAM (ELECTRONICS GOODS)
</t>
  </si>
  <si>
    <t xml:space="preserve">HASLS22260801841</t>
  </si>
  <si>
    <t xml:space="preserve">40Hx17 </t>
  </si>
  <si>
    <t xml:space="preserve">SCHENKER (THAI) LTD.</t>
  </si>
  <si>
    <t xml:space="preserve">K.P. EXPERT ENGINEERING CO. LTD</t>
  </si>
  <si>
    <t xml:space="preserve">ACCESSORY FOR BOILER SYSTEM</t>
  </si>
  <si>
    <t xml:space="preserve">Pickup : 2026-09-07, Return : 2026-09-15 *1st return cntr dd.13/09/2026*
STORAGE RENT 30750 THB</t>
  </si>
  <si>
    <t xml:space="preserve">HASLS22260900486</t>
  </si>
  <si>
    <t xml:space="preserve">202609202200</t>
  </si>
  <si>
    <t xml:space="preserve">TWKEL</t>
  </si>
  <si>
    <t xml:space="preserve">40Hx2 </t>
  </si>
  <si>
    <t xml:space="preserve">MORRISON EXPRESS CORP (THAILAND)LTD.</t>
  </si>
  <si>
    <t xml:space="preserve">DELTA ELECTRONICS (THAILAND) PUBLIC COMPANY LIMITED</t>
  </si>
  <si>
    <t xml:space="preserve">ELECTRONICS COMPONENT</t>
  </si>
  <si>
    <t xml:space="preserve">HASLS22260801978</t>
  </si>
  <si>
    <t xml:space="preserve">REQUEST : CONTAINER MAX GROSS 32.50 TONS</t>
  </si>
  <si>
    <t xml:space="preserve">HASLS22260802468</t>
  </si>
  <si>
    <t xml:space="preserve">DISH WASHER</t>
  </si>
  <si>
    <t xml:space="preserve">Pickup : 2026-09-07, Return : 2026-09-12</t>
  </si>
  <si>
    <t xml:space="preserve">HASLS22260801472</t>
  </si>
  <si>
    <t xml:space="preserve">202609181200</t>
  </si>
  <si>
    <t xml:space="preserve">40Hx3 </t>
  </si>
  <si>
    <t xml:space="preserve">RHENUS LOGISTICS CO., LTD.</t>
  </si>
  <si>
    <t xml:space="preserve">TERMNATURE INDUSTRY CO., LTD</t>
  </si>
  <si>
    <t xml:space="preserve">food</t>
  </si>
  <si>
    <t xml:space="preserve">Pickup : 2026-09-08, Return : 2026-09-10 [1ST RTN 11/09/2026 W/O RENT]</t>
  </si>
  <si>
    <t xml:space="preserve">HASLS22260800724</t>
  </si>
  <si>
    <t xml:space="preserve">ECU WORLDWIDE (THAILAND) CO., LTD.</t>
  </si>
  <si>
    <t xml:space="preserve">Pickup : 2026-09-03, Return : 2026-09-04CONSOL</t>
  </si>
  <si>
    <t xml:space="preserve">HASLS22260800853</t>
  </si>
  <si>
    <t xml:space="preserve">40Hx30 </t>
  </si>
  <si>
    <t xml:space="preserve">HASLS22260801246</t>
  </si>
  <si>
    <t xml:space="preserve">40Hx4 </t>
  </si>
  <si>
    <t xml:space="preserve">EXPEDITORS (THAILAND) LTD.</t>
  </si>
  <si>
    <t xml:space="preserve">NEOCOSMED CO., LTD.</t>
  </si>
  <si>
    <t xml:space="preserve">TOOTHPASTE</t>
  </si>
  <si>
    <t xml:space="preserve">HASLS22260800958</t>
  </si>
  <si>
    <t xml:space="preserve">40Hx4 20'x20 </t>
  </si>
  <si>
    <t xml:space="preserve">*** REQ. GOOD &amp; CLEAN  CONT. .( NO SMELL)  ***  </t>
  </si>
  <si>
    <t xml:space="preserve">CY 07/09/26 , RTN 11/09/26</t>
  </si>
  <si>
    <t xml:space="preserve">HASLS22260800855</t>
  </si>
  <si>
    <t xml:space="preserve">40Hx5 </t>
  </si>
  <si>
    <t xml:space="preserve">HASLS22260900475</t>
  </si>
  <si>
    <t xml:space="preserve">ACCORD PILOT LOGISTICS (THAILAND) CO., LTD.</t>
  </si>
  <si>
    <t xml:space="preserve">ASIAN-PACIFIC CAN CO., LTD.</t>
  </si>
  <si>
    <t xml:space="preserve">EMPTY CAN </t>
  </si>
  <si>
    <t xml:space="preserve">Pickup : 2026-09-08, Return : 2026-09-14 / FIRST DATE CAN RETURN CNTR DD.14/09 WITHOUT RENT</t>
  </si>
  <si>
    <t xml:space="preserve">HASLS22260802467</t>
  </si>
  <si>
    <t xml:space="preserve">40Hx7 </t>
  </si>
  <si>
    <t xml:space="preserve">WASHING MATCHINE</t>
  </si>
  <si>
    <t xml:space="preserve">HASLS22260801133</t>
  </si>
  <si>
    <t xml:space="preserve">40Hx9 </t>
  </si>
  <si>
    <t xml:space="preserve">LOHAKIJ RUNG CHAREON SUB CO., LTD.</t>
  </si>
  <si>
    <t xml:space="preserve">EMPTY CAN</t>
  </si>
  <si>
    <t xml:space="preserve">Pickup : 2026-09-05, Return : 2026-09-07 (1ST RTN 07/09 W/O RENT) 
 </t>
  </si>
  <si>
    <t xml:space="preserve">HASLS22260801674</t>
  </si>
  <si>
    <t xml:space="preserve">R40Hx1 </t>
  </si>
  <si>
    <t xml:space="preserve">POSTMAN (THAILAND) CO.,LTD.</t>
  </si>
  <si>
    <t xml:space="preserve">FRESH COCONUT</t>
  </si>
  <si>
    <t xml:space="preserve">RF45REx1 (Temp +2.0℃ / Vent 10% Open)</t>
  </si>
  <si>
    <t xml:space="preserve">Pickup : 2026-09-05, Return : 2026-09-13 RF45REx1 (Temp +2.0 / Vent 10% Open) 
CLS TIME : 14/09/2026 @23.59</t>
  </si>
  <si>
    <t xml:space="preserve">HASLS22260801673</t>
  </si>
  <si>
    <t xml:space="preserve">HASLS22260801679</t>
  </si>
  <si>
    <t xml:space="preserve">202609242100</t>
  </si>
  <si>
    <t xml:space="preserve">Pickup : 2026-09-07, Return : 2026-09-15 RF45REx1 (Temp +2.0 / Vent 10% Open) 
CLS TIME : 21/09/2026 @22.00 [1ST RTN 18/09/2026 W/O ELECTRIC] </t>
  </si>
  <si>
    <t xml:space="preserve">HASLS22260801681</t>
  </si>
  <si>
    <t xml:space="preserve">Pickup : 2026-09-07, Return : 2026-09-15 RF45REx1 (Temp +2.0 / Vent 10% Open) 
CLS TIME : 21/09/2026 @22.00 [1ST RTN 18/09/2026 W/O ELECTRIC]  </t>
  </si>
  <si>
    <t xml:space="preserve">HASLS22260801677</t>
  </si>
  <si>
    <t xml:space="preserve">HASLS22260801675</t>
  </si>
  <si>
    <t xml:space="preserve">HASLS22260801873</t>
  </si>
  <si>
    <t xml:space="preserve">JPTMK</t>
  </si>
  <si>
    <t xml:space="preserve">LOGMAN INTERNATIONAL CO., LTD.</t>
  </si>
  <si>
    <t xml:space="preserve">THAI NIPPON FOODS CO. , LTD.</t>
  </si>
  <si>
    <t xml:space="preserve">FROZEN CHICKEN</t>
  </si>
  <si>
    <t xml:space="preserve"> (Temp -20.0℃ / Vent Close) 
REQ: NEW AND CLEAN CONTAINER</t>
  </si>
  <si>
    <t xml:space="preserve">[FIX]Pickup : 2026-09-07, Return : 2026-09-10 (Temp -20.0 / Vent Close) 
CLS TIME 11/09/26 @18.0</t>
  </si>
  <si>
    <t xml:space="preserve">NOTE: 1 row(s) highlighted above have NO Pickup Name (Pickup code also blank) — verify the pickup depot for BK No: HASLS22260900416</t>
  </si>
  <si>
    <t xml:space="preserve">Remaining Balance by BK No — 98PD</t>
  </si>
  <si>
    <t xml:space="preserve">Balance = SUM(GP22,GP42,GP45,RE22,RE45,UT22,UT42,PC22,PC42) - Pickup (latest). Rows with Balance &lt;= 0 are excluded from every sheet. The Pickup quantity is also deducted across the individual GP22...PC42 columns (in that order) to show remaining balance per container type. Rows with no Pickup Name are highlighted and need verification.</t>
  </si>
  <si>
    <t xml:space="preserve">Booked Qty</t>
  </si>
  <si>
    <t xml:space="preserve">Pickup Qty</t>
  </si>
  <si>
    <t xml:space="preserve">Balance (Return)</t>
  </si>
  <si>
    <t xml:space="preserve">TOTAL</t>
  </si>
  <si>
    <t xml:space="preserve">98PD — Outstanding Balance Summary by Pickup</t>
  </si>
  <si>
    <t xml:space="preserve">Container-type totals for BK Nos with a remaining balance (Balance &gt; 0), grouped by Pickup. GP22...PC42 here are the NET remaining quantity per type (booked minus the Pickup already collected, allocated across types in order) — not the raw booked count. BKK01 and BKK04 are combined into one row; LCH55 is counted under the BKK group.</t>
  </si>
  <si>
    <t xml:space="preserve">Number of Records</t>
  </si>
  <si>
    <t xml:space="preserve">Total Containers</t>
  </si>
  <si>
    <t xml:space="preserve">BKK</t>
  </si>
  <si>
    <t xml:space="preserve">BKK01+BKK04</t>
  </si>
  <si>
    <t xml:space="preserve">PAT TERMINAL 2 (PORT AUTHORITY OF THAILAND) / PAT TERMINAL 1 (PORT AUTHORITY OF THAILAND)</t>
  </si>
  <si>
    <t xml:space="preserve">LCH</t>
  </si>
  <si>
    <t xml:space="preserve">GRAND TOTAL</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</si>
</sst>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Calibri"/>
      <family val="0"/>
      <charset val="1"/>
    </font>
    <font>
      <sz val="10"/>
      <name val="Calibri"/>
      <family val="0"/>
      <charset val="1"/>
    </font>
    <font>
      <b val="true"/>
      <sz val="10"/>
      <color rgb="FF9C6500"/>
      <name val="Calibri"/>
      <family val="0"/>
      <charset val="1"/>
    </font>
    <font>
      <b val="true"/>
      <sz val="12"/>
      <color rgb="FFFFFFFF"/>
      <name val="Calibri"/>
      <family val="0"/>
      <charset val="1"/>
    </font>
    <font>
      <i val="true"/>
      <sz val="9"/>
      <color rgb="FF1F4E78"/>
      <name val="Calibri"/>
      <family val="0"/>
      <charset val="1"/>
    </font>
    <font>
      <b val="true"/>
      <sz val="10"/>
      <name val="Calibri"/>
      <family val="0"/>
      <charset val="1"/>
    </font>
  </fonts>
  <fills count="7">
    <fill>
      <patternFill patternType="none"/>
    </fill>
    <fill>
      <patternFill patternType="gray125"/>
    </fill>
    <fill>
      <patternFill patternType="solid">
        <fgColor rgb="FF2E75B6"/>
        <bgColor rgb="FF0066CC"/>
      </patternFill>
    </fill>
    <fill>
      <patternFill patternType="solid">
        <fgColor rgb="FFFFF2A8"/>
        <bgColor rgb="FFFCE4D6"/>
      </patternFill>
    </fill>
    <fill>
      <patternFill patternType="solid">
        <fgColor rgb="FF1F4E78"/>
        <bgColor rgb="FF003366"/>
      </patternFill>
    </fill>
    <fill>
      <patternFill patternType="solid">
        <fgColor rgb="FFD9E1F2"/>
        <bgColor rgb="FFFCE4D6"/>
      </patternFill>
    </fill>
    <fill>
      <patternFill patternType="solid">
        <fgColor rgb="FFFCE4D6"/>
        <bgColor rgb="FFFFF2A8"/>
      </patternFill>
    </fill>
  </fills>
  <borders count="2">
    <border diagonalUp="false" diagonalDown="false">
      <left/>
      <right/>
      <top/>
      <bottom/>
      <diagonal/>
    </border>
    <border diagonalUp="false" diagonalDown="false">
      <left style="thin">
        <color rgb="FFB7C6D9"/>
      </left>
      <right style="thin">
        <color rgb="FFB7C6D9"/>
      </right>
      <top style="thin">
        <color rgb="FFB7C6D9"/>
      </top>
      <bottom style="thin">
        <color rgb="FFB7C6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5" fontId="5" fillId="3"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left" vertical="center" textRotation="0" wrapText="false" indent="0" shrinkToFit="false"/>
      <protection locked="true" hidden="false"/>
    </xf>
    <xf numFmtId="165" fontId="5" fillId="6"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E75B6"/>
          <bgColor rgb="FF000000"/>
        </patternFill>
      </fill>
    </dxf>
    <dxf>
      <fill>
        <patternFill patternType="solid">
          <fgColor rgb="FFFFF2A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B7C6D9"/>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8"/>
    <col collapsed="false" customWidth="true" hidden="false" outlineLevel="0" max="4" min="4" style="0" width="14"/>
    <col collapsed="false" customWidth="true" hidden="false" outlineLevel="0" max="7" min="5" style="0" width="8"/>
    <col collapsed="false" customWidth="true" hidden="false" outlineLevel="0" max="8" min="8" style="0" width="16"/>
    <col collapsed="false" customWidth="true" hidden="false" outlineLevel="0" max="9" min="9" style="0" width="10"/>
    <col collapsed="false" customWidth="true" hidden="false" outlineLevel="0" max="10" min="10" style="0" width="32"/>
    <col collapsed="false" customWidth="true" hidden="false" outlineLevel="0" max="11" min="11" style="0" width="10"/>
    <col collapsed="false" customWidth="true" hidden="false" outlineLevel="0" max="12" min="12" style="0" width="26"/>
    <col collapsed="false" customWidth="true" hidden="false" outlineLevel="0" max="13" min="13" style="0" width="30"/>
    <col collapsed="false" customWidth="true" hidden="false" outlineLevel="0" max="14" min="14" style="0" width="24"/>
    <col collapsed="false" customWidth="true" hidden="false" outlineLevel="0" max="16" min="15" style="0" width="40"/>
    <col collapsed="false" customWidth="true" hidden="false" outlineLevel="0" max="25" min="17" style="0" width="7"/>
    <col collapsed="false" customWidth="true" hidden="false" outlineLevel="0" max="27" min="26" style="0" width="9"/>
    <col collapsed="false" customWidth="true" hidden="false" outlineLevel="0" max="28" min="28" style="0" width="12"/>
    <col collapsed="false" customWidth="true" hidden="false" outlineLevel="0" max="38" min="29" style="0" width="8"/>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8</v>
      </c>
      <c r="AA1" s="1" t="s">
        <v>25</v>
      </c>
      <c r="AB1" s="1" t="s">
        <v>26</v>
      </c>
      <c r="AC1" s="1" t="s">
        <v>27</v>
      </c>
      <c r="AD1" s="1" t="s">
        <v>28</v>
      </c>
      <c r="AE1" s="1" t="s">
        <v>29</v>
      </c>
      <c r="AF1" s="1" t="s">
        <v>30</v>
      </c>
      <c r="AG1" s="1" t="s">
        <v>31</v>
      </c>
      <c r="AH1" s="1" t="s">
        <v>32</v>
      </c>
      <c r="AI1" s="1" t="s">
        <v>33</v>
      </c>
      <c r="AJ1" s="1" t="s">
        <v>34</v>
      </c>
      <c r="AK1" s="1" t="s">
        <v>35</v>
      </c>
      <c r="AL1" s="1" t="s">
        <v>36</v>
      </c>
    </row>
    <row r="2" customFormat="false" ht="15" hidden="false" customHeight="false" outlineLevel="0" collapsed="false">
      <c r="A2" s="2" t="s">
        <v>37</v>
      </c>
      <c r="B2" s="2" t="s">
        <v>38</v>
      </c>
      <c r="C2" s="2" t="s">
        <v>39</v>
      </c>
      <c r="D2" s="2" t="s">
        <v>40</v>
      </c>
      <c r="E2" s="2"/>
      <c r="F2" s="2" t="s">
        <v>41</v>
      </c>
      <c r="G2" s="2" t="s">
        <v>42</v>
      </c>
      <c r="H2" s="2" t="s">
        <v>43</v>
      </c>
      <c r="I2" s="2" t="s">
        <v>44</v>
      </c>
      <c r="J2" s="2" t="s">
        <v>45</v>
      </c>
      <c r="K2" s="2" t="s">
        <v>46</v>
      </c>
      <c r="L2" s="2" t="s">
        <v>47</v>
      </c>
      <c r="M2" s="2" t="s">
        <v>48</v>
      </c>
      <c r="N2" s="2" t="s">
        <v>49</v>
      </c>
      <c r="O2" s="2" t="s">
        <v>50</v>
      </c>
      <c r="P2" s="2" t="s">
        <v>51</v>
      </c>
      <c r="Q2" s="2" t="n">
        <v>1</v>
      </c>
      <c r="R2" s="2" t="n">
        <v>0</v>
      </c>
      <c r="S2" s="2" t="n">
        <v>0</v>
      </c>
      <c r="T2" s="2" t="n">
        <v>0</v>
      </c>
      <c r="U2" s="2" t="n">
        <v>0</v>
      </c>
      <c r="V2" s="2" t="n">
        <v>0</v>
      </c>
      <c r="W2" s="2" t="n">
        <v>0</v>
      </c>
      <c r="X2" s="2" t="n">
        <v>0</v>
      </c>
      <c r="Y2" s="2" t="n">
        <v>0</v>
      </c>
      <c r="Z2" s="2" t="n">
        <v>0</v>
      </c>
      <c r="AA2" s="2" t="n">
        <v>0</v>
      </c>
      <c r="AB2" s="3" t="n">
        <f aca="false">SUM(Q2:Y2)-Z2</f>
        <v>1</v>
      </c>
      <c r="AC2" s="3" t="str">
        <f aca="false">IF(I2="","",IF(OR(LEFT(I2,3)="BKK",I2="LCH55"),"BKK",IF(LEFT(I2,3)="LCH","LCH","OTHER")))</f>
        <v>BKK</v>
      </c>
      <c r="AD2" s="3" t="n">
        <f aca="false">MAX(0,Q2-MAX(0,Z2-0))</f>
        <v>1</v>
      </c>
      <c r="AE2" s="3" t="n">
        <f aca="false">MAX(0,R2-MAX(0,Z2-SUM(Q2:Q2)))</f>
        <v>0</v>
      </c>
      <c r="AF2" s="3" t="n">
        <f aca="false">MAX(0,S2-MAX(0,Z2-SUM(Q2:R2)))</f>
        <v>0</v>
      </c>
      <c r="AG2" s="3" t="n">
        <f aca="false">MAX(0,T2-MAX(0,Z2-SUM(Q2:S2)))</f>
        <v>0</v>
      </c>
      <c r="AH2" s="3" t="n">
        <f aca="false">MAX(0,U2-MAX(0,Z2-SUM(Q2:T2)))</f>
        <v>0</v>
      </c>
      <c r="AI2" s="3" t="n">
        <f aca="false">MAX(0,V2-MAX(0,Z2-SUM(Q2:U2)))</f>
        <v>0</v>
      </c>
      <c r="AJ2" s="3" t="n">
        <f aca="false">MAX(0,W2-MAX(0,Z2-SUM(Q2:V2)))</f>
        <v>0</v>
      </c>
      <c r="AK2" s="3" t="n">
        <f aca="false">MAX(0,X2-MAX(0,Z2-SUM(Q2:W2)))</f>
        <v>0</v>
      </c>
      <c r="AL2" s="3" t="n">
        <f aca="false">MAX(0,Y2-MAX(0,Z2-SUM(Q2:X2)))</f>
        <v>0</v>
      </c>
    </row>
    <row r="3" customFormat="false" ht="15" hidden="false" customHeight="false" outlineLevel="0" collapsed="false">
      <c r="A3" s="2" t="s">
        <v>52</v>
      </c>
      <c r="B3" s="2" t="s">
        <v>38</v>
      </c>
      <c r="C3" s="2" t="s">
        <v>39</v>
      </c>
      <c r="D3" s="2" t="s">
        <v>40</v>
      </c>
      <c r="E3" s="2"/>
      <c r="F3" s="2" t="s">
        <v>41</v>
      </c>
      <c r="G3" s="2" t="s">
        <v>42</v>
      </c>
      <c r="H3" s="2" t="s">
        <v>43</v>
      </c>
      <c r="I3" s="2" t="s">
        <v>44</v>
      </c>
      <c r="J3" s="2" t="s">
        <v>45</v>
      </c>
      <c r="K3" s="2" t="s">
        <v>53</v>
      </c>
      <c r="L3" s="2" t="s">
        <v>54</v>
      </c>
      <c r="M3" s="2" t="s">
        <v>55</v>
      </c>
      <c r="N3" s="2" t="s">
        <v>56</v>
      </c>
      <c r="O3" s="2" t="s">
        <v>57</v>
      </c>
      <c r="P3" s="2" t="s">
        <v>58</v>
      </c>
      <c r="Q3" s="2" t="n">
        <v>1</v>
      </c>
      <c r="R3" s="2" t="n">
        <v>0</v>
      </c>
      <c r="S3" s="2" t="n">
        <v>0</v>
      </c>
      <c r="T3" s="2" t="n">
        <v>0</v>
      </c>
      <c r="U3" s="2" t="n">
        <v>0</v>
      </c>
      <c r="V3" s="2" t="n">
        <v>0</v>
      </c>
      <c r="W3" s="2" t="n">
        <v>0</v>
      </c>
      <c r="X3" s="2" t="n">
        <v>0</v>
      </c>
      <c r="Y3" s="2" t="n">
        <v>0</v>
      </c>
      <c r="Z3" s="2" t="n">
        <v>0</v>
      </c>
      <c r="AA3" s="2" t="n">
        <v>0</v>
      </c>
      <c r="AB3" s="3" t="n">
        <f aca="false">SUM(Q3:Y3)-Z3</f>
        <v>1</v>
      </c>
      <c r="AC3" s="3" t="str">
        <f aca="false">IF(I3="","",IF(OR(LEFT(I3,3)="BKK",I3="LCH55"),"BKK",IF(LEFT(I3,3)="LCH","LCH","OTHER")))</f>
        <v>BKK</v>
      </c>
      <c r="AD3" s="3" t="n">
        <f aca="false">MAX(0,Q3-MAX(0,Z3-0))</f>
        <v>1</v>
      </c>
      <c r="AE3" s="3" t="n">
        <f aca="false">MAX(0,R3-MAX(0,Z3-SUM(Q3:Q3)))</f>
        <v>0</v>
      </c>
      <c r="AF3" s="3" t="n">
        <f aca="false">MAX(0,S3-MAX(0,Z3-SUM(Q3:R3)))</f>
        <v>0</v>
      </c>
      <c r="AG3" s="3" t="n">
        <f aca="false">MAX(0,T3-MAX(0,Z3-SUM(Q3:S3)))</f>
        <v>0</v>
      </c>
      <c r="AH3" s="3" t="n">
        <f aca="false">MAX(0,U3-MAX(0,Z3-SUM(Q3:T3)))</f>
        <v>0</v>
      </c>
      <c r="AI3" s="3" t="n">
        <f aca="false">MAX(0,V3-MAX(0,Z3-SUM(Q3:U3)))</f>
        <v>0</v>
      </c>
      <c r="AJ3" s="3" t="n">
        <f aca="false">MAX(0,W3-MAX(0,Z3-SUM(Q3:V3)))</f>
        <v>0</v>
      </c>
      <c r="AK3" s="3" t="n">
        <f aca="false">MAX(0,X3-MAX(0,Z3-SUM(Q3:W3)))</f>
        <v>0</v>
      </c>
      <c r="AL3" s="3" t="n">
        <f aca="false">MAX(0,Y3-MAX(0,Z3-SUM(Q3:X3)))</f>
        <v>0</v>
      </c>
    </row>
    <row r="4" customFormat="false" ht="15" hidden="false" customHeight="false" outlineLevel="0" collapsed="false">
      <c r="A4" s="2" t="s">
        <v>59</v>
      </c>
      <c r="B4" s="2" t="s">
        <v>60</v>
      </c>
      <c r="C4" s="2" t="s">
        <v>61</v>
      </c>
      <c r="D4" s="2" t="s">
        <v>62</v>
      </c>
      <c r="E4" s="2"/>
      <c r="F4" s="2" t="s">
        <v>63</v>
      </c>
      <c r="G4" s="2" t="s">
        <v>64</v>
      </c>
      <c r="H4" s="2" t="s">
        <v>43</v>
      </c>
      <c r="I4" s="2" t="s">
        <v>65</v>
      </c>
      <c r="J4" s="2" t="s">
        <v>66</v>
      </c>
      <c r="K4" s="2" t="s">
        <v>67</v>
      </c>
      <c r="L4" s="2" t="s">
        <v>68</v>
      </c>
      <c r="M4" s="2" t="s">
        <v>69</v>
      </c>
      <c r="N4" s="2" t="s">
        <v>70</v>
      </c>
      <c r="O4" s="2" t="s">
        <v>71</v>
      </c>
      <c r="P4" s="2" t="s">
        <v>72</v>
      </c>
      <c r="Q4" s="2" t="n">
        <v>1</v>
      </c>
      <c r="R4" s="2" t="n">
        <v>0</v>
      </c>
      <c r="S4" s="2" t="n">
        <v>0</v>
      </c>
      <c r="T4" s="2" t="n">
        <v>0</v>
      </c>
      <c r="U4" s="2" t="n">
        <v>0</v>
      </c>
      <c r="V4" s="2" t="n">
        <v>0</v>
      </c>
      <c r="W4" s="2" t="n">
        <v>0</v>
      </c>
      <c r="X4" s="2" t="n">
        <v>0</v>
      </c>
      <c r="Y4" s="2" t="n">
        <v>0</v>
      </c>
      <c r="Z4" s="2" t="n">
        <v>0</v>
      </c>
      <c r="AA4" s="2" t="n">
        <v>0</v>
      </c>
      <c r="AB4" s="3" t="n">
        <f aca="false">SUM(Q4:Y4)-Z4</f>
        <v>1</v>
      </c>
      <c r="AC4" s="3" t="str">
        <f aca="false">IF(I4="","",IF(OR(LEFT(I4,3)="BKK",I4="LCH55"),"BKK",IF(LEFT(I4,3)="LCH","LCH","OTHER")))</f>
        <v>LCH</v>
      </c>
      <c r="AD4" s="3" t="n">
        <f aca="false">MAX(0,Q4-MAX(0,Z4-0))</f>
        <v>1</v>
      </c>
      <c r="AE4" s="3" t="n">
        <f aca="false">MAX(0,R4-MAX(0,Z4-SUM(Q4:Q4)))</f>
        <v>0</v>
      </c>
      <c r="AF4" s="3" t="n">
        <f aca="false">MAX(0,S4-MAX(0,Z4-SUM(Q4:R4)))</f>
        <v>0</v>
      </c>
      <c r="AG4" s="3" t="n">
        <f aca="false">MAX(0,T4-MAX(0,Z4-SUM(Q4:S4)))</f>
        <v>0</v>
      </c>
      <c r="AH4" s="3" t="n">
        <f aca="false">MAX(0,U4-MAX(0,Z4-SUM(Q4:T4)))</f>
        <v>0</v>
      </c>
      <c r="AI4" s="3" t="n">
        <f aca="false">MAX(0,V4-MAX(0,Z4-SUM(Q4:U4)))</f>
        <v>0</v>
      </c>
      <c r="AJ4" s="3" t="n">
        <f aca="false">MAX(0,W4-MAX(0,Z4-SUM(Q4:V4)))</f>
        <v>0</v>
      </c>
      <c r="AK4" s="3" t="n">
        <f aca="false">MAX(0,X4-MAX(0,Z4-SUM(Q4:W4)))</f>
        <v>0</v>
      </c>
      <c r="AL4" s="3" t="n">
        <f aca="false">MAX(0,Y4-MAX(0,Z4-SUM(Q4:X4)))</f>
        <v>0</v>
      </c>
    </row>
    <row r="5" customFormat="false" ht="15" hidden="false" customHeight="false" outlineLevel="0" collapsed="false">
      <c r="A5" s="2" t="s">
        <v>73</v>
      </c>
      <c r="B5" s="2" t="s">
        <v>38</v>
      </c>
      <c r="C5" s="2" t="s">
        <v>39</v>
      </c>
      <c r="D5" s="2" t="s">
        <v>74</v>
      </c>
      <c r="E5" s="2"/>
      <c r="F5" s="2" t="s">
        <v>63</v>
      </c>
      <c r="G5" s="2" t="s">
        <v>42</v>
      </c>
      <c r="H5" s="2" t="s">
        <v>43</v>
      </c>
      <c r="I5" s="2" t="s">
        <v>65</v>
      </c>
      <c r="J5" s="2" t="s">
        <v>66</v>
      </c>
      <c r="K5" s="2" t="s">
        <v>75</v>
      </c>
      <c r="L5" s="2" t="s">
        <v>76</v>
      </c>
      <c r="M5" s="2" t="s">
        <v>76</v>
      </c>
      <c r="N5" s="2" t="s">
        <v>70</v>
      </c>
      <c r="O5" s="2" t="s">
        <v>77</v>
      </c>
      <c r="P5" s="2" t="s">
        <v>78</v>
      </c>
      <c r="Q5" s="2" t="n">
        <v>1</v>
      </c>
      <c r="R5" s="2" t="n">
        <v>0</v>
      </c>
      <c r="S5" s="2" t="n">
        <v>0</v>
      </c>
      <c r="T5" s="2" t="n">
        <v>0</v>
      </c>
      <c r="U5" s="2" t="n">
        <v>0</v>
      </c>
      <c r="V5" s="2" t="n">
        <v>0</v>
      </c>
      <c r="W5" s="2" t="n">
        <v>0</v>
      </c>
      <c r="X5" s="2" t="n">
        <v>0</v>
      </c>
      <c r="Y5" s="2" t="n">
        <v>0</v>
      </c>
      <c r="Z5" s="2" t="n">
        <v>0</v>
      </c>
      <c r="AA5" s="2" t="n">
        <v>0</v>
      </c>
      <c r="AB5" s="3" t="n">
        <f aca="false">SUM(Q5:Y5)-Z5</f>
        <v>1</v>
      </c>
      <c r="AC5" s="3" t="str">
        <f aca="false">IF(I5="","",IF(OR(LEFT(I5,3)="BKK",I5="LCH55"),"BKK",IF(LEFT(I5,3)="LCH","LCH","OTHER")))</f>
        <v>LCH</v>
      </c>
      <c r="AD5" s="3" t="n">
        <f aca="false">MAX(0,Q5-MAX(0,Z5-0))</f>
        <v>1</v>
      </c>
      <c r="AE5" s="3" t="n">
        <f aca="false">MAX(0,R5-MAX(0,Z5-SUM(Q5:Q5)))</f>
        <v>0</v>
      </c>
      <c r="AF5" s="3" t="n">
        <f aca="false">MAX(0,S5-MAX(0,Z5-SUM(Q5:R5)))</f>
        <v>0</v>
      </c>
      <c r="AG5" s="3" t="n">
        <f aca="false">MAX(0,T5-MAX(0,Z5-SUM(Q5:S5)))</f>
        <v>0</v>
      </c>
      <c r="AH5" s="3" t="n">
        <f aca="false">MAX(0,U5-MAX(0,Z5-SUM(Q5:T5)))</f>
        <v>0</v>
      </c>
      <c r="AI5" s="3" t="n">
        <f aca="false">MAX(0,V5-MAX(0,Z5-SUM(Q5:U5)))</f>
        <v>0</v>
      </c>
      <c r="AJ5" s="3" t="n">
        <f aca="false">MAX(0,W5-MAX(0,Z5-SUM(Q5:V5)))</f>
        <v>0</v>
      </c>
      <c r="AK5" s="3" t="n">
        <f aca="false">MAX(0,X5-MAX(0,Z5-SUM(Q5:W5)))</f>
        <v>0</v>
      </c>
      <c r="AL5" s="3" t="n">
        <f aca="false">MAX(0,Y5-MAX(0,Z5-SUM(Q5:X5)))</f>
        <v>0</v>
      </c>
    </row>
    <row r="6" customFormat="false" ht="15" hidden="false" customHeight="false" outlineLevel="0" collapsed="false">
      <c r="A6" s="2" t="s">
        <v>79</v>
      </c>
      <c r="B6" s="2" t="s">
        <v>38</v>
      </c>
      <c r="C6" s="2" t="s">
        <v>39</v>
      </c>
      <c r="D6" s="2" t="s">
        <v>74</v>
      </c>
      <c r="E6" s="2"/>
      <c r="F6" s="2" t="s">
        <v>63</v>
      </c>
      <c r="G6" s="2" t="s">
        <v>42</v>
      </c>
      <c r="H6" s="2" t="s">
        <v>43</v>
      </c>
      <c r="I6" s="2" t="s">
        <v>65</v>
      </c>
      <c r="J6" s="2" t="s">
        <v>66</v>
      </c>
      <c r="K6" s="2" t="s">
        <v>75</v>
      </c>
      <c r="L6" s="2" t="s">
        <v>80</v>
      </c>
      <c r="M6" s="2" t="s">
        <v>81</v>
      </c>
      <c r="N6" s="2" t="s">
        <v>82</v>
      </c>
      <c r="O6" s="4" t="s">
        <v>83</v>
      </c>
      <c r="P6" s="4" t="s">
        <v>84</v>
      </c>
      <c r="Q6" s="2" t="n">
        <v>1</v>
      </c>
      <c r="R6" s="2" t="n">
        <v>0</v>
      </c>
      <c r="S6" s="2" t="n">
        <v>0</v>
      </c>
      <c r="T6" s="2" t="n">
        <v>0</v>
      </c>
      <c r="U6" s="2" t="n">
        <v>0</v>
      </c>
      <c r="V6" s="2" t="n">
        <v>0</v>
      </c>
      <c r="W6" s="2" t="n">
        <v>0</v>
      </c>
      <c r="X6" s="2" t="n">
        <v>0</v>
      </c>
      <c r="Y6" s="2" t="n">
        <v>0</v>
      </c>
      <c r="Z6" s="2" t="n">
        <v>0</v>
      </c>
      <c r="AA6" s="2" t="n">
        <v>0</v>
      </c>
      <c r="AB6" s="3" t="n">
        <f aca="false">SUM(Q6:Y6)-Z6</f>
        <v>1</v>
      </c>
      <c r="AC6" s="3" t="str">
        <f aca="false">IF(I6="","",IF(OR(LEFT(I6,3)="BKK",I6="LCH55"),"BKK",IF(LEFT(I6,3)="LCH","LCH","OTHER")))</f>
        <v>LCH</v>
      </c>
      <c r="AD6" s="3" t="n">
        <f aca="false">MAX(0,Q6-MAX(0,Z6-0))</f>
        <v>1</v>
      </c>
      <c r="AE6" s="3" t="n">
        <f aca="false">MAX(0,R6-MAX(0,Z6-SUM(Q6:Q6)))</f>
        <v>0</v>
      </c>
      <c r="AF6" s="3" t="n">
        <f aca="false">MAX(0,S6-MAX(0,Z6-SUM(Q6:R6)))</f>
        <v>0</v>
      </c>
      <c r="AG6" s="3" t="n">
        <f aca="false">MAX(0,T6-MAX(0,Z6-SUM(Q6:S6)))</f>
        <v>0</v>
      </c>
      <c r="AH6" s="3" t="n">
        <f aca="false">MAX(0,U6-MAX(0,Z6-SUM(Q6:T6)))</f>
        <v>0</v>
      </c>
      <c r="AI6" s="3" t="n">
        <f aca="false">MAX(0,V6-MAX(0,Z6-SUM(Q6:U6)))</f>
        <v>0</v>
      </c>
      <c r="AJ6" s="3" t="n">
        <f aca="false">MAX(0,W6-MAX(0,Z6-SUM(Q6:V6)))</f>
        <v>0</v>
      </c>
      <c r="AK6" s="3" t="n">
        <f aca="false">MAX(0,X6-MAX(0,Z6-SUM(Q6:W6)))</f>
        <v>0</v>
      </c>
      <c r="AL6" s="3" t="n">
        <f aca="false">MAX(0,Y6-MAX(0,Z6-SUM(Q6:X6)))</f>
        <v>0</v>
      </c>
    </row>
    <row r="7" customFormat="false" ht="15" hidden="false" customHeight="false" outlineLevel="0" collapsed="false">
      <c r="A7" s="2" t="s">
        <v>85</v>
      </c>
      <c r="B7" s="2" t="s">
        <v>86</v>
      </c>
      <c r="C7" s="2" t="s">
        <v>39</v>
      </c>
      <c r="D7" s="2" t="s">
        <v>87</v>
      </c>
      <c r="E7" s="2"/>
      <c r="F7" s="2" t="s">
        <v>41</v>
      </c>
      <c r="G7" s="2" t="s">
        <v>88</v>
      </c>
      <c r="H7" s="2" t="s">
        <v>43</v>
      </c>
      <c r="I7" s="2" t="s">
        <v>89</v>
      </c>
      <c r="J7" s="2" t="s">
        <v>90</v>
      </c>
      <c r="K7" s="2" t="s">
        <v>91</v>
      </c>
      <c r="L7" s="2" t="s">
        <v>92</v>
      </c>
      <c r="M7" s="2" t="s">
        <v>92</v>
      </c>
      <c r="N7" s="2" t="s">
        <v>93</v>
      </c>
      <c r="O7" s="2" t="s">
        <v>94</v>
      </c>
      <c r="P7" s="4" t="s">
        <v>95</v>
      </c>
      <c r="Q7" s="2" t="n">
        <v>1</v>
      </c>
      <c r="R7" s="2" t="n">
        <v>0</v>
      </c>
      <c r="S7" s="2" t="n">
        <v>0</v>
      </c>
      <c r="T7" s="2" t="n">
        <v>0</v>
      </c>
      <c r="U7" s="2" t="n">
        <v>0</v>
      </c>
      <c r="V7" s="2" t="n">
        <v>0</v>
      </c>
      <c r="W7" s="2" t="n">
        <v>0</v>
      </c>
      <c r="X7" s="2" t="n">
        <v>0</v>
      </c>
      <c r="Y7" s="2" t="n">
        <v>0</v>
      </c>
      <c r="Z7" s="2" t="n">
        <v>0</v>
      </c>
      <c r="AA7" s="2" t="n">
        <v>0</v>
      </c>
      <c r="AB7" s="3" t="n">
        <f aca="false">SUM(Q7:Y7)-Z7</f>
        <v>1</v>
      </c>
      <c r="AC7" s="3" t="str">
        <f aca="false">IF(I7="","",IF(OR(LEFT(I7,3)="BKK",I7="LCH55"),"BKK",IF(LEFT(I7,3)="LCH","LCH","OTHER")))</f>
        <v>BKK</v>
      </c>
      <c r="AD7" s="3" t="n">
        <f aca="false">MAX(0,Q7-MAX(0,Z7-0))</f>
        <v>1</v>
      </c>
      <c r="AE7" s="3" t="n">
        <f aca="false">MAX(0,R7-MAX(0,Z7-SUM(Q7:Q7)))</f>
        <v>0</v>
      </c>
      <c r="AF7" s="3" t="n">
        <f aca="false">MAX(0,S7-MAX(0,Z7-SUM(Q7:R7)))</f>
        <v>0</v>
      </c>
      <c r="AG7" s="3" t="n">
        <f aca="false">MAX(0,T7-MAX(0,Z7-SUM(Q7:S7)))</f>
        <v>0</v>
      </c>
      <c r="AH7" s="3" t="n">
        <f aca="false">MAX(0,U7-MAX(0,Z7-SUM(Q7:T7)))</f>
        <v>0</v>
      </c>
      <c r="AI7" s="3" t="n">
        <f aca="false">MAX(0,V7-MAX(0,Z7-SUM(Q7:U7)))</f>
        <v>0</v>
      </c>
      <c r="AJ7" s="3" t="n">
        <f aca="false">MAX(0,W7-MAX(0,Z7-SUM(Q7:V7)))</f>
        <v>0</v>
      </c>
      <c r="AK7" s="3" t="n">
        <f aca="false">MAX(0,X7-MAX(0,Z7-SUM(Q7:W7)))</f>
        <v>0</v>
      </c>
      <c r="AL7" s="3" t="n">
        <f aca="false">MAX(0,Y7-MAX(0,Z7-SUM(Q7:X7)))</f>
        <v>0</v>
      </c>
    </row>
    <row r="8" customFormat="false" ht="15" hidden="false" customHeight="false" outlineLevel="0" collapsed="false">
      <c r="A8" s="2" t="s">
        <v>96</v>
      </c>
      <c r="B8" s="2" t="s">
        <v>60</v>
      </c>
      <c r="C8" s="2" t="s">
        <v>61</v>
      </c>
      <c r="D8" s="2" t="s">
        <v>62</v>
      </c>
      <c r="E8" s="2"/>
      <c r="F8" s="2" t="s">
        <v>63</v>
      </c>
      <c r="G8" s="2" t="s">
        <v>64</v>
      </c>
      <c r="H8" s="2" t="s">
        <v>43</v>
      </c>
      <c r="I8" s="2" t="s">
        <v>65</v>
      </c>
      <c r="J8" s="2" t="s">
        <v>66</v>
      </c>
      <c r="K8" s="2" t="s">
        <v>67</v>
      </c>
      <c r="L8" s="2" t="s">
        <v>68</v>
      </c>
      <c r="M8" s="2" t="s">
        <v>69</v>
      </c>
      <c r="N8" s="2" t="s">
        <v>70</v>
      </c>
      <c r="O8" s="2" t="s">
        <v>71</v>
      </c>
      <c r="P8" s="2" t="s">
        <v>72</v>
      </c>
      <c r="Q8" s="2" t="n">
        <v>1</v>
      </c>
      <c r="R8" s="2" t="n">
        <v>0</v>
      </c>
      <c r="S8" s="2" t="n">
        <v>0</v>
      </c>
      <c r="T8" s="2" t="n">
        <v>0</v>
      </c>
      <c r="U8" s="2" t="n">
        <v>0</v>
      </c>
      <c r="V8" s="2" t="n">
        <v>0</v>
      </c>
      <c r="W8" s="2" t="n">
        <v>0</v>
      </c>
      <c r="X8" s="2" t="n">
        <v>0</v>
      </c>
      <c r="Y8" s="2" t="n">
        <v>0</v>
      </c>
      <c r="Z8" s="2" t="n">
        <v>0</v>
      </c>
      <c r="AA8" s="2" t="n">
        <v>0</v>
      </c>
      <c r="AB8" s="3" t="n">
        <f aca="false">SUM(Q8:Y8)-Z8</f>
        <v>1</v>
      </c>
      <c r="AC8" s="3" t="str">
        <f aca="false">IF(I8="","",IF(OR(LEFT(I8,3)="BKK",I8="LCH55"),"BKK",IF(LEFT(I8,3)="LCH","LCH","OTHER")))</f>
        <v>LCH</v>
      </c>
      <c r="AD8" s="3" t="n">
        <f aca="false">MAX(0,Q8-MAX(0,Z8-0))</f>
        <v>1</v>
      </c>
      <c r="AE8" s="3" t="n">
        <f aca="false">MAX(0,R8-MAX(0,Z8-SUM(Q8:Q8)))</f>
        <v>0</v>
      </c>
      <c r="AF8" s="3" t="n">
        <f aca="false">MAX(0,S8-MAX(0,Z8-SUM(Q8:R8)))</f>
        <v>0</v>
      </c>
      <c r="AG8" s="3" t="n">
        <f aca="false">MAX(0,T8-MAX(0,Z8-SUM(Q8:S8)))</f>
        <v>0</v>
      </c>
      <c r="AH8" s="3" t="n">
        <f aca="false">MAX(0,U8-MAX(0,Z8-SUM(Q8:T8)))</f>
        <v>0</v>
      </c>
      <c r="AI8" s="3" t="n">
        <f aca="false">MAX(0,V8-MAX(0,Z8-SUM(Q8:U8)))</f>
        <v>0</v>
      </c>
      <c r="AJ8" s="3" t="n">
        <f aca="false">MAX(0,W8-MAX(0,Z8-SUM(Q8:V8)))</f>
        <v>0</v>
      </c>
      <c r="AK8" s="3" t="n">
        <f aca="false">MAX(0,X8-MAX(0,Z8-SUM(Q8:W8)))</f>
        <v>0</v>
      </c>
      <c r="AL8" s="3" t="n">
        <f aca="false">MAX(0,Y8-MAX(0,Z8-SUM(Q8:X8)))</f>
        <v>0</v>
      </c>
    </row>
    <row r="9" customFormat="false" ht="15" hidden="false" customHeight="false" outlineLevel="0" collapsed="false">
      <c r="A9" s="2" t="s">
        <v>97</v>
      </c>
      <c r="B9" s="2" t="s">
        <v>38</v>
      </c>
      <c r="C9" s="2" t="s">
        <v>39</v>
      </c>
      <c r="D9" s="2" t="s">
        <v>40</v>
      </c>
      <c r="E9" s="2"/>
      <c r="F9" s="2" t="s">
        <v>41</v>
      </c>
      <c r="G9" s="2" t="s">
        <v>42</v>
      </c>
      <c r="H9" s="2" t="s">
        <v>43</v>
      </c>
      <c r="I9" s="2" t="s">
        <v>44</v>
      </c>
      <c r="J9" s="2" t="s">
        <v>45</v>
      </c>
      <c r="K9" s="2" t="s">
        <v>53</v>
      </c>
      <c r="L9" s="2" t="s">
        <v>98</v>
      </c>
      <c r="M9" s="2" t="s">
        <v>99</v>
      </c>
      <c r="N9" s="2" t="s">
        <v>100</v>
      </c>
      <c r="O9" s="2" t="s">
        <v>101</v>
      </c>
      <c r="P9" s="2" t="s">
        <v>102</v>
      </c>
      <c r="Q9" s="2" t="n">
        <v>1</v>
      </c>
      <c r="R9" s="2" t="n">
        <v>0</v>
      </c>
      <c r="S9" s="2" t="n">
        <v>0</v>
      </c>
      <c r="T9" s="2" t="n">
        <v>0</v>
      </c>
      <c r="U9" s="2" t="n">
        <v>0</v>
      </c>
      <c r="V9" s="2" t="n">
        <v>0</v>
      </c>
      <c r="W9" s="2" t="n">
        <v>0</v>
      </c>
      <c r="X9" s="2" t="n">
        <v>0</v>
      </c>
      <c r="Y9" s="2" t="n">
        <v>0</v>
      </c>
      <c r="Z9" s="2" t="n">
        <v>0</v>
      </c>
      <c r="AA9" s="2" t="n">
        <v>0</v>
      </c>
      <c r="AB9" s="3" t="n">
        <f aca="false">SUM(Q9:Y9)-Z9</f>
        <v>1</v>
      </c>
      <c r="AC9" s="3" t="str">
        <f aca="false">IF(I9="","",IF(OR(LEFT(I9,3)="BKK",I9="LCH55"),"BKK",IF(LEFT(I9,3)="LCH","LCH","OTHER")))</f>
        <v>BKK</v>
      </c>
      <c r="AD9" s="3" t="n">
        <f aca="false">MAX(0,Q9-MAX(0,Z9-0))</f>
        <v>1</v>
      </c>
      <c r="AE9" s="3" t="n">
        <f aca="false">MAX(0,R9-MAX(0,Z9-SUM(Q9:Q9)))</f>
        <v>0</v>
      </c>
      <c r="AF9" s="3" t="n">
        <f aca="false">MAX(0,S9-MAX(0,Z9-SUM(Q9:R9)))</f>
        <v>0</v>
      </c>
      <c r="AG9" s="3" t="n">
        <f aca="false">MAX(0,T9-MAX(0,Z9-SUM(Q9:S9)))</f>
        <v>0</v>
      </c>
      <c r="AH9" s="3" t="n">
        <f aca="false">MAX(0,U9-MAX(0,Z9-SUM(Q9:T9)))</f>
        <v>0</v>
      </c>
      <c r="AI9" s="3" t="n">
        <f aca="false">MAX(0,V9-MAX(0,Z9-SUM(Q9:U9)))</f>
        <v>0</v>
      </c>
      <c r="AJ9" s="3" t="n">
        <f aca="false">MAX(0,W9-MAX(0,Z9-SUM(Q9:V9)))</f>
        <v>0</v>
      </c>
      <c r="AK9" s="3" t="n">
        <f aca="false">MAX(0,X9-MAX(0,Z9-SUM(Q9:W9)))</f>
        <v>0</v>
      </c>
      <c r="AL9" s="3" t="n">
        <f aca="false">MAX(0,Y9-MAX(0,Z9-SUM(Q9:X9)))</f>
        <v>0</v>
      </c>
    </row>
    <row r="10" customFormat="false" ht="15" hidden="false" customHeight="false" outlineLevel="0" collapsed="false">
      <c r="A10" s="2" t="s">
        <v>103</v>
      </c>
      <c r="B10" s="2" t="s">
        <v>38</v>
      </c>
      <c r="C10" s="2" t="s">
        <v>39</v>
      </c>
      <c r="D10" s="2" t="s">
        <v>74</v>
      </c>
      <c r="E10" s="2"/>
      <c r="F10" s="2" t="s">
        <v>63</v>
      </c>
      <c r="G10" s="2" t="s">
        <v>42</v>
      </c>
      <c r="H10" s="2" t="s">
        <v>43</v>
      </c>
      <c r="I10" s="2" t="s">
        <v>65</v>
      </c>
      <c r="J10" s="2" t="s">
        <v>66</v>
      </c>
      <c r="K10" s="2" t="s">
        <v>104</v>
      </c>
      <c r="L10" s="2" t="s">
        <v>105</v>
      </c>
      <c r="M10" s="2" t="s">
        <v>105</v>
      </c>
      <c r="N10" s="2" t="s">
        <v>106</v>
      </c>
      <c r="O10" s="2" t="s">
        <v>107</v>
      </c>
      <c r="P10" s="4" t="s">
        <v>108</v>
      </c>
      <c r="Q10" s="2" t="n">
        <v>1</v>
      </c>
      <c r="R10" s="2" t="n">
        <v>0</v>
      </c>
      <c r="S10" s="2" t="n">
        <v>0</v>
      </c>
      <c r="T10" s="2" t="n">
        <v>0</v>
      </c>
      <c r="U10" s="2" t="n">
        <v>0</v>
      </c>
      <c r="V10" s="2" t="n">
        <v>0</v>
      </c>
      <c r="W10" s="2" t="n">
        <v>0</v>
      </c>
      <c r="X10" s="2" t="n">
        <v>0</v>
      </c>
      <c r="Y10" s="2" t="n">
        <v>0</v>
      </c>
      <c r="Z10" s="2" t="n">
        <v>0</v>
      </c>
      <c r="AA10" s="2" t="n">
        <v>0</v>
      </c>
      <c r="AB10" s="3" t="n">
        <f aca="false">SUM(Q10:Y10)-Z10</f>
        <v>1</v>
      </c>
      <c r="AC10" s="3" t="str">
        <f aca="false">IF(I10="","",IF(OR(LEFT(I10,3)="BKK",I10="LCH55"),"BKK",IF(LEFT(I10,3)="LCH","LCH","OTHER")))</f>
        <v>LCH</v>
      </c>
      <c r="AD10" s="3" t="n">
        <f aca="false">MAX(0,Q10-MAX(0,Z10-0))</f>
        <v>1</v>
      </c>
      <c r="AE10" s="3" t="n">
        <f aca="false">MAX(0,R10-MAX(0,Z10-SUM(Q10:Q10)))</f>
        <v>0</v>
      </c>
      <c r="AF10" s="3" t="n">
        <f aca="false">MAX(0,S10-MAX(0,Z10-SUM(Q10:R10)))</f>
        <v>0</v>
      </c>
      <c r="AG10" s="3" t="n">
        <f aca="false">MAX(0,T10-MAX(0,Z10-SUM(Q10:S10)))</f>
        <v>0</v>
      </c>
      <c r="AH10" s="3" t="n">
        <f aca="false">MAX(0,U10-MAX(0,Z10-SUM(Q10:T10)))</f>
        <v>0</v>
      </c>
      <c r="AI10" s="3" t="n">
        <f aca="false">MAX(0,V10-MAX(0,Z10-SUM(Q10:U10)))</f>
        <v>0</v>
      </c>
      <c r="AJ10" s="3" t="n">
        <f aca="false">MAX(0,W10-MAX(0,Z10-SUM(Q10:V10)))</f>
        <v>0</v>
      </c>
      <c r="AK10" s="3" t="n">
        <f aca="false">MAX(0,X10-MAX(0,Z10-SUM(Q10:W10)))</f>
        <v>0</v>
      </c>
      <c r="AL10" s="3" t="n">
        <f aca="false">MAX(0,Y10-MAX(0,Z10-SUM(Q10:X10)))</f>
        <v>0</v>
      </c>
    </row>
    <row r="11" customFormat="false" ht="15" hidden="false" customHeight="false" outlineLevel="0" collapsed="false">
      <c r="A11" s="2" t="s">
        <v>109</v>
      </c>
      <c r="B11" s="2" t="s">
        <v>60</v>
      </c>
      <c r="C11" s="2" t="s">
        <v>61</v>
      </c>
      <c r="D11" s="2" t="s">
        <v>62</v>
      </c>
      <c r="E11" s="2"/>
      <c r="F11" s="2" t="s">
        <v>63</v>
      </c>
      <c r="G11" s="2" t="s">
        <v>64</v>
      </c>
      <c r="H11" s="2" t="s">
        <v>43</v>
      </c>
      <c r="I11" s="2" t="s">
        <v>65</v>
      </c>
      <c r="J11" s="2" t="s">
        <v>66</v>
      </c>
      <c r="K11" s="2" t="s">
        <v>67</v>
      </c>
      <c r="L11" s="2" t="s">
        <v>68</v>
      </c>
      <c r="M11" s="2" t="s">
        <v>69</v>
      </c>
      <c r="N11" s="2" t="s">
        <v>70</v>
      </c>
      <c r="O11" s="2" t="s">
        <v>71</v>
      </c>
      <c r="P11" s="2" t="s">
        <v>72</v>
      </c>
      <c r="Q11" s="2" t="n">
        <v>1</v>
      </c>
      <c r="R11" s="2" t="n">
        <v>0</v>
      </c>
      <c r="S11" s="2" t="n">
        <v>0</v>
      </c>
      <c r="T11" s="2" t="n">
        <v>0</v>
      </c>
      <c r="U11" s="2" t="n">
        <v>0</v>
      </c>
      <c r="V11" s="2" t="n">
        <v>0</v>
      </c>
      <c r="W11" s="2" t="n">
        <v>0</v>
      </c>
      <c r="X11" s="2" t="n">
        <v>0</v>
      </c>
      <c r="Y11" s="2" t="n">
        <v>0</v>
      </c>
      <c r="Z11" s="2" t="n">
        <v>0</v>
      </c>
      <c r="AA11" s="2" t="n">
        <v>0</v>
      </c>
      <c r="AB11" s="3" t="n">
        <f aca="false">SUM(Q11:Y11)-Z11</f>
        <v>1</v>
      </c>
      <c r="AC11" s="3" t="str">
        <f aca="false">IF(I11="","",IF(OR(LEFT(I11,3)="BKK",I11="LCH55"),"BKK",IF(LEFT(I11,3)="LCH","LCH","OTHER")))</f>
        <v>LCH</v>
      </c>
      <c r="AD11" s="3" t="n">
        <f aca="false">MAX(0,Q11-MAX(0,Z11-0))</f>
        <v>1</v>
      </c>
      <c r="AE11" s="3" t="n">
        <f aca="false">MAX(0,R11-MAX(0,Z11-SUM(Q11:Q11)))</f>
        <v>0</v>
      </c>
      <c r="AF11" s="3" t="n">
        <f aca="false">MAX(0,S11-MAX(0,Z11-SUM(Q11:R11)))</f>
        <v>0</v>
      </c>
      <c r="AG11" s="3" t="n">
        <f aca="false">MAX(0,T11-MAX(0,Z11-SUM(Q11:S11)))</f>
        <v>0</v>
      </c>
      <c r="AH11" s="3" t="n">
        <f aca="false">MAX(0,U11-MAX(0,Z11-SUM(Q11:T11)))</f>
        <v>0</v>
      </c>
      <c r="AI11" s="3" t="n">
        <f aca="false">MAX(0,V11-MAX(0,Z11-SUM(Q11:U11)))</f>
        <v>0</v>
      </c>
      <c r="AJ11" s="3" t="n">
        <f aca="false">MAX(0,W11-MAX(0,Z11-SUM(Q11:V11)))</f>
        <v>0</v>
      </c>
      <c r="AK11" s="3" t="n">
        <f aca="false">MAX(0,X11-MAX(0,Z11-SUM(Q11:W11)))</f>
        <v>0</v>
      </c>
      <c r="AL11" s="3" t="n">
        <f aca="false">MAX(0,Y11-MAX(0,Z11-SUM(Q11:X11)))</f>
        <v>0</v>
      </c>
    </row>
    <row r="12" customFormat="false" ht="15" hidden="false" customHeight="false" outlineLevel="0" collapsed="false">
      <c r="A12" s="2" t="s">
        <v>110</v>
      </c>
      <c r="B12" s="2" t="s">
        <v>60</v>
      </c>
      <c r="C12" s="2" t="s">
        <v>61</v>
      </c>
      <c r="D12" s="2" t="s">
        <v>62</v>
      </c>
      <c r="E12" s="2"/>
      <c r="F12" s="2" t="s">
        <v>63</v>
      </c>
      <c r="G12" s="2" t="s">
        <v>64</v>
      </c>
      <c r="H12" s="2" t="s">
        <v>43</v>
      </c>
      <c r="I12" s="2" t="s">
        <v>65</v>
      </c>
      <c r="J12" s="2" t="s">
        <v>66</v>
      </c>
      <c r="K12" s="2" t="s">
        <v>67</v>
      </c>
      <c r="L12" s="2" t="s">
        <v>68</v>
      </c>
      <c r="M12" s="2" t="s">
        <v>69</v>
      </c>
      <c r="N12" s="2" t="s">
        <v>70</v>
      </c>
      <c r="O12" s="2" t="s">
        <v>71</v>
      </c>
      <c r="P12" s="2" t="s">
        <v>72</v>
      </c>
      <c r="Q12" s="2" t="n">
        <v>1</v>
      </c>
      <c r="R12" s="2" t="n">
        <v>0</v>
      </c>
      <c r="S12" s="2" t="n">
        <v>0</v>
      </c>
      <c r="T12" s="2" t="n">
        <v>0</v>
      </c>
      <c r="U12" s="2" t="n">
        <v>0</v>
      </c>
      <c r="V12" s="2" t="n">
        <v>0</v>
      </c>
      <c r="W12" s="2" t="n">
        <v>0</v>
      </c>
      <c r="X12" s="2" t="n">
        <v>0</v>
      </c>
      <c r="Y12" s="2" t="n">
        <v>0</v>
      </c>
      <c r="Z12" s="2" t="n">
        <v>0</v>
      </c>
      <c r="AA12" s="2" t="n">
        <v>0</v>
      </c>
      <c r="AB12" s="3" t="n">
        <f aca="false">SUM(Q12:Y12)-Z12</f>
        <v>1</v>
      </c>
      <c r="AC12" s="3" t="str">
        <f aca="false">IF(I12="","",IF(OR(LEFT(I12,3)="BKK",I12="LCH55"),"BKK",IF(LEFT(I12,3)="LCH","LCH","OTHER")))</f>
        <v>LCH</v>
      </c>
      <c r="AD12" s="3" t="n">
        <f aca="false">MAX(0,Q12-MAX(0,Z12-0))</f>
        <v>1</v>
      </c>
      <c r="AE12" s="3" t="n">
        <f aca="false">MAX(0,R12-MAX(0,Z12-SUM(Q12:Q12)))</f>
        <v>0</v>
      </c>
      <c r="AF12" s="3" t="n">
        <f aca="false">MAX(0,S12-MAX(0,Z12-SUM(Q12:R12)))</f>
        <v>0</v>
      </c>
      <c r="AG12" s="3" t="n">
        <f aca="false">MAX(0,T12-MAX(0,Z12-SUM(Q12:S12)))</f>
        <v>0</v>
      </c>
      <c r="AH12" s="3" t="n">
        <f aca="false">MAX(0,U12-MAX(0,Z12-SUM(Q12:T12)))</f>
        <v>0</v>
      </c>
      <c r="AI12" s="3" t="n">
        <f aca="false">MAX(0,V12-MAX(0,Z12-SUM(Q12:U12)))</f>
        <v>0</v>
      </c>
      <c r="AJ12" s="3" t="n">
        <f aca="false">MAX(0,W12-MAX(0,Z12-SUM(Q12:V12)))</f>
        <v>0</v>
      </c>
      <c r="AK12" s="3" t="n">
        <f aca="false">MAX(0,X12-MAX(0,Z12-SUM(Q12:W12)))</f>
        <v>0</v>
      </c>
      <c r="AL12" s="3" t="n">
        <f aca="false">MAX(0,Y12-MAX(0,Z12-SUM(Q12:X12)))</f>
        <v>0</v>
      </c>
    </row>
    <row r="13" customFormat="false" ht="15" hidden="false" customHeight="false" outlineLevel="0" collapsed="false">
      <c r="A13" s="2" t="s">
        <v>111</v>
      </c>
      <c r="B13" s="2" t="s">
        <v>112</v>
      </c>
      <c r="C13" s="2" t="s">
        <v>113</v>
      </c>
      <c r="D13" s="2" t="s">
        <v>114</v>
      </c>
      <c r="E13" s="2"/>
      <c r="F13" s="2" t="s">
        <v>63</v>
      </c>
      <c r="G13" s="2" t="s">
        <v>115</v>
      </c>
      <c r="H13" s="2" t="s">
        <v>43</v>
      </c>
      <c r="I13" s="2" t="s">
        <v>65</v>
      </c>
      <c r="J13" s="2" t="s">
        <v>66</v>
      </c>
      <c r="K13" s="2" t="s">
        <v>116</v>
      </c>
      <c r="L13" s="2" t="s">
        <v>68</v>
      </c>
      <c r="M13" s="2" t="s">
        <v>69</v>
      </c>
      <c r="N13" s="2" t="s">
        <v>70</v>
      </c>
      <c r="O13" s="2" t="s">
        <v>71</v>
      </c>
      <c r="P13" s="2" t="s">
        <v>117</v>
      </c>
      <c r="Q13" s="2" t="n">
        <v>1</v>
      </c>
      <c r="R13" s="2" t="n">
        <v>0</v>
      </c>
      <c r="S13" s="2" t="n">
        <v>0</v>
      </c>
      <c r="T13" s="2" t="n">
        <v>0</v>
      </c>
      <c r="U13" s="2" t="n">
        <v>0</v>
      </c>
      <c r="V13" s="2" t="n">
        <v>0</v>
      </c>
      <c r="W13" s="2" t="n">
        <v>0</v>
      </c>
      <c r="X13" s="2" t="n">
        <v>0</v>
      </c>
      <c r="Y13" s="2" t="n">
        <v>0</v>
      </c>
      <c r="Z13" s="2" t="n">
        <v>0</v>
      </c>
      <c r="AA13" s="2" t="n">
        <v>0</v>
      </c>
      <c r="AB13" s="3" t="n">
        <f aca="false">SUM(Q13:Y13)-Z13</f>
        <v>1</v>
      </c>
      <c r="AC13" s="3" t="str">
        <f aca="false">IF(I13="","",IF(OR(LEFT(I13,3)="BKK",I13="LCH55"),"BKK",IF(LEFT(I13,3)="LCH","LCH","OTHER")))</f>
        <v>LCH</v>
      </c>
      <c r="AD13" s="3" t="n">
        <f aca="false">MAX(0,Q13-MAX(0,Z13-0))</f>
        <v>1</v>
      </c>
      <c r="AE13" s="3" t="n">
        <f aca="false">MAX(0,R13-MAX(0,Z13-SUM(Q13:Q13)))</f>
        <v>0</v>
      </c>
      <c r="AF13" s="3" t="n">
        <f aca="false">MAX(0,S13-MAX(0,Z13-SUM(Q13:R13)))</f>
        <v>0</v>
      </c>
      <c r="AG13" s="3" t="n">
        <f aca="false">MAX(0,T13-MAX(0,Z13-SUM(Q13:S13)))</f>
        <v>0</v>
      </c>
      <c r="AH13" s="3" t="n">
        <f aca="false">MAX(0,U13-MAX(0,Z13-SUM(Q13:T13)))</f>
        <v>0</v>
      </c>
      <c r="AI13" s="3" t="n">
        <f aca="false">MAX(0,V13-MAX(0,Z13-SUM(Q13:U13)))</f>
        <v>0</v>
      </c>
      <c r="AJ13" s="3" t="n">
        <f aca="false">MAX(0,W13-MAX(0,Z13-SUM(Q13:V13)))</f>
        <v>0</v>
      </c>
      <c r="AK13" s="3" t="n">
        <f aca="false">MAX(0,X13-MAX(0,Z13-SUM(Q13:W13)))</f>
        <v>0</v>
      </c>
      <c r="AL13" s="3" t="n">
        <f aca="false">MAX(0,Y13-MAX(0,Z13-SUM(Q13:X13)))</f>
        <v>0</v>
      </c>
    </row>
    <row r="14" customFormat="false" ht="15" hidden="false" customHeight="false" outlineLevel="0" collapsed="false">
      <c r="A14" s="2" t="s">
        <v>118</v>
      </c>
      <c r="B14" s="2" t="s">
        <v>119</v>
      </c>
      <c r="C14" s="2" t="s">
        <v>39</v>
      </c>
      <c r="D14" s="2" t="s">
        <v>120</v>
      </c>
      <c r="E14" s="2"/>
      <c r="F14" s="2" t="s">
        <v>63</v>
      </c>
      <c r="G14" s="2" t="s">
        <v>121</v>
      </c>
      <c r="H14" s="2" t="s">
        <v>43</v>
      </c>
      <c r="I14" s="2" t="s">
        <v>65</v>
      </c>
      <c r="J14" s="2" t="s">
        <v>66</v>
      </c>
      <c r="K14" s="2" t="s">
        <v>122</v>
      </c>
      <c r="L14" s="2" t="s">
        <v>105</v>
      </c>
      <c r="M14" s="2" t="s">
        <v>105</v>
      </c>
      <c r="N14" s="2" t="s">
        <v>123</v>
      </c>
      <c r="O14" s="2" t="s">
        <v>124</v>
      </c>
      <c r="P14" s="4" t="s">
        <v>125</v>
      </c>
      <c r="Q14" s="2" t="n">
        <v>1</v>
      </c>
      <c r="R14" s="2" t="n">
        <v>0</v>
      </c>
      <c r="S14" s="2" t="n">
        <v>0</v>
      </c>
      <c r="T14" s="2" t="n">
        <v>0</v>
      </c>
      <c r="U14" s="2" t="n">
        <v>0</v>
      </c>
      <c r="V14" s="2" t="n">
        <v>0</v>
      </c>
      <c r="W14" s="2" t="n">
        <v>0</v>
      </c>
      <c r="X14" s="2" t="n">
        <v>0</v>
      </c>
      <c r="Y14" s="2" t="n">
        <v>0</v>
      </c>
      <c r="Z14" s="2" t="n">
        <v>0</v>
      </c>
      <c r="AA14" s="2" t="n">
        <v>0</v>
      </c>
      <c r="AB14" s="3" t="n">
        <f aca="false">SUM(Q14:Y14)-Z14</f>
        <v>1</v>
      </c>
      <c r="AC14" s="3" t="str">
        <f aca="false">IF(I14="","",IF(OR(LEFT(I14,3)="BKK",I14="LCH55"),"BKK",IF(LEFT(I14,3)="LCH","LCH","OTHER")))</f>
        <v>LCH</v>
      </c>
      <c r="AD14" s="3" t="n">
        <f aca="false">MAX(0,Q14-MAX(0,Z14-0))</f>
        <v>1</v>
      </c>
      <c r="AE14" s="3" t="n">
        <f aca="false">MAX(0,R14-MAX(0,Z14-SUM(Q14:Q14)))</f>
        <v>0</v>
      </c>
      <c r="AF14" s="3" t="n">
        <f aca="false">MAX(0,S14-MAX(0,Z14-SUM(Q14:R14)))</f>
        <v>0</v>
      </c>
      <c r="AG14" s="3" t="n">
        <f aca="false">MAX(0,T14-MAX(0,Z14-SUM(Q14:S14)))</f>
        <v>0</v>
      </c>
      <c r="AH14" s="3" t="n">
        <f aca="false">MAX(0,U14-MAX(0,Z14-SUM(Q14:T14)))</f>
        <v>0</v>
      </c>
      <c r="AI14" s="3" t="n">
        <f aca="false">MAX(0,V14-MAX(0,Z14-SUM(Q14:U14)))</f>
        <v>0</v>
      </c>
      <c r="AJ14" s="3" t="n">
        <f aca="false">MAX(0,W14-MAX(0,Z14-SUM(Q14:V14)))</f>
        <v>0</v>
      </c>
      <c r="AK14" s="3" t="n">
        <f aca="false">MAX(0,X14-MAX(0,Z14-SUM(Q14:W14)))</f>
        <v>0</v>
      </c>
      <c r="AL14" s="3" t="n">
        <f aca="false">MAX(0,Y14-MAX(0,Z14-SUM(Q14:X14)))</f>
        <v>0</v>
      </c>
    </row>
    <row r="15" customFormat="false" ht="15" hidden="false" customHeight="false" outlineLevel="0" collapsed="false">
      <c r="A15" s="2" t="s">
        <v>126</v>
      </c>
      <c r="B15" s="2" t="s">
        <v>112</v>
      </c>
      <c r="C15" s="2" t="s">
        <v>113</v>
      </c>
      <c r="D15" s="2" t="s">
        <v>114</v>
      </c>
      <c r="E15" s="2"/>
      <c r="F15" s="2" t="s">
        <v>63</v>
      </c>
      <c r="G15" s="2" t="s">
        <v>115</v>
      </c>
      <c r="H15" s="2" t="s">
        <v>43</v>
      </c>
      <c r="I15" s="2" t="s">
        <v>65</v>
      </c>
      <c r="J15" s="2" t="s">
        <v>66</v>
      </c>
      <c r="K15" s="2" t="s">
        <v>116</v>
      </c>
      <c r="L15" s="2" t="s">
        <v>68</v>
      </c>
      <c r="M15" s="2" t="s">
        <v>69</v>
      </c>
      <c r="N15" s="2" t="s">
        <v>70</v>
      </c>
      <c r="O15" s="2" t="s">
        <v>71</v>
      </c>
      <c r="P15" s="2" t="s">
        <v>117</v>
      </c>
      <c r="Q15" s="2" t="n">
        <v>1</v>
      </c>
      <c r="R15" s="2" t="n">
        <v>0</v>
      </c>
      <c r="S15" s="2" t="n">
        <v>0</v>
      </c>
      <c r="T15" s="2" t="n">
        <v>0</v>
      </c>
      <c r="U15" s="2" t="n">
        <v>0</v>
      </c>
      <c r="V15" s="2" t="n">
        <v>0</v>
      </c>
      <c r="W15" s="2" t="n">
        <v>0</v>
      </c>
      <c r="X15" s="2" t="n">
        <v>0</v>
      </c>
      <c r="Y15" s="2" t="n">
        <v>0</v>
      </c>
      <c r="Z15" s="2" t="n">
        <v>0</v>
      </c>
      <c r="AA15" s="2" t="n">
        <v>0</v>
      </c>
      <c r="AB15" s="3" t="n">
        <f aca="false">SUM(Q15:Y15)-Z15</f>
        <v>1</v>
      </c>
      <c r="AC15" s="3" t="str">
        <f aca="false">IF(I15="","",IF(OR(LEFT(I15,3)="BKK",I15="LCH55"),"BKK",IF(LEFT(I15,3)="LCH","LCH","OTHER")))</f>
        <v>LCH</v>
      </c>
      <c r="AD15" s="3" t="n">
        <f aca="false">MAX(0,Q15-MAX(0,Z15-0))</f>
        <v>1</v>
      </c>
      <c r="AE15" s="3" t="n">
        <f aca="false">MAX(0,R15-MAX(0,Z15-SUM(Q15:Q15)))</f>
        <v>0</v>
      </c>
      <c r="AF15" s="3" t="n">
        <f aca="false">MAX(0,S15-MAX(0,Z15-SUM(Q15:R15)))</f>
        <v>0</v>
      </c>
      <c r="AG15" s="3" t="n">
        <f aca="false">MAX(0,T15-MAX(0,Z15-SUM(Q15:S15)))</f>
        <v>0</v>
      </c>
      <c r="AH15" s="3" t="n">
        <f aca="false">MAX(0,U15-MAX(0,Z15-SUM(Q15:T15)))</f>
        <v>0</v>
      </c>
      <c r="AI15" s="3" t="n">
        <f aca="false">MAX(0,V15-MAX(0,Z15-SUM(Q15:U15)))</f>
        <v>0</v>
      </c>
      <c r="AJ15" s="3" t="n">
        <f aca="false">MAX(0,W15-MAX(0,Z15-SUM(Q15:V15)))</f>
        <v>0</v>
      </c>
      <c r="AK15" s="3" t="n">
        <f aca="false">MAX(0,X15-MAX(0,Z15-SUM(Q15:W15)))</f>
        <v>0</v>
      </c>
      <c r="AL15" s="3" t="n">
        <f aca="false">MAX(0,Y15-MAX(0,Z15-SUM(Q15:X15)))</f>
        <v>0</v>
      </c>
    </row>
    <row r="16" customFormat="false" ht="15" hidden="false" customHeight="false" outlineLevel="0" collapsed="false">
      <c r="A16" s="2" t="s">
        <v>127</v>
      </c>
      <c r="B16" s="2" t="s">
        <v>112</v>
      </c>
      <c r="C16" s="2" t="s">
        <v>113</v>
      </c>
      <c r="D16" s="2" t="s">
        <v>114</v>
      </c>
      <c r="E16" s="2"/>
      <c r="F16" s="2" t="s">
        <v>63</v>
      </c>
      <c r="G16" s="2" t="s">
        <v>115</v>
      </c>
      <c r="H16" s="2" t="s">
        <v>43</v>
      </c>
      <c r="I16" s="2" t="s">
        <v>65</v>
      </c>
      <c r="J16" s="2" t="s">
        <v>66</v>
      </c>
      <c r="K16" s="2" t="s">
        <v>116</v>
      </c>
      <c r="L16" s="2" t="s">
        <v>68</v>
      </c>
      <c r="M16" s="2" t="s">
        <v>69</v>
      </c>
      <c r="N16" s="2" t="s">
        <v>70</v>
      </c>
      <c r="O16" s="2" t="s">
        <v>71</v>
      </c>
      <c r="P16" s="2" t="s">
        <v>117</v>
      </c>
      <c r="Q16" s="2" t="n">
        <v>1</v>
      </c>
      <c r="R16" s="2" t="n">
        <v>0</v>
      </c>
      <c r="S16" s="2" t="n">
        <v>0</v>
      </c>
      <c r="T16" s="2" t="n">
        <v>0</v>
      </c>
      <c r="U16" s="2" t="n">
        <v>0</v>
      </c>
      <c r="V16" s="2" t="n">
        <v>0</v>
      </c>
      <c r="W16" s="2" t="n">
        <v>0</v>
      </c>
      <c r="X16" s="2" t="n">
        <v>0</v>
      </c>
      <c r="Y16" s="2" t="n">
        <v>0</v>
      </c>
      <c r="Z16" s="2" t="n">
        <v>0</v>
      </c>
      <c r="AA16" s="2" t="n">
        <v>0</v>
      </c>
      <c r="AB16" s="3" t="n">
        <f aca="false">SUM(Q16:Y16)-Z16</f>
        <v>1</v>
      </c>
      <c r="AC16" s="3" t="str">
        <f aca="false">IF(I16="","",IF(OR(LEFT(I16,3)="BKK",I16="LCH55"),"BKK",IF(LEFT(I16,3)="LCH","LCH","OTHER")))</f>
        <v>LCH</v>
      </c>
      <c r="AD16" s="3" t="n">
        <f aca="false">MAX(0,Q16-MAX(0,Z16-0))</f>
        <v>1</v>
      </c>
      <c r="AE16" s="3" t="n">
        <f aca="false">MAX(0,R16-MAX(0,Z16-SUM(Q16:Q16)))</f>
        <v>0</v>
      </c>
      <c r="AF16" s="3" t="n">
        <f aca="false">MAX(0,S16-MAX(0,Z16-SUM(Q16:R16)))</f>
        <v>0</v>
      </c>
      <c r="AG16" s="3" t="n">
        <f aca="false">MAX(0,T16-MAX(0,Z16-SUM(Q16:S16)))</f>
        <v>0</v>
      </c>
      <c r="AH16" s="3" t="n">
        <f aca="false">MAX(0,U16-MAX(0,Z16-SUM(Q16:T16)))</f>
        <v>0</v>
      </c>
      <c r="AI16" s="3" t="n">
        <f aca="false">MAX(0,V16-MAX(0,Z16-SUM(Q16:U16)))</f>
        <v>0</v>
      </c>
      <c r="AJ16" s="3" t="n">
        <f aca="false">MAX(0,W16-MAX(0,Z16-SUM(Q16:V16)))</f>
        <v>0</v>
      </c>
      <c r="AK16" s="3" t="n">
        <f aca="false">MAX(0,X16-MAX(0,Z16-SUM(Q16:W16)))</f>
        <v>0</v>
      </c>
      <c r="AL16" s="3" t="n">
        <f aca="false">MAX(0,Y16-MAX(0,Z16-SUM(Q16:X16)))</f>
        <v>0</v>
      </c>
    </row>
    <row r="17" customFormat="false" ht="15" hidden="false" customHeight="false" outlineLevel="0" collapsed="false">
      <c r="A17" s="2" t="s">
        <v>128</v>
      </c>
      <c r="B17" s="2" t="s">
        <v>112</v>
      </c>
      <c r="C17" s="2" t="s">
        <v>113</v>
      </c>
      <c r="D17" s="2" t="s">
        <v>114</v>
      </c>
      <c r="E17" s="2"/>
      <c r="F17" s="2" t="s">
        <v>63</v>
      </c>
      <c r="G17" s="2" t="s">
        <v>129</v>
      </c>
      <c r="H17" s="2" t="s">
        <v>43</v>
      </c>
      <c r="I17" s="2" t="s">
        <v>130</v>
      </c>
      <c r="J17" s="2" t="s">
        <v>131</v>
      </c>
      <c r="K17" s="2" t="s">
        <v>132</v>
      </c>
      <c r="L17" s="2" t="s">
        <v>133</v>
      </c>
      <c r="M17" s="2" t="s">
        <v>134</v>
      </c>
      <c r="N17" s="2" t="s">
        <v>70</v>
      </c>
      <c r="O17" s="2" t="s">
        <v>77</v>
      </c>
      <c r="P17" s="4" t="s">
        <v>135</v>
      </c>
      <c r="Q17" s="2" t="n">
        <v>1</v>
      </c>
      <c r="R17" s="2" t="n">
        <v>0</v>
      </c>
      <c r="S17" s="2" t="n">
        <v>0</v>
      </c>
      <c r="T17" s="2" t="n">
        <v>0</v>
      </c>
      <c r="U17" s="2" t="n">
        <v>0</v>
      </c>
      <c r="V17" s="2" t="n">
        <v>0</v>
      </c>
      <c r="W17" s="2" t="n">
        <v>0</v>
      </c>
      <c r="X17" s="2" t="n">
        <v>0</v>
      </c>
      <c r="Y17" s="2" t="n">
        <v>0</v>
      </c>
      <c r="Z17" s="2" t="n">
        <v>0</v>
      </c>
      <c r="AA17" s="2" t="n">
        <v>0</v>
      </c>
      <c r="AB17" s="3" t="n">
        <f aca="false">SUM(Q17:Y17)-Z17</f>
        <v>1</v>
      </c>
      <c r="AC17" s="3" t="str">
        <f aca="false">IF(I17="","",IF(OR(LEFT(I17,3)="BKK",I17="LCH55"),"BKK",IF(LEFT(I17,3)="LCH","LCH","OTHER")))</f>
        <v>LCH</v>
      </c>
      <c r="AD17" s="3" t="n">
        <f aca="false">MAX(0,Q17-MAX(0,Z17-0))</f>
        <v>1</v>
      </c>
      <c r="AE17" s="3" t="n">
        <f aca="false">MAX(0,R17-MAX(0,Z17-SUM(Q17:Q17)))</f>
        <v>0</v>
      </c>
      <c r="AF17" s="3" t="n">
        <f aca="false">MAX(0,S17-MAX(0,Z17-SUM(Q17:R17)))</f>
        <v>0</v>
      </c>
      <c r="AG17" s="3" t="n">
        <f aca="false">MAX(0,T17-MAX(0,Z17-SUM(Q17:S17)))</f>
        <v>0</v>
      </c>
      <c r="AH17" s="3" t="n">
        <f aca="false">MAX(0,U17-MAX(0,Z17-SUM(Q17:T17)))</f>
        <v>0</v>
      </c>
      <c r="AI17" s="3" t="n">
        <f aca="false">MAX(0,V17-MAX(0,Z17-SUM(Q17:U17)))</f>
        <v>0</v>
      </c>
      <c r="AJ17" s="3" t="n">
        <f aca="false">MAX(0,W17-MAX(0,Z17-SUM(Q17:V17)))</f>
        <v>0</v>
      </c>
      <c r="AK17" s="3" t="n">
        <f aca="false">MAX(0,X17-MAX(0,Z17-SUM(Q17:W17)))</f>
        <v>0</v>
      </c>
      <c r="AL17" s="3" t="n">
        <f aca="false">MAX(0,Y17-MAX(0,Z17-SUM(Q17:X17)))</f>
        <v>0</v>
      </c>
    </row>
    <row r="18" customFormat="false" ht="15" hidden="false" customHeight="false" outlineLevel="0" collapsed="false">
      <c r="A18" s="2" t="s">
        <v>136</v>
      </c>
      <c r="B18" s="2" t="s">
        <v>112</v>
      </c>
      <c r="C18" s="2" t="s">
        <v>113</v>
      </c>
      <c r="D18" s="2" t="s">
        <v>114</v>
      </c>
      <c r="E18" s="2"/>
      <c r="F18" s="2" t="s">
        <v>63</v>
      </c>
      <c r="G18" s="2" t="s">
        <v>115</v>
      </c>
      <c r="H18" s="2" t="s">
        <v>43</v>
      </c>
      <c r="I18" s="2" t="s">
        <v>65</v>
      </c>
      <c r="J18" s="2" t="s">
        <v>66</v>
      </c>
      <c r="K18" s="2" t="s">
        <v>116</v>
      </c>
      <c r="L18" s="2" t="s">
        <v>68</v>
      </c>
      <c r="M18" s="2" t="s">
        <v>69</v>
      </c>
      <c r="N18" s="2" t="s">
        <v>70</v>
      </c>
      <c r="O18" s="2" t="s">
        <v>71</v>
      </c>
      <c r="P18" s="2" t="s">
        <v>117</v>
      </c>
      <c r="Q18" s="2" t="n">
        <v>1</v>
      </c>
      <c r="R18" s="2" t="n">
        <v>0</v>
      </c>
      <c r="S18" s="2" t="n">
        <v>0</v>
      </c>
      <c r="T18" s="2" t="n">
        <v>0</v>
      </c>
      <c r="U18" s="2" t="n">
        <v>0</v>
      </c>
      <c r="V18" s="2" t="n">
        <v>0</v>
      </c>
      <c r="W18" s="2" t="n">
        <v>0</v>
      </c>
      <c r="X18" s="2" t="n">
        <v>0</v>
      </c>
      <c r="Y18" s="2" t="n">
        <v>0</v>
      </c>
      <c r="Z18" s="2" t="n">
        <v>0</v>
      </c>
      <c r="AA18" s="2" t="n">
        <v>0</v>
      </c>
      <c r="AB18" s="3" t="n">
        <f aca="false">SUM(Q18:Y18)-Z18</f>
        <v>1</v>
      </c>
      <c r="AC18" s="3" t="str">
        <f aca="false">IF(I18="","",IF(OR(LEFT(I18,3)="BKK",I18="LCH55"),"BKK",IF(LEFT(I18,3)="LCH","LCH","OTHER")))</f>
        <v>LCH</v>
      </c>
      <c r="AD18" s="3" t="n">
        <f aca="false">MAX(0,Q18-MAX(0,Z18-0))</f>
        <v>1</v>
      </c>
      <c r="AE18" s="3" t="n">
        <f aca="false">MAX(0,R18-MAX(0,Z18-SUM(Q18:Q18)))</f>
        <v>0</v>
      </c>
      <c r="AF18" s="3" t="n">
        <f aca="false">MAX(0,S18-MAX(0,Z18-SUM(Q18:R18)))</f>
        <v>0</v>
      </c>
      <c r="AG18" s="3" t="n">
        <f aca="false">MAX(0,T18-MAX(0,Z18-SUM(Q18:S18)))</f>
        <v>0</v>
      </c>
      <c r="AH18" s="3" t="n">
        <f aca="false">MAX(0,U18-MAX(0,Z18-SUM(Q18:T18)))</f>
        <v>0</v>
      </c>
      <c r="AI18" s="3" t="n">
        <f aca="false">MAX(0,V18-MAX(0,Z18-SUM(Q18:U18)))</f>
        <v>0</v>
      </c>
      <c r="AJ18" s="3" t="n">
        <f aca="false">MAX(0,W18-MAX(0,Z18-SUM(Q18:V18)))</f>
        <v>0</v>
      </c>
      <c r="AK18" s="3" t="n">
        <f aca="false">MAX(0,X18-MAX(0,Z18-SUM(Q18:W18)))</f>
        <v>0</v>
      </c>
      <c r="AL18" s="3" t="n">
        <f aca="false">MAX(0,Y18-MAX(0,Z18-SUM(Q18:X18)))</f>
        <v>0</v>
      </c>
    </row>
    <row r="19" customFormat="false" ht="15" hidden="false" customHeight="false" outlineLevel="0" collapsed="false">
      <c r="A19" s="2" t="s">
        <v>137</v>
      </c>
      <c r="B19" s="2" t="s">
        <v>138</v>
      </c>
      <c r="C19" s="2" t="s">
        <v>139</v>
      </c>
      <c r="D19" s="2" t="s">
        <v>140</v>
      </c>
      <c r="E19" s="2"/>
      <c r="F19" s="2" t="s">
        <v>63</v>
      </c>
      <c r="G19" s="2" t="s">
        <v>141</v>
      </c>
      <c r="H19" s="2" t="s">
        <v>43</v>
      </c>
      <c r="I19" s="2" t="s">
        <v>130</v>
      </c>
      <c r="J19" s="2" t="s">
        <v>131</v>
      </c>
      <c r="K19" s="2" t="s">
        <v>91</v>
      </c>
      <c r="L19" s="2" t="s">
        <v>142</v>
      </c>
      <c r="M19" s="2" t="s">
        <v>142</v>
      </c>
      <c r="N19" s="2" t="s">
        <v>143</v>
      </c>
      <c r="O19" s="2" t="s">
        <v>144</v>
      </c>
      <c r="P19" s="4" t="s">
        <v>145</v>
      </c>
      <c r="Q19" s="2" t="n">
        <v>1</v>
      </c>
      <c r="R19" s="2" t="n">
        <v>0</v>
      </c>
      <c r="S19" s="2" t="n">
        <v>0</v>
      </c>
      <c r="T19" s="2" t="n">
        <v>0</v>
      </c>
      <c r="U19" s="2" t="n">
        <v>0</v>
      </c>
      <c r="V19" s="2" t="n">
        <v>0</v>
      </c>
      <c r="W19" s="2" t="n">
        <v>0</v>
      </c>
      <c r="X19" s="2" t="n">
        <v>0</v>
      </c>
      <c r="Y19" s="2" t="n">
        <v>0</v>
      </c>
      <c r="Z19" s="2" t="n">
        <v>0</v>
      </c>
      <c r="AA19" s="2" t="n">
        <v>0</v>
      </c>
      <c r="AB19" s="3" t="n">
        <f aca="false">SUM(Q19:Y19)-Z19</f>
        <v>1</v>
      </c>
      <c r="AC19" s="3" t="str">
        <f aca="false">IF(I19="","",IF(OR(LEFT(I19,3)="BKK",I19="LCH55"),"BKK",IF(LEFT(I19,3)="LCH","LCH","OTHER")))</f>
        <v>LCH</v>
      </c>
      <c r="AD19" s="3" t="n">
        <f aca="false">MAX(0,Q19-MAX(0,Z19-0))</f>
        <v>1</v>
      </c>
      <c r="AE19" s="3" t="n">
        <f aca="false">MAX(0,R19-MAX(0,Z19-SUM(Q19:Q19)))</f>
        <v>0</v>
      </c>
      <c r="AF19" s="3" t="n">
        <f aca="false">MAX(0,S19-MAX(0,Z19-SUM(Q19:R19)))</f>
        <v>0</v>
      </c>
      <c r="AG19" s="3" t="n">
        <f aca="false">MAX(0,T19-MAX(0,Z19-SUM(Q19:S19)))</f>
        <v>0</v>
      </c>
      <c r="AH19" s="3" t="n">
        <f aca="false">MAX(0,U19-MAX(0,Z19-SUM(Q19:T19)))</f>
        <v>0</v>
      </c>
      <c r="AI19" s="3" t="n">
        <f aca="false">MAX(0,V19-MAX(0,Z19-SUM(Q19:U19)))</f>
        <v>0</v>
      </c>
      <c r="AJ19" s="3" t="n">
        <f aca="false">MAX(0,W19-MAX(0,Z19-SUM(Q19:V19)))</f>
        <v>0</v>
      </c>
      <c r="AK19" s="3" t="n">
        <f aca="false">MAX(0,X19-MAX(0,Z19-SUM(Q19:W19)))</f>
        <v>0</v>
      </c>
      <c r="AL19" s="3" t="n">
        <f aca="false">MAX(0,Y19-MAX(0,Z19-SUM(Q19:X19)))</f>
        <v>0</v>
      </c>
    </row>
    <row r="20" customFormat="false" ht="15" hidden="false" customHeight="false" outlineLevel="0" collapsed="false">
      <c r="A20" s="2" t="s">
        <v>146</v>
      </c>
      <c r="B20" s="2" t="s">
        <v>112</v>
      </c>
      <c r="C20" s="2" t="s">
        <v>113</v>
      </c>
      <c r="D20" s="2" t="s">
        <v>114</v>
      </c>
      <c r="E20" s="2"/>
      <c r="F20" s="2" t="s">
        <v>63</v>
      </c>
      <c r="G20" s="2" t="s">
        <v>115</v>
      </c>
      <c r="H20" s="2" t="s">
        <v>43</v>
      </c>
      <c r="I20" s="2" t="s">
        <v>65</v>
      </c>
      <c r="J20" s="2" t="s">
        <v>66</v>
      </c>
      <c r="K20" s="2" t="s">
        <v>116</v>
      </c>
      <c r="L20" s="2" t="s">
        <v>68</v>
      </c>
      <c r="M20" s="2" t="s">
        <v>69</v>
      </c>
      <c r="N20" s="2" t="s">
        <v>70</v>
      </c>
      <c r="O20" s="2" t="s">
        <v>71</v>
      </c>
      <c r="P20" s="2" t="s">
        <v>117</v>
      </c>
      <c r="Q20" s="2" t="n">
        <v>1</v>
      </c>
      <c r="R20" s="2" t="n">
        <v>0</v>
      </c>
      <c r="S20" s="2" t="n">
        <v>0</v>
      </c>
      <c r="T20" s="2" t="n">
        <v>0</v>
      </c>
      <c r="U20" s="2" t="n">
        <v>0</v>
      </c>
      <c r="V20" s="2" t="n">
        <v>0</v>
      </c>
      <c r="W20" s="2" t="n">
        <v>0</v>
      </c>
      <c r="X20" s="2" t="n">
        <v>0</v>
      </c>
      <c r="Y20" s="2" t="n">
        <v>0</v>
      </c>
      <c r="Z20" s="2" t="n">
        <v>0</v>
      </c>
      <c r="AA20" s="2" t="n">
        <v>0</v>
      </c>
      <c r="AB20" s="3" t="n">
        <f aca="false">SUM(Q20:Y20)-Z20</f>
        <v>1</v>
      </c>
      <c r="AC20" s="3" t="str">
        <f aca="false">IF(I20="","",IF(OR(LEFT(I20,3)="BKK",I20="LCH55"),"BKK",IF(LEFT(I20,3)="LCH","LCH","OTHER")))</f>
        <v>LCH</v>
      </c>
      <c r="AD20" s="3" t="n">
        <f aca="false">MAX(0,Q20-MAX(0,Z20-0))</f>
        <v>1</v>
      </c>
      <c r="AE20" s="3" t="n">
        <f aca="false">MAX(0,R20-MAX(0,Z20-SUM(Q20:Q20)))</f>
        <v>0</v>
      </c>
      <c r="AF20" s="3" t="n">
        <f aca="false">MAX(0,S20-MAX(0,Z20-SUM(Q20:R20)))</f>
        <v>0</v>
      </c>
      <c r="AG20" s="3" t="n">
        <f aca="false">MAX(0,T20-MAX(0,Z20-SUM(Q20:S20)))</f>
        <v>0</v>
      </c>
      <c r="AH20" s="3" t="n">
        <f aca="false">MAX(0,U20-MAX(0,Z20-SUM(Q20:T20)))</f>
        <v>0</v>
      </c>
      <c r="AI20" s="3" t="n">
        <f aca="false">MAX(0,V20-MAX(0,Z20-SUM(Q20:U20)))</f>
        <v>0</v>
      </c>
      <c r="AJ20" s="3" t="n">
        <f aca="false">MAX(0,W20-MAX(0,Z20-SUM(Q20:V20)))</f>
        <v>0</v>
      </c>
      <c r="AK20" s="3" t="n">
        <f aca="false">MAX(0,X20-MAX(0,Z20-SUM(Q20:W20)))</f>
        <v>0</v>
      </c>
      <c r="AL20" s="3" t="n">
        <f aca="false">MAX(0,Y20-MAX(0,Z20-SUM(Q20:X20)))</f>
        <v>0</v>
      </c>
    </row>
    <row r="21" customFormat="false" ht="15" hidden="false" customHeight="false" outlineLevel="0" collapsed="false">
      <c r="A21" s="2" t="s">
        <v>147</v>
      </c>
      <c r="B21" s="2" t="s">
        <v>112</v>
      </c>
      <c r="C21" s="2" t="s">
        <v>113</v>
      </c>
      <c r="D21" s="2" t="s">
        <v>114</v>
      </c>
      <c r="E21" s="2"/>
      <c r="F21" s="2" t="s">
        <v>63</v>
      </c>
      <c r="G21" s="2" t="s">
        <v>148</v>
      </c>
      <c r="H21" s="2" t="s">
        <v>43</v>
      </c>
      <c r="I21" s="2" t="s">
        <v>130</v>
      </c>
      <c r="J21" s="2" t="s">
        <v>131</v>
      </c>
      <c r="K21" s="2" t="s">
        <v>75</v>
      </c>
      <c r="L21" s="2" t="s">
        <v>149</v>
      </c>
      <c r="M21" s="2" t="s">
        <v>150</v>
      </c>
      <c r="N21" s="2" t="s">
        <v>151</v>
      </c>
      <c r="O21" s="2" t="s">
        <v>152</v>
      </c>
      <c r="P21" s="2" t="s">
        <v>153</v>
      </c>
      <c r="Q21" s="2" t="n">
        <v>1</v>
      </c>
      <c r="R21" s="2" t="n">
        <v>0</v>
      </c>
      <c r="S21" s="2" t="n">
        <v>0</v>
      </c>
      <c r="T21" s="2" t="n">
        <v>0</v>
      </c>
      <c r="U21" s="2" t="n">
        <v>0</v>
      </c>
      <c r="V21" s="2" t="n">
        <v>0</v>
      </c>
      <c r="W21" s="2" t="n">
        <v>0</v>
      </c>
      <c r="X21" s="2" t="n">
        <v>0</v>
      </c>
      <c r="Y21" s="2" t="n">
        <v>0</v>
      </c>
      <c r="Z21" s="2" t="n">
        <v>0</v>
      </c>
      <c r="AA21" s="2" t="n">
        <v>0</v>
      </c>
      <c r="AB21" s="3" t="n">
        <f aca="false">SUM(Q21:Y21)-Z21</f>
        <v>1</v>
      </c>
      <c r="AC21" s="3" t="str">
        <f aca="false">IF(I21="","",IF(OR(LEFT(I21,3)="BKK",I21="LCH55"),"BKK",IF(LEFT(I21,3)="LCH","LCH","OTHER")))</f>
        <v>LCH</v>
      </c>
      <c r="AD21" s="3" t="n">
        <f aca="false">MAX(0,Q21-MAX(0,Z21-0))</f>
        <v>1</v>
      </c>
      <c r="AE21" s="3" t="n">
        <f aca="false">MAX(0,R21-MAX(0,Z21-SUM(Q21:Q21)))</f>
        <v>0</v>
      </c>
      <c r="AF21" s="3" t="n">
        <f aca="false">MAX(0,S21-MAX(0,Z21-SUM(Q21:R21)))</f>
        <v>0</v>
      </c>
      <c r="AG21" s="3" t="n">
        <f aca="false">MAX(0,T21-MAX(0,Z21-SUM(Q21:S21)))</f>
        <v>0</v>
      </c>
      <c r="AH21" s="3" t="n">
        <f aca="false">MAX(0,U21-MAX(0,Z21-SUM(Q21:T21)))</f>
        <v>0</v>
      </c>
      <c r="AI21" s="3" t="n">
        <f aca="false">MAX(0,V21-MAX(0,Z21-SUM(Q21:U21)))</f>
        <v>0</v>
      </c>
      <c r="AJ21" s="3" t="n">
        <f aca="false">MAX(0,W21-MAX(0,Z21-SUM(Q21:V21)))</f>
        <v>0</v>
      </c>
      <c r="AK21" s="3" t="n">
        <f aca="false">MAX(0,X21-MAX(0,Z21-SUM(Q21:W21)))</f>
        <v>0</v>
      </c>
      <c r="AL21" s="3" t="n">
        <f aca="false">MAX(0,Y21-MAX(0,Z21-SUM(Q21:X21)))</f>
        <v>0</v>
      </c>
    </row>
    <row r="22" customFormat="false" ht="15" hidden="false" customHeight="false" outlineLevel="0" collapsed="false">
      <c r="A22" s="2" t="s">
        <v>154</v>
      </c>
      <c r="B22" s="2" t="s">
        <v>112</v>
      </c>
      <c r="C22" s="2" t="s">
        <v>113</v>
      </c>
      <c r="D22" s="2" t="s">
        <v>114</v>
      </c>
      <c r="E22" s="2"/>
      <c r="F22" s="2" t="s">
        <v>63</v>
      </c>
      <c r="G22" s="2" t="s">
        <v>155</v>
      </c>
      <c r="H22" s="2" t="s">
        <v>43</v>
      </c>
      <c r="I22" s="2" t="s">
        <v>65</v>
      </c>
      <c r="J22" s="2" t="s">
        <v>66</v>
      </c>
      <c r="K22" s="2" t="s">
        <v>53</v>
      </c>
      <c r="L22" s="2" t="s">
        <v>142</v>
      </c>
      <c r="M22" s="2" t="s">
        <v>142</v>
      </c>
      <c r="N22" s="2" t="s">
        <v>156</v>
      </c>
      <c r="O22" s="2" t="s">
        <v>157</v>
      </c>
      <c r="P22" s="4" t="s">
        <v>158</v>
      </c>
      <c r="Q22" s="2" t="n">
        <v>1</v>
      </c>
      <c r="R22" s="2" t="n">
        <v>0</v>
      </c>
      <c r="S22" s="2" t="n">
        <v>0</v>
      </c>
      <c r="T22" s="2" t="n">
        <v>0</v>
      </c>
      <c r="U22" s="2" t="n">
        <v>0</v>
      </c>
      <c r="V22" s="2" t="n">
        <v>0</v>
      </c>
      <c r="W22" s="2" t="n">
        <v>0</v>
      </c>
      <c r="X22" s="2" t="n">
        <v>0</v>
      </c>
      <c r="Y22" s="2" t="n">
        <v>0</v>
      </c>
      <c r="Z22" s="2" t="n">
        <v>0</v>
      </c>
      <c r="AA22" s="2" t="n">
        <v>0</v>
      </c>
      <c r="AB22" s="3" t="n">
        <f aca="false">SUM(Q22:Y22)-Z22</f>
        <v>1</v>
      </c>
      <c r="AC22" s="3" t="str">
        <f aca="false">IF(I22="","",IF(OR(LEFT(I22,3)="BKK",I22="LCH55"),"BKK",IF(LEFT(I22,3)="LCH","LCH","OTHER")))</f>
        <v>LCH</v>
      </c>
      <c r="AD22" s="3" t="n">
        <f aca="false">MAX(0,Q22-MAX(0,Z22-0))</f>
        <v>1</v>
      </c>
      <c r="AE22" s="3" t="n">
        <f aca="false">MAX(0,R22-MAX(0,Z22-SUM(Q22:Q22)))</f>
        <v>0</v>
      </c>
      <c r="AF22" s="3" t="n">
        <f aca="false">MAX(0,S22-MAX(0,Z22-SUM(Q22:R22)))</f>
        <v>0</v>
      </c>
      <c r="AG22" s="3" t="n">
        <f aca="false">MAX(0,T22-MAX(0,Z22-SUM(Q22:S22)))</f>
        <v>0</v>
      </c>
      <c r="AH22" s="3" t="n">
        <f aca="false">MAX(0,U22-MAX(0,Z22-SUM(Q22:T22)))</f>
        <v>0</v>
      </c>
      <c r="AI22" s="3" t="n">
        <f aca="false">MAX(0,V22-MAX(0,Z22-SUM(Q22:U22)))</f>
        <v>0</v>
      </c>
      <c r="AJ22" s="3" t="n">
        <f aca="false">MAX(0,W22-MAX(0,Z22-SUM(Q22:V22)))</f>
        <v>0</v>
      </c>
      <c r="AK22" s="3" t="n">
        <f aca="false">MAX(0,X22-MAX(0,Z22-SUM(Q22:W22)))</f>
        <v>0</v>
      </c>
      <c r="AL22" s="3" t="n">
        <f aca="false">MAX(0,Y22-MAX(0,Z22-SUM(Q22:X22)))</f>
        <v>0</v>
      </c>
    </row>
    <row r="23" customFormat="false" ht="15" hidden="false" customHeight="false" outlineLevel="0" collapsed="false">
      <c r="A23" s="2" t="s">
        <v>159</v>
      </c>
      <c r="B23" s="2" t="s">
        <v>60</v>
      </c>
      <c r="C23" s="2" t="s">
        <v>61</v>
      </c>
      <c r="D23" s="2" t="s">
        <v>62</v>
      </c>
      <c r="E23" s="2"/>
      <c r="F23" s="2" t="s">
        <v>63</v>
      </c>
      <c r="G23" s="2" t="s">
        <v>88</v>
      </c>
      <c r="H23" s="2" t="s">
        <v>43</v>
      </c>
      <c r="I23" s="2" t="s">
        <v>130</v>
      </c>
      <c r="J23" s="2" t="s">
        <v>131</v>
      </c>
      <c r="K23" s="2" t="s">
        <v>53</v>
      </c>
      <c r="L23" s="2" t="s">
        <v>160</v>
      </c>
      <c r="M23" s="2" t="s">
        <v>161</v>
      </c>
      <c r="N23" s="2" t="s">
        <v>162</v>
      </c>
      <c r="O23" s="2" t="s">
        <v>144</v>
      </c>
      <c r="P23" s="2" t="s">
        <v>163</v>
      </c>
      <c r="Q23" s="2" t="n">
        <v>1</v>
      </c>
      <c r="R23" s="2" t="n">
        <v>0</v>
      </c>
      <c r="S23" s="2" t="n">
        <v>0</v>
      </c>
      <c r="T23" s="2" t="n">
        <v>0</v>
      </c>
      <c r="U23" s="2" t="n">
        <v>0</v>
      </c>
      <c r="V23" s="2" t="n">
        <v>0</v>
      </c>
      <c r="W23" s="2" t="n">
        <v>0</v>
      </c>
      <c r="X23" s="2" t="n">
        <v>0</v>
      </c>
      <c r="Y23" s="2" t="n">
        <v>0</v>
      </c>
      <c r="Z23" s="2" t="n">
        <v>0</v>
      </c>
      <c r="AA23" s="2" t="n">
        <v>0</v>
      </c>
      <c r="AB23" s="3" t="n">
        <f aca="false">SUM(Q23:Y23)-Z23</f>
        <v>1</v>
      </c>
      <c r="AC23" s="3" t="str">
        <f aca="false">IF(I23="","",IF(OR(LEFT(I23,3)="BKK",I23="LCH55"),"BKK",IF(LEFT(I23,3)="LCH","LCH","OTHER")))</f>
        <v>LCH</v>
      </c>
      <c r="AD23" s="3" t="n">
        <f aca="false">MAX(0,Q23-MAX(0,Z23-0))</f>
        <v>1</v>
      </c>
      <c r="AE23" s="3" t="n">
        <f aca="false">MAX(0,R23-MAX(0,Z23-SUM(Q23:Q23)))</f>
        <v>0</v>
      </c>
      <c r="AF23" s="3" t="n">
        <f aca="false">MAX(0,S23-MAX(0,Z23-SUM(Q23:R23)))</f>
        <v>0</v>
      </c>
      <c r="AG23" s="3" t="n">
        <f aca="false">MAX(0,T23-MAX(0,Z23-SUM(Q23:S23)))</f>
        <v>0</v>
      </c>
      <c r="AH23" s="3" t="n">
        <f aca="false">MAX(0,U23-MAX(0,Z23-SUM(Q23:T23)))</f>
        <v>0</v>
      </c>
      <c r="AI23" s="3" t="n">
        <f aca="false">MAX(0,V23-MAX(0,Z23-SUM(Q23:U23)))</f>
        <v>0</v>
      </c>
      <c r="AJ23" s="3" t="n">
        <f aca="false">MAX(0,W23-MAX(0,Z23-SUM(Q23:V23)))</f>
        <v>0</v>
      </c>
      <c r="AK23" s="3" t="n">
        <f aca="false">MAX(0,X23-MAX(0,Z23-SUM(Q23:W23)))</f>
        <v>0</v>
      </c>
      <c r="AL23" s="3" t="n">
        <f aca="false">MAX(0,Y23-MAX(0,Z23-SUM(Q23:X23)))</f>
        <v>0</v>
      </c>
    </row>
    <row r="24" customFormat="false" ht="15" hidden="false" customHeight="false" outlineLevel="0" collapsed="false">
      <c r="A24" s="2" t="s">
        <v>164</v>
      </c>
      <c r="B24" s="2" t="s">
        <v>60</v>
      </c>
      <c r="C24" s="2" t="s">
        <v>61</v>
      </c>
      <c r="D24" s="2" t="s">
        <v>62</v>
      </c>
      <c r="E24" s="2"/>
      <c r="F24" s="2" t="s">
        <v>63</v>
      </c>
      <c r="G24" s="2" t="s">
        <v>88</v>
      </c>
      <c r="H24" s="2" t="s">
        <v>43</v>
      </c>
      <c r="I24" s="2" t="s">
        <v>130</v>
      </c>
      <c r="J24" s="2" t="s">
        <v>131</v>
      </c>
      <c r="K24" s="2" t="s">
        <v>53</v>
      </c>
      <c r="L24" s="2" t="s">
        <v>165</v>
      </c>
      <c r="M24" s="2" t="s">
        <v>166</v>
      </c>
      <c r="N24" s="2" t="s">
        <v>167</v>
      </c>
      <c r="O24" s="4" t="s">
        <v>168</v>
      </c>
      <c r="P24" s="2" t="s">
        <v>102</v>
      </c>
      <c r="Q24" s="2" t="n">
        <v>1</v>
      </c>
      <c r="R24" s="2" t="n">
        <v>0</v>
      </c>
      <c r="S24" s="2" t="n">
        <v>0</v>
      </c>
      <c r="T24" s="2" t="n">
        <v>0</v>
      </c>
      <c r="U24" s="2" t="n">
        <v>0</v>
      </c>
      <c r="V24" s="2" t="n">
        <v>0</v>
      </c>
      <c r="W24" s="2" t="n">
        <v>0</v>
      </c>
      <c r="X24" s="2" t="n">
        <v>0</v>
      </c>
      <c r="Y24" s="2" t="n">
        <v>0</v>
      </c>
      <c r="Z24" s="2" t="n">
        <v>0</v>
      </c>
      <c r="AA24" s="2" t="n">
        <v>0</v>
      </c>
      <c r="AB24" s="3" t="n">
        <f aca="false">SUM(Q24:Y24)-Z24</f>
        <v>1</v>
      </c>
      <c r="AC24" s="3" t="str">
        <f aca="false">IF(I24="","",IF(OR(LEFT(I24,3)="BKK",I24="LCH55"),"BKK",IF(LEFT(I24,3)="LCH","LCH","OTHER")))</f>
        <v>LCH</v>
      </c>
      <c r="AD24" s="3" t="n">
        <f aca="false">MAX(0,Q24-MAX(0,Z24-0))</f>
        <v>1</v>
      </c>
      <c r="AE24" s="3" t="n">
        <f aca="false">MAX(0,R24-MAX(0,Z24-SUM(Q24:Q24)))</f>
        <v>0</v>
      </c>
      <c r="AF24" s="3" t="n">
        <f aca="false">MAX(0,S24-MAX(0,Z24-SUM(Q24:R24)))</f>
        <v>0</v>
      </c>
      <c r="AG24" s="3" t="n">
        <f aca="false">MAX(0,T24-MAX(0,Z24-SUM(Q24:S24)))</f>
        <v>0</v>
      </c>
      <c r="AH24" s="3" t="n">
        <f aca="false">MAX(0,U24-MAX(0,Z24-SUM(Q24:T24)))</f>
        <v>0</v>
      </c>
      <c r="AI24" s="3" t="n">
        <f aca="false">MAX(0,V24-MAX(0,Z24-SUM(Q24:U24)))</f>
        <v>0</v>
      </c>
      <c r="AJ24" s="3" t="n">
        <f aca="false">MAX(0,W24-MAX(0,Z24-SUM(Q24:V24)))</f>
        <v>0</v>
      </c>
      <c r="AK24" s="3" t="n">
        <f aca="false">MAX(0,X24-MAX(0,Z24-SUM(Q24:W24)))</f>
        <v>0</v>
      </c>
      <c r="AL24" s="3" t="n">
        <f aca="false">MAX(0,Y24-MAX(0,Z24-SUM(Q24:X24)))</f>
        <v>0</v>
      </c>
    </row>
    <row r="25" customFormat="false" ht="15" hidden="false" customHeight="false" outlineLevel="0" collapsed="false">
      <c r="A25" s="2" t="s">
        <v>169</v>
      </c>
      <c r="B25" s="2" t="s">
        <v>112</v>
      </c>
      <c r="C25" s="2" t="s">
        <v>113</v>
      </c>
      <c r="D25" s="2" t="s">
        <v>114</v>
      </c>
      <c r="E25" s="2"/>
      <c r="F25" s="2" t="s">
        <v>63</v>
      </c>
      <c r="G25" s="2" t="s">
        <v>115</v>
      </c>
      <c r="H25" s="2" t="s">
        <v>43</v>
      </c>
      <c r="I25" s="2" t="s">
        <v>65</v>
      </c>
      <c r="J25" s="2" t="s">
        <v>66</v>
      </c>
      <c r="K25" s="2" t="s">
        <v>116</v>
      </c>
      <c r="L25" s="2" t="s">
        <v>68</v>
      </c>
      <c r="M25" s="2" t="s">
        <v>69</v>
      </c>
      <c r="N25" s="2" t="s">
        <v>70</v>
      </c>
      <c r="O25" s="2" t="s">
        <v>71</v>
      </c>
      <c r="P25" s="2" t="s">
        <v>117</v>
      </c>
      <c r="Q25" s="2" t="n">
        <v>1</v>
      </c>
      <c r="R25" s="2" t="n">
        <v>0</v>
      </c>
      <c r="S25" s="2" t="n">
        <v>0</v>
      </c>
      <c r="T25" s="2" t="n">
        <v>0</v>
      </c>
      <c r="U25" s="2" t="n">
        <v>0</v>
      </c>
      <c r="V25" s="2" t="n">
        <v>0</v>
      </c>
      <c r="W25" s="2" t="n">
        <v>0</v>
      </c>
      <c r="X25" s="2" t="n">
        <v>0</v>
      </c>
      <c r="Y25" s="2" t="n">
        <v>0</v>
      </c>
      <c r="Z25" s="2" t="n">
        <v>0</v>
      </c>
      <c r="AA25" s="2" t="n">
        <v>0</v>
      </c>
      <c r="AB25" s="3" t="n">
        <f aca="false">SUM(Q25:Y25)-Z25</f>
        <v>1</v>
      </c>
      <c r="AC25" s="3" t="str">
        <f aca="false">IF(I25="","",IF(OR(LEFT(I25,3)="BKK",I25="LCH55"),"BKK",IF(LEFT(I25,3)="LCH","LCH","OTHER")))</f>
        <v>LCH</v>
      </c>
      <c r="AD25" s="3" t="n">
        <f aca="false">MAX(0,Q25-MAX(0,Z25-0))</f>
        <v>1</v>
      </c>
      <c r="AE25" s="3" t="n">
        <f aca="false">MAX(0,R25-MAX(0,Z25-SUM(Q25:Q25)))</f>
        <v>0</v>
      </c>
      <c r="AF25" s="3" t="n">
        <f aca="false">MAX(0,S25-MAX(0,Z25-SUM(Q25:R25)))</f>
        <v>0</v>
      </c>
      <c r="AG25" s="3" t="n">
        <f aca="false">MAX(0,T25-MAX(0,Z25-SUM(Q25:S25)))</f>
        <v>0</v>
      </c>
      <c r="AH25" s="3" t="n">
        <f aca="false">MAX(0,U25-MAX(0,Z25-SUM(Q25:T25)))</f>
        <v>0</v>
      </c>
      <c r="AI25" s="3" t="n">
        <f aca="false">MAX(0,V25-MAX(0,Z25-SUM(Q25:U25)))</f>
        <v>0</v>
      </c>
      <c r="AJ25" s="3" t="n">
        <f aca="false">MAX(0,W25-MAX(0,Z25-SUM(Q25:V25)))</f>
        <v>0</v>
      </c>
      <c r="AK25" s="3" t="n">
        <f aca="false">MAX(0,X25-MAX(0,Z25-SUM(Q25:W25)))</f>
        <v>0</v>
      </c>
      <c r="AL25" s="3" t="n">
        <f aca="false">MAX(0,Y25-MAX(0,Z25-SUM(Q25:X25)))</f>
        <v>0</v>
      </c>
    </row>
    <row r="26" customFormat="false" ht="15" hidden="false" customHeight="false" outlineLevel="0" collapsed="false">
      <c r="A26" s="2" t="s">
        <v>170</v>
      </c>
      <c r="B26" s="2" t="s">
        <v>38</v>
      </c>
      <c r="C26" s="2" t="s">
        <v>39</v>
      </c>
      <c r="D26" s="2" t="s">
        <v>74</v>
      </c>
      <c r="E26" s="2"/>
      <c r="F26" s="2" t="s">
        <v>63</v>
      </c>
      <c r="G26" s="2" t="s">
        <v>42</v>
      </c>
      <c r="H26" s="2" t="s">
        <v>43</v>
      </c>
      <c r="I26" s="2" t="s">
        <v>65</v>
      </c>
      <c r="J26" s="2" t="s">
        <v>66</v>
      </c>
      <c r="K26" s="2" t="s">
        <v>75</v>
      </c>
      <c r="L26" s="2" t="s">
        <v>80</v>
      </c>
      <c r="M26" s="2" t="s">
        <v>81</v>
      </c>
      <c r="N26" s="2" t="s">
        <v>82</v>
      </c>
      <c r="O26" s="4" t="s">
        <v>83</v>
      </c>
      <c r="P26" s="4" t="s">
        <v>171</v>
      </c>
      <c r="Q26" s="2" t="n">
        <v>1</v>
      </c>
      <c r="R26" s="2" t="n">
        <v>0</v>
      </c>
      <c r="S26" s="2" t="n">
        <v>0</v>
      </c>
      <c r="T26" s="2" t="n">
        <v>0</v>
      </c>
      <c r="U26" s="2" t="n">
        <v>0</v>
      </c>
      <c r="V26" s="2" t="n">
        <v>0</v>
      </c>
      <c r="W26" s="2" t="n">
        <v>0</v>
      </c>
      <c r="X26" s="2" t="n">
        <v>0</v>
      </c>
      <c r="Y26" s="2" t="n">
        <v>0</v>
      </c>
      <c r="Z26" s="2" t="n">
        <v>0</v>
      </c>
      <c r="AA26" s="2" t="n">
        <v>0</v>
      </c>
      <c r="AB26" s="3" t="n">
        <f aca="false">SUM(Q26:Y26)-Z26</f>
        <v>1</v>
      </c>
      <c r="AC26" s="3" t="str">
        <f aca="false">IF(I26="","",IF(OR(LEFT(I26,3)="BKK",I26="LCH55"),"BKK",IF(LEFT(I26,3)="LCH","LCH","OTHER")))</f>
        <v>LCH</v>
      </c>
      <c r="AD26" s="3" t="n">
        <f aca="false">MAX(0,Q26-MAX(0,Z26-0))</f>
        <v>1</v>
      </c>
      <c r="AE26" s="3" t="n">
        <f aca="false">MAX(0,R26-MAX(0,Z26-SUM(Q26:Q26)))</f>
        <v>0</v>
      </c>
      <c r="AF26" s="3" t="n">
        <f aca="false">MAX(0,S26-MAX(0,Z26-SUM(Q26:R26)))</f>
        <v>0</v>
      </c>
      <c r="AG26" s="3" t="n">
        <f aca="false">MAX(0,T26-MAX(0,Z26-SUM(Q26:S26)))</f>
        <v>0</v>
      </c>
      <c r="AH26" s="3" t="n">
        <f aca="false">MAX(0,U26-MAX(0,Z26-SUM(Q26:T26)))</f>
        <v>0</v>
      </c>
      <c r="AI26" s="3" t="n">
        <f aca="false">MAX(0,V26-MAX(0,Z26-SUM(Q26:U26)))</f>
        <v>0</v>
      </c>
      <c r="AJ26" s="3" t="n">
        <f aca="false">MAX(0,W26-MAX(0,Z26-SUM(Q26:V26)))</f>
        <v>0</v>
      </c>
      <c r="AK26" s="3" t="n">
        <f aca="false">MAX(0,X26-MAX(0,Z26-SUM(Q26:W26)))</f>
        <v>0</v>
      </c>
      <c r="AL26" s="3" t="n">
        <f aca="false">MAX(0,Y26-MAX(0,Z26-SUM(Q26:X26)))</f>
        <v>0</v>
      </c>
    </row>
    <row r="27" customFormat="false" ht="15" hidden="false" customHeight="false" outlineLevel="0" collapsed="false">
      <c r="A27" s="2" t="s">
        <v>172</v>
      </c>
      <c r="B27" s="2" t="s">
        <v>112</v>
      </c>
      <c r="C27" s="2" t="s">
        <v>113</v>
      </c>
      <c r="D27" s="2" t="s">
        <v>114</v>
      </c>
      <c r="E27" s="2"/>
      <c r="F27" s="2" t="s">
        <v>63</v>
      </c>
      <c r="G27" s="2" t="s">
        <v>173</v>
      </c>
      <c r="H27" s="2" t="s">
        <v>43</v>
      </c>
      <c r="I27" s="2" t="s">
        <v>130</v>
      </c>
      <c r="J27" s="2" t="s">
        <v>131</v>
      </c>
      <c r="K27" s="2" t="s">
        <v>132</v>
      </c>
      <c r="L27" s="2" t="s">
        <v>174</v>
      </c>
      <c r="M27" s="2" t="s">
        <v>175</v>
      </c>
      <c r="N27" s="2" t="s">
        <v>176</v>
      </c>
      <c r="O27" s="2" t="s">
        <v>177</v>
      </c>
      <c r="P27" s="4" t="s">
        <v>178</v>
      </c>
      <c r="Q27" s="2" t="n">
        <v>1</v>
      </c>
      <c r="R27" s="2" t="n">
        <v>0</v>
      </c>
      <c r="S27" s="2" t="n">
        <v>0</v>
      </c>
      <c r="T27" s="2" t="n">
        <v>0</v>
      </c>
      <c r="U27" s="2" t="n">
        <v>0</v>
      </c>
      <c r="V27" s="2" t="n">
        <v>0</v>
      </c>
      <c r="W27" s="2" t="n">
        <v>0</v>
      </c>
      <c r="X27" s="2" t="n">
        <v>0</v>
      </c>
      <c r="Y27" s="2" t="n">
        <v>0</v>
      </c>
      <c r="Z27" s="2" t="n">
        <v>0</v>
      </c>
      <c r="AA27" s="2" t="n">
        <v>0</v>
      </c>
      <c r="AB27" s="3" t="n">
        <f aca="false">SUM(Q27:Y27)-Z27</f>
        <v>1</v>
      </c>
      <c r="AC27" s="3" t="str">
        <f aca="false">IF(I27="","",IF(OR(LEFT(I27,3)="BKK",I27="LCH55"),"BKK",IF(LEFT(I27,3)="LCH","LCH","OTHER")))</f>
        <v>LCH</v>
      </c>
      <c r="AD27" s="3" t="n">
        <f aca="false">MAX(0,Q27-MAX(0,Z27-0))</f>
        <v>1</v>
      </c>
      <c r="AE27" s="3" t="n">
        <f aca="false">MAX(0,R27-MAX(0,Z27-SUM(Q27:Q27)))</f>
        <v>0</v>
      </c>
      <c r="AF27" s="3" t="n">
        <f aca="false">MAX(0,S27-MAX(0,Z27-SUM(Q27:R27)))</f>
        <v>0</v>
      </c>
      <c r="AG27" s="3" t="n">
        <f aca="false">MAX(0,T27-MAX(0,Z27-SUM(Q27:S27)))</f>
        <v>0</v>
      </c>
      <c r="AH27" s="3" t="n">
        <f aca="false">MAX(0,U27-MAX(0,Z27-SUM(Q27:T27)))</f>
        <v>0</v>
      </c>
      <c r="AI27" s="3" t="n">
        <f aca="false">MAX(0,V27-MAX(0,Z27-SUM(Q27:U27)))</f>
        <v>0</v>
      </c>
      <c r="AJ27" s="3" t="n">
        <f aca="false">MAX(0,W27-MAX(0,Z27-SUM(Q27:V27)))</f>
        <v>0</v>
      </c>
      <c r="AK27" s="3" t="n">
        <f aca="false">MAX(0,X27-MAX(0,Z27-SUM(Q27:W27)))</f>
        <v>0</v>
      </c>
      <c r="AL27" s="3" t="n">
        <f aca="false">MAX(0,Y27-MAX(0,Z27-SUM(Q27:X27)))</f>
        <v>0</v>
      </c>
    </row>
    <row r="28" customFormat="false" ht="15" hidden="false" customHeight="false" outlineLevel="0" collapsed="false">
      <c r="A28" s="2" t="s">
        <v>179</v>
      </c>
      <c r="B28" s="2" t="s">
        <v>38</v>
      </c>
      <c r="C28" s="2" t="s">
        <v>39</v>
      </c>
      <c r="D28" s="2" t="s">
        <v>40</v>
      </c>
      <c r="E28" s="2"/>
      <c r="F28" s="2" t="s">
        <v>41</v>
      </c>
      <c r="G28" s="2" t="s">
        <v>42</v>
      </c>
      <c r="H28" s="2" t="s">
        <v>43</v>
      </c>
      <c r="I28" s="2" t="s">
        <v>44</v>
      </c>
      <c r="J28" s="2" t="s">
        <v>45</v>
      </c>
      <c r="K28" s="2" t="s">
        <v>75</v>
      </c>
      <c r="L28" s="2" t="s">
        <v>180</v>
      </c>
      <c r="M28" s="2" t="s">
        <v>181</v>
      </c>
      <c r="N28" s="2" t="s">
        <v>182</v>
      </c>
      <c r="O28" s="4" t="s">
        <v>183</v>
      </c>
      <c r="P28" s="2" t="s">
        <v>184</v>
      </c>
      <c r="Q28" s="2" t="n">
        <v>1</v>
      </c>
      <c r="R28" s="2" t="n">
        <v>0</v>
      </c>
      <c r="S28" s="2" t="n">
        <v>0</v>
      </c>
      <c r="T28" s="2" t="n">
        <v>0</v>
      </c>
      <c r="U28" s="2" t="n">
        <v>0</v>
      </c>
      <c r="V28" s="2" t="n">
        <v>0</v>
      </c>
      <c r="W28" s="2" t="n">
        <v>0</v>
      </c>
      <c r="X28" s="2" t="n">
        <v>0</v>
      </c>
      <c r="Y28" s="2" t="n">
        <v>0</v>
      </c>
      <c r="Z28" s="2" t="n">
        <v>0</v>
      </c>
      <c r="AA28" s="2" t="n">
        <v>0</v>
      </c>
      <c r="AB28" s="3" t="n">
        <f aca="false">SUM(Q28:Y28)-Z28</f>
        <v>1</v>
      </c>
      <c r="AC28" s="3" t="str">
        <f aca="false">IF(I28="","",IF(OR(LEFT(I28,3)="BKK",I28="LCH55"),"BKK",IF(LEFT(I28,3)="LCH","LCH","OTHER")))</f>
        <v>BKK</v>
      </c>
      <c r="AD28" s="3" t="n">
        <f aca="false">MAX(0,Q28-MAX(0,Z28-0))</f>
        <v>1</v>
      </c>
      <c r="AE28" s="3" t="n">
        <f aca="false">MAX(0,R28-MAX(0,Z28-SUM(Q28:Q28)))</f>
        <v>0</v>
      </c>
      <c r="AF28" s="3" t="n">
        <f aca="false">MAX(0,S28-MAX(0,Z28-SUM(Q28:R28)))</f>
        <v>0</v>
      </c>
      <c r="AG28" s="3" t="n">
        <f aca="false">MAX(0,T28-MAX(0,Z28-SUM(Q28:S28)))</f>
        <v>0</v>
      </c>
      <c r="AH28" s="3" t="n">
        <f aca="false">MAX(0,U28-MAX(0,Z28-SUM(Q28:T28)))</f>
        <v>0</v>
      </c>
      <c r="AI28" s="3" t="n">
        <f aca="false">MAX(0,V28-MAX(0,Z28-SUM(Q28:U28)))</f>
        <v>0</v>
      </c>
      <c r="AJ28" s="3" t="n">
        <f aca="false">MAX(0,W28-MAX(0,Z28-SUM(Q28:V28)))</f>
        <v>0</v>
      </c>
      <c r="AK28" s="3" t="n">
        <f aca="false">MAX(0,X28-MAX(0,Z28-SUM(Q28:W28)))</f>
        <v>0</v>
      </c>
      <c r="AL28" s="3" t="n">
        <f aca="false">MAX(0,Y28-MAX(0,Z28-SUM(Q28:X28)))</f>
        <v>0</v>
      </c>
    </row>
    <row r="29" customFormat="false" ht="15" hidden="false" customHeight="false" outlineLevel="0" collapsed="false">
      <c r="A29" s="2" t="s">
        <v>185</v>
      </c>
      <c r="B29" s="2" t="s">
        <v>38</v>
      </c>
      <c r="C29" s="2" t="s">
        <v>39</v>
      </c>
      <c r="D29" s="2" t="s">
        <v>40</v>
      </c>
      <c r="E29" s="2"/>
      <c r="F29" s="2" t="s">
        <v>41</v>
      </c>
      <c r="G29" s="2" t="s">
        <v>42</v>
      </c>
      <c r="H29" s="2" t="s">
        <v>43</v>
      </c>
      <c r="I29" s="2" t="s">
        <v>44</v>
      </c>
      <c r="J29" s="2" t="s">
        <v>45</v>
      </c>
      <c r="K29" s="2" t="s">
        <v>53</v>
      </c>
      <c r="L29" s="2" t="s">
        <v>98</v>
      </c>
      <c r="M29" s="2" t="s">
        <v>99</v>
      </c>
      <c r="N29" s="2" t="s">
        <v>100</v>
      </c>
      <c r="O29" s="4" t="s">
        <v>186</v>
      </c>
      <c r="P29" s="2" t="s">
        <v>102</v>
      </c>
      <c r="Q29" s="2" t="n">
        <v>1</v>
      </c>
      <c r="R29" s="2" t="n">
        <v>0</v>
      </c>
      <c r="S29" s="2" t="n">
        <v>0</v>
      </c>
      <c r="T29" s="2" t="n">
        <v>0</v>
      </c>
      <c r="U29" s="2" t="n">
        <v>0</v>
      </c>
      <c r="V29" s="2" t="n">
        <v>0</v>
      </c>
      <c r="W29" s="2" t="n">
        <v>0</v>
      </c>
      <c r="X29" s="2" t="n">
        <v>0</v>
      </c>
      <c r="Y29" s="2" t="n">
        <v>0</v>
      </c>
      <c r="Z29" s="2" t="n">
        <v>0</v>
      </c>
      <c r="AA29" s="2" t="n">
        <v>0</v>
      </c>
      <c r="AB29" s="3" t="n">
        <f aca="false">SUM(Q29:Y29)-Z29</f>
        <v>1</v>
      </c>
      <c r="AC29" s="3" t="str">
        <f aca="false">IF(I29="","",IF(OR(LEFT(I29,3)="BKK",I29="LCH55"),"BKK",IF(LEFT(I29,3)="LCH","LCH","OTHER")))</f>
        <v>BKK</v>
      </c>
      <c r="AD29" s="3" t="n">
        <f aca="false">MAX(0,Q29-MAX(0,Z29-0))</f>
        <v>1</v>
      </c>
      <c r="AE29" s="3" t="n">
        <f aca="false">MAX(0,R29-MAX(0,Z29-SUM(Q29:Q29)))</f>
        <v>0</v>
      </c>
      <c r="AF29" s="3" t="n">
        <f aca="false">MAX(0,S29-MAX(0,Z29-SUM(Q29:R29)))</f>
        <v>0</v>
      </c>
      <c r="AG29" s="3" t="n">
        <f aca="false">MAX(0,T29-MAX(0,Z29-SUM(Q29:S29)))</f>
        <v>0</v>
      </c>
      <c r="AH29" s="3" t="n">
        <f aca="false">MAX(0,U29-MAX(0,Z29-SUM(Q29:T29)))</f>
        <v>0</v>
      </c>
      <c r="AI29" s="3" t="n">
        <f aca="false">MAX(0,V29-MAX(0,Z29-SUM(Q29:U29)))</f>
        <v>0</v>
      </c>
      <c r="AJ29" s="3" t="n">
        <f aca="false">MAX(0,W29-MAX(0,Z29-SUM(Q29:V29)))</f>
        <v>0</v>
      </c>
      <c r="AK29" s="3" t="n">
        <f aca="false">MAX(0,X29-MAX(0,Z29-SUM(Q29:W29)))</f>
        <v>0</v>
      </c>
      <c r="AL29" s="3" t="n">
        <f aca="false">MAX(0,Y29-MAX(0,Z29-SUM(Q29:X29)))</f>
        <v>0</v>
      </c>
    </row>
    <row r="30" customFormat="false" ht="15" hidden="false" customHeight="false" outlineLevel="0" collapsed="false">
      <c r="A30" s="2" t="s">
        <v>187</v>
      </c>
      <c r="B30" s="2" t="s">
        <v>38</v>
      </c>
      <c r="C30" s="2" t="s">
        <v>39</v>
      </c>
      <c r="D30" s="2" t="s">
        <v>74</v>
      </c>
      <c r="E30" s="2"/>
      <c r="F30" s="2" t="s">
        <v>63</v>
      </c>
      <c r="G30" s="2" t="s">
        <v>42</v>
      </c>
      <c r="H30" s="2" t="s">
        <v>43</v>
      </c>
      <c r="I30" s="2" t="s">
        <v>65</v>
      </c>
      <c r="J30" s="2" t="s">
        <v>66</v>
      </c>
      <c r="K30" s="2" t="s">
        <v>53</v>
      </c>
      <c r="L30" s="2" t="s">
        <v>188</v>
      </c>
      <c r="M30" s="2" t="s">
        <v>189</v>
      </c>
      <c r="N30" s="2" t="s">
        <v>190</v>
      </c>
      <c r="O30" s="2" t="s">
        <v>191</v>
      </c>
      <c r="P30" s="2" t="s">
        <v>192</v>
      </c>
      <c r="Q30" s="2" t="n">
        <v>1</v>
      </c>
      <c r="R30" s="2" t="n">
        <v>0</v>
      </c>
      <c r="S30" s="2" t="n">
        <v>0</v>
      </c>
      <c r="T30" s="2" t="n">
        <v>0</v>
      </c>
      <c r="U30" s="2" t="n">
        <v>0</v>
      </c>
      <c r="V30" s="2" t="n">
        <v>0</v>
      </c>
      <c r="W30" s="2" t="n">
        <v>0</v>
      </c>
      <c r="X30" s="2" t="n">
        <v>0</v>
      </c>
      <c r="Y30" s="2" t="n">
        <v>0</v>
      </c>
      <c r="Z30" s="2" t="n">
        <v>0</v>
      </c>
      <c r="AA30" s="2" t="n">
        <v>0</v>
      </c>
      <c r="AB30" s="3" t="n">
        <f aca="false">SUM(Q30:Y30)-Z30</f>
        <v>1</v>
      </c>
      <c r="AC30" s="3" t="str">
        <f aca="false">IF(I30="","",IF(OR(LEFT(I30,3)="BKK",I30="LCH55"),"BKK",IF(LEFT(I30,3)="LCH","LCH","OTHER")))</f>
        <v>LCH</v>
      </c>
      <c r="AD30" s="3" t="n">
        <f aca="false">MAX(0,Q30-MAX(0,Z30-0))</f>
        <v>1</v>
      </c>
      <c r="AE30" s="3" t="n">
        <f aca="false">MAX(0,R30-MAX(0,Z30-SUM(Q30:Q30)))</f>
        <v>0</v>
      </c>
      <c r="AF30" s="3" t="n">
        <f aca="false">MAX(0,S30-MAX(0,Z30-SUM(Q30:R30)))</f>
        <v>0</v>
      </c>
      <c r="AG30" s="3" t="n">
        <f aca="false">MAX(0,T30-MAX(0,Z30-SUM(Q30:S30)))</f>
        <v>0</v>
      </c>
      <c r="AH30" s="3" t="n">
        <f aca="false">MAX(0,U30-MAX(0,Z30-SUM(Q30:T30)))</f>
        <v>0</v>
      </c>
      <c r="AI30" s="3" t="n">
        <f aca="false">MAX(0,V30-MAX(0,Z30-SUM(Q30:U30)))</f>
        <v>0</v>
      </c>
      <c r="AJ30" s="3" t="n">
        <f aca="false">MAX(0,W30-MAX(0,Z30-SUM(Q30:V30)))</f>
        <v>0</v>
      </c>
      <c r="AK30" s="3" t="n">
        <f aca="false">MAX(0,X30-MAX(0,Z30-SUM(Q30:W30)))</f>
        <v>0</v>
      </c>
      <c r="AL30" s="3" t="n">
        <f aca="false">MAX(0,Y30-MAX(0,Z30-SUM(Q30:X30)))</f>
        <v>0</v>
      </c>
    </row>
    <row r="31" customFormat="false" ht="15" hidden="false" customHeight="false" outlineLevel="0" collapsed="false">
      <c r="A31" s="2" t="s">
        <v>193</v>
      </c>
      <c r="B31" s="2" t="s">
        <v>60</v>
      </c>
      <c r="C31" s="2" t="s">
        <v>61</v>
      </c>
      <c r="D31" s="2" t="s">
        <v>62</v>
      </c>
      <c r="E31" s="2"/>
      <c r="F31" s="2" t="s">
        <v>63</v>
      </c>
      <c r="G31" s="2" t="s">
        <v>64</v>
      </c>
      <c r="H31" s="2" t="s">
        <v>43</v>
      </c>
      <c r="I31" s="2" t="s">
        <v>65</v>
      </c>
      <c r="J31" s="2" t="s">
        <v>66</v>
      </c>
      <c r="K31" s="2" t="s">
        <v>67</v>
      </c>
      <c r="L31" s="2" t="s">
        <v>68</v>
      </c>
      <c r="M31" s="2" t="s">
        <v>69</v>
      </c>
      <c r="N31" s="2" t="s">
        <v>70</v>
      </c>
      <c r="O31" s="2" t="s">
        <v>71</v>
      </c>
      <c r="P31" s="2" t="s">
        <v>72</v>
      </c>
      <c r="Q31" s="2" t="n">
        <v>1</v>
      </c>
      <c r="R31" s="2" t="n">
        <v>0</v>
      </c>
      <c r="S31" s="2" t="n">
        <v>0</v>
      </c>
      <c r="T31" s="2" t="n">
        <v>0</v>
      </c>
      <c r="U31" s="2" t="n">
        <v>0</v>
      </c>
      <c r="V31" s="2" t="n">
        <v>0</v>
      </c>
      <c r="W31" s="2" t="n">
        <v>0</v>
      </c>
      <c r="X31" s="2" t="n">
        <v>0</v>
      </c>
      <c r="Y31" s="2" t="n">
        <v>0</v>
      </c>
      <c r="Z31" s="2" t="n">
        <v>0</v>
      </c>
      <c r="AA31" s="2" t="n">
        <v>0</v>
      </c>
      <c r="AB31" s="3" t="n">
        <f aca="false">SUM(Q31:Y31)-Z31</f>
        <v>1</v>
      </c>
      <c r="AC31" s="3" t="str">
        <f aca="false">IF(I31="","",IF(OR(LEFT(I31,3)="BKK",I31="LCH55"),"BKK",IF(LEFT(I31,3)="LCH","LCH","OTHER")))</f>
        <v>LCH</v>
      </c>
      <c r="AD31" s="3" t="n">
        <f aca="false">MAX(0,Q31-MAX(0,Z31-0))</f>
        <v>1</v>
      </c>
      <c r="AE31" s="3" t="n">
        <f aca="false">MAX(0,R31-MAX(0,Z31-SUM(Q31:Q31)))</f>
        <v>0</v>
      </c>
      <c r="AF31" s="3" t="n">
        <f aca="false">MAX(0,S31-MAX(0,Z31-SUM(Q31:R31)))</f>
        <v>0</v>
      </c>
      <c r="AG31" s="3" t="n">
        <f aca="false">MAX(0,T31-MAX(0,Z31-SUM(Q31:S31)))</f>
        <v>0</v>
      </c>
      <c r="AH31" s="3" t="n">
        <f aca="false">MAX(0,U31-MAX(0,Z31-SUM(Q31:T31)))</f>
        <v>0</v>
      </c>
      <c r="AI31" s="3" t="n">
        <f aca="false">MAX(0,V31-MAX(0,Z31-SUM(Q31:U31)))</f>
        <v>0</v>
      </c>
      <c r="AJ31" s="3" t="n">
        <f aca="false">MAX(0,W31-MAX(0,Z31-SUM(Q31:V31)))</f>
        <v>0</v>
      </c>
      <c r="AK31" s="3" t="n">
        <f aca="false">MAX(0,X31-MAX(0,Z31-SUM(Q31:W31)))</f>
        <v>0</v>
      </c>
      <c r="AL31" s="3" t="n">
        <f aca="false">MAX(0,Y31-MAX(0,Z31-SUM(Q31:X31)))</f>
        <v>0</v>
      </c>
    </row>
    <row r="32" customFormat="false" ht="15" hidden="false" customHeight="false" outlineLevel="0" collapsed="false">
      <c r="A32" s="2" t="s">
        <v>194</v>
      </c>
      <c r="B32" s="2" t="s">
        <v>112</v>
      </c>
      <c r="C32" s="2" t="s">
        <v>113</v>
      </c>
      <c r="D32" s="2" t="s">
        <v>114</v>
      </c>
      <c r="E32" s="2"/>
      <c r="F32" s="2" t="s">
        <v>63</v>
      </c>
      <c r="G32" s="2" t="s">
        <v>155</v>
      </c>
      <c r="H32" s="2" t="s">
        <v>43</v>
      </c>
      <c r="I32" s="2" t="s">
        <v>65</v>
      </c>
      <c r="J32" s="2" t="s">
        <v>66</v>
      </c>
      <c r="K32" s="2" t="s">
        <v>53</v>
      </c>
      <c r="L32" s="2" t="s">
        <v>142</v>
      </c>
      <c r="M32" s="2" t="s">
        <v>142</v>
      </c>
      <c r="N32" s="2" t="s">
        <v>156</v>
      </c>
      <c r="O32" s="2" t="s">
        <v>157</v>
      </c>
      <c r="P32" s="4" t="s">
        <v>195</v>
      </c>
      <c r="Q32" s="2" t="n">
        <v>1</v>
      </c>
      <c r="R32" s="2" t="n">
        <v>0</v>
      </c>
      <c r="S32" s="2" t="n">
        <v>0</v>
      </c>
      <c r="T32" s="2" t="n">
        <v>0</v>
      </c>
      <c r="U32" s="2" t="n">
        <v>0</v>
      </c>
      <c r="V32" s="2" t="n">
        <v>0</v>
      </c>
      <c r="W32" s="2" t="n">
        <v>0</v>
      </c>
      <c r="X32" s="2" t="n">
        <v>0</v>
      </c>
      <c r="Y32" s="2" t="n">
        <v>0</v>
      </c>
      <c r="Z32" s="2" t="n">
        <v>0</v>
      </c>
      <c r="AA32" s="2" t="n">
        <v>0</v>
      </c>
      <c r="AB32" s="3" t="n">
        <f aca="false">SUM(Q32:Y32)-Z32</f>
        <v>1</v>
      </c>
      <c r="AC32" s="3" t="str">
        <f aca="false">IF(I32="","",IF(OR(LEFT(I32,3)="BKK",I32="LCH55"),"BKK",IF(LEFT(I32,3)="LCH","LCH","OTHER")))</f>
        <v>LCH</v>
      </c>
      <c r="AD32" s="3" t="n">
        <f aca="false">MAX(0,Q32-MAX(0,Z32-0))</f>
        <v>1</v>
      </c>
      <c r="AE32" s="3" t="n">
        <f aca="false">MAX(0,R32-MAX(0,Z32-SUM(Q32:Q32)))</f>
        <v>0</v>
      </c>
      <c r="AF32" s="3" t="n">
        <f aca="false">MAX(0,S32-MAX(0,Z32-SUM(Q32:R32)))</f>
        <v>0</v>
      </c>
      <c r="AG32" s="3" t="n">
        <f aca="false">MAX(0,T32-MAX(0,Z32-SUM(Q32:S32)))</f>
        <v>0</v>
      </c>
      <c r="AH32" s="3" t="n">
        <f aca="false">MAX(0,U32-MAX(0,Z32-SUM(Q32:T32)))</f>
        <v>0</v>
      </c>
      <c r="AI32" s="3" t="n">
        <f aca="false">MAX(0,V32-MAX(0,Z32-SUM(Q32:U32)))</f>
        <v>0</v>
      </c>
      <c r="AJ32" s="3" t="n">
        <f aca="false">MAX(0,W32-MAX(0,Z32-SUM(Q32:V32)))</f>
        <v>0</v>
      </c>
      <c r="AK32" s="3" t="n">
        <f aca="false">MAX(0,X32-MAX(0,Z32-SUM(Q32:W32)))</f>
        <v>0</v>
      </c>
      <c r="AL32" s="3" t="n">
        <f aca="false">MAX(0,Y32-MAX(0,Z32-SUM(Q32:X32)))</f>
        <v>0</v>
      </c>
    </row>
    <row r="33" customFormat="false" ht="15" hidden="false" customHeight="false" outlineLevel="0" collapsed="false">
      <c r="A33" s="2" t="s">
        <v>196</v>
      </c>
      <c r="B33" s="2" t="s">
        <v>38</v>
      </c>
      <c r="C33" s="2" t="s">
        <v>39</v>
      </c>
      <c r="D33" s="2" t="s">
        <v>40</v>
      </c>
      <c r="E33" s="2"/>
      <c r="F33" s="2" t="s">
        <v>41</v>
      </c>
      <c r="G33" s="2" t="s">
        <v>42</v>
      </c>
      <c r="H33" s="2" t="s">
        <v>43</v>
      </c>
      <c r="I33" s="2" t="s">
        <v>44</v>
      </c>
      <c r="J33" s="2" t="s">
        <v>45</v>
      </c>
      <c r="K33" s="2" t="s">
        <v>53</v>
      </c>
      <c r="L33" s="2" t="s">
        <v>98</v>
      </c>
      <c r="M33" s="2" t="s">
        <v>99</v>
      </c>
      <c r="N33" s="2" t="s">
        <v>100</v>
      </c>
      <c r="O33" s="4" t="s">
        <v>186</v>
      </c>
      <c r="P33" s="2" t="s">
        <v>102</v>
      </c>
      <c r="Q33" s="2" t="n">
        <v>1</v>
      </c>
      <c r="R33" s="2" t="n">
        <v>0</v>
      </c>
      <c r="S33" s="2" t="n">
        <v>0</v>
      </c>
      <c r="T33" s="2" t="n">
        <v>0</v>
      </c>
      <c r="U33" s="2" t="n">
        <v>0</v>
      </c>
      <c r="V33" s="2" t="n">
        <v>0</v>
      </c>
      <c r="W33" s="2" t="n">
        <v>0</v>
      </c>
      <c r="X33" s="2" t="n">
        <v>0</v>
      </c>
      <c r="Y33" s="2" t="n">
        <v>0</v>
      </c>
      <c r="Z33" s="2" t="n">
        <v>0</v>
      </c>
      <c r="AA33" s="2" t="n">
        <v>0</v>
      </c>
      <c r="AB33" s="3" t="n">
        <f aca="false">SUM(Q33:Y33)-Z33</f>
        <v>1</v>
      </c>
      <c r="AC33" s="3" t="str">
        <f aca="false">IF(I33="","",IF(OR(LEFT(I33,3)="BKK",I33="LCH55"),"BKK",IF(LEFT(I33,3)="LCH","LCH","OTHER")))</f>
        <v>BKK</v>
      </c>
      <c r="AD33" s="3" t="n">
        <f aca="false">MAX(0,Q33-MAX(0,Z33-0))</f>
        <v>1</v>
      </c>
      <c r="AE33" s="3" t="n">
        <f aca="false">MAX(0,R33-MAX(0,Z33-SUM(Q33:Q33)))</f>
        <v>0</v>
      </c>
      <c r="AF33" s="3" t="n">
        <f aca="false">MAX(0,S33-MAX(0,Z33-SUM(Q33:R33)))</f>
        <v>0</v>
      </c>
      <c r="AG33" s="3" t="n">
        <f aca="false">MAX(0,T33-MAX(0,Z33-SUM(Q33:S33)))</f>
        <v>0</v>
      </c>
      <c r="AH33" s="3" t="n">
        <f aca="false">MAX(0,U33-MAX(0,Z33-SUM(Q33:T33)))</f>
        <v>0</v>
      </c>
      <c r="AI33" s="3" t="n">
        <f aca="false">MAX(0,V33-MAX(0,Z33-SUM(Q33:U33)))</f>
        <v>0</v>
      </c>
      <c r="AJ33" s="3" t="n">
        <f aca="false">MAX(0,W33-MAX(0,Z33-SUM(Q33:V33)))</f>
        <v>0</v>
      </c>
      <c r="AK33" s="3" t="n">
        <f aca="false">MAX(0,X33-MAX(0,Z33-SUM(Q33:W33)))</f>
        <v>0</v>
      </c>
      <c r="AL33" s="3" t="n">
        <f aca="false">MAX(0,Y33-MAX(0,Z33-SUM(Q33:X33)))</f>
        <v>0</v>
      </c>
    </row>
    <row r="34" customFormat="false" ht="15" hidden="false" customHeight="false" outlineLevel="0" collapsed="false">
      <c r="A34" s="2" t="s">
        <v>197</v>
      </c>
      <c r="B34" s="2" t="s">
        <v>198</v>
      </c>
      <c r="C34" s="2" t="s">
        <v>199</v>
      </c>
      <c r="D34" s="2" t="s">
        <v>200</v>
      </c>
      <c r="E34" s="2"/>
      <c r="F34" s="2" t="s">
        <v>41</v>
      </c>
      <c r="G34" s="2" t="s">
        <v>42</v>
      </c>
      <c r="H34" s="2" t="s">
        <v>43</v>
      </c>
      <c r="I34" s="2" t="s">
        <v>44</v>
      </c>
      <c r="J34" s="2" t="s">
        <v>45</v>
      </c>
      <c r="K34" s="2" t="s">
        <v>53</v>
      </c>
      <c r="L34" s="2" t="s">
        <v>201</v>
      </c>
      <c r="M34" s="2" t="s">
        <v>202</v>
      </c>
      <c r="N34" s="2" t="s">
        <v>203</v>
      </c>
      <c r="O34" s="4" t="s">
        <v>204</v>
      </c>
      <c r="P34" s="2" t="s">
        <v>102</v>
      </c>
      <c r="Q34" s="2" t="n">
        <v>1</v>
      </c>
      <c r="R34" s="2" t="n">
        <v>0</v>
      </c>
      <c r="S34" s="2" t="n">
        <v>0</v>
      </c>
      <c r="T34" s="2" t="n">
        <v>0</v>
      </c>
      <c r="U34" s="2" t="n">
        <v>0</v>
      </c>
      <c r="V34" s="2" t="n">
        <v>0</v>
      </c>
      <c r="W34" s="2" t="n">
        <v>0</v>
      </c>
      <c r="X34" s="2" t="n">
        <v>0</v>
      </c>
      <c r="Y34" s="2" t="n">
        <v>0</v>
      </c>
      <c r="Z34" s="2" t="n">
        <v>0</v>
      </c>
      <c r="AA34" s="2" t="n">
        <v>0</v>
      </c>
      <c r="AB34" s="3" t="n">
        <f aca="false">SUM(Q34:Y34)-Z34</f>
        <v>1</v>
      </c>
      <c r="AC34" s="3" t="str">
        <f aca="false">IF(I34="","",IF(OR(LEFT(I34,3)="BKK",I34="LCH55"),"BKK",IF(LEFT(I34,3)="LCH","LCH","OTHER")))</f>
        <v>BKK</v>
      </c>
      <c r="AD34" s="3" t="n">
        <f aca="false">MAX(0,Q34-MAX(0,Z34-0))</f>
        <v>1</v>
      </c>
      <c r="AE34" s="3" t="n">
        <f aca="false">MAX(0,R34-MAX(0,Z34-SUM(Q34:Q34)))</f>
        <v>0</v>
      </c>
      <c r="AF34" s="3" t="n">
        <f aca="false">MAX(0,S34-MAX(0,Z34-SUM(Q34:R34)))</f>
        <v>0</v>
      </c>
      <c r="AG34" s="3" t="n">
        <f aca="false">MAX(0,T34-MAX(0,Z34-SUM(Q34:S34)))</f>
        <v>0</v>
      </c>
      <c r="AH34" s="3" t="n">
        <f aca="false">MAX(0,U34-MAX(0,Z34-SUM(Q34:T34)))</f>
        <v>0</v>
      </c>
      <c r="AI34" s="3" t="n">
        <f aca="false">MAX(0,V34-MAX(0,Z34-SUM(Q34:U34)))</f>
        <v>0</v>
      </c>
      <c r="AJ34" s="3" t="n">
        <f aca="false">MAX(0,W34-MAX(0,Z34-SUM(Q34:V34)))</f>
        <v>0</v>
      </c>
      <c r="AK34" s="3" t="n">
        <f aca="false">MAX(0,X34-MAX(0,Z34-SUM(Q34:W34)))</f>
        <v>0</v>
      </c>
      <c r="AL34" s="3" t="n">
        <f aca="false">MAX(0,Y34-MAX(0,Z34-SUM(Q34:X34)))</f>
        <v>0</v>
      </c>
    </row>
    <row r="35" customFormat="false" ht="15" hidden="false" customHeight="false" outlineLevel="0" collapsed="false">
      <c r="A35" s="2" t="s">
        <v>205</v>
      </c>
      <c r="B35" s="2" t="s">
        <v>60</v>
      </c>
      <c r="C35" s="2" t="s">
        <v>61</v>
      </c>
      <c r="D35" s="2" t="s">
        <v>62</v>
      </c>
      <c r="E35" s="2"/>
      <c r="F35" s="2" t="s">
        <v>63</v>
      </c>
      <c r="G35" s="2" t="s">
        <v>64</v>
      </c>
      <c r="H35" s="2" t="s">
        <v>43</v>
      </c>
      <c r="I35" s="2" t="s">
        <v>65</v>
      </c>
      <c r="J35" s="2" t="s">
        <v>66</v>
      </c>
      <c r="K35" s="2" t="s">
        <v>67</v>
      </c>
      <c r="L35" s="2" t="s">
        <v>68</v>
      </c>
      <c r="M35" s="2" t="s">
        <v>69</v>
      </c>
      <c r="N35" s="2" t="s">
        <v>70</v>
      </c>
      <c r="O35" s="2" t="s">
        <v>71</v>
      </c>
      <c r="P35" s="2" t="s">
        <v>72</v>
      </c>
      <c r="Q35" s="2" t="n">
        <v>1</v>
      </c>
      <c r="R35" s="2" t="n">
        <v>0</v>
      </c>
      <c r="S35" s="2" t="n">
        <v>0</v>
      </c>
      <c r="T35" s="2" t="n">
        <v>0</v>
      </c>
      <c r="U35" s="2" t="n">
        <v>0</v>
      </c>
      <c r="V35" s="2" t="n">
        <v>0</v>
      </c>
      <c r="W35" s="2" t="n">
        <v>0</v>
      </c>
      <c r="X35" s="2" t="n">
        <v>0</v>
      </c>
      <c r="Y35" s="2" t="n">
        <v>0</v>
      </c>
      <c r="Z35" s="2" t="n">
        <v>0</v>
      </c>
      <c r="AA35" s="2" t="n">
        <v>0</v>
      </c>
      <c r="AB35" s="3" t="n">
        <f aca="false">SUM(Q35:Y35)-Z35</f>
        <v>1</v>
      </c>
      <c r="AC35" s="3" t="str">
        <f aca="false">IF(I35="","",IF(OR(LEFT(I35,3)="BKK",I35="LCH55"),"BKK",IF(LEFT(I35,3)="LCH","LCH","OTHER")))</f>
        <v>LCH</v>
      </c>
      <c r="AD35" s="3" t="n">
        <f aca="false">MAX(0,Q35-MAX(0,Z35-0))</f>
        <v>1</v>
      </c>
      <c r="AE35" s="3" t="n">
        <f aca="false">MAX(0,R35-MAX(0,Z35-SUM(Q35:Q35)))</f>
        <v>0</v>
      </c>
      <c r="AF35" s="3" t="n">
        <f aca="false">MAX(0,S35-MAX(0,Z35-SUM(Q35:R35)))</f>
        <v>0</v>
      </c>
      <c r="AG35" s="3" t="n">
        <f aca="false">MAX(0,T35-MAX(0,Z35-SUM(Q35:S35)))</f>
        <v>0</v>
      </c>
      <c r="AH35" s="3" t="n">
        <f aca="false">MAX(0,U35-MAX(0,Z35-SUM(Q35:T35)))</f>
        <v>0</v>
      </c>
      <c r="AI35" s="3" t="n">
        <f aca="false">MAX(0,V35-MAX(0,Z35-SUM(Q35:U35)))</f>
        <v>0</v>
      </c>
      <c r="AJ35" s="3" t="n">
        <f aca="false">MAX(0,W35-MAX(0,Z35-SUM(Q35:V35)))</f>
        <v>0</v>
      </c>
      <c r="AK35" s="3" t="n">
        <f aca="false">MAX(0,X35-MAX(0,Z35-SUM(Q35:W35)))</f>
        <v>0</v>
      </c>
      <c r="AL35" s="3" t="n">
        <f aca="false">MAX(0,Y35-MAX(0,Z35-SUM(Q35:X35)))</f>
        <v>0</v>
      </c>
    </row>
    <row r="36" customFormat="false" ht="15" hidden="false" customHeight="false" outlineLevel="0" collapsed="false">
      <c r="A36" s="2" t="s">
        <v>206</v>
      </c>
      <c r="B36" s="2" t="s">
        <v>207</v>
      </c>
      <c r="C36" s="2" t="s">
        <v>208</v>
      </c>
      <c r="D36" s="2" t="s">
        <v>209</v>
      </c>
      <c r="E36" s="2"/>
      <c r="F36" s="2" t="s">
        <v>41</v>
      </c>
      <c r="G36" s="2" t="s">
        <v>42</v>
      </c>
      <c r="H36" s="2" t="s">
        <v>43</v>
      </c>
      <c r="I36" s="2" t="s">
        <v>210</v>
      </c>
      <c r="J36" s="2" t="s">
        <v>211</v>
      </c>
      <c r="K36" s="2" t="s">
        <v>116</v>
      </c>
      <c r="L36" s="2" t="s">
        <v>80</v>
      </c>
      <c r="M36" s="2" t="s">
        <v>212</v>
      </c>
      <c r="N36" s="2" t="s">
        <v>82</v>
      </c>
      <c r="O36" s="4" t="s">
        <v>83</v>
      </c>
      <c r="P36" s="2" t="s">
        <v>213</v>
      </c>
      <c r="Q36" s="2" t="n">
        <v>1</v>
      </c>
      <c r="R36" s="2" t="n">
        <v>0</v>
      </c>
      <c r="S36" s="2" t="n">
        <v>0</v>
      </c>
      <c r="T36" s="2" t="n">
        <v>0</v>
      </c>
      <c r="U36" s="2" t="n">
        <v>0</v>
      </c>
      <c r="V36" s="2" t="n">
        <v>0</v>
      </c>
      <c r="W36" s="2" t="n">
        <v>0</v>
      </c>
      <c r="X36" s="2" t="n">
        <v>0</v>
      </c>
      <c r="Y36" s="2" t="n">
        <v>0</v>
      </c>
      <c r="Z36" s="2" t="n">
        <v>0</v>
      </c>
      <c r="AA36" s="2" t="n">
        <v>0</v>
      </c>
      <c r="AB36" s="3" t="n">
        <f aca="false">SUM(Q36:Y36)-Z36</f>
        <v>1</v>
      </c>
      <c r="AC36" s="3" t="str">
        <f aca="false">IF(I36="","",IF(OR(LEFT(I36,3)="BKK",I36="LCH55"),"BKK",IF(LEFT(I36,3)="LCH","LCH","OTHER")))</f>
        <v>BKK</v>
      </c>
      <c r="AD36" s="3" t="n">
        <f aca="false">MAX(0,Q36-MAX(0,Z36-0))</f>
        <v>1</v>
      </c>
      <c r="AE36" s="3" t="n">
        <f aca="false">MAX(0,R36-MAX(0,Z36-SUM(Q36:Q36)))</f>
        <v>0</v>
      </c>
      <c r="AF36" s="3" t="n">
        <f aca="false">MAX(0,S36-MAX(0,Z36-SUM(Q36:R36)))</f>
        <v>0</v>
      </c>
      <c r="AG36" s="3" t="n">
        <f aca="false">MAX(0,T36-MAX(0,Z36-SUM(Q36:S36)))</f>
        <v>0</v>
      </c>
      <c r="AH36" s="3" t="n">
        <f aca="false">MAX(0,U36-MAX(0,Z36-SUM(Q36:T36)))</f>
        <v>0</v>
      </c>
      <c r="AI36" s="3" t="n">
        <f aca="false">MAX(0,V36-MAX(0,Z36-SUM(Q36:U36)))</f>
        <v>0</v>
      </c>
      <c r="AJ36" s="3" t="n">
        <f aca="false">MAX(0,W36-MAX(0,Z36-SUM(Q36:V36)))</f>
        <v>0</v>
      </c>
      <c r="AK36" s="3" t="n">
        <f aca="false">MAX(0,X36-MAX(0,Z36-SUM(Q36:W36)))</f>
        <v>0</v>
      </c>
      <c r="AL36" s="3" t="n">
        <f aca="false">MAX(0,Y36-MAX(0,Z36-SUM(Q36:X36)))</f>
        <v>0</v>
      </c>
    </row>
    <row r="37" customFormat="false" ht="15" hidden="false" customHeight="false" outlineLevel="0" collapsed="false">
      <c r="A37" s="2" t="s">
        <v>214</v>
      </c>
      <c r="B37" s="2" t="s">
        <v>215</v>
      </c>
      <c r="C37" s="2" t="s">
        <v>39</v>
      </c>
      <c r="D37" s="2" t="s">
        <v>216</v>
      </c>
      <c r="E37" s="2"/>
      <c r="F37" s="2" t="s">
        <v>41</v>
      </c>
      <c r="G37" s="2" t="s">
        <v>88</v>
      </c>
      <c r="H37" s="2" t="s">
        <v>43</v>
      </c>
      <c r="I37" s="2" t="s">
        <v>89</v>
      </c>
      <c r="J37" s="2" t="s">
        <v>90</v>
      </c>
      <c r="K37" s="2" t="s">
        <v>75</v>
      </c>
      <c r="L37" s="2" t="s">
        <v>217</v>
      </c>
      <c r="M37" s="2" t="s">
        <v>218</v>
      </c>
      <c r="N37" s="2" t="s">
        <v>219</v>
      </c>
      <c r="O37" s="2" t="s">
        <v>144</v>
      </c>
      <c r="P37" s="4" t="s">
        <v>220</v>
      </c>
      <c r="Q37" s="2" t="n">
        <v>1</v>
      </c>
      <c r="R37" s="2" t="n">
        <v>0</v>
      </c>
      <c r="S37" s="2" t="n">
        <v>0</v>
      </c>
      <c r="T37" s="2" t="n">
        <v>0</v>
      </c>
      <c r="U37" s="2" t="n">
        <v>0</v>
      </c>
      <c r="V37" s="2" t="n">
        <v>0</v>
      </c>
      <c r="W37" s="2" t="n">
        <v>0</v>
      </c>
      <c r="X37" s="2" t="n">
        <v>0</v>
      </c>
      <c r="Y37" s="2" t="n">
        <v>0</v>
      </c>
      <c r="Z37" s="2" t="n">
        <v>0</v>
      </c>
      <c r="AA37" s="2" t="n">
        <v>0</v>
      </c>
      <c r="AB37" s="3" t="n">
        <f aca="false">SUM(Q37:Y37)-Z37</f>
        <v>1</v>
      </c>
      <c r="AC37" s="3" t="str">
        <f aca="false">IF(I37="","",IF(OR(LEFT(I37,3)="BKK",I37="LCH55"),"BKK",IF(LEFT(I37,3)="LCH","LCH","OTHER")))</f>
        <v>BKK</v>
      </c>
      <c r="AD37" s="3" t="n">
        <f aca="false">MAX(0,Q37-MAX(0,Z37-0))</f>
        <v>1</v>
      </c>
      <c r="AE37" s="3" t="n">
        <f aca="false">MAX(0,R37-MAX(0,Z37-SUM(Q37:Q37)))</f>
        <v>0</v>
      </c>
      <c r="AF37" s="3" t="n">
        <f aca="false">MAX(0,S37-MAX(0,Z37-SUM(Q37:R37)))</f>
        <v>0</v>
      </c>
      <c r="AG37" s="3" t="n">
        <f aca="false">MAX(0,T37-MAX(0,Z37-SUM(Q37:S37)))</f>
        <v>0</v>
      </c>
      <c r="AH37" s="3" t="n">
        <f aca="false">MAX(0,U37-MAX(0,Z37-SUM(Q37:T37)))</f>
        <v>0</v>
      </c>
      <c r="AI37" s="3" t="n">
        <f aca="false">MAX(0,V37-MAX(0,Z37-SUM(Q37:U37)))</f>
        <v>0</v>
      </c>
      <c r="AJ37" s="3" t="n">
        <f aca="false">MAX(0,W37-MAX(0,Z37-SUM(Q37:V37)))</f>
        <v>0</v>
      </c>
      <c r="AK37" s="3" t="n">
        <f aca="false">MAX(0,X37-MAX(0,Z37-SUM(Q37:W37)))</f>
        <v>0</v>
      </c>
      <c r="AL37" s="3" t="n">
        <f aca="false">MAX(0,Y37-MAX(0,Z37-SUM(Q37:X37)))</f>
        <v>0</v>
      </c>
    </row>
    <row r="38" customFormat="false" ht="15" hidden="false" customHeight="false" outlineLevel="0" collapsed="false">
      <c r="A38" s="2" t="s">
        <v>221</v>
      </c>
      <c r="B38" s="2" t="s">
        <v>222</v>
      </c>
      <c r="C38" s="2" t="s">
        <v>39</v>
      </c>
      <c r="D38" s="2" t="s">
        <v>223</v>
      </c>
      <c r="E38" s="2"/>
      <c r="F38" s="2" t="s">
        <v>41</v>
      </c>
      <c r="G38" s="2" t="s">
        <v>42</v>
      </c>
      <c r="H38" s="2" t="s">
        <v>43</v>
      </c>
      <c r="I38" s="2" t="s">
        <v>210</v>
      </c>
      <c r="J38" s="2" t="s">
        <v>211</v>
      </c>
      <c r="K38" s="2" t="s">
        <v>53</v>
      </c>
      <c r="L38" s="2" t="s">
        <v>224</v>
      </c>
      <c r="M38" s="2" t="s">
        <v>225</v>
      </c>
      <c r="N38" s="2" t="s">
        <v>226</v>
      </c>
      <c r="O38" s="2" t="s">
        <v>144</v>
      </c>
      <c r="P38" s="2" t="s">
        <v>227</v>
      </c>
      <c r="Q38" s="2" t="n">
        <v>1</v>
      </c>
      <c r="R38" s="2" t="n">
        <v>0</v>
      </c>
      <c r="S38" s="2" t="n">
        <v>0</v>
      </c>
      <c r="T38" s="2" t="n">
        <v>0</v>
      </c>
      <c r="U38" s="2" t="n">
        <v>0</v>
      </c>
      <c r="V38" s="2" t="n">
        <v>0</v>
      </c>
      <c r="W38" s="2" t="n">
        <v>0</v>
      </c>
      <c r="X38" s="2" t="n">
        <v>0</v>
      </c>
      <c r="Y38" s="2" t="n">
        <v>0</v>
      </c>
      <c r="Z38" s="2" t="n">
        <v>0</v>
      </c>
      <c r="AA38" s="2" t="n">
        <v>0</v>
      </c>
      <c r="AB38" s="3" t="n">
        <f aca="false">SUM(Q38:Y38)-Z38</f>
        <v>1</v>
      </c>
      <c r="AC38" s="3" t="str">
        <f aca="false">IF(I38="","",IF(OR(LEFT(I38,3)="BKK",I38="LCH55"),"BKK",IF(LEFT(I38,3)="LCH","LCH","OTHER")))</f>
        <v>BKK</v>
      </c>
      <c r="AD38" s="3" t="n">
        <f aca="false">MAX(0,Q38-MAX(0,Z38-0))</f>
        <v>1</v>
      </c>
      <c r="AE38" s="3" t="n">
        <f aca="false">MAX(0,R38-MAX(0,Z38-SUM(Q38:Q38)))</f>
        <v>0</v>
      </c>
      <c r="AF38" s="3" t="n">
        <f aca="false">MAX(0,S38-MAX(0,Z38-SUM(Q38:R38)))</f>
        <v>0</v>
      </c>
      <c r="AG38" s="3" t="n">
        <f aca="false">MAX(0,T38-MAX(0,Z38-SUM(Q38:S38)))</f>
        <v>0</v>
      </c>
      <c r="AH38" s="3" t="n">
        <f aca="false">MAX(0,U38-MAX(0,Z38-SUM(Q38:T38)))</f>
        <v>0</v>
      </c>
      <c r="AI38" s="3" t="n">
        <f aca="false">MAX(0,V38-MAX(0,Z38-SUM(Q38:U38)))</f>
        <v>0</v>
      </c>
      <c r="AJ38" s="3" t="n">
        <f aca="false">MAX(0,W38-MAX(0,Z38-SUM(Q38:V38)))</f>
        <v>0</v>
      </c>
      <c r="AK38" s="3" t="n">
        <f aca="false">MAX(0,X38-MAX(0,Z38-SUM(Q38:W38)))</f>
        <v>0</v>
      </c>
      <c r="AL38" s="3" t="n">
        <f aca="false">MAX(0,Y38-MAX(0,Z38-SUM(Q38:X38)))</f>
        <v>0</v>
      </c>
    </row>
    <row r="39" customFormat="false" ht="15" hidden="false" customHeight="false" outlineLevel="0" collapsed="false">
      <c r="A39" s="2" t="s">
        <v>228</v>
      </c>
      <c r="B39" s="2" t="s">
        <v>38</v>
      </c>
      <c r="C39" s="2" t="s">
        <v>39</v>
      </c>
      <c r="D39" s="2" t="s">
        <v>40</v>
      </c>
      <c r="E39" s="2"/>
      <c r="F39" s="2" t="s">
        <v>41</v>
      </c>
      <c r="G39" s="2" t="s">
        <v>42</v>
      </c>
      <c r="H39" s="2" t="s">
        <v>43</v>
      </c>
      <c r="I39" s="2" t="s">
        <v>44</v>
      </c>
      <c r="J39" s="2" t="s">
        <v>45</v>
      </c>
      <c r="K39" s="2" t="s">
        <v>75</v>
      </c>
      <c r="L39" s="2" t="s">
        <v>98</v>
      </c>
      <c r="M39" s="2" t="s">
        <v>99</v>
      </c>
      <c r="N39" s="2" t="s">
        <v>100</v>
      </c>
      <c r="O39" s="4" t="s">
        <v>186</v>
      </c>
      <c r="P39" s="2" t="s">
        <v>229</v>
      </c>
      <c r="Q39" s="2" t="n">
        <v>1</v>
      </c>
      <c r="R39" s="2" t="n">
        <v>0</v>
      </c>
      <c r="S39" s="2" t="n">
        <v>0</v>
      </c>
      <c r="T39" s="2" t="n">
        <v>0</v>
      </c>
      <c r="U39" s="2" t="n">
        <v>0</v>
      </c>
      <c r="V39" s="2" t="n">
        <v>0</v>
      </c>
      <c r="W39" s="2" t="n">
        <v>0</v>
      </c>
      <c r="X39" s="2" t="n">
        <v>0</v>
      </c>
      <c r="Y39" s="2" t="n">
        <v>0</v>
      </c>
      <c r="Z39" s="2" t="n">
        <v>0</v>
      </c>
      <c r="AA39" s="2" t="n">
        <v>0</v>
      </c>
      <c r="AB39" s="3" t="n">
        <f aca="false">SUM(Q39:Y39)-Z39</f>
        <v>1</v>
      </c>
      <c r="AC39" s="3" t="str">
        <f aca="false">IF(I39="","",IF(OR(LEFT(I39,3)="BKK",I39="LCH55"),"BKK",IF(LEFT(I39,3)="LCH","LCH","OTHER")))</f>
        <v>BKK</v>
      </c>
      <c r="AD39" s="3" t="n">
        <f aca="false">MAX(0,Q39-MAX(0,Z39-0))</f>
        <v>1</v>
      </c>
      <c r="AE39" s="3" t="n">
        <f aca="false">MAX(0,R39-MAX(0,Z39-SUM(Q39:Q39)))</f>
        <v>0</v>
      </c>
      <c r="AF39" s="3" t="n">
        <f aca="false">MAX(0,S39-MAX(0,Z39-SUM(Q39:R39)))</f>
        <v>0</v>
      </c>
      <c r="AG39" s="3" t="n">
        <f aca="false">MAX(0,T39-MAX(0,Z39-SUM(Q39:S39)))</f>
        <v>0</v>
      </c>
      <c r="AH39" s="3" t="n">
        <f aca="false">MAX(0,U39-MAX(0,Z39-SUM(Q39:T39)))</f>
        <v>0</v>
      </c>
      <c r="AI39" s="3" t="n">
        <f aca="false">MAX(0,V39-MAX(0,Z39-SUM(Q39:U39)))</f>
        <v>0</v>
      </c>
      <c r="AJ39" s="3" t="n">
        <f aca="false">MAX(0,W39-MAX(0,Z39-SUM(Q39:V39)))</f>
        <v>0</v>
      </c>
      <c r="AK39" s="3" t="n">
        <f aca="false">MAX(0,X39-MAX(0,Z39-SUM(Q39:W39)))</f>
        <v>0</v>
      </c>
      <c r="AL39" s="3" t="n">
        <f aca="false">MAX(0,Y39-MAX(0,Z39-SUM(Q39:X39)))</f>
        <v>0</v>
      </c>
    </row>
    <row r="40" customFormat="false" ht="15" hidden="false" customHeight="false" outlineLevel="0" collapsed="false">
      <c r="A40" s="2" t="s">
        <v>230</v>
      </c>
      <c r="B40" s="2" t="s">
        <v>138</v>
      </c>
      <c r="C40" s="2" t="s">
        <v>139</v>
      </c>
      <c r="D40" s="2" t="s">
        <v>140</v>
      </c>
      <c r="E40" s="2"/>
      <c r="F40" s="2" t="s">
        <v>63</v>
      </c>
      <c r="G40" s="2" t="s">
        <v>141</v>
      </c>
      <c r="H40" s="2" t="s">
        <v>43</v>
      </c>
      <c r="I40" s="2" t="s">
        <v>65</v>
      </c>
      <c r="J40" s="2" t="s">
        <v>66</v>
      </c>
      <c r="K40" s="2" t="s">
        <v>53</v>
      </c>
      <c r="L40" s="2" t="s">
        <v>174</v>
      </c>
      <c r="M40" s="2" t="s">
        <v>175</v>
      </c>
      <c r="N40" s="2" t="s">
        <v>231</v>
      </c>
      <c r="O40" s="2" t="s">
        <v>144</v>
      </c>
      <c r="P40" s="2" t="s">
        <v>102</v>
      </c>
      <c r="Q40" s="2" t="n">
        <v>1</v>
      </c>
      <c r="R40" s="2" t="n">
        <v>0</v>
      </c>
      <c r="S40" s="2" t="n">
        <v>0</v>
      </c>
      <c r="T40" s="2" t="n">
        <v>0</v>
      </c>
      <c r="U40" s="2" t="n">
        <v>0</v>
      </c>
      <c r="V40" s="2" t="n">
        <v>0</v>
      </c>
      <c r="W40" s="2" t="n">
        <v>0</v>
      </c>
      <c r="X40" s="2" t="n">
        <v>0</v>
      </c>
      <c r="Y40" s="2" t="n">
        <v>0</v>
      </c>
      <c r="Z40" s="2" t="n">
        <v>0</v>
      </c>
      <c r="AA40" s="2" t="n">
        <v>0</v>
      </c>
      <c r="AB40" s="3" t="n">
        <f aca="false">SUM(Q40:Y40)-Z40</f>
        <v>1</v>
      </c>
      <c r="AC40" s="3" t="str">
        <f aca="false">IF(I40="","",IF(OR(LEFT(I40,3)="BKK",I40="LCH55"),"BKK",IF(LEFT(I40,3)="LCH","LCH","OTHER")))</f>
        <v>LCH</v>
      </c>
      <c r="AD40" s="3" t="n">
        <f aca="false">MAX(0,Q40-MAX(0,Z40-0))</f>
        <v>1</v>
      </c>
      <c r="AE40" s="3" t="n">
        <f aca="false">MAX(0,R40-MAX(0,Z40-SUM(Q40:Q40)))</f>
        <v>0</v>
      </c>
      <c r="AF40" s="3" t="n">
        <f aca="false">MAX(0,S40-MAX(0,Z40-SUM(Q40:R40)))</f>
        <v>0</v>
      </c>
      <c r="AG40" s="3" t="n">
        <f aca="false">MAX(0,T40-MAX(0,Z40-SUM(Q40:S40)))</f>
        <v>0</v>
      </c>
      <c r="AH40" s="3" t="n">
        <f aca="false">MAX(0,U40-MAX(0,Z40-SUM(Q40:T40)))</f>
        <v>0</v>
      </c>
      <c r="AI40" s="3" t="n">
        <f aca="false">MAX(0,V40-MAX(0,Z40-SUM(Q40:U40)))</f>
        <v>0</v>
      </c>
      <c r="AJ40" s="3" t="n">
        <f aca="false">MAX(0,W40-MAX(0,Z40-SUM(Q40:V40)))</f>
        <v>0</v>
      </c>
      <c r="AK40" s="3" t="n">
        <f aca="false">MAX(0,X40-MAX(0,Z40-SUM(Q40:W40)))</f>
        <v>0</v>
      </c>
      <c r="AL40" s="3" t="n">
        <f aca="false">MAX(0,Y40-MAX(0,Z40-SUM(Q40:X40)))</f>
        <v>0</v>
      </c>
    </row>
    <row r="41" customFormat="false" ht="15" hidden="false" customHeight="false" outlineLevel="0" collapsed="false">
      <c r="A41" s="2" t="s">
        <v>232</v>
      </c>
      <c r="B41" s="2" t="s">
        <v>233</v>
      </c>
      <c r="C41" s="2" t="s">
        <v>139</v>
      </c>
      <c r="D41" s="2" t="s">
        <v>234</v>
      </c>
      <c r="E41" s="2"/>
      <c r="F41" s="2" t="s">
        <v>63</v>
      </c>
      <c r="G41" s="2" t="s">
        <v>141</v>
      </c>
      <c r="H41" s="2" t="s">
        <v>43</v>
      </c>
      <c r="I41" s="2" t="s">
        <v>65</v>
      </c>
      <c r="J41" s="2" t="s">
        <v>66</v>
      </c>
      <c r="K41" s="2" t="s">
        <v>75</v>
      </c>
      <c r="L41" s="2" t="s">
        <v>235</v>
      </c>
      <c r="M41" s="2" t="s">
        <v>236</v>
      </c>
      <c r="N41" s="2" t="s">
        <v>237</v>
      </c>
      <c r="O41" s="2" t="s">
        <v>238</v>
      </c>
      <c r="P41" s="2" t="s">
        <v>153</v>
      </c>
      <c r="Q41" s="2" t="n">
        <v>1</v>
      </c>
      <c r="R41" s="2" t="n">
        <v>0</v>
      </c>
      <c r="S41" s="2" t="n">
        <v>0</v>
      </c>
      <c r="T41" s="2" t="n">
        <v>0</v>
      </c>
      <c r="U41" s="2" t="n">
        <v>0</v>
      </c>
      <c r="V41" s="2" t="n">
        <v>0</v>
      </c>
      <c r="W41" s="2" t="n">
        <v>0</v>
      </c>
      <c r="X41" s="2" t="n">
        <v>0</v>
      </c>
      <c r="Y41" s="2" t="n">
        <v>0</v>
      </c>
      <c r="Z41" s="2" t="n">
        <v>0</v>
      </c>
      <c r="AA41" s="2" t="n">
        <v>0</v>
      </c>
      <c r="AB41" s="3" t="n">
        <f aca="false">SUM(Q41:Y41)-Z41</f>
        <v>1</v>
      </c>
      <c r="AC41" s="3" t="str">
        <f aca="false">IF(I41="","",IF(OR(LEFT(I41,3)="BKK",I41="LCH55"),"BKK",IF(LEFT(I41,3)="LCH","LCH","OTHER")))</f>
        <v>LCH</v>
      </c>
      <c r="AD41" s="3" t="n">
        <f aca="false">MAX(0,Q41-MAX(0,Z41-0))</f>
        <v>1</v>
      </c>
      <c r="AE41" s="3" t="n">
        <f aca="false">MAX(0,R41-MAX(0,Z41-SUM(Q41:Q41)))</f>
        <v>0</v>
      </c>
      <c r="AF41" s="3" t="n">
        <f aca="false">MAX(0,S41-MAX(0,Z41-SUM(Q41:R41)))</f>
        <v>0</v>
      </c>
      <c r="AG41" s="3" t="n">
        <f aca="false">MAX(0,T41-MAX(0,Z41-SUM(Q41:S41)))</f>
        <v>0</v>
      </c>
      <c r="AH41" s="3" t="n">
        <f aca="false">MAX(0,U41-MAX(0,Z41-SUM(Q41:T41)))</f>
        <v>0</v>
      </c>
      <c r="AI41" s="3" t="n">
        <f aca="false">MAX(0,V41-MAX(0,Z41-SUM(Q41:U41)))</f>
        <v>0</v>
      </c>
      <c r="AJ41" s="3" t="n">
        <f aca="false">MAX(0,W41-MAX(0,Z41-SUM(Q41:V41)))</f>
        <v>0</v>
      </c>
      <c r="AK41" s="3" t="n">
        <f aca="false">MAX(0,X41-MAX(0,Z41-SUM(Q41:W41)))</f>
        <v>0</v>
      </c>
      <c r="AL41" s="3" t="n">
        <f aca="false">MAX(0,Y41-MAX(0,Z41-SUM(Q41:X41)))</f>
        <v>0</v>
      </c>
    </row>
    <row r="42" customFormat="false" ht="15" hidden="false" customHeight="false" outlineLevel="0" collapsed="false">
      <c r="A42" s="2" t="s">
        <v>239</v>
      </c>
      <c r="B42" s="2" t="s">
        <v>60</v>
      </c>
      <c r="C42" s="2" t="s">
        <v>61</v>
      </c>
      <c r="D42" s="2" t="s">
        <v>240</v>
      </c>
      <c r="E42" s="2"/>
      <c r="F42" s="2" t="s">
        <v>41</v>
      </c>
      <c r="G42" s="2" t="s">
        <v>88</v>
      </c>
      <c r="H42" s="2" t="s">
        <v>241</v>
      </c>
      <c r="I42" s="2" t="s">
        <v>44</v>
      </c>
      <c r="J42" s="2" t="s">
        <v>45</v>
      </c>
      <c r="K42" s="2" t="s">
        <v>53</v>
      </c>
      <c r="L42" s="2" t="s">
        <v>242</v>
      </c>
      <c r="M42" s="2" t="s">
        <v>243</v>
      </c>
      <c r="N42" s="2" t="s">
        <v>244</v>
      </c>
      <c r="O42" s="4" t="s">
        <v>245</v>
      </c>
      <c r="P42" s="4" t="s">
        <v>246</v>
      </c>
      <c r="Q42" s="2" t="n">
        <v>10</v>
      </c>
      <c r="R42" s="2" t="n">
        <v>0</v>
      </c>
      <c r="S42" s="2" t="n">
        <v>0</v>
      </c>
      <c r="T42" s="2" t="n">
        <v>0</v>
      </c>
      <c r="U42" s="2" t="n">
        <v>0</v>
      </c>
      <c r="V42" s="2" t="n">
        <v>0</v>
      </c>
      <c r="W42" s="2" t="n">
        <v>0</v>
      </c>
      <c r="X42" s="2" t="n">
        <v>0</v>
      </c>
      <c r="Y42" s="2" t="n">
        <v>0</v>
      </c>
      <c r="Z42" s="2" t="n">
        <v>0</v>
      </c>
      <c r="AA42" s="2" t="n">
        <v>0</v>
      </c>
      <c r="AB42" s="3" t="n">
        <f aca="false">SUM(Q42:Y42)-Z42</f>
        <v>10</v>
      </c>
      <c r="AC42" s="3" t="str">
        <f aca="false">IF(I42="","",IF(OR(LEFT(I42,3)="BKK",I42="LCH55"),"BKK",IF(LEFT(I42,3)="LCH","LCH","OTHER")))</f>
        <v>BKK</v>
      </c>
      <c r="AD42" s="3" t="n">
        <f aca="false">MAX(0,Q42-MAX(0,Z42-0))</f>
        <v>10</v>
      </c>
      <c r="AE42" s="3" t="n">
        <f aca="false">MAX(0,R42-MAX(0,Z42-SUM(Q42:Q42)))</f>
        <v>0</v>
      </c>
      <c r="AF42" s="3" t="n">
        <f aca="false">MAX(0,S42-MAX(0,Z42-SUM(Q42:R42)))</f>
        <v>0</v>
      </c>
      <c r="AG42" s="3" t="n">
        <f aca="false">MAX(0,T42-MAX(0,Z42-SUM(Q42:S42)))</f>
        <v>0</v>
      </c>
      <c r="AH42" s="3" t="n">
        <f aca="false">MAX(0,U42-MAX(0,Z42-SUM(Q42:T42)))</f>
        <v>0</v>
      </c>
      <c r="AI42" s="3" t="n">
        <f aca="false">MAX(0,V42-MAX(0,Z42-SUM(Q42:U42)))</f>
        <v>0</v>
      </c>
      <c r="AJ42" s="3" t="n">
        <f aca="false">MAX(0,W42-MAX(0,Z42-SUM(Q42:V42)))</f>
        <v>0</v>
      </c>
      <c r="AK42" s="3" t="n">
        <f aca="false">MAX(0,X42-MAX(0,Z42-SUM(Q42:W42)))</f>
        <v>0</v>
      </c>
      <c r="AL42" s="3" t="n">
        <f aca="false">MAX(0,Y42-MAX(0,Z42-SUM(Q42:X42)))</f>
        <v>0</v>
      </c>
    </row>
    <row r="43" customFormat="false" ht="15" hidden="false" customHeight="false" outlineLevel="0" collapsed="false">
      <c r="A43" s="2" t="s">
        <v>247</v>
      </c>
      <c r="B43" s="2" t="s">
        <v>60</v>
      </c>
      <c r="C43" s="2" t="s">
        <v>61</v>
      </c>
      <c r="D43" s="2" t="s">
        <v>240</v>
      </c>
      <c r="E43" s="2"/>
      <c r="F43" s="2" t="s">
        <v>41</v>
      </c>
      <c r="G43" s="2" t="s">
        <v>248</v>
      </c>
      <c r="H43" s="2" t="s">
        <v>249</v>
      </c>
      <c r="I43" s="2" t="s">
        <v>210</v>
      </c>
      <c r="J43" s="2" t="s">
        <v>211</v>
      </c>
      <c r="K43" s="2" t="s">
        <v>53</v>
      </c>
      <c r="L43" s="2" t="s">
        <v>250</v>
      </c>
      <c r="M43" s="2" t="s">
        <v>251</v>
      </c>
      <c r="N43" s="2" t="s">
        <v>252</v>
      </c>
      <c r="O43" s="2" t="s">
        <v>253</v>
      </c>
      <c r="P43" s="4" t="s">
        <v>254</v>
      </c>
      <c r="Q43" s="2" t="n">
        <v>12</v>
      </c>
      <c r="R43" s="2" t="n">
        <v>0</v>
      </c>
      <c r="S43" s="2" t="n">
        <v>0</v>
      </c>
      <c r="T43" s="2" t="n">
        <v>0</v>
      </c>
      <c r="U43" s="2" t="n">
        <v>0</v>
      </c>
      <c r="V43" s="2" t="n">
        <v>0</v>
      </c>
      <c r="W43" s="2" t="n">
        <v>0</v>
      </c>
      <c r="X43" s="2" t="n">
        <v>0</v>
      </c>
      <c r="Y43" s="2" t="n">
        <v>0</v>
      </c>
      <c r="Z43" s="2" t="n">
        <v>10</v>
      </c>
      <c r="AA43" s="2" t="n">
        <v>0</v>
      </c>
      <c r="AB43" s="3" t="n">
        <f aca="false">SUM(Q43:Y43)-Z43</f>
        <v>2</v>
      </c>
      <c r="AC43" s="3" t="str">
        <f aca="false">IF(I43="","",IF(OR(LEFT(I43,3)="BKK",I43="LCH55"),"BKK",IF(LEFT(I43,3)="LCH","LCH","OTHER")))</f>
        <v>BKK</v>
      </c>
      <c r="AD43" s="3" t="n">
        <f aca="false">MAX(0,Q43-MAX(0,Z43-0))</f>
        <v>2</v>
      </c>
      <c r="AE43" s="3" t="n">
        <f aca="false">MAX(0,R43-MAX(0,Z43-SUM(Q43:Q43)))</f>
        <v>0</v>
      </c>
      <c r="AF43" s="3" t="n">
        <f aca="false">MAX(0,S43-MAX(0,Z43-SUM(Q43:R43)))</f>
        <v>0</v>
      </c>
      <c r="AG43" s="3" t="n">
        <f aca="false">MAX(0,T43-MAX(0,Z43-SUM(Q43:S43)))</f>
        <v>0</v>
      </c>
      <c r="AH43" s="3" t="n">
        <f aca="false">MAX(0,U43-MAX(0,Z43-SUM(Q43:T43)))</f>
        <v>0</v>
      </c>
      <c r="AI43" s="3" t="n">
        <f aca="false">MAX(0,V43-MAX(0,Z43-SUM(Q43:U43)))</f>
        <v>0</v>
      </c>
      <c r="AJ43" s="3" t="n">
        <f aca="false">MAX(0,W43-MAX(0,Z43-SUM(Q43:V43)))</f>
        <v>0</v>
      </c>
      <c r="AK43" s="3" t="n">
        <f aca="false">MAX(0,X43-MAX(0,Z43-SUM(Q43:W43)))</f>
        <v>0</v>
      </c>
      <c r="AL43" s="3" t="n">
        <f aca="false">MAX(0,Y43-MAX(0,Z43-SUM(Q43:X43)))</f>
        <v>0</v>
      </c>
    </row>
    <row r="44" customFormat="false" ht="15" hidden="false" customHeight="false" outlineLevel="0" collapsed="false">
      <c r="A44" s="2" t="s">
        <v>255</v>
      </c>
      <c r="B44" s="2" t="s">
        <v>138</v>
      </c>
      <c r="C44" s="2" t="s">
        <v>139</v>
      </c>
      <c r="D44" s="2" t="s">
        <v>140</v>
      </c>
      <c r="E44" s="2" t="s">
        <v>256</v>
      </c>
      <c r="F44" s="2" t="s">
        <v>63</v>
      </c>
      <c r="G44" s="2" t="s">
        <v>141</v>
      </c>
      <c r="H44" s="2" t="s">
        <v>257</v>
      </c>
      <c r="I44" s="2" t="s">
        <v>44</v>
      </c>
      <c r="J44" s="2" t="s">
        <v>45</v>
      </c>
      <c r="K44" s="2" t="s">
        <v>91</v>
      </c>
      <c r="L44" s="2" t="s">
        <v>258</v>
      </c>
      <c r="M44" s="2" t="s">
        <v>259</v>
      </c>
      <c r="N44" s="2" t="s">
        <v>260</v>
      </c>
      <c r="O44" s="2" t="s">
        <v>261</v>
      </c>
      <c r="P44" s="4" t="s">
        <v>262</v>
      </c>
      <c r="Q44" s="2" t="n">
        <v>2</v>
      </c>
      <c r="R44" s="2" t="n">
        <v>0</v>
      </c>
      <c r="S44" s="2" t="n">
        <v>0</v>
      </c>
      <c r="T44" s="2" t="n">
        <v>0</v>
      </c>
      <c r="U44" s="2" t="n">
        <v>0</v>
      </c>
      <c r="V44" s="2" t="n">
        <v>0</v>
      </c>
      <c r="W44" s="2" t="n">
        <v>0</v>
      </c>
      <c r="X44" s="2" t="n">
        <v>0</v>
      </c>
      <c r="Y44" s="2" t="n">
        <v>0</v>
      </c>
      <c r="Z44" s="2" t="n">
        <v>0</v>
      </c>
      <c r="AA44" s="2" t="n">
        <v>0</v>
      </c>
      <c r="AB44" s="3" t="n">
        <f aca="false">SUM(Q44:Y44)-Z44</f>
        <v>2</v>
      </c>
      <c r="AC44" s="3" t="str">
        <f aca="false">IF(I44="","",IF(OR(LEFT(I44,3)="BKK",I44="LCH55"),"BKK",IF(LEFT(I44,3)="LCH","LCH","OTHER")))</f>
        <v>BKK</v>
      </c>
      <c r="AD44" s="3" t="n">
        <f aca="false">MAX(0,Q44-MAX(0,Z44-0))</f>
        <v>2</v>
      </c>
      <c r="AE44" s="3" t="n">
        <f aca="false">MAX(0,R44-MAX(0,Z44-SUM(Q44:Q44)))</f>
        <v>0</v>
      </c>
      <c r="AF44" s="3" t="n">
        <f aca="false">MAX(0,S44-MAX(0,Z44-SUM(Q44:R44)))</f>
        <v>0</v>
      </c>
      <c r="AG44" s="3" t="n">
        <f aca="false">MAX(0,T44-MAX(0,Z44-SUM(Q44:S44)))</f>
        <v>0</v>
      </c>
      <c r="AH44" s="3" t="n">
        <f aca="false">MAX(0,U44-MAX(0,Z44-SUM(Q44:T44)))</f>
        <v>0</v>
      </c>
      <c r="AI44" s="3" t="n">
        <f aca="false">MAX(0,V44-MAX(0,Z44-SUM(Q44:U44)))</f>
        <v>0</v>
      </c>
      <c r="AJ44" s="3" t="n">
        <f aca="false">MAX(0,W44-MAX(0,Z44-SUM(Q44:V44)))</f>
        <v>0</v>
      </c>
      <c r="AK44" s="3" t="n">
        <f aca="false">MAX(0,X44-MAX(0,Z44-SUM(Q44:W44)))</f>
        <v>0</v>
      </c>
      <c r="AL44" s="3" t="n">
        <f aca="false">MAX(0,Y44-MAX(0,Z44-SUM(Q44:X44)))</f>
        <v>0</v>
      </c>
    </row>
    <row r="45" customFormat="false" ht="15" hidden="false" customHeight="false" outlineLevel="0" collapsed="false">
      <c r="A45" s="2" t="s">
        <v>263</v>
      </c>
      <c r="B45" s="2" t="s">
        <v>264</v>
      </c>
      <c r="C45" s="2" t="s">
        <v>265</v>
      </c>
      <c r="D45" s="2" t="s">
        <v>266</v>
      </c>
      <c r="E45" s="2"/>
      <c r="F45" s="2" t="s">
        <v>41</v>
      </c>
      <c r="G45" s="2" t="s">
        <v>88</v>
      </c>
      <c r="H45" s="2" t="s">
        <v>257</v>
      </c>
      <c r="I45" s="2" t="s">
        <v>210</v>
      </c>
      <c r="J45" s="2" t="s">
        <v>211</v>
      </c>
      <c r="K45" s="2" t="s">
        <v>53</v>
      </c>
      <c r="L45" s="2" t="s">
        <v>267</v>
      </c>
      <c r="M45" s="2" t="s">
        <v>268</v>
      </c>
      <c r="N45" s="2" t="s">
        <v>269</v>
      </c>
      <c r="O45" s="2" t="s">
        <v>144</v>
      </c>
      <c r="P45" s="2" t="s">
        <v>102</v>
      </c>
      <c r="Q45" s="2" t="n">
        <v>2</v>
      </c>
      <c r="R45" s="2" t="n">
        <v>0</v>
      </c>
      <c r="S45" s="2" t="n">
        <v>0</v>
      </c>
      <c r="T45" s="2" t="n">
        <v>0</v>
      </c>
      <c r="U45" s="2" t="n">
        <v>0</v>
      </c>
      <c r="V45" s="2" t="n">
        <v>0</v>
      </c>
      <c r="W45" s="2" t="n">
        <v>0</v>
      </c>
      <c r="X45" s="2" t="n">
        <v>0</v>
      </c>
      <c r="Y45" s="2" t="n">
        <v>0</v>
      </c>
      <c r="Z45" s="2" t="n">
        <v>0</v>
      </c>
      <c r="AA45" s="2" t="n">
        <v>0</v>
      </c>
      <c r="AB45" s="3" t="n">
        <f aca="false">SUM(Q45:Y45)-Z45</f>
        <v>2</v>
      </c>
      <c r="AC45" s="3" t="str">
        <f aca="false">IF(I45="","",IF(OR(LEFT(I45,3)="BKK",I45="LCH55"),"BKK",IF(LEFT(I45,3)="LCH","LCH","OTHER")))</f>
        <v>BKK</v>
      </c>
      <c r="AD45" s="3" t="n">
        <f aca="false">MAX(0,Q45-MAX(0,Z45-0))</f>
        <v>2</v>
      </c>
      <c r="AE45" s="3" t="n">
        <f aca="false">MAX(0,R45-MAX(0,Z45-SUM(Q45:Q45)))</f>
        <v>0</v>
      </c>
      <c r="AF45" s="3" t="n">
        <f aca="false">MAX(0,S45-MAX(0,Z45-SUM(Q45:R45)))</f>
        <v>0</v>
      </c>
      <c r="AG45" s="3" t="n">
        <f aca="false">MAX(0,T45-MAX(0,Z45-SUM(Q45:S45)))</f>
        <v>0</v>
      </c>
      <c r="AH45" s="3" t="n">
        <f aca="false">MAX(0,U45-MAX(0,Z45-SUM(Q45:T45)))</f>
        <v>0</v>
      </c>
      <c r="AI45" s="3" t="n">
        <f aca="false">MAX(0,V45-MAX(0,Z45-SUM(Q45:U45)))</f>
        <v>0</v>
      </c>
      <c r="AJ45" s="3" t="n">
        <f aca="false">MAX(0,W45-MAX(0,Z45-SUM(Q45:V45)))</f>
        <v>0</v>
      </c>
      <c r="AK45" s="3" t="n">
        <f aca="false">MAX(0,X45-MAX(0,Z45-SUM(Q45:W45)))</f>
        <v>0</v>
      </c>
      <c r="AL45" s="3" t="n">
        <f aca="false">MAX(0,Y45-MAX(0,Z45-SUM(Q45:X45)))</f>
        <v>0</v>
      </c>
    </row>
    <row r="46" customFormat="false" ht="15" hidden="false" customHeight="false" outlineLevel="0" collapsed="false">
      <c r="A46" s="2" t="s">
        <v>270</v>
      </c>
      <c r="B46" s="2" t="s">
        <v>38</v>
      </c>
      <c r="C46" s="2" t="s">
        <v>39</v>
      </c>
      <c r="D46" s="2" t="s">
        <v>40</v>
      </c>
      <c r="E46" s="2"/>
      <c r="F46" s="2" t="s">
        <v>41</v>
      </c>
      <c r="G46" s="2" t="s">
        <v>42</v>
      </c>
      <c r="H46" s="2" t="s">
        <v>257</v>
      </c>
      <c r="I46" s="2" t="s">
        <v>44</v>
      </c>
      <c r="J46" s="2" t="s">
        <v>45</v>
      </c>
      <c r="K46" s="2" t="s">
        <v>75</v>
      </c>
      <c r="L46" s="2" t="s">
        <v>98</v>
      </c>
      <c r="M46" s="2" t="s">
        <v>99</v>
      </c>
      <c r="N46" s="2" t="s">
        <v>100</v>
      </c>
      <c r="O46" s="2" t="s">
        <v>101</v>
      </c>
      <c r="P46" s="2" t="s">
        <v>271</v>
      </c>
      <c r="Q46" s="2" t="n">
        <v>2</v>
      </c>
      <c r="R46" s="2" t="n">
        <v>0</v>
      </c>
      <c r="S46" s="2" t="n">
        <v>0</v>
      </c>
      <c r="T46" s="2" t="n">
        <v>0</v>
      </c>
      <c r="U46" s="2" t="n">
        <v>0</v>
      </c>
      <c r="V46" s="2" t="n">
        <v>0</v>
      </c>
      <c r="W46" s="2" t="n">
        <v>0</v>
      </c>
      <c r="X46" s="2" t="n">
        <v>0</v>
      </c>
      <c r="Y46" s="2" t="n">
        <v>0</v>
      </c>
      <c r="Z46" s="2" t="n">
        <v>0</v>
      </c>
      <c r="AA46" s="2" t="n">
        <v>0</v>
      </c>
      <c r="AB46" s="3" t="n">
        <f aca="false">SUM(Q46:Y46)-Z46</f>
        <v>2</v>
      </c>
      <c r="AC46" s="3" t="str">
        <f aca="false">IF(I46="","",IF(OR(LEFT(I46,3)="BKK",I46="LCH55"),"BKK",IF(LEFT(I46,3)="LCH","LCH","OTHER")))</f>
        <v>BKK</v>
      </c>
      <c r="AD46" s="3" t="n">
        <f aca="false">MAX(0,Q46-MAX(0,Z46-0))</f>
        <v>2</v>
      </c>
      <c r="AE46" s="3" t="n">
        <f aca="false">MAX(0,R46-MAX(0,Z46-SUM(Q46:Q46)))</f>
        <v>0</v>
      </c>
      <c r="AF46" s="3" t="n">
        <f aca="false">MAX(0,S46-MAX(0,Z46-SUM(Q46:R46)))</f>
        <v>0</v>
      </c>
      <c r="AG46" s="3" t="n">
        <f aca="false">MAX(0,T46-MAX(0,Z46-SUM(Q46:S46)))</f>
        <v>0</v>
      </c>
      <c r="AH46" s="3" t="n">
        <f aca="false">MAX(0,U46-MAX(0,Z46-SUM(Q46:T46)))</f>
        <v>0</v>
      </c>
      <c r="AI46" s="3" t="n">
        <f aca="false">MAX(0,V46-MAX(0,Z46-SUM(Q46:U46)))</f>
        <v>0</v>
      </c>
      <c r="AJ46" s="3" t="n">
        <f aca="false">MAX(0,W46-MAX(0,Z46-SUM(Q46:V46)))</f>
        <v>0</v>
      </c>
      <c r="AK46" s="3" t="n">
        <f aca="false">MAX(0,X46-MAX(0,Z46-SUM(Q46:W46)))</f>
        <v>0</v>
      </c>
      <c r="AL46" s="3" t="n">
        <f aca="false">MAX(0,Y46-MAX(0,Z46-SUM(Q46:X46)))</f>
        <v>0</v>
      </c>
    </row>
    <row r="47" customFormat="false" ht="15" hidden="false" customHeight="false" outlineLevel="0" collapsed="false">
      <c r="A47" s="2" t="s">
        <v>272</v>
      </c>
      <c r="B47" s="2" t="s">
        <v>273</v>
      </c>
      <c r="C47" s="2" t="s">
        <v>139</v>
      </c>
      <c r="D47" s="2" t="s">
        <v>274</v>
      </c>
      <c r="E47" s="2"/>
      <c r="F47" s="2" t="s">
        <v>63</v>
      </c>
      <c r="G47" s="2" t="s">
        <v>141</v>
      </c>
      <c r="H47" s="2" t="s">
        <v>257</v>
      </c>
      <c r="I47" s="2" t="s">
        <v>65</v>
      </c>
      <c r="J47" s="2" t="s">
        <v>66</v>
      </c>
      <c r="K47" s="2" t="s">
        <v>275</v>
      </c>
      <c r="L47" s="2" t="s">
        <v>174</v>
      </c>
      <c r="M47" s="2" t="s">
        <v>175</v>
      </c>
      <c r="N47" s="2" t="s">
        <v>231</v>
      </c>
      <c r="O47" s="2" t="s">
        <v>144</v>
      </c>
      <c r="P47" s="2" t="s">
        <v>276</v>
      </c>
      <c r="Q47" s="2" t="n">
        <v>2</v>
      </c>
      <c r="R47" s="2" t="n">
        <v>0</v>
      </c>
      <c r="S47" s="2" t="n">
        <v>0</v>
      </c>
      <c r="T47" s="2" t="n">
        <v>0</v>
      </c>
      <c r="U47" s="2" t="n">
        <v>0</v>
      </c>
      <c r="V47" s="2" t="n">
        <v>0</v>
      </c>
      <c r="W47" s="2" t="n">
        <v>0</v>
      </c>
      <c r="X47" s="2" t="n">
        <v>0</v>
      </c>
      <c r="Y47" s="2" t="n">
        <v>0</v>
      </c>
      <c r="Z47" s="2" t="n">
        <v>0</v>
      </c>
      <c r="AA47" s="2" t="n">
        <v>0</v>
      </c>
      <c r="AB47" s="3" t="n">
        <f aca="false">SUM(Q47:Y47)-Z47</f>
        <v>2</v>
      </c>
      <c r="AC47" s="3" t="str">
        <f aca="false">IF(I47="","",IF(OR(LEFT(I47,3)="BKK",I47="LCH55"),"BKK",IF(LEFT(I47,3)="LCH","LCH","OTHER")))</f>
        <v>LCH</v>
      </c>
      <c r="AD47" s="3" t="n">
        <f aca="false">MAX(0,Q47-MAX(0,Z47-0))</f>
        <v>2</v>
      </c>
      <c r="AE47" s="3" t="n">
        <f aca="false">MAX(0,R47-MAX(0,Z47-SUM(Q47:Q47)))</f>
        <v>0</v>
      </c>
      <c r="AF47" s="3" t="n">
        <f aca="false">MAX(0,S47-MAX(0,Z47-SUM(Q47:R47)))</f>
        <v>0</v>
      </c>
      <c r="AG47" s="3" t="n">
        <f aca="false">MAX(0,T47-MAX(0,Z47-SUM(Q47:S47)))</f>
        <v>0</v>
      </c>
      <c r="AH47" s="3" t="n">
        <f aca="false">MAX(0,U47-MAX(0,Z47-SUM(Q47:T47)))</f>
        <v>0</v>
      </c>
      <c r="AI47" s="3" t="n">
        <f aca="false">MAX(0,V47-MAX(0,Z47-SUM(Q47:U47)))</f>
        <v>0</v>
      </c>
      <c r="AJ47" s="3" t="n">
        <f aca="false">MAX(0,W47-MAX(0,Z47-SUM(Q47:V47)))</f>
        <v>0</v>
      </c>
      <c r="AK47" s="3" t="n">
        <f aca="false">MAX(0,X47-MAX(0,Z47-SUM(Q47:W47)))</f>
        <v>0</v>
      </c>
      <c r="AL47" s="3" t="n">
        <f aca="false">MAX(0,Y47-MAX(0,Z47-SUM(Q47:X47)))</f>
        <v>0</v>
      </c>
    </row>
    <row r="48" customFormat="false" ht="15" hidden="false" customHeight="false" outlineLevel="0" collapsed="false">
      <c r="A48" s="2" t="s">
        <v>277</v>
      </c>
      <c r="B48" s="2" t="s">
        <v>38</v>
      </c>
      <c r="C48" s="2" t="s">
        <v>39</v>
      </c>
      <c r="D48" s="2" t="s">
        <v>74</v>
      </c>
      <c r="E48" s="2"/>
      <c r="F48" s="2" t="s">
        <v>63</v>
      </c>
      <c r="G48" s="2" t="s">
        <v>42</v>
      </c>
      <c r="H48" s="2" t="s">
        <v>257</v>
      </c>
      <c r="I48" s="2" t="s">
        <v>65</v>
      </c>
      <c r="J48" s="2" t="s">
        <v>66</v>
      </c>
      <c r="K48" s="2" t="s">
        <v>75</v>
      </c>
      <c r="L48" s="2" t="s">
        <v>76</v>
      </c>
      <c r="M48" s="2" t="s">
        <v>76</v>
      </c>
      <c r="N48" s="2" t="s">
        <v>70</v>
      </c>
      <c r="O48" s="2" t="s">
        <v>77</v>
      </c>
      <c r="P48" s="2" t="s">
        <v>278</v>
      </c>
      <c r="Q48" s="2" t="n">
        <v>2</v>
      </c>
      <c r="R48" s="2" t="n">
        <v>0</v>
      </c>
      <c r="S48" s="2" t="n">
        <v>0</v>
      </c>
      <c r="T48" s="2" t="n">
        <v>0</v>
      </c>
      <c r="U48" s="2" t="n">
        <v>0</v>
      </c>
      <c r="V48" s="2" t="n">
        <v>0</v>
      </c>
      <c r="W48" s="2" t="n">
        <v>0</v>
      </c>
      <c r="X48" s="2" t="n">
        <v>0</v>
      </c>
      <c r="Y48" s="2" t="n">
        <v>0</v>
      </c>
      <c r="Z48" s="2" t="n">
        <v>0</v>
      </c>
      <c r="AA48" s="2" t="n">
        <v>0</v>
      </c>
      <c r="AB48" s="3" t="n">
        <f aca="false">SUM(Q48:Y48)-Z48</f>
        <v>2</v>
      </c>
      <c r="AC48" s="3" t="str">
        <f aca="false">IF(I48="","",IF(OR(LEFT(I48,3)="BKK",I48="LCH55"),"BKK",IF(LEFT(I48,3)="LCH","LCH","OTHER")))</f>
        <v>LCH</v>
      </c>
      <c r="AD48" s="3" t="n">
        <f aca="false">MAX(0,Q48-MAX(0,Z48-0))</f>
        <v>2</v>
      </c>
      <c r="AE48" s="3" t="n">
        <f aca="false">MAX(0,R48-MAX(0,Z48-SUM(Q48:Q48)))</f>
        <v>0</v>
      </c>
      <c r="AF48" s="3" t="n">
        <f aca="false">MAX(0,S48-MAX(0,Z48-SUM(Q48:R48)))</f>
        <v>0</v>
      </c>
      <c r="AG48" s="3" t="n">
        <f aca="false">MAX(0,T48-MAX(0,Z48-SUM(Q48:S48)))</f>
        <v>0</v>
      </c>
      <c r="AH48" s="3" t="n">
        <f aca="false">MAX(0,U48-MAX(0,Z48-SUM(Q48:T48)))</f>
        <v>0</v>
      </c>
      <c r="AI48" s="3" t="n">
        <f aca="false">MAX(0,V48-MAX(0,Z48-SUM(Q48:U48)))</f>
        <v>0</v>
      </c>
      <c r="AJ48" s="3" t="n">
        <f aca="false">MAX(0,W48-MAX(0,Z48-SUM(Q48:V48)))</f>
        <v>0</v>
      </c>
      <c r="AK48" s="3" t="n">
        <f aca="false">MAX(0,X48-MAX(0,Z48-SUM(Q48:W48)))</f>
        <v>0</v>
      </c>
      <c r="AL48" s="3" t="n">
        <f aca="false">MAX(0,Y48-MAX(0,Z48-SUM(Q48:X48)))</f>
        <v>0</v>
      </c>
    </row>
    <row r="49" customFormat="false" ht="15" hidden="false" customHeight="false" outlineLevel="0" collapsed="false">
      <c r="A49" s="2" t="s">
        <v>279</v>
      </c>
      <c r="B49" s="2" t="s">
        <v>86</v>
      </c>
      <c r="C49" s="2" t="s">
        <v>39</v>
      </c>
      <c r="D49" s="2" t="s">
        <v>87</v>
      </c>
      <c r="E49" s="2"/>
      <c r="F49" s="2" t="s">
        <v>41</v>
      </c>
      <c r="G49" s="2" t="s">
        <v>88</v>
      </c>
      <c r="H49" s="2" t="s">
        <v>257</v>
      </c>
      <c r="I49" s="2" t="s">
        <v>44</v>
      </c>
      <c r="J49" s="2" t="s">
        <v>45</v>
      </c>
      <c r="K49" s="2" t="s">
        <v>280</v>
      </c>
      <c r="L49" s="2" t="s">
        <v>281</v>
      </c>
      <c r="M49" s="2" t="s">
        <v>282</v>
      </c>
      <c r="N49" s="2" t="s">
        <v>283</v>
      </c>
      <c r="O49" s="2" t="s">
        <v>144</v>
      </c>
      <c r="P49" s="2" t="s">
        <v>284</v>
      </c>
      <c r="Q49" s="2" t="n">
        <v>2</v>
      </c>
      <c r="R49" s="2" t="n">
        <v>0</v>
      </c>
      <c r="S49" s="2" t="n">
        <v>0</v>
      </c>
      <c r="T49" s="2" t="n">
        <v>0</v>
      </c>
      <c r="U49" s="2" t="n">
        <v>0</v>
      </c>
      <c r="V49" s="2" t="n">
        <v>0</v>
      </c>
      <c r="W49" s="2" t="n">
        <v>0</v>
      </c>
      <c r="X49" s="2" t="n">
        <v>0</v>
      </c>
      <c r="Y49" s="2" t="n">
        <v>0</v>
      </c>
      <c r="Z49" s="2" t="n">
        <v>0</v>
      </c>
      <c r="AA49" s="2" t="n">
        <v>0</v>
      </c>
      <c r="AB49" s="3" t="n">
        <f aca="false">SUM(Q49:Y49)-Z49</f>
        <v>2</v>
      </c>
      <c r="AC49" s="3" t="str">
        <f aca="false">IF(I49="","",IF(OR(LEFT(I49,3)="BKK",I49="LCH55"),"BKK",IF(LEFT(I49,3)="LCH","LCH","OTHER")))</f>
        <v>BKK</v>
      </c>
      <c r="AD49" s="3" t="n">
        <f aca="false">MAX(0,Q49-MAX(0,Z49-0))</f>
        <v>2</v>
      </c>
      <c r="AE49" s="3" t="n">
        <f aca="false">MAX(0,R49-MAX(0,Z49-SUM(Q49:Q49)))</f>
        <v>0</v>
      </c>
      <c r="AF49" s="3" t="n">
        <f aca="false">MAX(0,S49-MAX(0,Z49-SUM(Q49:R49)))</f>
        <v>0</v>
      </c>
      <c r="AG49" s="3" t="n">
        <f aca="false">MAX(0,T49-MAX(0,Z49-SUM(Q49:S49)))</f>
        <v>0</v>
      </c>
      <c r="AH49" s="3" t="n">
        <f aca="false">MAX(0,U49-MAX(0,Z49-SUM(Q49:T49)))</f>
        <v>0</v>
      </c>
      <c r="AI49" s="3" t="n">
        <f aca="false">MAX(0,V49-MAX(0,Z49-SUM(Q49:U49)))</f>
        <v>0</v>
      </c>
      <c r="AJ49" s="3" t="n">
        <f aca="false">MAX(0,W49-MAX(0,Z49-SUM(Q49:V49)))</f>
        <v>0</v>
      </c>
      <c r="AK49" s="3" t="n">
        <f aca="false">MAX(0,X49-MAX(0,Z49-SUM(Q49:W49)))</f>
        <v>0</v>
      </c>
      <c r="AL49" s="3" t="n">
        <f aca="false">MAX(0,Y49-MAX(0,Z49-SUM(Q49:X49)))</f>
        <v>0</v>
      </c>
    </row>
    <row r="50" customFormat="false" ht="15" hidden="false" customHeight="false" outlineLevel="0" collapsed="false">
      <c r="A50" s="2" t="s">
        <v>285</v>
      </c>
      <c r="B50" s="2" t="s">
        <v>38</v>
      </c>
      <c r="C50" s="2" t="s">
        <v>39</v>
      </c>
      <c r="D50" s="2" t="s">
        <v>40</v>
      </c>
      <c r="E50" s="2"/>
      <c r="F50" s="2" t="s">
        <v>41</v>
      </c>
      <c r="G50" s="2" t="s">
        <v>286</v>
      </c>
      <c r="H50" s="2" t="s">
        <v>287</v>
      </c>
      <c r="I50" s="2" t="s">
        <v>44</v>
      </c>
      <c r="J50" s="2" t="s">
        <v>45</v>
      </c>
      <c r="K50" s="2" t="s">
        <v>53</v>
      </c>
      <c r="L50" s="2" t="s">
        <v>288</v>
      </c>
      <c r="M50" s="2" t="s">
        <v>289</v>
      </c>
      <c r="N50" s="2" t="s">
        <v>290</v>
      </c>
      <c r="O50" s="2" t="s">
        <v>291</v>
      </c>
      <c r="P50" s="2" t="s">
        <v>163</v>
      </c>
      <c r="Q50" s="2" t="n">
        <v>3</v>
      </c>
      <c r="R50" s="2" t="n">
        <v>0</v>
      </c>
      <c r="S50" s="2" t="n">
        <v>0</v>
      </c>
      <c r="T50" s="2" t="n">
        <v>0</v>
      </c>
      <c r="U50" s="2" t="n">
        <v>0</v>
      </c>
      <c r="V50" s="2" t="n">
        <v>0</v>
      </c>
      <c r="W50" s="2" t="n">
        <v>0</v>
      </c>
      <c r="X50" s="2" t="n">
        <v>0</v>
      </c>
      <c r="Y50" s="2" t="n">
        <v>0</v>
      </c>
      <c r="Z50" s="2" t="n">
        <v>0</v>
      </c>
      <c r="AA50" s="2" t="n">
        <v>0</v>
      </c>
      <c r="AB50" s="3" t="n">
        <f aca="false">SUM(Q50:Y50)-Z50</f>
        <v>3</v>
      </c>
      <c r="AC50" s="3" t="str">
        <f aca="false">IF(I50="","",IF(OR(LEFT(I50,3)="BKK",I50="LCH55"),"BKK",IF(LEFT(I50,3)="LCH","LCH","OTHER")))</f>
        <v>BKK</v>
      </c>
      <c r="AD50" s="3" t="n">
        <f aca="false">MAX(0,Q50-MAX(0,Z50-0))</f>
        <v>3</v>
      </c>
      <c r="AE50" s="3" t="n">
        <f aca="false">MAX(0,R50-MAX(0,Z50-SUM(Q50:Q50)))</f>
        <v>0</v>
      </c>
      <c r="AF50" s="3" t="n">
        <f aca="false">MAX(0,S50-MAX(0,Z50-SUM(Q50:R50)))</f>
        <v>0</v>
      </c>
      <c r="AG50" s="3" t="n">
        <f aca="false">MAX(0,T50-MAX(0,Z50-SUM(Q50:S50)))</f>
        <v>0</v>
      </c>
      <c r="AH50" s="3" t="n">
        <f aca="false">MAX(0,U50-MAX(0,Z50-SUM(Q50:T50)))</f>
        <v>0</v>
      </c>
      <c r="AI50" s="3" t="n">
        <f aca="false">MAX(0,V50-MAX(0,Z50-SUM(Q50:U50)))</f>
        <v>0</v>
      </c>
      <c r="AJ50" s="3" t="n">
        <f aca="false">MAX(0,W50-MAX(0,Z50-SUM(Q50:V50)))</f>
        <v>0</v>
      </c>
      <c r="AK50" s="3" t="n">
        <f aca="false">MAX(0,X50-MAX(0,Z50-SUM(Q50:W50)))</f>
        <v>0</v>
      </c>
      <c r="AL50" s="3" t="n">
        <f aca="false">MAX(0,Y50-MAX(0,Z50-SUM(Q50:X50)))</f>
        <v>0</v>
      </c>
    </row>
    <row r="51" customFormat="false" ht="15" hidden="false" customHeight="false" outlineLevel="0" collapsed="false">
      <c r="A51" s="5" t="s">
        <v>292</v>
      </c>
      <c r="B51" s="5" t="s">
        <v>293</v>
      </c>
      <c r="C51" s="5" t="s">
        <v>294</v>
      </c>
      <c r="D51" s="5" t="s">
        <v>295</v>
      </c>
      <c r="E51" s="5"/>
      <c r="F51" s="5" t="s">
        <v>63</v>
      </c>
      <c r="G51" s="5" t="s">
        <v>88</v>
      </c>
      <c r="H51" s="5" t="s">
        <v>296</v>
      </c>
      <c r="I51" s="5"/>
      <c r="J51" s="5"/>
      <c r="K51" s="5" t="s">
        <v>53</v>
      </c>
      <c r="L51" s="5" t="s">
        <v>281</v>
      </c>
      <c r="M51" s="5" t="s">
        <v>297</v>
      </c>
      <c r="N51" s="5" t="s">
        <v>298</v>
      </c>
      <c r="O51" s="5" t="s">
        <v>144</v>
      </c>
      <c r="P51" s="5" t="s">
        <v>299</v>
      </c>
      <c r="Q51" s="5" t="n">
        <v>0</v>
      </c>
      <c r="R51" s="5" t="n">
        <v>0</v>
      </c>
      <c r="S51" s="5" t="n">
        <v>1</v>
      </c>
      <c r="T51" s="5" t="n">
        <v>0</v>
      </c>
      <c r="U51" s="5" t="n">
        <v>0</v>
      </c>
      <c r="V51" s="5" t="n">
        <v>0</v>
      </c>
      <c r="W51" s="5" t="n">
        <v>0</v>
      </c>
      <c r="X51" s="5" t="n">
        <v>0</v>
      </c>
      <c r="Y51" s="5" t="n">
        <v>0</v>
      </c>
      <c r="Z51" s="5" t="n">
        <v>0</v>
      </c>
      <c r="AA51" s="5" t="n">
        <v>0</v>
      </c>
      <c r="AB51" s="6" t="n">
        <f aca="false">SUM(Q51:Y51)-Z51</f>
        <v>1</v>
      </c>
      <c r="AC51" s="6" t="str">
        <f aca="false">IF(I51="","",IF(OR(LEFT(I51,3)="BKK",I51="LCH55"),"BKK",IF(LEFT(I51,3)="LCH","LCH","OTHER")))</f>
        <v/>
      </c>
      <c r="AD51" s="6" t="n">
        <f aca="false">MAX(0,Q51-MAX(0,Z51-0))</f>
        <v>0</v>
      </c>
      <c r="AE51" s="6" t="n">
        <f aca="false">MAX(0,R51-MAX(0,Z51-SUM(Q51:Q51)))</f>
        <v>0</v>
      </c>
      <c r="AF51" s="6" t="n">
        <f aca="false">MAX(0,S51-MAX(0,Z51-SUM(Q51:R51)))</f>
        <v>1</v>
      </c>
      <c r="AG51" s="6" t="n">
        <f aca="false">MAX(0,T51-MAX(0,Z51-SUM(Q51:S51)))</f>
        <v>0</v>
      </c>
      <c r="AH51" s="6" t="n">
        <f aca="false">MAX(0,U51-MAX(0,Z51-SUM(Q51:T51)))</f>
        <v>0</v>
      </c>
      <c r="AI51" s="6" t="n">
        <f aca="false">MAX(0,V51-MAX(0,Z51-SUM(Q51:U51)))</f>
        <v>0</v>
      </c>
      <c r="AJ51" s="6" t="n">
        <f aca="false">MAX(0,W51-MAX(0,Z51-SUM(Q51:V51)))</f>
        <v>0</v>
      </c>
      <c r="AK51" s="6" t="n">
        <f aca="false">MAX(0,X51-MAX(0,Z51-SUM(Q51:W51)))</f>
        <v>0</v>
      </c>
      <c r="AL51" s="6" t="n">
        <f aca="false">MAX(0,Y51-MAX(0,Z51-SUM(Q51:X51)))</f>
        <v>0</v>
      </c>
    </row>
    <row r="52" customFormat="false" ht="15" hidden="false" customHeight="false" outlineLevel="0" collapsed="false">
      <c r="A52" s="2" t="s">
        <v>300</v>
      </c>
      <c r="B52" s="2" t="s">
        <v>38</v>
      </c>
      <c r="C52" s="2" t="s">
        <v>39</v>
      </c>
      <c r="D52" s="2" t="s">
        <v>40</v>
      </c>
      <c r="E52" s="2"/>
      <c r="F52" s="2" t="s">
        <v>41</v>
      </c>
      <c r="G52" s="2" t="s">
        <v>42</v>
      </c>
      <c r="H52" s="2" t="s">
        <v>296</v>
      </c>
      <c r="I52" s="2" t="s">
        <v>89</v>
      </c>
      <c r="J52" s="2" t="s">
        <v>90</v>
      </c>
      <c r="K52" s="2" t="s">
        <v>75</v>
      </c>
      <c r="L52" s="2" t="s">
        <v>301</v>
      </c>
      <c r="M52" s="2" t="s">
        <v>301</v>
      </c>
      <c r="N52" s="2" t="s">
        <v>302</v>
      </c>
      <c r="O52" s="2" t="s">
        <v>303</v>
      </c>
      <c r="P52" s="2" t="s">
        <v>304</v>
      </c>
      <c r="Q52" s="2" t="n">
        <v>0</v>
      </c>
      <c r="R52" s="2" t="n">
        <v>0</v>
      </c>
      <c r="S52" s="2" t="n">
        <v>1</v>
      </c>
      <c r="T52" s="2" t="n">
        <v>0</v>
      </c>
      <c r="U52" s="2" t="n">
        <v>0</v>
      </c>
      <c r="V52" s="2" t="n">
        <v>0</v>
      </c>
      <c r="W52" s="2" t="n">
        <v>0</v>
      </c>
      <c r="X52" s="2" t="n">
        <v>0</v>
      </c>
      <c r="Y52" s="2" t="n">
        <v>0</v>
      </c>
      <c r="Z52" s="2" t="n">
        <v>0</v>
      </c>
      <c r="AA52" s="2" t="n">
        <v>0</v>
      </c>
      <c r="AB52" s="3" t="n">
        <f aca="false">SUM(Q52:Y52)-Z52</f>
        <v>1</v>
      </c>
      <c r="AC52" s="3" t="str">
        <f aca="false">IF(I52="","",IF(OR(LEFT(I52,3)="BKK",I52="LCH55"),"BKK",IF(LEFT(I52,3)="LCH","LCH","OTHER")))</f>
        <v>BKK</v>
      </c>
      <c r="AD52" s="3" t="n">
        <f aca="false">MAX(0,Q52-MAX(0,Z52-0))</f>
        <v>0</v>
      </c>
      <c r="AE52" s="3" t="n">
        <f aca="false">MAX(0,R52-MAX(0,Z52-SUM(Q52:Q52)))</f>
        <v>0</v>
      </c>
      <c r="AF52" s="3" t="n">
        <f aca="false">MAX(0,S52-MAX(0,Z52-SUM(Q52:R52)))</f>
        <v>1</v>
      </c>
      <c r="AG52" s="3" t="n">
        <f aca="false">MAX(0,T52-MAX(0,Z52-SUM(Q52:S52)))</f>
        <v>0</v>
      </c>
      <c r="AH52" s="3" t="n">
        <f aca="false">MAX(0,U52-MAX(0,Z52-SUM(Q52:T52)))</f>
        <v>0</v>
      </c>
      <c r="AI52" s="3" t="n">
        <f aca="false">MAX(0,V52-MAX(0,Z52-SUM(Q52:U52)))</f>
        <v>0</v>
      </c>
      <c r="AJ52" s="3" t="n">
        <f aca="false">MAX(0,W52-MAX(0,Z52-SUM(Q52:V52)))</f>
        <v>0</v>
      </c>
      <c r="AK52" s="3" t="n">
        <f aca="false">MAX(0,X52-MAX(0,Z52-SUM(Q52:W52)))</f>
        <v>0</v>
      </c>
      <c r="AL52" s="3" t="n">
        <f aca="false">MAX(0,Y52-MAX(0,Z52-SUM(Q52:X52)))</f>
        <v>0</v>
      </c>
    </row>
    <row r="53" customFormat="false" ht="15" hidden="false" customHeight="false" outlineLevel="0" collapsed="false">
      <c r="A53" s="2" t="s">
        <v>305</v>
      </c>
      <c r="B53" s="2" t="s">
        <v>306</v>
      </c>
      <c r="C53" s="2" t="s">
        <v>61</v>
      </c>
      <c r="D53" s="2" t="s">
        <v>307</v>
      </c>
      <c r="E53" s="2"/>
      <c r="F53" s="2" t="s">
        <v>41</v>
      </c>
      <c r="G53" s="2" t="s">
        <v>308</v>
      </c>
      <c r="H53" s="2" t="s">
        <v>296</v>
      </c>
      <c r="I53" s="2" t="s">
        <v>44</v>
      </c>
      <c r="J53" s="2" t="s">
        <v>45</v>
      </c>
      <c r="K53" s="2" t="s">
        <v>53</v>
      </c>
      <c r="L53" s="2" t="s">
        <v>309</v>
      </c>
      <c r="M53" s="2" t="s">
        <v>310</v>
      </c>
      <c r="N53" s="2" t="s">
        <v>311</v>
      </c>
      <c r="O53" s="2" t="s">
        <v>312</v>
      </c>
      <c r="P53" s="2" t="s">
        <v>313</v>
      </c>
      <c r="Q53" s="2" t="n">
        <v>0</v>
      </c>
      <c r="R53" s="2" t="n">
        <v>0</v>
      </c>
      <c r="S53" s="2" t="n">
        <v>1</v>
      </c>
      <c r="T53" s="2" t="n">
        <v>0</v>
      </c>
      <c r="U53" s="2" t="n">
        <v>0</v>
      </c>
      <c r="V53" s="2" t="n">
        <v>0</v>
      </c>
      <c r="W53" s="2" t="n">
        <v>0</v>
      </c>
      <c r="X53" s="2" t="n">
        <v>0</v>
      </c>
      <c r="Y53" s="2" t="n">
        <v>0</v>
      </c>
      <c r="Z53" s="2" t="n">
        <v>0</v>
      </c>
      <c r="AA53" s="2" t="n">
        <v>0</v>
      </c>
      <c r="AB53" s="3" t="n">
        <f aca="false">SUM(Q53:Y53)-Z53</f>
        <v>1</v>
      </c>
      <c r="AC53" s="3" t="str">
        <f aca="false">IF(I53="","",IF(OR(LEFT(I53,3)="BKK",I53="LCH55"),"BKK",IF(LEFT(I53,3)="LCH","LCH","OTHER")))</f>
        <v>BKK</v>
      </c>
      <c r="AD53" s="3" t="n">
        <f aca="false">MAX(0,Q53-MAX(0,Z53-0))</f>
        <v>0</v>
      </c>
      <c r="AE53" s="3" t="n">
        <f aca="false">MAX(0,R53-MAX(0,Z53-SUM(Q53:Q53)))</f>
        <v>0</v>
      </c>
      <c r="AF53" s="3" t="n">
        <f aca="false">MAX(0,S53-MAX(0,Z53-SUM(Q53:R53)))</f>
        <v>1</v>
      </c>
      <c r="AG53" s="3" t="n">
        <f aca="false">MAX(0,T53-MAX(0,Z53-SUM(Q53:S53)))</f>
        <v>0</v>
      </c>
      <c r="AH53" s="3" t="n">
        <f aca="false">MAX(0,U53-MAX(0,Z53-SUM(Q53:T53)))</f>
        <v>0</v>
      </c>
      <c r="AI53" s="3" t="n">
        <f aca="false">MAX(0,V53-MAX(0,Z53-SUM(Q53:U53)))</f>
        <v>0</v>
      </c>
      <c r="AJ53" s="3" t="n">
        <f aca="false">MAX(0,W53-MAX(0,Z53-SUM(Q53:V53)))</f>
        <v>0</v>
      </c>
      <c r="AK53" s="3" t="n">
        <f aca="false">MAX(0,X53-MAX(0,Z53-SUM(Q53:W53)))</f>
        <v>0</v>
      </c>
      <c r="AL53" s="3" t="n">
        <f aca="false">MAX(0,Y53-MAX(0,Z53-SUM(Q53:X53)))</f>
        <v>0</v>
      </c>
    </row>
    <row r="54" customFormat="false" ht="15" hidden="false" customHeight="false" outlineLevel="0" collapsed="false">
      <c r="A54" s="2" t="s">
        <v>314</v>
      </c>
      <c r="B54" s="2" t="s">
        <v>38</v>
      </c>
      <c r="C54" s="2" t="s">
        <v>39</v>
      </c>
      <c r="D54" s="2" t="s">
        <v>40</v>
      </c>
      <c r="E54" s="2"/>
      <c r="F54" s="2" t="s">
        <v>41</v>
      </c>
      <c r="G54" s="2" t="s">
        <v>42</v>
      </c>
      <c r="H54" s="2" t="s">
        <v>296</v>
      </c>
      <c r="I54" s="2" t="s">
        <v>210</v>
      </c>
      <c r="J54" s="2" t="s">
        <v>211</v>
      </c>
      <c r="K54" s="2" t="s">
        <v>132</v>
      </c>
      <c r="L54" s="2" t="s">
        <v>315</v>
      </c>
      <c r="M54" s="2" t="s">
        <v>316</v>
      </c>
      <c r="N54" s="2" t="s">
        <v>317</v>
      </c>
      <c r="O54" s="2" t="s">
        <v>144</v>
      </c>
      <c r="P54" s="2" t="s">
        <v>318</v>
      </c>
      <c r="Q54" s="2" t="n">
        <v>0</v>
      </c>
      <c r="R54" s="2" t="n">
        <v>0</v>
      </c>
      <c r="S54" s="2" t="n">
        <v>1</v>
      </c>
      <c r="T54" s="2" t="n">
        <v>0</v>
      </c>
      <c r="U54" s="2" t="n">
        <v>0</v>
      </c>
      <c r="V54" s="2" t="n">
        <v>0</v>
      </c>
      <c r="W54" s="2" t="n">
        <v>0</v>
      </c>
      <c r="X54" s="2" t="n">
        <v>0</v>
      </c>
      <c r="Y54" s="2" t="n">
        <v>0</v>
      </c>
      <c r="Z54" s="2" t="n">
        <v>0</v>
      </c>
      <c r="AA54" s="2" t="n">
        <v>0</v>
      </c>
      <c r="AB54" s="3" t="n">
        <f aca="false">SUM(Q54:Y54)-Z54</f>
        <v>1</v>
      </c>
      <c r="AC54" s="3" t="str">
        <f aca="false">IF(I54="","",IF(OR(LEFT(I54,3)="BKK",I54="LCH55"),"BKK",IF(LEFT(I54,3)="LCH","LCH","OTHER")))</f>
        <v>BKK</v>
      </c>
      <c r="AD54" s="3" t="n">
        <f aca="false">MAX(0,Q54-MAX(0,Z54-0))</f>
        <v>0</v>
      </c>
      <c r="AE54" s="3" t="n">
        <f aca="false">MAX(0,R54-MAX(0,Z54-SUM(Q54:Q54)))</f>
        <v>0</v>
      </c>
      <c r="AF54" s="3" t="n">
        <f aca="false">MAX(0,S54-MAX(0,Z54-SUM(Q54:R54)))</f>
        <v>1</v>
      </c>
      <c r="AG54" s="3" t="n">
        <f aca="false">MAX(0,T54-MAX(0,Z54-SUM(Q54:S54)))</f>
        <v>0</v>
      </c>
      <c r="AH54" s="3" t="n">
        <f aca="false">MAX(0,U54-MAX(0,Z54-SUM(Q54:T54)))</f>
        <v>0</v>
      </c>
      <c r="AI54" s="3" t="n">
        <f aca="false">MAX(0,V54-MAX(0,Z54-SUM(Q54:U54)))</f>
        <v>0</v>
      </c>
      <c r="AJ54" s="3" t="n">
        <f aca="false">MAX(0,W54-MAX(0,Z54-SUM(Q54:V54)))</f>
        <v>0</v>
      </c>
      <c r="AK54" s="3" t="n">
        <f aca="false">MAX(0,X54-MAX(0,Z54-SUM(Q54:W54)))</f>
        <v>0</v>
      </c>
      <c r="AL54" s="3" t="n">
        <f aca="false">MAX(0,Y54-MAX(0,Z54-SUM(Q54:X54)))</f>
        <v>0</v>
      </c>
    </row>
    <row r="55" customFormat="false" ht="15" hidden="false" customHeight="false" outlineLevel="0" collapsed="false">
      <c r="A55" s="2" t="s">
        <v>319</v>
      </c>
      <c r="B55" s="2" t="s">
        <v>320</v>
      </c>
      <c r="C55" s="2" t="s">
        <v>294</v>
      </c>
      <c r="D55" s="2" t="s">
        <v>321</v>
      </c>
      <c r="E55" s="2"/>
      <c r="F55" s="2" t="s">
        <v>41</v>
      </c>
      <c r="G55" s="2" t="s">
        <v>322</v>
      </c>
      <c r="H55" s="2" t="s">
        <v>296</v>
      </c>
      <c r="I55" s="2" t="s">
        <v>44</v>
      </c>
      <c r="J55" s="2" t="s">
        <v>45</v>
      </c>
      <c r="K55" s="2" t="s">
        <v>132</v>
      </c>
      <c r="L55" s="2" t="s">
        <v>323</v>
      </c>
      <c r="M55" s="2" t="s">
        <v>324</v>
      </c>
      <c r="N55" s="2" t="s">
        <v>325</v>
      </c>
      <c r="O55" s="2" t="s">
        <v>144</v>
      </c>
      <c r="P55" s="2" t="s">
        <v>326</v>
      </c>
      <c r="Q55" s="2" t="n">
        <v>0</v>
      </c>
      <c r="R55" s="2" t="n">
        <v>0</v>
      </c>
      <c r="S55" s="2" t="n">
        <v>1</v>
      </c>
      <c r="T55" s="2" t="n">
        <v>0</v>
      </c>
      <c r="U55" s="2" t="n">
        <v>0</v>
      </c>
      <c r="V55" s="2" t="n">
        <v>0</v>
      </c>
      <c r="W55" s="2" t="n">
        <v>0</v>
      </c>
      <c r="X55" s="2" t="n">
        <v>0</v>
      </c>
      <c r="Y55" s="2" t="n">
        <v>0</v>
      </c>
      <c r="Z55" s="2" t="n">
        <v>0</v>
      </c>
      <c r="AA55" s="2" t="n">
        <v>0</v>
      </c>
      <c r="AB55" s="3" t="n">
        <f aca="false">SUM(Q55:Y55)-Z55</f>
        <v>1</v>
      </c>
      <c r="AC55" s="3" t="str">
        <f aca="false">IF(I55="","",IF(OR(LEFT(I55,3)="BKK",I55="LCH55"),"BKK",IF(LEFT(I55,3)="LCH","LCH","OTHER")))</f>
        <v>BKK</v>
      </c>
      <c r="AD55" s="3" t="n">
        <f aca="false">MAX(0,Q55-MAX(0,Z55-0))</f>
        <v>0</v>
      </c>
      <c r="AE55" s="3" t="n">
        <f aca="false">MAX(0,R55-MAX(0,Z55-SUM(Q55:Q55)))</f>
        <v>0</v>
      </c>
      <c r="AF55" s="3" t="n">
        <f aca="false">MAX(0,S55-MAX(0,Z55-SUM(Q55:R55)))</f>
        <v>1</v>
      </c>
      <c r="AG55" s="3" t="n">
        <f aca="false">MAX(0,T55-MAX(0,Z55-SUM(Q55:S55)))</f>
        <v>0</v>
      </c>
      <c r="AH55" s="3" t="n">
        <f aca="false">MAX(0,U55-MAX(0,Z55-SUM(Q55:T55)))</f>
        <v>0</v>
      </c>
      <c r="AI55" s="3" t="n">
        <f aca="false">MAX(0,V55-MAX(0,Z55-SUM(Q55:U55)))</f>
        <v>0</v>
      </c>
      <c r="AJ55" s="3" t="n">
        <f aca="false">MAX(0,W55-MAX(0,Z55-SUM(Q55:V55)))</f>
        <v>0</v>
      </c>
      <c r="AK55" s="3" t="n">
        <f aca="false">MAX(0,X55-MAX(0,Z55-SUM(Q55:W55)))</f>
        <v>0</v>
      </c>
      <c r="AL55" s="3" t="n">
        <f aca="false">MAX(0,Y55-MAX(0,Z55-SUM(Q55:X55)))</f>
        <v>0</v>
      </c>
    </row>
    <row r="56" customFormat="false" ht="15" hidden="false" customHeight="false" outlineLevel="0" collapsed="false">
      <c r="A56" s="2" t="s">
        <v>327</v>
      </c>
      <c r="B56" s="2" t="s">
        <v>112</v>
      </c>
      <c r="C56" s="2" t="s">
        <v>113</v>
      </c>
      <c r="D56" s="2" t="s">
        <v>114</v>
      </c>
      <c r="E56" s="2" t="s">
        <v>328</v>
      </c>
      <c r="F56" s="2" t="s">
        <v>63</v>
      </c>
      <c r="G56" s="2" t="s">
        <v>173</v>
      </c>
      <c r="H56" s="2" t="s">
        <v>296</v>
      </c>
      <c r="I56" s="2" t="s">
        <v>210</v>
      </c>
      <c r="J56" s="2" t="s">
        <v>211</v>
      </c>
      <c r="K56" s="2" t="s">
        <v>75</v>
      </c>
      <c r="L56" s="2" t="s">
        <v>329</v>
      </c>
      <c r="M56" s="2" t="s">
        <v>330</v>
      </c>
      <c r="N56" s="2" t="s">
        <v>331</v>
      </c>
      <c r="O56" s="2" t="s">
        <v>332</v>
      </c>
      <c r="P56" s="4" t="s">
        <v>333</v>
      </c>
      <c r="Q56" s="2" t="n">
        <v>0</v>
      </c>
      <c r="R56" s="2" t="n">
        <v>0</v>
      </c>
      <c r="S56" s="2" t="n">
        <v>1</v>
      </c>
      <c r="T56" s="2" t="n">
        <v>0</v>
      </c>
      <c r="U56" s="2" t="n">
        <v>0</v>
      </c>
      <c r="V56" s="2" t="n">
        <v>0</v>
      </c>
      <c r="W56" s="2" t="n">
        <v>0</v>
      </c>
      <c r="X56" s="2" t="n">
        <v>0</v>
      </c>
      <c r="Y56" s="2" t="n">
        <v>0</v>
      </c>
      <c r="Z56" s="2" t="n">
        <v>0</v>
      </c>
      <c r="AA56" s="2" t="n">
        <v>0</v>
      </c>
      <c r="AB56" s="3" t="n">
        <f aca="false">SUM(Q56:Y56)-Z56</f>
        <v>1</v>
      </c>
      <c r="AC56" s="3" t="str">
        <f aca="false">IF(I56="","",IF(OR(LEFT(I56,3)="BKK",I56="LCH55"),"BKK",IF(LEFT(I56,3)="LCH","LCH","OTHER")))</f>
        <v>BKK</v>
      </c>
      <c r="AD56" s="3" t="n">
        <f aca="false">MAX(0,Q56-MAX(0,Z56-0))</f>
        <v>0</v>
      </c>
      <c r="AE56" s="3" t="n">
        <f aca="false">MAX(0,R56-MAX(0,Z56-SUM(Q56:Q56)))</f>
        <v>0</v>
      </c>
      <c r="AF56" s="3" t="n">
        <f aca="false">MAX(0,S56-MAX(0,Z56-SUM(Q56:R56)))</f>
        <v>1</v>
      </c>
      <c r="AG56" s="3" t="n">
        <f aca="false">MAX(0,T56-MAX(0,Z56-SUM(Q56:S56)))</f>
        <v>0</v>
      </c>
      <c r="AH56" s="3" t="n">
        <f aca="false">MAX(0,U56-MAX(0,Z56-SUM(Q56:T56)))</f>
        <v>0</v>
      </c>
      <c r="AI56" s="3" t="n">
        <f aca="false">MAX(0,V56-MAX(0,Z56-SUM(Q56:U56)))</f>
        <v>0</v>
      </c>
      <c r="AJ56" s="3" t="n">
        <f aca="false">MAX(0,W56-MAX(0,Z56-SUM(Q56:V56)))</f>
        <v>0</v>
      </c>
      <c r="AK56" s="3" t="n">
        <f aca="false">MAX(0,X56-MAX(0,Z56-SUM(Q56:W56)))</f>
        <v>0</v>
      </c>
      <c r="AL56" s="3" t="n">
        <f aca="false">MAX(0,Y56-MAX(0,Z56-SUM(Q56:X56)))</f>
        <v>0</v>
      </c>
    </row>
    <row r="57" customFormat="false" ht="15" hidden="false" customHeight="false" outlineLevel="0" collapsed="false">
      <c r="A57" s="2" t="s">
        <v>334</v>
      </c>
      <c r="B57" s="2" t="s">
        <v>335</v>
      </c>
      <c r="C57" s="2" t="s">
        <v>336</v>
      </c>
      <c r="D57" s="2" t="s">
        <v>337</v>
      </c>
      <c r="E57" s="2"/>
      <c r="F57" s="2" t="s">
        <v>63</v>
      </c>
      <c r="G57" s="2" t="s">
        <v>338</v>
      </c>
      <c r="H57" s="2" t="s">
        <v>296</v>
      </c>
      <c r="I57" s="2" t="s">
        <v>65</v>
      </c>
      <c r="J57" s="2" t="s">
        <v>66</v>
      </c>
      <c r="K57" s="2" t="s">
        <v>53</v>
      </c>
      <c r="L57" s="2" t="s">
        <v>339</v>
      </c>
      <c r="M57" s="2" t="s">
        <v>340</v>
      </c>
      <c r="N57" s="2" t="s">
        <v>341</v>
      </c>
      <c r="O57" s="2" t="s">
        <v>144</v>
      </c>
      <c r="P57" s="2" t="s">
        <v>299</v>
      </c>
      <c r="Q57" s="2" t="n">
        <v>0</v>
      </c>
      <c r="R57" s="2" t="n">
        <v>0</v>
      </c>
      <c r="S57" s="2" t="n">
        <v>1</v>
      </c>
      <c r="T57" s="2" t="n">
        <v>0</v>
      </c>
      <c r="U57" s="2" t="n">
        <v>0</v>
      </c>
      <c r="V57" s="2" t="n">
        <v>0</v>
      </c>
      <c r="W57" s="2" t="n">
        <v>0</v>
      </c>
      <c r="X57" s="2" t="n">
        <v>0</v>
      </c>
      <c r="Y57" s="2" t="n">
        <v>0</v>
      </c>
      <c r="Z57" s="2" t="n">
        <v>0</v>
      </c>
      <c r="AA57" s="2" t="n">
        <v>0</v>
      </c>
      <c r="AB57" s="3" t="n">
        <f aca="false">SUM(Q57:Y57)-Z57</f>
        <v>1</v>
      </c>
      <c r="AC57" s="3" t="str">
        <f aca="false">IF(I57="","",IF(OR(LEFT(I57,3)="BKK",I57="LCH55"),"BKK",IF(LEFT(I57,3)="LCH","LCH","OTHER")))</f>
        <v>LCH</v>
      </c>
      <c r="AD57" s="3" t="n">
        <f aca="false">MAX(0,Q57-MAX(0,Z57-0))</f>
        <v>0</v>
      </c>
      <c r="AE57" s="3" t="n">
        <f aca="false">MAX(0,R57-MAX(0,Z57-SUM(Q57:Q57)))</f>
        <v>0</v>
      </c>
      <c r="AF57" s="3" t="n">
        <f aca="false">MAX(0,S57-MAX(0,Z57-SUM(Q57:R57)))</f>
        <v>1</v>
      </c>
      <c r="AG57" s="3" t="n">
        <f aca="false">MAX(0,T57-MAX(0,Z57-SUM(Q57:S57)))</f>
        <v>0</v>
      </c>
      <c r="AH57" s="3" t="n">
        <f aca="false">MAX(0,U57-MAX(0,Z57-SUM(Q57:T57)))</f>
        <v>0</v>
      </c>
      <c r="AI57" s="3" t="n">
        <f aca="false">MAX(0,V57-MAX(0,Z57-SUM(Q57:U57)))</f>
        <v>0</v>
      </c>
      <c r="AJ57" s="3" t="n">
        <f aca="false">MAX(0,W57-MAX(0,Z57-SUM(Q57:V57)))</f>
        <v>0</v>
      </c>
      <c r="AK57" s="3" t="n">
        <f aca="false">MAX(0,X57-MAX(0,Z57-SUM(Q57:W57)))</f>
        <v>0</v>
      </c>
      <c r="AL57" s="3" t="n">
        <f aca="false">MAX(0,Y57-MAX(0,Z57-SUM(Q57:X57)))</f>
        <v>0</v>
      </c>
    </row>
    <row r="58" customFormat="false" ht="15" hidden="false" customHeight="false" outlineLevel="0" collapsed="false">
      <c r="A58" s="2" t="s">
        <v>342</v>
      </c>
      <c r="B58" s="2" t="s">
        <v>60</v>
      </c>
      <c r="C58" s="2" t="s">
        <v>61</v>
      </c>
      <c r="D58" s="2" t="s">
        <v>240</v>
      </c>
      <c r="E58" s="2"/>
      <c r="F58" s="2" t="s">
        <v>41</v>
      </c>
      <c r="G58" s="2" t="s">
        <v>88</v>
      </c>
      <c r="H58" s="2" t="s">
        <v>296</v>
      </c>
      <c r="I58" s="2" t="s">
        <v>210</v>
      </c>
      <c r="J58" s="2" t="s">
        <v>211</v>
      </c>
      <c r="K58" s="2" t="s">
        <v>53</v>
      </c>
      <c r="L58" s="2" t="s">
        <v>343</v>
      </c>
      <c r="M58" s="2" t="s">
        <v>344</v>
      </c>
      <c r="N58" s="2" t="s">
        <v>345</v>
      </c>
      <c r="O58" s="2" t="s">
        <v>346</v>
      </c>
      <c r="P58" s="2" t="s">
        <v>102</v>
      </c>
      <c r="Q58" s="2" t="n">
        <v>0</v>
      </c>
      <c r="R58" s="2" t="n">
        <v>0</v>
      </c>
      <c r="S58" s="2" t="n">
        <v>1</v>
      </c>
      <c r="T58" s="2" t="n">
        <v>0</v>
      </c>
      <c r="U58" s="2" t="n">
        <v>0</v>
      </c>
      <c r="V58" s="2" t="n">
        <v>0</v>
      </c>
      <c r="W58" s="2" t="n">
        <v>0</v>
      </c>
      <c r="X58" s="2" t="n">
        <v>0</v>
      </c>
      <c r="Y58" s="2" t="n">
        <v>0</v>
      </c>
      <c r="Z58" s="2" t="n">
        <v>0</v>
      </c>
      <c r="AA58" s="2" t="n">
        <v>0</v>
      </c>
      <c r="AB58" s="3" t="n">
        <f aca="false">SUM(Q58:Y58)-Z58</f>
        <v>1</v>
      </c>
      <c r="AC58" s="3" t="str">
        <f aca="false">IF(I58="","",IF(OR(LEFT(I58,3)="BKK",I58="LCH55"),"BKK",IF(LEFT(I58,3)="LCH","LCH","OTHER")))</f>
        <v>BKK</v>
      </c>
      <c r="AD58" s="3" t="n">
        <f aca="false">MAX(0,Q58-MAX(0,Z58-0))</f>
        <v>0</v>
      </c>
      <c r="AE58" s="3" t="n">
        <f aca="false">MAX(0,R58-MAX(0,Z58-SUM(Q58:Q58)))</f>
        <v>0</v>
      </c>
      <c r="AF58" s="3" t="n">
        <f aca="false">MAX(0,S58-MAX(0,Z58-SUM(Q58:R58)))</f>
        <v>1</v>
      </c>
      <c r="AG58" s="3" t="n">
        <f aca="false">MAX(0,T58-MAX(0,Z58-SUM(Q58:S58)))</f>
        <v>0</v>
      </c>
      <c r="AH58" s="3" t="n">
        <f aca="false">MAX(0,U58-MAX(0,Z58-SUM(Q58:T58)))</f>
        <v>0</v>
      </c>
      <c r="AI58" s="3" t="n">
        <f aca="false">MAX(0,V58-MAX(0,Z58-SUM(Q58:U58)))</f>
        <v>0</v>
      </c>
      <c r="AJ58" s="3" t="n">
        <f aca="false">MAX(0,W58-MAX(0,Z58-SUM(Q58:V58)))</f>
        <v>0</v>
      </c>
      <c r="AK58" s="3" t="n">
        <f aca="false">MAX(0,X58-MAX(0,Z58-SUM(Q58:W58)))</f>
        <v>0</v>
      </c>
      <c r="AL58" s="3" t="n">
        <f aca="false">MAX(0,Y58-MAX(0,Z58-SUM(Q58:X58)))</f>
        <v>0</v>
      </c>
    </row>
    <row r="59" customFormat="false" ht="15" hidden="false" customHeight="false" outlineLevel="0" collapsed="false">
      <c r="A59" s="2" t="s">
        <v>347</v>
      </c>
      <c r="B59" s="2" t="s">
        <v>38</v>
      </c>
      <c r="C59" s="2" t="s">
        <v>39</v>
      </c>
      <c r="D59" s="2" t="s">
        <v>40</v>
      </c>
      <c r="E59" s="2"/>
      <c r="F59" s="2" t="s">
        <v>41</v>
      </c>
      <c r="G59" s="2" t="s">
        <v>42</v>
      </c>
      <c r="H59" s="2" t="s">
        <v>296</v>
      </c>
      <c r="I59" s="2" t="s">
        <v>89</v>
      </c>
      <c r="J59" s="2" t="s">
        <v>90</v>
      </c>
      <c r="K59" s="2" t="s">
        <v>75</v>
      </c>
      <c r="L59" s="2" t="s">
        <v>348</v>
      </c>
      <c r="M59" s="2" t="s">
        <v>348</v>
      </c>
      <c r="N59" s="2" t="s">
        <v>303</v>
      </c>
      <c r="O59" s="2" t="s">
        <v>303</v>
      </c>
      <c r="P59" s="2" t="s">
        <v>349</v>
      </c>
      <c r="Q59" s="2" t="n">
        <v>0</v>
      </c>
      <c r="R59" s="2" t="n">
        <v>0</v>
      </c>
      <c r="S59" s="2" t="n">
        <v>1</v>
      </c>
      <c r="T59" s="2" t="n">
        <v>0</v>
      </c>
      <c r="U59" s="2" t="n">
        <v>0</v>
      </c>
      <c r="V59" s="2" t="n">
        <v>0</v>
      </c>
      <c r="W59" s="2" t="n">
        <v>0</v>
      </c>
      <c r="X59" s="2" t="n">
        <v>0</v>
      </c>
      <c r="Y59" s="2" t="n">
        <v>0</v>
      </c>
      <c r="Z59" s="2" t="n">
        <v>0</v>
      </c>
      <c r="AA59" s="2" t="n">
        <v>0</v>
      </c>
      <c r="AB59" s="3" t="n">
        <f aca="false">SUM(Q59:Y59)-Z59</f>
        <v>1</v>
      </c>
      <c r="AC59" s="3" t="str">
        <f aca="false">IF(I59="","",IF(OR(LEFT(I59,3)="BKK",I59="LCH55"),"BKK",IF(LEFT(I59,3)="LCH","LCH","OTHER")))</f>
        <v>BKK</v>
      </c>
      <c r="AD59" s="3" t="n">
        <f aca="false">MAX(0,Q59-MAX(0,Z59-0))</f>
        <v>0</v>
      </c>
      <c r="AE59" s="3" t="n">
        <f aca="false">MAX(0,R59-MAX(0,Z59-SUM(Q59:Q59)))</f>
        <v>0</v>
      </c>
      <c r="AF59" s="3" t="n">
        <f aca="false">MAX(0,S59-MAX(0,Z59-SUM(Q59:R59)))</f>
        <v>1</v>
      </c>
      <c r="AG59" s="3" t="n">
        <f aca="false">MAX(0,T59-MAX(0,Z59-SUM(Q59:S59)))</f>
        <v>0</v>
      </c>
      <c r="AH59" s="3" t="n">
        <f aca="false">MAX(0,U59-MAX(0,Z59-SUM(Q59:T59)))</f>
        <v>0</v>
      </c>
      <c r="AI59" s="3" t="n">
        <f aca="false">MAX(0,V59-MAX(0,Z59-SUM(Q59:U59)))</f>
        <v>0</v>
      </c>
      <c r="AJ59" s="3" t="n">
        <f aca="false">MAX(0,W59-MAX(0,Z59-SUM(Q59:V59)))</f>
        <v>0</v>
      </c>
      <c r="AK59" s="3" t="n">
        <f aca="false">MAX(0,X59-MAX(0,Z59-SUM(Q59:W59)))</f>
        <v>0</v>
      </c>
      <c r="AL59" s="3" t="n">
        <f aca="false">MAX(0,Y59-MAX(0,Z59-SUM(Q59:X59)))</f>
        <v>0</v>
      </c>
    </row>
    <row r="60" customFormat="false" ht="15" hidden="false" customHeight="false" outlineLevel="0" collapsed="false">
      <c r="A60" s="2" t="s">
        <v>350</v>
      </c>
      <c r="B60" s="2" t="s">
        <v>233</v>
      </c>
      <c r="C60" s="2" t="s">
        <v>139</v>
      </c>
      <c r="D60" s="2" t="s">
        <v>234</v>
      </c>
      <c r="E60" s="2"/>
      <c r="F60" s="2" t="s">
        <v>63</v>
      </c>
      <c r="G60" s="2" t="s">
        <v>141</v>
      </c>
      <c r="H60" s="2" t="s">
        <v>296</v>
      </c>
      <c r="I60" s="2" t="s">
        <v>351</v>
      </c>
      <c r="J60" s="2" t="s">
        <v>352</v>
      </c>
      <c r="K60" s="2" t="s">
        <v>53</v>
      </c>
      <c r="L60" s="2" t="s">
        <v>353</v>
      </c>
      <c r="M60" s="2" t="s">
        <v>354</v>
      </c>
      <c r="N60" s="2" t="s">
        <v>355</v>
      </c>
      <c r="O60" s="2" t="s">
        <v>144</v>
      </c>
      <c r="P60" s="2" t="s">
        <v>299</v>
      </c>
      <c r="Q60" s="2" t="n">
        <v>0</v>
      </c>
      <c r="R60" s="2" t="n">
        <v>0</v>
      </c>
      <c r="S60" s="2" t="n">
        <v>1</v>
      </c>
      <c r="T60" s="2" t="n">
        <v>0</v>
      </c>
      <c r="U60" s="2" t="n">
        <v>0</v>
      </c>
      <c r="V60" s="2" t="n">
        <v>0</v>
      </c>
      <c r="W60" s="2" t="n">
        <v>0</v>
      </c>
      <c r="X60" s="2" t="n">
        <v>0</v>
      </c>
      <c r="Y60" s="2" t="n">
        <v>0</v>
      </c>
      <c r="Z60" s="2" t="n">
        <v>0</v>
      </c>
      <c r="AA60" s="2" t="n">
        <v>0</v>
      </c>
      <c r="AB60" s="3" t="n">
        <f aca="false">SUM(Q60:Y60)-Z60</f>
        <v>1</v>
      </c>
      <c r="AC60" s="3" t="str">
        <f aca="false">IF(I60="","",IF(OR(LEFT(I60,3)="BKK",I60="LCH55"),"BKK",IF(LEFT(I60,3)="LCH","LCH","OTHER")))</f>
        <v>LCH</v>
      </c>
      <c r="AD60" s="3" t="n">
        <f aca="false">MAX(0,Q60-MAX(0,Z60-0))</f>
        <v>0</v>
      </c>
      <c r="AE60" s="3" t="n">
        <f aca="false">MAX(0,R60-MAX(0,Z60-SUM(Q60:Q60)))</f>
        <v>0</v>
      </c>
      <c r="AF60" s="3" t="n">
        <f aca="false">MAX(0,S60-MAX(0,Z60-SUM(Q60:R60)))</f>
        <v>1</v>
      </c>
      <c r="AG60" s="3" t="n">
        <f aca="false">MAX(0,T60-MAX(0,Z60-SUM(Q60:S60)))</f>
        <v>0</v>
      </c>
      <c r="AH60" s="3" t="n">
        <f aca="false">MAX(0,U60-MAX(0,Z60-SUM(Q60:T60)))</f>
        <v>0</v>
      </c>
      <c r="AI60" s="3" t="n">
        <f aca="false">MAX(0,V60-MAX(0,Z60-SUM(Q60:U60)))</f>
        <v>0</v>
      </c>
      <c r="AJ60" s="3" t="n">
        <f aca="false">MAX(0,W60-MAX(0,Z60-SUM(Q60:V60)))</f>
        <v>0</v>
      </c>
      <c r="AK60" s="3" t="n">
        <f aca="false">MAX(0,X60-MAX(0,Z60-SUM(Q60:W60)))</f>
        <v>0</v>
      </c>
      <c r="AL60" s="3" t="n">
        <f aca="false">MAX(0,Y60-MAX(0,Z60-SUM(Q60:X60)))</f>
        <v>0</v>
      </c>
    </row>
    <row r="61" customFormat="false" ht="15" hidden="false" customHeight="false" outlineLevel="0" collapsed="false">
      <c r="A61" s="2" t="s">
        <v>356</v>
      </c>
      <c r="B61" s="2" t="s">
        <v>335</v>
      </c>
      <c r="C61" s="2" t="s">
        <v>336</v>
      </c>
      <c r="D61" s="2" t="s">
        <v>337</v>
      </c>
      <c r="E61" s="2"/>
      <c r="F61" s="2" t="s">
        <v>63</v>
      </c>
      <c r="G61" s="2" t="s">
        <v>155</v>
      </c>
      <c r="H61" s="2" t="s">
        <v>296</v>
      </c>
      <c r="I61" s="2" t="s">
        <v>130</v>
      </c>
      <c r="J61" s="2" t="s">
        <v>131</v>
      </c>
      <c r="K61" s="2" t="s">
        <v>46</v>
      </c>
      <c r="L61" s="2" t="s">
        <v>357</v>
      </c>
      <c r="M61" s="2" t="s">
        <v>358</v>
      </c>
      <c r="N61" s="2" t="s">
        <v>359</v>
      </c>
      <c r="O61" s="2" t="s">
        <v>360</v>
      </c>
      <c r="P61" s="4" t="s">
        <v>361</v>
      </c>
      <c r="Q61" s="2" t="n">
        <v>0</v>
      </c>
      <c r="R61" s="2" t="n">
        <v>0</v>
      </c>
      <c r="S61" s="2" t="n">
        <v>1</v>
      </c>
      <c r="T61" s="2" t="n">
        <v>0</v>
      </c>
      <c r="U61" s="2" t="n">
        <v>0</v>
      </c>
      <c r="V61" s="2" t="n">
        <v>0</v>
      </c>
      <c r="W61" s="2" t="n">
        <v>0</v>
      </c>
      <c r="X61" s="2" t="n">
        <v>0</v>
      </c>
      <c r="Y61" s="2" t="n">
        <v>0</v>
      </c>
      <c r="Z61" s="2" t="n">
        <v>0</v>
      </c>
      <c r="AA61" s="2" t="n">
        <v>0</v>
      </c>
      <c r="AB61" s="3" t="n">
        <f aca="false">SUM(Q61:Y61)-Z61</f>
        <v>1</v>
      </c>
      <c r="AC61" s="3" t="str">
        <f aca="false">IF(I61="","",IF(OR(LEFT(I61,3)="BKK",I61="LCH55"),"BKK",IF(LEFT(I61,3)="LCH","LCH","OTHER")))</f>
        <v>LCH</v>
      </c>
      <c r="AD61" s="3" t="n">
        <f aca="false">MAX(0,Q61-MAX(0,Z61-0))</f>
        <v>0</v>
      </c>
      <c r="AE61" s="3" t="n">
        <f aca="false">MAX(0,R61-MAX(0,Z61-SUM(Q61:Q61)))</f>
        <v>0</v>
      </c>
      <c r="AF61" s="3" t="n">
        <f aca="false">MAX(0,S61-MAX(0,Z61-SUM(Q61:R61)))</f>
        <v>1</v>
      </c>
      <c r="AG61" s="3" t="n">
        <f aca="false">MAX(0,T61-MAX(0,Z61-SUM(Q61:S61)))</f>
        <v>0</v>
      </c>
      <c r="AH61" s="3" t="n">
        <f aca="false">MAX(0,U61-MAX(0,Z61-SUM(Q61:T61)))</f>
        <v>0</v>
      </c>
      <c r="AI61" s="3" t="n">
        <f aca="false">MAX(0,V61-MAX(0,Z61-SUM(Q61:U61)))</f>
        <v>0</v>
      </c>
      <c r="AJ61" s="3" t="n">
        <f aca="false">MAX(0,W61-MAX(0,Z61-SUM(Q61:V61)))</f>
        <v>0</v>
      </c>
      <c r="AK61" s="3" t="n">
        <f aca="false">MAX(0,X61-MAX(0,Z61-SUM(Q61:W61)))</f>
        <v>0</v>
      </c>
      <c r="AL61" s="3" t="n">
        <f aca="false">MAX(0,Y61-MAX(0,Z61-SUM(Q61:X61)))</f>
        <v>0</v>
      </c>
    </row>
    <row r="62" customFormat="false" ht="15" hidden="false" customHeight="false" outlineLevel="0" collapsed="false">
      <c r="A62" s="2" t="s">
        <v>362</v>
      </c>
      <c r="B62" s="2" t="s">
        <v>363</v>
      </c>
      <c r="C62" s="2" t="s">
        <v>364</v>
      </c>
      <c r="D62" s="2" t="s">
        <v>365</v>
      </c>
      <c r="E62" s="2"/>
      <c r="F62" s="2" t="s">
        <v>41</v>
      </c>
      <c r="G62" s="2" t="s">
        <v>88</v>
      </c>
      <c r="H62" s="2" t="s">
        <v>296</v>
      </c>
      <c r="I62" s="2" t="s">
        <v>44</v>
      </c>
      <c r="J62" s="2" t="s">
        <v>45</v>
      </c>
      <c r="K62" s="2" t="s">
        <v>366</v>
      </c>
      <c r="L62" s="2" t="s">
        <v>367</v>
      </c>
      <c r="M62" s="2" t="s">
        <v>368</v>
      </c>
      <c r="N62" s="2" t="s">
        <v>369</v>
      </c>
      <c r="O62" s="2" t="s">
        <v>144</v>
      </c>
      <c r="P62" s="2" t="s">
        <v>370</v>
      </c>
      <c r="Q62" s="2" t="n">
        <v>0</v>
      </c>
      <c r="R62" s="2" t="n">
        <v>0</v>
      </c>
      <c r="S62" s="2" t="n">
        <v>1</v>
      </c>
      <c r="T62" s="2" t="n">
        <v>0</v>
      </c>
      <c r="U62" s="2" t="n">
        <v>0</v>
      </c>
      <c r="V62" s="2" t="n">
        <v>0</v>
      </c>
      <c r="W62" s="2" t="n">
        <v>0</v>
      </c>
      <c r="X62" s="2" t="n">
        <v>0</v>
      </c>
      <c r="Y62" s="2" t="n">
        <v>0</v>
      </c>
      <c r="Z62" s="2" t="n">
        <v>0</v>
      </c>
      <c r="AA62" s="2" t="n">
        <v>0</v>
      </c>
      <c r="AB62" s="3" t="n">
        <f aca="false">SUM(Q62:Y62)-Z62</f>
        <v>1</v>
      </c>
      <c r="AC62" s="3" t="str">
        <f aca="false">IF(I62="","",IF(OR(LEFT(I62,3)="BKK",I62="LCH55"),"BKK",IF(LEFT(I62,3)="LCH","LCH","OTHER")))</f>
        <v>BKK</v>
      </c>
      <c r="AD62" s="3" t="n">
        <f aca="false">MAX(0,Q62-MAX(0,Z62-0))</f>
        <v>0</v>
      </c>
      <c r="AE62" s="3" t="n">
        <f aca="false">MAX(0,R62-MAX(0,Z62-SUM(Q62:Q62)))</f>
        <v>0</v>
      </c>
      <c r="AF62" s="3" t="n">
        <f aca="false">MAX(0,S62-MAX(0,Z62-SUM(Q62:R62)))</f>
        <v>1</v>
      </c>
      <c r="AG62" s="3" t="n">
        <f aca="false">MAX(0,T62-MAX(0,Z62-SUM(Q62:S62)))</f>
        <v>0</v>
      </c>
      <c r="AH62" s="3" t="n">
        <f aca="false">MAX(0,U62-MAX(0,Z62-SUM(Q62:T62)))</f>
        <v>0</v>
      </c>
      <c r="AI62" s="3" t="n">
        <f aca="false">MAX(0,V62-MAX(0,Z62-SUM(Q62:U62)))</f>
        <v>0</v>
      </c>
      <c r="AJ62" s="3" t="n">
        <f aca="false">MAX(0,W62-MAX(0,Z62-SUM(Q62:V62)))</f>
        <v>0</v>
      </c>
      <c r="AK62" s="3" t="n">
        <f aca="false">MAX(0,X62-MAX(0,Z62-SUM(Q62:W62)))</f>
        <v>0</v>
      </c>
      <c r="AL62" s="3" t="n">
        <f aca="false">MAX(0,Y62-MAX(0,Z62-SUM(Q62:X62)))</f>
        <v>0</v>
      </c>
    </row>
    <row r="63" customFormat="false" ht="15" hidden="false" customHeight="false" outlineLevel="0" collapsed="false">
      <c r="A63" s="2" t="s">
        <v>371</v>
      </c>
      <c r="B63" s="2" t="s">
        <v>293</v>
      </c>
      <c r="C63" s="2" t="s">
        <v>294</v>
      </c>
      <c r="D63" s="2" t="s">
        <v>372</v>
      </c>
      <c r="E63" s="2"/>
      <c r="F63" s="2" t="s">
        <v>41</v>
      </c>
      <c r="G63" s="2" t="s">
        <v>88</v>
      </c>
      <c r="H63" s="2" t="s">
        <v>296</v>
      </c>
      <c r="I63" s="2" t="s">
        <v>44</v>
      </c>
      <c r="J63" s="2" t="s">
        <v>45</v>
      </c>
      <c r="K63" s="2" t="s">
        <v>46</v>
      </c>
      <c r="L63" s="2" t="s">
        <v>281</v>
      </c>
      <c r="M63" s="2" t="s">
        <v>373</v>
      </c>
      <c r="N63" s="2" t="s">
        <v>374</v>
      </c>
      <c r="O63" s="2" t="s">
        <v>144</v>
      </c>
      <c r="P63" s="2" t="s">
        <v>375</v>
      </c>
      <c r="Q63" s="2" t="n">
        <v>0</v>
      </c>
      <c r="R63" s="2" t="n">
        <v>0</v>
      </c>
      <c r="S63" s="2" t="n">
        <v>1</v>
      </c>
      <c r="T63" s="2" t="n">
        <v>0</v>
      </c>
      <c r="U63" s="2" t="n">
        <v>0</v>
      </c>
      <c r="V63" s="2" t="n">
        <v>0</v>
      </c>
      <c r="W63" s="2" t="n">
        <v>0</v>
      </c>
      <c r="X63" s="2" t="n">
        <v>0</v>
      </c>
      <c r="Y63" s="2" t="n">
        <v>0</v>
      </c>
      <c r="Z63" s="2" t="n">
        <v>0</v>
      </c>
      <c r="AA63" s="2" t="n">
        <v>0</v>
      </c>
      <c r="AB63" s="3" t="n">
        <f aca="false">SUM(Q63:Y63)-Z63</f>
        <v>1</v>
      </c>
      <c r="AC63" s="3" t="str">
        <f aca="false">IF(I63="","",IF(OR(LEFT(I63,3)="BKK",I63="LCH55"),"BKK",IF(LEFT(I63,3)="LCH","LCH","OTHER")))</f>
        <v>BKK</v>
      </c>
      <c r="AD63" s="3" t="n">
        <f aca="false">MAX(0,Q63-MAX(0,Z63-0))</f>
        <v>0</v>
      </c>
      <c r="AE63" s="3" t="n">
        <f aca="false">MAX(0,R63-MAX(0,Z63-SUM(Q63:Q63)))</f>
        <v>0</v>
      </c>
      <c r="AF63" s="3" t="n">
        <f aca="false">MAX(0,S63-MAX(0,Z63-SUM(Q63:R63)))</f>
        <v>1</v>
      </c>
      <c r="AG63" s="3" t="n">
        <f aca="false">MAX(0,T63-MAX(0,Z63-SUM(Q63:S63)))</f>
        <v>0</v>
      </c>
      <c r="AH63" s="3" t="n">
        <f aca="false">MAX(0,U63-MAX(0,Z63-SUM(Q63:T63)))</f>
        <v>0</v>
      </c>
      <c r="AI63" s="3" t="n">
        <f aca="false">MAX(0,V63-MAX(0,Z63-SUM(Q63:U63)))</f>
        <v>0</v>
      </c>
      <c r="AJ63" s="3" t="n">
        <f aca="false">MAX(0,W63-MAX(0,Z63-SUM(Q63:V63)))</f>
        <v>0</v>
      </c>
      <c r="AK63" s="3" t="n">
        <f aca="false">MAX(0,X63-MAX(0,Z63-SUM(Q63:W63)))</f>
        <v>0</v>
      </c>
      <c r="AL63" s="3" t="n">
        <f aca="false">MAX(0,Y63-MAX(0,Z63-SUM(Q63:X63)))</f>
        <v>0</v>
      </c>
    </row>
    <row r="64" customFormat="false" ht="15" hidden="false" customHeight="false" outlineLevel="0" collapsed="false">
      <c r="A64" s="2" t="s">
        <v>376</v>
      </c>
      <c r="B64" s="2" t="s">
        <v>306</v>
      </c>
      <c r="C64" s="2" t="s">
        <v>61</v>
      </c>
      <c r="D64" s="2" t="s">
        <v>377</v>
      </c>
      <c r="E64" s="2"/>
      <c r="F64" s="2" t="s">
        <v>63</v>
      </c>
      <c r="G64" s="2" t="s">
        <v>338</v>
      </c>
      <c r="H64" s="2" t="s">
        <v>296</v>
      </c>
      <c r="I64" s="2" t="s">
        <v>65</v>
      </c>
      <c r="J64" s="2" t="s">
        <v>66</v>
      </c>
      <c r="K64" s="2" t="s">
        <v>53</v>
      </c>
      <c r="L64" s="2" t="s">
        <v>339</v>
      </c>
      <c r="M64" s="2" t="s">
        <v>340</v>
      </c>
      <c r="N64" s="2" t="s">
        <v>341</v>
      </c>
      <c r="O64" s="2" t="s">
        <v>144</v>
      </c>
      <c r="P64" s="4" t="s">
        <v>378</v>
      </c>
      <c r="Q64" s="2" t="n">
        <v>0</v>
      </c>
      <c r="R64" s="2" t="n">
        <v>0</v>
      </c>
      <c r="S64" s="2" t="n">
        <v>1</v>
      </c>
      <c r="T64" s="2" t="n">
        <v>0</v>
      </c>
      <c r="U64" s="2" t="n">
        <v>0</v>
      </c>
      <c r="V64" s="2" t="n">
        <v>0</v>
      </c>
      <c r="W64" s="2" t="n">
        <v>0</v>
      </c>
      <c r="X64" s="2" t="n">
        <v>0</v>
      </c>
      <c r="Y64" s="2" t="n">
        <v>0</v>
      </c>
      <c r="Z64" s="2" t="n">
        <v>0</v>
      </c>
      <c r="AA64" s="2" t="n">
        <v>0</v>
      </c>
      <c r="AB64" s="3" t="n">
        <f aca="false">SUM(Q64:Y64)-Z64</f>
        <v>1</v>
      </c>
      <c r="AC64" s="3" t="str">
        <f aca="false">IF(I64="","",IF(OR(LEFT(I64,3)="BKK",I64="LCH55"),"BKK",IF(LEFT(I64,3)="LCH","LCH","OTHER")))</f>
        <v>LCH</v>
      </c>
      <c r="AD64" s="3" t="n">
        <f aca="false">MAX(0,Q64-MAX(0,Z64-0))</f>
        <v>0</v>
      </c>
      <c r="AE64" s="3" t="n">
        <f aca="false">MAX(0,R64-MAX(0,Z64-SUM(Q64:Q64)))</f>
        <v>0</v>
      </c>
      <c r="AF64" s="3" t="n">
        <f aca="false">MAX(0,S64-MAX(0,Z64-SUM(Q64:R64)))</f>
        <v>1</v>
      </c>
      <c r="AG64" s="3" t="n">
        <f aca="false">MAX(0,T64-MAX(0,Z64-SUM(Q64:S64)))</f>
        <v>0</v>
      </c>
      <c r="AH64" s="3" t="n">
        <f aca="false">MAX(0,U64-MAX(0,Z64-SUM(Q64:T64)))</f>
        <v>0</v>
      </c>
      <c r="AI64" s="3" t="n">
        <f aca="false">MAX(0,V64-MAX(0,Z64-SUM(Q64:U64)))</f>
        <v>0</v>
      </c>
      <c r="AJ64" s="3" t="n">
        <f aca="false">MAX(0,W64-MAX(0,Z64-SUM(Q64:V64)))</f>
        <v>0</v>
      </c>
      <c r="AK64" s="3" t="n">
        <f aca="false">MAX(0,X64-MAX(0,Z64-SUM(Q64:W64)))</f>
        <v>0</v>
      </c>
      <c r="AL64" s="3" t="n">
        <f aca="false">MAX(0,Y64-MAX(0,Z64-SUM(Q64:X64)))</f>
        <v>0</v>
      </c>
    </row>
    <row r="65" customFormat="false" ht="15" hidden="false" customHeight="false" outlineLevel="0" collapsed="false">
      <c r="A65" s="2" t="s">
        <v>379</v>
      </c>
      <c r="B65" s="2" t="s">
        <v>60</v>
      </c>
      <c r="C65" s="2" t="s">
        <v>61</v>
      </c>
      <c r="D65" s="2" t="s">
        <v>62</v>
      </c>
      <c r="E65" s="2"/>
      <c r="F65" s="2" t="s">
        <v>63</v>
      </c>
      <c r="G65" s="2" t="s">
        <v>322</v>
      </c>
      <c r="H65" s="2" t="s">
        <v>296</v>
      </c>
      <c r="I65" s="2" t="s">
        <v>130</v>
      </c>
      <c r="J65" s="2" t="s">
        <v>131</v>
      </c>
      <c r="K65" s="2" t="s">
        <v>53</v>
      </c>
      <c r="L65" s="2" t="s">
        <v>380</v>
      </c>
      <c r="M65" s="2" t="s">
        <v>381</v>
      </c>
      <c r="N65" s="2" t="s">
        <v>382</v>
      </c>
      <c r="O65" s="2" t="s">
        <v>144</v>
      </c>
      <c r="P65" s="4" t="s">
        <v>383</v>
      </c>
      <c r="Q65" s="2" t="n">
        <v>0</v>
      </c>
      <c r="R65" s="2" t="n">
        <v>0</v>
      </c>
      <c r="S65" s="2" t="n">
        <v>1</v>
      </c>
      <c r="T65" s="2" t="n">
        <v>0</v>
      </c>
      <c r="U65" s="2" t="n">
        <v>0</v>
      </c>
      <c r="V65" s="2" t="n">
        <v>0</v>
      </c>
      <c r="W65" s="2" t="n">
        <v>0</v>
      </c>
      <c r="X65" s="2" t="n">
        <v>0</v>
      </c>
      <c r="Y65" s="2" t="n">
        <v>0</v>
      </c>
      <c r="Z65" s="2" t="n">
        <v>0</v>
      </c>
      <c r="AA65" s="2" t="n">
        <v>0</v>
      </c>
      <c r="AB65" s="3" t="n">
        <f aca="false">SUM(Q65:Y65)-Z65</f>
        <v>1</v>
      </c>
      <c r="AC65" s="3" t="str">
        <f aca="false">IF(I65="","",IF(OR(LEFT(I65,3)="BKK",I65="LCH55"),"BKK",IF(LEFT(I65,3)="LCH","LCH","OTHER")))</f>
        <v>LCH</v>
      </c>
      <c r="AD65" s="3" t="n">
        <f aca="false">MAX(0,Q65-MAX(0,Z65-0))</f>
        <v>0</v>
      </c>
      <c r="AE65" s="3" t="n">
        <f aca="false">MAX(0,R65-MAX(0,Z65-SUM(Q65:Q65)))</f>
        <v>0</v>
      </c>
      <c r="AF65" s="3" t="n">
        <f aca="false">MAX(0,S65-MAX(0,Z65-SUM(Q65:R65)))</f>
        <v>1</v>
      </c>
      <c r="AG65" s="3" t="n">
        <f aca="false">MAX(0,T65-MAX(0,Z65-SUM(Q65:S65)))</f>
        <v>0</v>
      </c>
      <c r="AH65" s="3" t="n">
        <f aca="false">MAX(0,U65-MAX(0,Z65-SUM(Q65:T65)))</f>
        <v>0</v>
      </c>
      <c r="AI65" s="3" t="n">
        <f aca="false">MAX(0,V65-MAX(0,Z65-SUM(Q65:U65)))</f>
        <v>0</v>
      </c>
      <c r="AJ65" s="3" t="n">
        <f aca="false">MAX(0,W65-MAX(0,Z65-SUM(Q65:V65)))</f>
        <v>0</v>
      </c>
      <c r="AK65" s="3" t="n">
        <f aca="false">MAX(0,X65-MAX(0,Z65-SUM(Q65:W65)))</f>
        <v>0</v>
      </c>
      <c r="AL65" s="3" t="n">
        <f aca="false">MAX(0,Y65-MAX(0,Z65-SUM(Q65:X65)))</f>
        <v>0</v>
      </c>
    </row>
    <row r="66" customFormat="false" ht="15" hidden="false" customHeight="false" outlineLevel="0" collapsed="false">
      <c r="A66" s="2" t="s">
        <v>384</v>
      </c>
      <c r="B66" s="2" t="s">
        <v>233</v>
      </c>
      <c r="C66" s="2" t="s">
        <v>139</v>
      </c>
      <c r="D66" s="2" t="s">
        <v>234</v>
      </c>
      <c r="E66" s="2"/>
      <c r="F66" s="2" t="s">
        <v>63</v>
      </c>
      <c r="G66" s="2" t="s">
        <v>141</v>
      </c>
      <c r="H66" s="2" t="s">
        <v>296</v>
      </c>
      <c r="I66" s="2" t="s">
        <v>130</v>
      </c>
      <c r="J66" s="2" t="s">
        <v>131</v>
      </c>
      <c r="K66" s="2" t="s">
        <v>275</v>
      </c>
      <c r="L66" s="2" t="s">
        <v>174</v>
      </c>
      <c r="M66" s="2" t="s">
        <v>175</v>
      </c>
      <c r="N66" s="2" t="s">
        <v>231</v>
      </c>
      <c r="O66" s="2" t="s">
        <v>385</v>
      </c>
      <c r="P66" s="2" t="s">
        <v>386</v>
      </c>
      <c r="Q66" s="2" t="n">
        <v>0</v>
      </c>
      <c r="R66" s="2" t="n">
        <v>0</v>
      </c>
      <c r="S66" s="2" t="n">
        <v>1</v>
      </c>
      <c r="T66" s="2" t="n">
        <v>0</v>
      </c>
      <c r="U66" s="2" t="n">
        <v>0</v>
      </c>
      <c r="V66" s="2" t="n">
        <v>0</v>
      </c>
      <c r="W66" s="2" t="n">
        <v>0</v>
      </c>
      <c r="X66" s="2" t="n">
        <v>0</v>
      </c>
      <c r="Y66" s="2" t="n">
        <v>0</v>
      </c>
      <c r="Z66" s="2" t="n">
        <v>0</v>
      </c>
      <c r="AA66" s="2" t="n">
        <v>0</v>
      </c>
      <c r="AB66" s="3" t="n">
        <f aca="false">SUM(Q66:Y66)-Z66</f>
        <v>1</v>
      </c>
      <c r="AC66" s="3" t="str">
        <f aca="false">IF(I66="","",IF(OR(LEFT(I66,3)="BKK",I66="LCH55"),"BKK",IF(LEFT(I66,3)="LCH","LCH","OTHER")))</f>
        <v>LCH</v>
      </c>
      <c r="AD66" s="3" t="n">
        <f aca="false">MAX(0,Q66-MAX(0,Z66-0))</f>
        <v>0</v>
      </c>
      <c r="AE66" s="3" t="n">
        <f aca="false">MAX(0,R66-MAX(0,Z66-SUM(Q66:Q66)))</f>
        <v>0</v>
      </c>
      <c r="AF66" s="3" t="n">
        <f aca="false">MAX(0,S66-MAX(0,Z66-SUM(Q66:R66)))</f>
        <v>1</v>
      </c>
      <c r="AG66" s="3" t="n">
        <f aca="false">MAX(0,T66-MAX(0,Z66-SUM(Q66:S66)))</f>
        <v>0</v>
      </c>
      <c r="AH66" s="3" t="n">
        <f aca="false">MAX(0,U66-MAX(0,Z66-SUM(Q66:T66)))</f>
        <v>0</v>
      </c>
      <c r="AI66" s="3" t="n">
        <f aca="false">MAX(0,V66-MAX(0,Z66-SUM(Q66:U66)))</f>
        <v>0</v>
      </c>
      <c r="AJ66" s="3" t="n">
        <f aca="false">MAX(0,W66-MAX(0,Z66-SUM(Q66:V66)))</f>
        <v>0</v>
      </c>
      <c r="AK66" s="3" t="n">
        <f aca="false">MAX(0,X66-MAX(0,Z66-SUM(Q66:W66)))</f>
        <v>0</v>
      </c>
      <c r="AL66" s="3" t="n">
        <f aca="false">MAX(0,Y66-MAX(0,Z66-SUM(Q66:X66)))</f>
        <v>0</v>
      </c>
    </row>
    <row r="67" customFormat="false" ht="15" hidden="false" customHeight="false" outlineLevel="0" collapsed="false">
      <c r="A67" s="2" t="s">
        <v>387</v>
      </c>
      <c r="B67" s="2" t="s">
        <v>60</v>
      </c>
      <c r="C67" s="2" t="s">
        <v>61</v>
      </c>
      <c r="D67" s="2" t="s">
        <v>62</v>
      </c>
      <c r="E67" s="2"/>
      <c r="F67" s="2" t="s">
        <v>63</v>
      </c>
      <c r="G67" s="2" t="s">
        <v>88</v>
      </c>
      <c r="H67" s="2" t="s">
        <v>296</v>
      </c>
      <c r="I67" s="2" t="s">
        <v>65</v>
      </c>
      <c r="J67" s="2" t="s">
        <v>66</v>
      </c>
      <c r="K67" s="2" t="s">
        <v>53</v>
      </c>
      <c r="L67" s="2" t="s">
        <v>76</v>
      </c>
      <c r="M67" s="2" t="s">
        <v>76</v>
      </c>
      <c r="N67" s="2" t="s">
        <v>70</v>
      </c>
      <c r="O67" s="2" t="s">
        <v>77</v>
      </c>
      <c r="P67" s="2" t="s">
        <v>388</v>
      </c>
      <c r="Q67" s="2" t="n">
        <v>0</v>
      </c>
      <c r="R67" s="2" t="n">
        <v>0</v>
      </c>
      <c r="S67" s="2" t="n">
        <v>1</v>
      </c>
      <c r="T67" s="2" t="n">
        <v>0</v>
      </c>
      <c r="U67" s="2" t="n">
        <v>0</v>
      </c>
      <c r="V67" s="2" t="n">
        <v>0</v>
      </c>
      <c r="W67" s="2" t="n">
        <v>0</v>
      </c>
      <c r="X67" s="2" t="n">
        <v>0</v>
      </c>
      <c r="Y67" s="2" t="n">
        <v>0</v>
      </c>
      <c r="Z67" s="2" t="n">
        <v>0</v>
      </c>
      <c r="AA67" s="2" t="n">
        <v>0</v>
      </c>
      <c r="AB67" s="3" t="n">
        <f aca="false">SUM(Q67:Y67)-Z67</f>
        <v>1</v>
      </c>
      <c r="AC67" s="3" t="str">
        <f aca="false">IF(I67="","",IF(OR(LEFT(I67,3)="BKK",I67="LCH55"),"BKK",IF(LEFT(I67,3)="LCH","LCH","OTHER")))</f>
        <v>LCH</v>
      </c>
      <c r="AD67" s="3" t="n">
        <f aca="false">MAX(0,Q67-MAX(0,Z67-0))</f>
        <v>0</v>
      </c>
      <c r="AE67" s="3" t="n">
        <f aca="false">MAX(0,R67-MAX(0,Z67-SUM(Q67:Q67)))</f>
        <v>0</v>
      </c>
      <c r="AF67" s="3" t="n">
        <f aca="false">MAX(0,S67-MAX(0,Z67-SUM(Q67:R67)))</f>
        <v>1</v>
      </c>
      <c r="AG67" s="3" t="n">
        <f aca="false">MAX(0,T67-MAX(0,Z67-SUM(Q67:S67)))</f>
        <v>0</v>
      </c>
      <c r="AH67" s="3" t="n">
        <f aca="false">MAX(0,U67-MAX(0,Z67-SUM(Q67:T67)))</f>
        <v>0</v>
      </c>
      <c r="AI67" s="3" t="n">
        <f aca="false">MAX(0,V67-MAX(0,Z67-SUM(Q67:U67)))</f>
        <v>0</v>
      </c>
      <c r="AJ67" s="3" t="n">
        <f aca="false">MAX(0,W67-MAX(0,Z67-SUM(Q67:V67)))</f>
        <v>0</v>
      </c>
      <c r="AK67" s="3" t="n">
        <f aca="false">MAX(0,X67-MAX(0,Z67-SUM(Q67:W67)))</f>
        <v>0</v>
      </c>
      <c r="AL67" s="3" t="n">
        <f aca="false">MAX(0,Y67-MAX(0,Z67-SUM(Q67:X67)))</f>
        <v>0</v>
      </c>
    </row>
    <row r="68" customFormat="false" ht="15" hidden="false" customHeight="false" outlineLevel="0" collapsed="false">
      <c r="A68" s="2" t="s">
        <v>389</v>
      </c>
      <c r="B68" s="2" t="s">
        <v>38</v>
      </c>
      <c r="C68" s="2" t="s">
        <v>39</v>
      </c>
      <c r="D68" s="2" t="s">
        <v>40</v>
      </c>
      <c r="E68" s="2"/>
      <c r="F68" s="2" t="s">
        <v>41</v>
      </c>
      <c r="G68" s="2" t="s">
        <v>155</v>
      </c>
      <c r="H68" s="2" t="s">
        <v>390</v>
      </c>
      <c r="I68" s="2" t="s">
        <v>89</v>
      </c>
      <c r="J68" s="2" t="s">
        <v>90</v>
      </c>
      <c r="K68" s="2" t="s">
        <v>104</v>
      </c>
      <c r="L68" s="2" t="s">
        <v>391</v>
      </c>
      <c r="M68" s="2" t="s">
        <v>391</v>
      </c>
      <c r="N68" s="2" t="s">
        <v>93</v>
      </c>
      <c r="O68" s="2" t="s">
        <v>392</v>
      </c>
      <c r="P68" s="2" t="s">
        <v>393</v>
      </c>
      <c r="Q68" s="2" t="n">
        <v>1</v>
      </c>
      <c r="R68" s="2" t="n">
        <v>0</v>
      </c>
      <c r="S68" s="2" t="n">
        <v>1</v>
      </c>
      <c r="T68" s="2" t="n">
        <v>0</v>
      </c>
      <c r="U68" s="2" t="n">
        <v>0</v>
      </c>
      <c r="V68" s="2" t="n">
        <v>0</v>
      </c>
      <c r="W68" s="2" t="n">
        <v>0</v>
      </c>
      <c r="X68" s="2" t="n">
        <v>0</v>
      </c>
      <c r="Y68" s="2" t="n">
        <v>0</v>
      </c>
      <c r="Z68" s="2" t="n">
        <v>0</v>
      </c>
      <c r="AA68" s="2" t="n">
        <v>0</v>
      </c>
      <c r="AB68" s="3" t="n">
        <f aca="false">SUM(Q68:Y68)-Z68</f>
        <v>2</v>
      </c>
      <c r="AC68" s="3" t="str">
        <f aca="false">IF(I68="","",IF(OR(LEFT(I68,3)="BKK",I68="LCH55"),"BKK",IF(LEFT(I68,3)="LCH","LCH","OTHER")))</f>
        <v>BKK</v>
      </c>
      <c r="AD68" s="3" t="n">
        <f aca="false">MAX(0,Q68-MAX(0,Z68-0))</f>
        <v>1</v>
      </c>
      <c r="AE68" s="3" t="n">
        <f aca="false">MAX(0,R68-MAX(0,Z68-SUM(Q68:Q68)))</f>
        <v>0</v>
      </c>
      <c r="AF68" s="3" t="n">
        <f aca="false">MAX(0,S68-MAX(0,Z68-SUM(Q68:R68)))</f>
        <v>1</v>
      </c>
      <c r="AG68" s="3" t="n">
        <f aca="false">MAX(0,T68-MAX(0,Z68-SUM(Q68:S68)))</f>
        <v>0</v>
      </c>
      <c r="AH68" s="3" t="n">
        <f aca="false">MAX(0,U68-MAX(0,Z68-SUM(Q68:T68)))</f>
        <v>0</v>
      </c>
      <c r="AI68" s="3" t="n">
        <f aca="false">MAX(0,V68-MAX(0,Z68-SUM(Q68:U68)))</f>
        <v>0</v>
      </c>
      <c r="AJ68" s="3" t="n">
        <f aca="false">MAX(0,W68-MAX(0,Z68-SUM(Q68:V68)))</f>
        <v>0</v>
      </c>
      <c r="AK68" s="3" t="n">
        <f aca="false">MAX(0,X68-MAX(0,Z68-SUM(Q68:W68)))</f>
        <v>0</v>
      </c>
      <c r="AL68" s="3" t="n">
        <f aca="false">MAX(0,Y68-MAX(0,Z68-SUM(Q68:X68)))</f>
        <v>0</v>
      </c>
    </row>
    <row r="69" customFormat="false" ht="15" hidden="false" customHeight="false" outlineLevel="0" collapsed="false">
      <c r="A69" s="2" t="s">
        <v>394</v>
      </c>
      <c r="B69" s="2" t="s">
        <v>306</v>
      </c>
      <c r="C69" s="2" t="s">
        <v>61</v>
      </c>
      <c r="D69" s="2" t="s">
        <v>377</v>
      </c>
      <c r="E69" s="2"/>
      <c r="F69" s="2" t="s">
        <v>63</v>
      </c>
      <c r="G69" s="2" t="s">
        <v>338</v>
      </c>
      <c r="H69" s="2" t="s">
        <v>395</v>
      </c>
      <c r="I69" s="2" t="s">
        <v>65</v>
      </c>
      <c r="J69" s="2" t="s">
        <v>66</v>
      </c>
      <c r="K69" s="2" t="s">
        <v>53</v>
      </c>
      <c r="L69" s="2" t="s">
        <v>396</v>
      </c>
      <c r="M69" s="2" t="s">
        <v>397</v>
      </c>
      <c r="N69" s="2" t="s">
        <v>398</v>
      </c>
      <c r="O69" s="4" t="s">
        <v>399</v>
      </c>
      <c r="P69" s="2" t="s">
        <v>192</v>
      </c>
      <c r="Q69" s="2" t="n">
        <v>0</v>
      </c>
      <c r="R69" s="2" t="n">
        <v>0</v>
      </c>
      <c r="S69" s="2" t="n">
        <v>10</v>
      </c>
      <c r="T69" s="2" t="n">
        <v>0</v>
      </c>
      <c r="U69" s="2" t="n">
        <v>0</v>
      </c>
      <c r="V69" s="2" t="n">
        <v>0</v>
      </c>
      <c r="W69" s="2" t="n">
        <v>0</v>
      </c>
      <c r="X69" s="2" t="n">
        <v>0</v>
      </c>
      <c r="Y69" s="2" t="n">
        <v>0</v>
      </c>
      <c r="Z69" s="2" t="n">
        <v>0</v>
      </c>
      <c r="AA69" s="2" t="n">
        <v>0</v>
      </c>
      <c r="AB69" s="3" t="n">
        <f aca="false">SUM(Q69:Y69)-Z69</f>
        <v>10</v>
      </c>
      <c r="AC69" s="3" t="str">
        <f aca="false">IF(I69="","",IF(OR(LEFT(I69,3)="BKK",I69="LCH55"),"BKK",IF(LEFT(I69,3)="LCH","LCH","OTHER")))</f>
        <v>LCH</v>
      </c>
      <c r="AD69" s="3" t="n">
        <f aca="false">MAX(0,Q69-MAX(0,Z69-0))</f>
        <v>0</v>
      </c>
      <c r="AE69" s="3" t="n">
        <f aca="false">MAX(0,R69-MAX(0,Z69-SUM(Q69:Q69)))</f>
        <v>0</v>
      </c>
      <c r="AF69" s="3" t="n">
        <f aca="false">MAX(0,S69-MAX(0,Z69-SUM(Q69:R69)))</f>
        <v>10</v>
      </c>
      <c r="AG69" s="3" t="n">
        <f aca="false">MAX(0,T69-MAX(0,Z69-SUM(Q69:S69)))</f>
        <v>0</v>
      </c>
      <c r="AH69" s="3" t="n">
        <f aca="false">MAX(0,U69-MAX(0,Z69-SUM(Q69:T69)))</f>
        <v>0</v>
      </c>
      <c r="AI69" s="3" t="n">
        <f aca="false">MAX(0,V69-MAX(0,Z69-SUM(Q69:U69)))</f>
        <v>0</v>
      </c>
      <c r="AJ69" s="3" t="n">
        <f aca="false">MAX(0,W69-MAX(0,Z69-SUM(Q69:V69)))</f>
        <v>0</v>
      </c>
      <c r="AK69" s="3" t="n">
        <f aca="false">MAX(0,X69-MAX(0,Z69-SUM(Q69:W69)))</f>
        <v>0</v>
      </c>
      <c r="AL69" s="3" t="n">
        <f aca="false">MAX(0,Y69-MAX(0,Z69-SUM(Q69:X69)))</f>
        <v>0</v>
      </c>
    </row>
    <row r="70" customFormat="false" ht="15" hidden="false" customHeight="false" outlineLevel="0" collapsed="false">
      <c r="A70" s="2" t="s">
        <v>400</v>
      </c>
      <c r="B70" s="2" t="s">
        <v>293</v>
      </c>
      <c r="C70" s="2" t="s">
        <v>294</v>
      </c>
      <c r="D70" s="2" t="s">
        <v>372</v>
      </c>
      <c r="E70" s="2"/>
      <c r="F70" s="2" t="s">
        <v>41</v>
      </c>
      <c r="G70" s="2" t="s">
        <v>88</v>
      </c>
      <c r="H70" s="2" t="s">
        <v>401</v>
      </c>
      <c r="I70" s="2" t="s">
        <v>44</v>
      </c>
      <c r="J70" s="2" t="s">
        <v>45</v>
      </c>
      <c r="K70" s="2" t="s">
        <v>75</v>
      </c>
      <c r="L70" s="2" t="s">
        <v>402</v>
      </c>
      <c r="M70" s="2" t="s">
        <v>403</v>
      </c>
      <c r="N70" s="2" t="s">
        <v>404</v>
      </c>
      <c r="O70" s="2" t="s">
        <v>144</v>
      </c>
      <c r="P70" s="4" t="s">
        <v>405</v>
      </c>
      <c r="Q70" s="2" t="n">
        <v>0</v>
      </c>
      <c r="R70" s="2" t="n">
        <v>0</v>
      </c>
      <c r="S70" s="2" t="n">
        <v>17</v>
      </c>
      <c r="T70" s="2" t="n">
        <v>0</v>
      </c>
      <c r="U70" s="2" t="n">
        <v>0</v>
      </c>
      <c r="V70" s="2" t="n">
        <v>0</v>
      </c>
      <c r="W70" s="2" t="n">
        <v>0</v>
      </c>
      <c r="X70" s="2" t="n">
        <v>0</v>
      </c>
      <c r="Y70" s="2" t="n">
        <v>0</v>
      </c>
      <c r="Z70" s="2" t="n">
        <v>9</v>
      </c>
      <c r="AA70" s="2" t="n">
        <v>0</v>
      </c>
      <c r="AB70" s="3" t="n">
        <f aca="false">SUM(Q70:Y70)-Z70</f>
        <v>8</v>
      </c>
      <c r="AC70" s="3" t="str">
        <f aca="false">IF(I70="","",IF(OR(LEFT(I70,3)="BKK",I70="LCH55"),"BKK",IF(LEFT(I70,3)="LCH","LCH","OTHER")))</f>
        <v>BKK</v>
      </c>
      <c r="AD70" s="3" t="n">
        <f aca="false">MAX(0,Q70-MAX(0,Z70-0))</f>
        <v>0</v>
      </c>
      <c r="AE70" s="3" t="n">
        <f aca="false">MAX(0,R70-MAX(0,Z70-SUM(Q70:Q70)))</f>
        <v>0</v>
      </c>
      <c r="AF70" s="3" t="n">
        <f aca="false">MAX(0,S70-MAX(0,Z70-SUM(Q70:R70)))</f>
        <v>8</v>
      </c>
      <c r="AG70" s="3" t="n">
        <f aca="false">MAX(0,T70-MAX(0,Z70-SUM(Q70:S70)))</f>
        <v>0</v>
      </c>
      <c r="AH70" s="3" t="n">
        <f aca="false">MAX(0,U70-MAX(0,Z70-SUM(Q70:T70)))</f>
        <v>0</v>
      </c>
      <c r="AI70" s="3" t="n">
        <f aca="false">MAX(0,V70-MAX(0,Z70-SUM(Q70:U70)))</f>
        <v>0</v>
      </c>
      <c r="AJ70" s="3" t="n">
        <f aca="false">MAX(0,W70-MAX(0,Z70-SUM(Q70:V70)))</f>
        <v>0</v>
      </c>
      <c r="AK70" s="3" t="n">
        <f aca="false">MAX(0,X70-MAX(0,Z70-SUM(Q70:W70)))</f>
        <v>0</v>
      </c>
      <c r="AL70" s="3" t="n">
        <f aca="false">MAX(0,Y70-MAX(0,Z70-SUM(Q70:X70)))</f>
        <v>0</v>
      </c>
    </row>
    <row r="71" customFormat="false" ht="15" hidden="false" customHeight="false" outlineLevel="0" collapsed="false">
      <c r="A71" s="2" t="s">
        <v>406</v>
      </c>
      <c r="B71" s="2" t="s">
        <v>119</v>
      </c>
      <c r="C71" s="2" t="s">
        <v>39</v>
      </c>
      <c r="D71" s="2" t="s">
        <v>407</v>
      </c>
      <c r="E71" s="2"/>
      <c r="F71" s="2" t="s">
        <v>41</v>
      </c>
      <c r="G71" s="2" t="s">
        <v>408</v>
      </c>
      <c r="H71" s="2" t="s">
        <v>409</v>
      </c>
      <c r="I71" s="2" t="s">
        <v>44</v>
      </c>
      <c r="J71" s="2" t="s">
        <v>45</v>
      </c>
      <c r="K71" s="2" t="s">
        <v>53</v>
      </c>
      <c r="L71" s="2" t="s">
        <v>410</v>
      </c>
      <c r="M71" s="2" t="s">
        <v>411</v>
      </c>
      <c r="N71" s="2" t="s">
        <v>412</v>
      </c>
      <c r="O71" s="2" t="s">
        <v>144</v>
      </c>
      <c r="P71" s="2" t="s">
        <v>163</v>
      </c>
      <c r="Q71" s="2" t="n">
        <v>0</v>
      </c>
      <c r="R71" s="2" t="n">
        <v>0</v>
      </c>
      <c r="S71" s="2" t="n">
        <v>2</v>
      </c>
      <c r="T71" s="2" t="n">
        <v>0</v>
      </c>
      <c r="U71" s="2" t="n">
        <v>0</v>
      </c>
      <c r="V71" s="2" t="n">
        <v>0</v>
      </c>
      <c r="W71" s="2" t="n">
        <v>0</v>
      </c>
      <c r="X71" s="2" t="n">
        <v>0</v>
      </c>
      <c r="Y71" s="2" t="n">
        <v>0</v>
      </c>
      <c r="Z71" s="2" t="n">
        <v>0</v>
      </c>
      <c r="AA71" s="2" t="n">
        <v>0</v>
      </c>
      <c r="AB71" s="3" t="n">
        <f aca="false">SUM(Q71:Y71)-Z71</f>
        <v>2</v>
      </c>
      <c r="AC71" s="3" t="str">
        <f aca="false">IF(I71="","",IF(OR(LEFT(I71,3)="BKK",I71="LCH55"),"BKK",IF(LEFT(I71,3)="LCH","LCH","OTHER")))</f>
        <v>BKK</v>
      </c>
      <c r="AD71" s="3" t="n">
        <f aca="false">MAX(0,Q71-MAX(0,Z71-0))</f>
        <v>0</v>
      </c>
      <c r="AE71" s="3" t="n">
        <f aca="false">MAX(0,R71-MAX(0,Z71-SUM(Q71:Q71)))</f>
        <v>0</v>
      </c>
      <c r="AF71" s="3" t="n">
        <f aca="false">MAX(0,S71-MAX(0,Z71-SUM(Q71:R71)))</f>
        <v>2</v>
      </c>
      <c r="AG71" s="3" t="n">
        <f aca="false">MAX(0,T71-MAX(0,Z71-SUM(Q71:S71)))</f>
        <v>0</v>
      </c>
      <c r="AH71" s="3" t="n">
        <f aca="false">MAX(0,U71-MAX(0,Z71-SUM(Q71:T71)))</f>
        <v>0</v>
      </c>
      <c r="AI71" s="3" t="n">
        <f aca="false">MAX(0,V71-MAX(0,Z71-SUM(Q71:U71)))</f>
        <v>0</v>
      </c>
      <c r="AJ71" s="3" t="n">
        <f aca="false">MAX(0,W71-MAX(0,Z71-SUM(Q71:V71)))</f>
        <v>0</v>
      </c>
      <c r="AK71" s="3" t="n">
        <f aca="false">MAX(0,X71-MAX(0,Z71-SUM(Q71:W71)))</f>
        <v>0</v>
      </c>
      <c r="AL71" s="3" t="n">
        <f aca="false">MAX(0,Y71-MAX(0,Z71-SUM(Q71:X71)))</f>
        <v>0</v>
      </c>
    </row>
    <row r="72" customFormat="false" ht="15" hidden="false" customHeight="false" outlineLevel="0" collapsed="false">
      <c r="A72" s="2" t="s">
        <v>413</v>
      </c>
      <c r="B72" s="2" t="s">
        <v>138</v>
      </c>
      <c r="C72" s="2" t="s">
        <v>139</v>
      </c>
      <c r="D72" s="2" t="s">
        <v>140</v>
      </c>
      <c r="E72" s="2"/>
      <c r="F72" s="2" t="s">
        <v>63</v>
      </c>
      <c r="G72" s="2" t="s">
        <v>141</v>
      </c>
      <c r="H72" s="2" t="s">
        <v>409</v>
      </c>
      <c r="I72" s="2" t="s">
        <v>65</v>
      </c>
      <c r="J72" s="2" t="s">
        <v>66</v>
      </c>
      <c r="K72" s="2" t="s">
        <v>53</v>
      </c>
      <c r="L72" s="2" t="s">
        <v>174</v>
      </c>
      <c r="M72" s="2" t="s">
        <v>175</v>
      </c>
      <c r="N72" s="2" t="s">
        <v>231</v>
      </c>
      <c r="O72" s="2" t="s">
        <v>414</v>
      </c>
      <c r="P72" s="2" t="s">
        <v>102</v>
      </c>
      <c r="Q72" s="2" t="n">
        <v>0</v>
      </c>
      <c r="R72" s="2" t="n">
        <v>0</v>
      </c>
      <c r="S72" s="2" t="n">
        <v>2</v>
      </c>
      <c r="T72" s="2" t="n">
        <v>0</v>
      </c>
      <c r="U72" s="2" t="n">
        <v>0</v>
      </c>
      <c r="V72" s="2" t="n">
        <v>0</v>
      </c>
      <c r="W72" s="2" t="n">
        <v>0</v>
      </c>
      <c r="X72" s="2" t="n">
        <v>0</v>
      </c>
      <c r="Y72" s="2" t="n">
        <v>0</v>
      </c>
      <c r="Z72" s="2" t="n">
        <v>0</v>
      </c>
      <c r="AA72" s="2" t="n">
        <v>0</v>
      </c>
      <c r="AB72" s="3" t="n">
        <f aca="false">SUM(Q72:Y72)-Z72</f>
        <v>2</v>
      </c>
      <c r="AC72" s="3" t="str">
        <f aca="false">IF(I72="","",IF(OR(LEFT(I72,3)="BKK",I72="LCH55"),"BKK",IF(LEFT(I72,3)="LCH","LCH","OTHER")))</f>
        <v>LCH</v>
      </c>
      <c r="AD72" s="3" t="n">
        <f aca="false">MAX(0,Q72-MAX(0,Z72-0))</f>
        <v>0</v>
      </c>
      <c r="AE72" s="3" t="n">
        <f aca="false">MAX(0,R72-MAX(0,Z72-SUM(Q72:Q72)))</f>
        <v>0</v>
      </c>
      <c r="AF72" s="3" t="n">
        <f aca="false">MAX(0,S72-MAX(0,Z72-SUM(Q72:R72)))</f>
        <v>2</v>
      </c>
      <c r="AG72" s="3" t="n">
        <f aca="false">MAX(0,T72-MAX(0,Z72-SUM(Q72:S72)))</f>
        <v>0</v>
      </c>
      <c r="AH72" s="3" t="n">
        <f aca="false">MAX(0,U72-MAX(0,Z72-SUM(Q72:T72)))</f>
        <v>0</v>
      </c>
      <c r="AI72" s="3" t="n">
        <f aca="false">MAX(0,V72-MAX(0,Z72-SUM(Q72:U72)))</f>
        <v>0</v>
      </c>
      <c r="AJ72" s="3" t="n">
        <f aca="false">MAX(0,W72-MAX(0,Z72-SUM(Q72:V72)))</f>
        <v>0</v>
      </c>
      <c r="AK72" s="3" t="n">
        <f aca="false">MAX(0,X72-MAX(0,Z72-SUM(Q72:W72)))</f>
        <v>0</v>
      </c>
      <c r="AL72" s="3" t="n">
        <f aca="false">MAX(0,Y72-MAX(0,Z72-SUM(Q72:X72)))</f>
        <v>0</v>
      </c>
    </row>
    <row r="73" customFormat="false" ht="15" hidden="false" customHeight="false" outlineLevel="0" collapsed="false">
      <c r="A73" s="2" t="s">
        <v>415</v>
      </c>
      <c r="B73" s="2" t="s">
        <v>335</v>
      </c>
      <c r="C73" s="2" t="s">
        <v>336</v>
      </c>
      <c r="D73" s="2" t="s">
        <v>337</v>
      </c>
      <c r="E73" s="2"/>
      <c r="F73" s="2" t="s">
        <v>63</v>
      </c>
      <c r="G73" s="2" t="s">
        <v>338</v>
      </c>
      <c r="H73" s="2" t="s">
        <v>409</v>
      </c>
      <c r="I73" s="2" t="s">
        <v>130</v>
      </c>
      <c r="J73" s="2" t="s">
        <v>131</v>
      </c>
      <c r="K73" s="2" t="s">
        <v>75</v>
      </c>
      <c r="L73" s="2" t="s">
        <v>396</v>
      </c>
      <c r="M73" s="2" t="s">
        <v>397</v>
      </c>
      <c r="N73" s="2" t="s">
        <v>416</v>
      </c>
      <c r="O73" s="4" t="s">
        <v>399</v>
      </c>
      <c r="P73" s="2" t="s">
        <v>417</v>
      </c>
      <c r="Q73" s="2" t="n">
        <v>0</v>
      </c>
      <c r="R73" s="2" t="n">
        <v>0</v>
      </c>
      <c r="S73" s="2" t="n">
        <v>2</v>
      </c>
      <c r="T73" s="2" t="n">
        <v>0</v>
      </c>
      <c r="U73" s="2" t="n">
        <v>0</v>
      </c>
      <c r="V73" s="2" t="n">
        <v>0</v>
      </c>
      <c r="W73" s="2" t="n">
        <v>0</v>
      </c>
      <c r="X73" s="2" t="n">
        <v>0</v>
      </c>
      <c r="Y73" s="2" t="n">
        <v>0</v>
      </c>
      <c r="Z73" s="2" t="n">
        <v>0</v>
      </c>
      <c r="AA73" s="2" t="n">
        <v>0</v>
      </c>
      <c r="AB73" s="3" t="n">
        <f aca="false">SUM(Q73:Y73)-Z73</f>
        <v>2</v>
      </c>
      <c r="AC73" s="3" t="str">
        <f aca="false">IF(I73="","",IF(OR(LEFT(I73,3)="BKK",I73="LCH55"),"BKK",IF(LEFT(I73,3)="LCH","LCH","OTHER")))</f>
        <v>LCH</v>
      </c>
      <c r="AD73" s="3" t="n">
        <f aca="false">MAX(0,Q73-MAX(0,Z73-0))</f>
        <v>0</v>
      </c>
      <c r="AE73" s="3" t="n">
        <f aca="false">MAX(0,R73-MAX(0,Z73-SUM(Q73:Q73)))</f>
        <v>0</v>
      </c>
      <c r="AF73" s="3" t="n">
        <f aca="false">MAX(0,S73-MAX(0,Z73-SUM(Q73:R73)))</f>
        <v>2</v>
      </c>
      <c r="AG73" s="3" t="n">
        <f aca="false">MAX(0,T73-MAX(0,Z73-SUM(Q73:S73)))</f>
        <v>0</v>
      </c>
      <c r="AH73" s="3" t="n">
        <f aca="false">MAX(0,U73-MAX(0,Z73-SUM(Q73:T73)))</f>
        <v>0</v>
      </c>
      <c r="AI73" s="3" t="n">
        <f aca="false">MAX(0,V73-MAX(0,Z73-SUM(Q73:U73)))</f>
        <v>0</v>
      </c>
      <c r="AJ73" s="3" t="n">
        <f aca="false">MAX(0,W73-MAX(0,Z73-SUM(Q73:V73)))</f>
        <v>0</v>
      </c>
      <c r="AK73" s="3" t="n">
        <f aca="false">MAX(0,X73-MAX(0,Z73-SUM(Q73:W73)))</f>
        <v>0</v>
      </c>
      <c r="AL73" s="3" t="n">
        <f aca="false">MAX(0,Y73-MAX(0,Z73-SUM(Q73:X73)))</f>
        <v>0</v>
      </c>
    </row>
    <row r="74" customFormat="false" ht="15" hidden="false" customHeight="false" outlineLevel="0" collapsed="false">
      <c r="A74" s="2" t="s">
        <v>418</v>
      </c>
      <c r="B74" s="2" t="s">
        <v>335</v>
      </c>
      <c r="C74" s="2" t="s">
        <v>336</v>
      </c>
      <c r="D74" s="2" t="s">
        <v>419</v>
      </c>
      <c r="E74" s="2"/>
      <c r="F74" s="2" t="s">
        <v>41</v>
      </c>
      <c r="G74" s="2" t="s">
        <v>88</v>
      </c>
      <c r="H74" s="2" t="s">
        <v>420</v>
      </c>
      <c r="I74" s="2" t="s">
        <v>210</v>
      </c>
      <c r="J74" s="2" t="s">
        <v>211</v>
      </c>
      <c r="K74" s="2" t="s">
        <v>53</v>
      </c>
      <c r="L74" s="2" t="s">
        <v>421</v>
      </c>
      <c r="M74" s="2" t="s">
        <v>422</v>
      </c>
      <c r="N74" s="2" t="s">
        <v>423</v>
      </c>
      <c r="O74" s="2" t="s">
        <v>144</v>
      </c>
      <c r="P74" s="2" t="s">
        <v>424</v>
      </c>
      <c r="Q74" s="2" t="n">
        <v>0</v>
      </c>
      <c r="R74" s="2" t="n">
        <v>0</v>
      </c>
      <c r="S74" s="2" t="n">
        <v>3</v>
      </c>
      <c r="T74" s="2" t="n">
        <v>0</v>
      </c>
      <c r="U74" s="2" t="n">
        <v>0</v>
      </c>
      <c r="V74" s="2" t="n">
        <v>0</v>
      </c>
      <c r="W74" s="2" t="n">
        <v>0</v>
      </c>
      <c r="X74" s="2" t="n">
        <v>0</v>
      </c>
      <c r="Y74" s="2" t="n">
        <v>0</v>
      </c>
      <c r="Z74" s="2" t="n">
        <v>0</v>
      </c>
      <c r="AA74" s="2" t="n">
        <v>0</v>
      </c>
      <c r="AB74" s="3" t="n">
        <f aca="false">SUM(Q74:Y74)-Z74</f>
        <v>3</v>
      </c>
      <c r="AC74" s="3" t="str">
        <f aca="false">IF(I74="","",IF(OR(LEFT(I74,3)="BKK",I74="LCH55"),"BKK",IF(LEFT(I74,3)="LCH","LCH","OTHER")))</f>
        <v>BKK</v>
      </c>
      <c r="AD74" s="3" t="n">
        <f aca="false">MAX(0,Q74-MAX(0,Z74-0))</f>
        <v>0</v>
      </c>
      <c r="AE74" s="3" t="n">
        <f aca="false">MAX(0,R74-MAX(0,Z74-SUM(Q74:Q74)))</f>
        <v>0</v>
      </c>
      <c r="AF74" s="3" t="n">
        <f aca="false">MAX(0,S74-MAX(0,Z74-SUM(Q74:R74)))</f>
        <v>3</v>
      </c>
      <c r="AG74" s="3" t="n">
        <f aca="false">MAX(0,T74-MAX(0,Z74-SUM(Q74:S74)))</f>
        <v>0</v>
      </c>
      <c r="AH74" s="3" t="n">
        <f aca="false">MAX(0,U74-MAX(0,Z74-SUM(Q74:T74)))</f>
        <v>0</v>
      </c>
      <c r="AI74" s="3" t="n">
        <f aca="false">MAX(0,V74-MAX(0,Z74-SUM(Q74:U74)))</f>
        <v>0</v>
      </c>
      <c r="AJ74" s="3" t="n">
        <f aca="false">MAX(0,W74-MAX(0,Z74-SUM(Q74:V74)))</f>
        <v>0</v>
      </c>
      <c r="AK74" s="3" t="n">
        <f aca="false">MAX(0,X74-MAX(0,Z74-SUM(Q74:W74)))</f>
        <v>0</v>
      </c>
      <c r="AL74" s="3" t="n">
        <f aca="false">MAX(0,Y74-MAX(0,Z74-SUM(Q74:X74)))</f>
        <v>0</v>
      </c>
    </row>
    <row r="75" customFormat="false" ht="15" hidden="false" customHeight="false" outlineLevel="0" collapsed="false">
      <c r="A75" s="2" t="s">
        <v>425</v>
      </c>
      <c r="B75" s="2" t="s">
        <v>38</v>
      </c>
      <c r="C75" s="2" t="s">
        <v>39</v>
      </c>
      <c r="D75" s="2" t="s">
        <v>40</v>
      </c>
      <c r="E75" s="2"/>
      <c r="F75" s="2" t="s">
        <v>41</v>
      </c>
      <c r="G75" s="2" t="s">
        <v>155</v>
      </c>
      <c r="H75" s="2" t="s">
        <v>420</v>
      </c>
      <c r="I75" s="2" t="s">
        <v>89</v>
      </c>
      <c r="J75" s="2" t="s">
        <v>90</v>
      </c>
      <c r="K75" s="2" t="s">
        <v>132</v>
      </c>
      <c r="L75" s="2" t="s">
        <v>426</v>
      </c>
      <c r="M75" s="2" t="s">
        <v>426</v>
      </c>
      <c r="N75" s="2" t="s">
        <v>93</v>
      </c>
      <c r="O75" s="2" t="s">
        <v>303</v>
      </c>
      <c r="P75" s="2" t="s">
        <v>427</v>
      </c>
      <c r="Q75" s="2" t="n">
        <v>0</v>
      </c>
      <c r="R75" s="2" t="n">
        <v>0</v>
      </c>
      <c r="S75" s="2" t="n">
        <v>3</v>
      </c>
      <c r="T75" s="2" t="n">
        <v>0</v>
      </c>
      <c r="U75" s="2" t="n">
        <v>0</v>
      </c>
      <c r="V75" s="2" t="n">
        <v>0</v>
      </c>
      <c r="W75" s="2" t="n">
        <v>0</v>
      </c>
      <c r="X75" s="2" t="n">
        <v>0</v>
      </c>
      <c r="Y75" s="2" t="n">
        <v>0</v>
      </c>
      <c r="Z75" s="2" t="n">
        <v>0</v>
      </c>
      <c r="AA75" s="2" t="n">
        <v>0</v>
      </c>
      <c r="AB75" s="3" t="n">
        <f aca="false">SUM(Q75:Y75)-Z75</f>
        <v>3</v>
      </c>
      <c r="AC75" s="3" t="str">
        <f aca="false">IF(I75="","",IF(OR(LEFT(I75,3)="BKK",I75="LCH55"),"BKK",IF(LEFT(I75,3)="LCH","LCH","OTHER")))</f>
        <v>BKK</v>
      </c>
      <c r="AD75" s="3" t="n">
        <f aca="false">MAX(0,Q75-MAX(0,Z75-0))</f>
        <v>0</v>
      </c>
      <c r="AE75" s="3" t="n">
        <f aca="false">MAX(0,R75-MAX(0,Z75-SUM(Q75:Q75)))</f>
        <v>0</v>
      </c>
      <c r="AF75" s="3" t="n">
        <f aca="false">MAX(0,S75-MAX(0,Z75-SUM(Q75:R75)))</f>
        <v>3</v>
      </c>
      <c r="AG75" s="3" t="n">
        <f aca="false">MAX(0,T75-MAX(0,Z75-SUM(Q75:S75)))</f>
        <v>0</v>
      </c>
      <c r="AH75" s="3" t="n">
        <f aca="false">MAX(0,U75-MAX(0,Z75-SUM(Q75:T75)))</f>
        <v>0</v>
      </c>
      <c r="AI75" s="3" t="n">
        <f aca="false">MAX(0,V75-MAX(0,Z75-SUM(Q75:U75)))</f>
        <v>0</v>
      </c>
      <c r="AJ75" s="3" t="n">
        <f aca="false">MAX(0,W75-MAX(0,Z75-SUM(Q75:V75)))</f>
        <v>0</v>
      </c>
      <c r="AK75" s="3" t="n">
        <f aca="false">MAX(0,X75-MAX(0,Z75-SUM(Q75:W75)))</f>
        <v>0</v>
      </c>
      <c r="AL75" s="3" t="n">
        <f aca="false">MAX(0,Y75-MAX(0,Z75-SUM(Q75:X75)))</f>
        <v>0</v>
      </c>
    </row>
    <row r="76" customFormat="false" ht="15" hidden="false" customHeight="false" outlineLevel="0" collapsed="false">
      <c r="A76" s="2" t="s">
        <v>428</v>
      </c>
      <c r="B76" s="2" t="s">
        <v>306</v>
      </c>
      <c r="C76" s="2" t="s">
        <v>61</v>
      </c>
      <c r="D76" s="2" t="s">
        <v>377</v>
      </c>
      <c r="E76" s="2"/>
      <c r="F76" s="2" t="s">
        <v>63</v>
      </c>
      <c r="G76" s="2" t="s">
        <v>338</v>
      </c>
      <c r="H76" s="2" t="s">
        <v>429</v>
      </c>
      <c r="I76" s="2" t="s">
        <v>65</v>
      </c>
      <c r="J76" s="2" t="s">
        <v>66</v>
      </c>
      <c r="K76" s="2" t="s">
        <v>53</v>
      </c>
      <c r="L76" s="2" t="s">
        <v>396</v>
      </c>
      <c r="M76" s="2" t="s">
        <v>397</v>
      </c>
      <c r="N76" s="2" t="s">
        <v>398</v>
      </c>
      <c r="O76" s="4" t="s">
        <v>399</v>
      </c>
      <c r="P76" s="2" t="s">
        <v>192</v>
      </c>
      <c r="Q76" s="2" t="n">
        <v>0</v>
      </c>
      <c r="R76" s="2" t="n">
        <v>0</v>
      </c>
      <c r="S76" s="2" t="n">
        <v>30</v>
      </c>
      <c r="T76" s="2" t="n">
        <v>0</v>
      </c>
      <c r="U76" s="2" t="n">
        <v>0</v>
      </c>
      <c r="V76" s="2" t="n">
        <v>0</v>
      </c>
      <c r="W76" s="2" t="n">
        <v>0</v>
      </c>
      <c r="X76" s="2" t="n">
        <v>0</v>
      </c>
      <c r="Y76" s="2" t="n">
        <v>0</v>
      </c>
      <c r="Z76" s="2" t="n">
        <v>0</v>
      </c>
      <c r="AA76" s="2" t="n">
        <v>0</v>
      </c>
      <c r="AB76" s="3" t="n">
        <f aca="false">SUM(Q76:Y76)-Z76</f>
        <v>30</v>
      </c>
      <c r="AC76" s="3" t="str">
        <f aca="false">IF(I76="","",IF(OR(LEFT(I76,3)="BKK",I76="LCH55"),"BKK",IF(LEFT(I76,3)="LCH","LCH","OTHER")))</f>
        <v>LCH</v>
      </c>
      <c r="AD76" s="3" t="n">
        <f aca="false">MAX(0,Q76-MAX(0,Z76-0))</f>
        <v>0</v>
      </c>
      <c r="AE76" s="3" t="n">
        <f aca="false">MAX(0,R76-MAX(0,Z76-SUM(Q76:Q76)))</f>
        <v>0</v>
      </c>
      <c r="AF76" s="3" t="n">
        <f aca="false">MAX(0,S76-MAX(0,Z76-SUM(Q76:R76)))</f>
        <v>30</v>
      </c>
      <c r="AG76" s="3" t="n">
        <f aca="false">MAX(0,T76-MAX(0,Z76-SUM(Q76:S76)))</f>
        <v>0</v>
      </c>
      <c r="AH76" s="3" t="n">
        <f aca="false">MAX(0,U76-MAX(0,Z76-SUM(Q76:T76)))</f>
        <v>0</v>
      </c>
      <c r="AI76" s="3" t="n">
        <f aca="false">MAX(0,V76-MAX(0,Z76-SUM(Q76:U76)))</f>
        <v>0</v>
      </c>
      <c r="AJ76" s="3" t="n">
        <f aca="false">MAX(0,W76-MAX(0,Z76-SUM(Q76:V76)))</f>
        <v>0</v>
      </c>
      <c r="AK76" s="3" t="n">
        <f aca="false">MAX(0,X76-MAX(0,Z76-SUM(Q76:W76)))</f>
        <v>0</v>
      </c>
      <c r="AL76" s="3" t="n">
        <f aca="false">MAX(0,Y76-MAX(0,Z76-SUM(Q76:X76)))</f>
        <v>0</v>
      </c>
    </row>
    <row r="77" customFormat="false" ht="15" hidden="false" customHeight="false" outlineLevel="0" collapsed="false">
      <c r="A77" s="2" t="s">
        <v>430</v>
      </c>
      <c r="B77" s="2" t="s">
        <v>60</v>
      </c>
      <c r="C77" s="2" t="s">
        <v>61</v>
      </c>
      <c r="D77" s="2" t="s">
        <v>240</v>
      </c>
      <c r="E77" s="2"/>
      <c r="F77" s="2" t="s">
        <v>41</v>
      </c>
      <c r="G77" s="2" t="s">
        <v>155</v>
      </c>
      <c r="H77" s="2" t="s">
        <v>431</v>
      </c>
      <c r="I77" s="2" t="s">
        <v>44</v>
      </c>
      <c r="J77" s="2" t="s">
        <v>45</v>
      </c>
      <c r="K77" s="2" t="s">
        <v>53</v>
      </c>
      <c r="L77" s="2" t="s">
        <v>432</v>
      </c>
      <c r="M77" s="2" t="s">
        <v>433</v>
      </c>
      <c r="N77" s="2" t="s">
        <v>434</v>
      </c>
      <c r="O77" s="2" t="s">
        <v>144</v>
      </c>
      <c r="P77" s="2" t="s">
        <v>102</v>
      </c>
      <c r="Q77" s="2" t="n">
        <v>0</v>
      </c>
      <c r="R77" s="2" t="n">
        <v>0</v>
      </c>
      <c r="S77" s="2" t="n">
        <v>4</v>
      </c>
      <c r="T77" s="2" t="n">
        <v>0</v>
      </c>
      <c r="U77" s="2" t="n">
        <v>0</v>
      </c>
      <c r="V77" s="2" t="n">
        <v>0</v>
      </c>
      <c r="W77" s="2" t="n">
        <v>0</v>
      </c>
      <c r="X77" s="2" t="n">
        <v>0</v>
      </c>
      <c r="Y77" s="2" t="n">
        <v>0</v>
      </c>
      <c r="Z77" s="2" t="n">
        <v>2</v>
      </c>
      <c r="AA77" s="2" t="n">
        <v>0</v>
      </c>
      <c r="AB77" s="3" t="n">
        <f aca="false">SUM(Q77:Y77)-Z77</f>
        <v>2</v>
      </c>
      <c r="AC77" s="3" t="str">
        <f aca="false">IF(I77="","",IF(OR(LEFT(I77,3)="BKK",I77="LCH55"),"BKK",IF(LEFT(I77,3)="LCH","LCH","OTHER")))</f>
        <v>BKK</v>
      </c>
      <c r="AD77" s="3" t="n">
        <f aca="false">MAX(0,Q77-MAX(0,Z77-0))</f>
        <v>0</v>
      </c>
      <c r="AE77" s="3" t="n">
        <f aca="false">MAX(0,R77-MAX(0,Z77-SUM(Q77:Q77)))</f>
        <v>0</v>
      </c>
      <c r="AF77" s="3" t="n">
        <f aca="false">MAX(0,S77-MAX(0,Z77-SUM(Q77:R77)))</f>
        <v>2</v>
      </c>
      <c r="AG77" s="3" t="n">
        <f aca="false">MAX(0,T77-MAX(0,Z77-SUM(Q77:S77)))</f>
        <v>0</v>
      </c>
      <c r="AH77" s="3" t="n">
        <f aca="false">MAX(0,U77-MAX(0,Z77-SUM(Q77:T77)))</f>
        <v>0</v>
      </c>
      <c r="AI77" s="3" t="n">
        <f aca="false">MAX(0,V77-MAX(0,Z77-SUM(Q77:U77)))</f>
        <v>0</v>
      </c>
      <c r="AJ77" s="3" t="n">
        <f aca="false">MAX(0,W77-MAX(0,Z77-SUM(Q77:V77)))</f>
        <v>0</v>
      </c>
      <c r="AK77" s="3" t="n">
        <f aca="false">MAX(0,X77-MAX(0,Z77-SUM(Q77:W77)))</f>
        <v>0</v>
      </c>
      <c r="AL77" s="3" t="n">
        <f aca="false">MAX(0,Y77-MAX(0,Z77-SUM(Q77:X77)))</f>
        <v>0</v>
      </c>
    </row>
    <row r="78" customFormat="false" ht="15" hidden="false" customHeight="false" outlineLevel="0" collapsed="false">
      <c r="A78" s="2" t="s">
        <v>435</v>
      </c>
      <c r="B78" s="2" t="s">
        <v>293</v>
      </c>
      <c r="C78" s="2" t="s">
        <v>294</v>
      </c>
      <c r="D78" s="2" t="s">
        <v>295</v>
      </c>
      <c r="E78" s="2"/>
      <c r="F78" s="2" t="s">
        <v>63</v>
      </c>
      <c r="G78" s="2" t="s">
        <v>88</v>
      </c>
      <c r="H78" s="2" t="s">
        <v>436</v>
      </c>
      <c r="I78" s="2" t="s">
        <v>65</v>
      </c>
      <c r="J78" s="2" t="s">
        <v>66</v>
      </c>
      <c r="K78" s="2" t="s">
        <v>75</v>
      </c>
      <c r="L78" s="2" t="s">
        <v>133</v>
      </c>
      <c r="M78" s="2" t="s">
        <v>134</v>
      </c>
      <c r="N78" s="2" t="s">
        <v>70</v>
      </c>
      <c r="O78" s="2" t="s">
        <v>437</v>
      </c>
      <c r="P78" s="2" t="s">
        <v>438</v>
      </c>
      <c r="Q78" s="2" t="n">
        <v>20</v>
      </c>
      <c r="R78" s="2" t="n">
        <v>0</v>
      </c>
      <c r="S78" s="2" t="n">
        <v>4</v>
      </c>
      <c r="T78" s="2" t="n">
        <v>0</v>
      </c>
      <c r="U78" s="2" t="n">
        <v>0</v>
      </c>
      <c r="V78" s="2" t="n">
        <v>0</v>
      </c>
      <c r="W78" s="2" t="n">
        <v>0</v>
      </c>
      <c r="X78" s="2" t="n">
        <v>0</v>
      </c>
      <c r="Y78" s="2" t="n">
        <v>0</v>
      </c>
      <c r="Z78" s="2" t="n">
        <v>0</v>
      </c>
      <c r="AA78" s="2" t="n">
        <v>0</v>
      </c>
      <c r="AB78" s="3" t="n">
        <f aca="false">SUM(Q78:Y78)-Z78</f>
        <v>24</v>
      </c>
      <c r="AC78" s="3" t="str">
        <f aca="false">IF(I78="","",IF(OR(LEFT(I78,3)="BKK",I78="LCH55"),"BKK",IF(LEFT(I78,3)="LCH","LCH","OTHER")))</f>
        <v>LCH</v>
      </c>
      <c r="AD78" s="3" t="n">
        <f aca="false">MAX(0,Q78-MAX(0,Z78-0))</f>
        <v>20</v>
      </c>
      <c r="AE78" s="3" t="n">
        <f aca="false">MAX(0,R78-MAX(0,Z78-SUM(Q78:Q78)))</f>
        <v>0</v>
      </c>
      <c r="AF78" s="3" t="n">
        <f aca="false">MAX(0,S78-MAX(0,Z78-SUM(Q78:R78)))</f>
        <v>4</v>
      </c>
      <c r="AG78" s="3" t="n">
        <f aca="false">MAX(0,T78-MAX(0,Z78-SUM(Q78:S78)))</f>
        <v>0</v>
      </c>
      <c r="AH78" s="3" t="n">
        <f aca="false">MAX(0,U78-MAX(0,Z78-SUM(Q78:T78)))</f>
        <v>0</v>
      </c>
      <c r="AI78" s="3" t="n">
        <f aca="false">MAX(0,V78-MAX(0,Z78-SUM(Q78:U78)))</f>
        <v>0</v>
      </c>
      <c r="AJ78" s="3" t="n">
        <f aca="false">MAX(0,W78-MAX(0,Z78-SUM(Q78:V78)))</f>
        <v>0</v>
      </c>
      <c r="AK78" s="3" t="n">
        <f aca="false">MAX(0,X78-MAX(0,Z78-SUM(Q78:W78)))</f>
        <v>0</v>
      </c>
      <c r="AL78" s="3" t="n">
        <f aca="false">MAX(0,Y78-MAX(0,Z78-SUM(Q78:X78)))</f>
        <v>0</v>
      </c>
    </row>
    <row r="79" customFormat="false" ht="15" hidden="false" customHeight="false" outlineLevel="0" collapsed="false">
      <c r="A79" s="2" t="s">
        <v>439</v>
      </c>
      <c r="B79" s="2" t="s">
        <v>335</v>
      </c>
      <c r="C79" s="2" t="s">
        <v>336</v>
      </c>
      <c r="D79" s="2" t="s">
        <v>337</v>
      </c>
      <c r="E79" s="2"/>
      <c r="F79" s="2" t="s">
        <v>63</v>
      </c>
      <c r="G79" s="2" t="s">
        <v>338</v>
      </c>
      <c r="H79" s="2" t="s">
        <v>440</v>
      </c>
      <c r="I79" s="2" t="s">
        <v>130</v>
      </c>
      <c r="J79" s="2" t="s">
        <v>131</v>
      </c>
      <c r="K79" s="2" t="s">
        <v>75</v>
      </c>
      <c r="L79" s="2" t="s">
        <v>396</v>
      </c>
      <c r="M79" s="2" t="s">
        <v>397</v>
      </c>
      <c r="N79" s="2" t="s">
        <v>398</v>
      </c>
      <c r="O79" s="4" t="s">
        <v>399</v>
      </c>
      <c r="P79" s="2" t="s">
        <v>417</v>
      </c>
      <c r="Q79" s="2" t="n">
        <v>0</v>
      </c>
      <c r="R79" s="2" t="n">
        <v>0</v>
      </c>
      <c r="S79" s="2" t="n">
        <v>5</v>
      </c>
      <c r="T79" s="2" t="n">
        <v>0</v>
      </c>
      <c r="U79" s="2" t="n">
        <v>0</v>
      </c>
      <c r="V79" s="2" t="n">
        <v>0</v>
      </c>
      <c r="W79" s="2" t="n">
        <v>0</v>
      </c>
      <c r="X79" s="2" t="n">
        <v>0</v>
      </c>
      <c r="Y79" s="2" t="n">
        <v>0</v>
      </c>
      <c r="Z79" s="2" t="n">
        <v>0</v>
      </c>
      <c r="AA79" s="2" t="n">
        <v>0</v>
      </c>
      <c r="AB79" s="3" t="n">
        <f aca="false">SUM(Q79:Y79)-Z79</f>
        <v>5</v>
      </c>
      <c r="AC79" s="3" t="str">
        <f aca="false">IF(I79="","",IF(OR(LEFT(I79,3)="BKK",I79="LCH55"),"BKK",IF(LEFT(I79,3)="LCH","LCH","OTHER")))</f>
        <v>LCH</v>
      </c>
      <c r="AD79" s="3" t="n">
        <f aca="false">MAX(0,Q79-MAX(0,Z79-0))</f>
        <v>0</v>
      </c>
      <c r="AE79" s="3" t="n">
        <f aca="false">MAX(0,R79-MAX(0,Z79-SUM(Q79:Q79)))</f>
        <v>0</v>
      </c>
      <c r="AF79" s="3" t="n">
        <f aca="false">MAX(0,S79-MAX(0,Z79-SUM(Q79:R79)))</f>
        <v>5</v>
      </c>
      <c r="AG79" s="3" t="n">
        <f aca="false">MAX(0,T79-MAX(0,Z79-SUM(Q79:S79)))</f>
        <v>0</v>
      </c>
      <c r="AH79" s="3" t="n">
        <f aca="false">MAX(0,U79-MAX(0,Z79-SUM(Q79:T79)))</f>
        <v>0</v>
      </c>
      <c r="AI79" s="3" t="n">
        <f aca="false">MAX(0,V79-MAX(0,Z79-SUM(Q79:U79)))</f>
        <v>0</v>
      </c>
      <c r="AJ79" s="3" t="n">
        <f aca="false">MAX(0,W79-MAX(0,Z79-SUM(Q79:V79)))</f>
        <v>0</v>
      </c>
      <c r="AK79" s="3" t="n">
        <f aca="false">MAX(0,X79-MAX(0,Z79-SUM(Q79:W79)))</f>
        <v>0</v>
      </c>
      <c r="AL79" s="3" t="n">
        <f aca="false">MAX(0,Y79-MAX(0,Z79-SUM(Q79:X79)))</f>
        <v>0</v>
      </c>
    </row>
    <row r="80" customFormat="false" ht="15" hidden="false" customHeight="false" outlineLevel="0" collapsed="false">
      <c r="A80" s="2" t="s">
        <v>441</v>
      </c>
      <c r="B80" s="2" t="s">
        <v>335</v>
      </c>
      <c r="C80" s="2" t="s">
        <v>336</v>
      </c>
      <c r="D80" s="2" t="s">
        <v>419</v>
      </c>
      <c r="E80" s="2"/>
      <c r="F80" s="2" t="s">
        <v>41</v>
      </c>
      <c r="G80" s="2" t="s">
        <v>88</v>
      </c>
      <c r="H80" s="2" t="s">
        <v>440</v>
      </c>
      <c r="I80" s="2" t="s">
        <v>44</v>
      </c>
      <c r="J80" s="2" t="s">
        <v>45</v>
      </c>
      <c r="K80" s="2" t="s">
        <v>53</v>
      </c>
      <c r="L80" s="2" t="s">
        <v>442</v>
      </c>
      <c r="M80" s="2" t="s">
        <v>443</v>
      </c>
      <c r="N80" s="2" t="s">
        <v>444</v>
      </c>
      <c r="O80" s="2" t="s">
        <v>144</v>
      </c>
      <c r="P80" s="2" t="s">
        <v>445</v>
      </c>
      <c r="Q80" s="2" t="n">
        <v>0</v>
      </c>
      <c r="R80" s="2" t="n">
        <v>0</v>
      </c>
      <c r="S80" s="2" t="n">
        <v>5</v>
      </c>
      <c r="T80" s="2" t="n">
        <v>0</v>
      </c>
      <c r="U80" s="2" t="n">
        <v>0</v>
      </c>
      <c r="V80" s="2" t="n">
        <v>0</v>
      </c>
      <c r="W80" s="2" t="n">
        <v>0</v>
      </c>
      <c r="X80" s="2" t="n">
        <v>0</v>
      </c>
      <c r="Y80" s="2" t="n">
        <v>0</v>
      </c>
      <c r="Z80" s="2" t="n">
        <v>0</v>
      </c>
      <c r="AA80" s="2" t="n">
        <v>0</v>
      </c>
      <c r="AB80" s="3" t="n">
        <f aca="false">SUM(Q80:Y80)-Z80</f>
        <v>5</v>
      </c>
      <c r="AC80" s="3" t="str">
        <f aca="false">IF(I80="","",IF(OR(LEFT(I80,3)="BKK",I80="LCH55"),"BKK",IF(LEFT(I80,3)="LCH","LCH","OTHER")))</f>
        <v>BKK</v>
      </c>
      <c r="AD80" s="3" t="n">
        <f aca="false">MAX(0,Q80-MAX(0,Z80-0))</f>
        <v>0</v>
      </c>
      <c r="AE80" s="3" t="n">
        <f aca="false">MAX(0,R80-MAX(0,Z80-SUM(Q80:Q80)))</f>
        <v>0</v>
      </c>
      <c r="AF80" s="3" t="n">
        <f aca="false">MAX(0,S80-MAX(0,Z80-SUM(Q80:R80)))</f>
        <v>5</v>
      </c>
      <c r="AG80" s="3" t="n">
        <f aca="false">MAX(0,T80-MAX(0,Z80-SUM(Q80:S80)))</f>
        <v>0</v>
      </c>
      <c r="AH80" s="3" t="n">
        <f aca="false">MAX(0,U80-MAX(0,Z80-SUM(Q80:T80)))</f>
        <v>0</v>
      </c>
      <c r="AI80" s="3" t="n">
        <f aca="false">MAX(0,V80-MAX(0,Z80-SUM(Q80:U80)))</f>
        <v>0</v>
      </c>
      <c r="AJ80" s="3" t="n">
        <f aca="false">MAX(0,W80-MAX(0,Z80-SUM(Q80:V80)))</f>
        <v>0</v>
      </c>
      <c r="AK80" s="3" t="n">
        <f aca="false">MAX(0,X80-MAX(0,Z80-SUM(Q80:W80)))</f>
        <v>0</v>
      </c>
      <c r="AL80" s="3" t="n">
        <f aca="false">MAX(0,Y80-MAX(0,Z80-SUM(Q80:X80)))</f>
        <v>0</v>
      </c>
    </row>
    <row r="81" customFormat="false" ht="15" hidden="false" customHeight="false" outlineLevel="0" collapsed="false">
      <c r="A81" s="2" t="s">
        <v>446</v>
      </c>
      <c r="B81" s="2" t="s">
        <v>335</v>
      </c>
      <c r="C81" s="2" t="s">
        <v>336</v>
      </c>
      <c r="D81" s="2" t="s">
        <v>337</v>
      </c>
      <c r="E81" s="2"/>
      <c r="F81" s="2" t="s">
        <v>63</v>
      </c>
      <c r="G81" s="2" t="s">
        <v>338</v>
      </c>
      <c r="H81" s="2" t="s">
        <v>447</v>
      </c>
      <c r="I81" s="2" t="s">
        <v>130</v>
      </c>
      <c r="J81" s="2" t="s">
        <v>131</v>
      </c>
      <c r="K81" s="2" t="s">
        <v>75</v>
      </c>
      <c r="L81" s="2" t="s">
        <v>396</v>
      </c>
      <c r="M81" s="2" t="s">
        <v>397</v>
      </c>
      <c r="N81" s="2" t="s">
        <v>448</v>
      </c>
      <c r="O81" s="4" t="s">
        <v>399</v>
      </c>
      <c r="P81" s="2" t="s">
        <v>417</v>
      </c>
      <c r="Q81" s="2" t="n">
        <v>0</v>
      </c>
      <c r="R81" s="2" t="n">
        <v>0</v>
      </c>
      <c r="S81" s="2" t="n">
        <v>7</v>
      </c>
      <c r="T81" s="2" t="n">
        <v>0</v>
      </c>
      <c r="U81" s="2" t="n">
        <v>0</v>
      </c>
      <c r="V81" s="2" t="n">
        <v>0</v>
      </c>
      <c r="W81" s="2" t="n">
        <v>0</v>
      </c>
      <c r="X81" s="2" t="n">
        <v>0</v>
      </c>
      <c r="Y81" s="2" t="n">
        <v>0</v>
      </c>
      <c r="Z81" s="2" t="n">
        <v>0</v>
      </c>
      <c r="AA81" s="2" t="n">
        <v>0</v>
      </c>
      <c r="AB81" s="3" t="n">
        <f aca="false">SUM(Q81:Y81)-Z81</f>
        <v>7</v>
      </c>
      <c r="AC81" s="3" t="str">
        <f aca="false">IF(I81="","",IF(OR(LEFT(I81,3)="BKK",I81="LCH55"),"BKK",IF(LEFT(I81,3)="LCH","LCH","OTHER")))</f>
        <v>LCH</v>
      </c>
      <c r="AD81" s="3" t="n">
        <f aca="false">MAX(0,Q81-MAX(0,Z81-0))</f>
        <v>0</v>
      </c>
      <c r="AE81" s="3" t="n">
        <f aca="false">MAX(0,R81-MAX(0,Z81-SUM(Q81:Q81)))</f>
        <v>0</v>
      </c>
      <c r="AF81" s="3" t="n">
        <f aca="false">MAX(0,S81-MAX(0,Z81-SUM(Q81:R81)))</f>
        <v>7</v>
      </c>
      <c r="AG81" s="3" t="n">
        <f aca="false">MAX(0,T81-MAX(0,Z81-SUM(Q81:S81)))</f>
        <v>0</v>
      </c>
      <c r="AH81" s="3" t="n">
        <f aca="false">MAX(0,U81-MAX(0,Z81-SUM(Q81:T81)))</f>
        <v>0</v>
      </c>
      <c r="AI81" s="3" t="n">
        <f aca="false">MAX(0,V81-MAX(0,Z81-SUM(Q81:U81)))</f>
        <v>0</v>
      </c>
      <c r="AJ81" s="3" t="n">
        <f aca="false">MAX(0,W81-MAX(0,Z81-SUM(Q81:V81)))</f>
        <v>0</v>
      </c>
      <c r="AK81" s="3" t="n">
        <f aca="false">MAX(0,X81-MAX(0,Z81-SUM(Q81:W81)))</f>
        <v>0</v>
      </c>
      <c r="AL81" s="3" t="n">
        <f aca="false">MAX(0,Y81-MAX(0,Z81-SUM(Q81:X81)))</f>
        <v>0</v>
      </c>
    </row>
    <row r="82" customFormat="false" ht="15" hidden="false" customHeight="false" outlineLevel="0" collapsed="false">
      <c r="A82" s="2" t="s">
        <v>449</v>
      </c>
      <c r="B82" s="2" t="s">
        <v>60</v>
      </c>
      <c r="C82" s="2" t="s">
        <v>61</v>
      </c>
      <c r="D82" s="2" t="s">
        <v>240</v>
      </c>
      <c r="E82" s="2"/>
      <c r="F82" s="2" t="s">
        <v>41</v>
      </c>
      <c r="G82" s="2" t="s">
        <v>88</v>
      </c>
      <c r="H82" s="2" t="s">
        <v>450</v>
      </c>
      <c r="I82" s="2" t="s">
        <v>210</v>
      </c>
      <c r="J82" s="2" t="s">
        <v>211</v>
      </c>
      <c r="K82" s="2" t="s">
        <v>46</v>
      </c>
      <c r="L82" s="2" t="s">
        <v>442</v>
      </c>
      <c r="M82" s="2" t="s">
        <v>451</v>
      </c>
      <c r="N82" s="2" t="s">
        <v>452</v>
      </c>
      <c r="O82" s="2" t="s">
        <v>144</v>
      </c>
      <c r="P82" s="4" t="s">
        <v>453</v>
      </c>
      <c r="Q82" s="2" t="n">
        <v>0</v>
      </c>
      <c r="R82" s="2" t="n">
        <v>0</v>
      </c>
      <c r="S82" s="2" t="n">
        <v>9</v>
      </c>
      <c r="T82" s="2" t="n">
        <v>0</v>
      </c>
      <c r="U82" s="2" t="n">
        <v>0</v>
      </c>
      <c r="V82" s="2" t="n">
        <v>0</v>
      </c>
      <c r="W82" s="2" t="n">
        <v>0</v>
      </c>
      <c r="X82" s="2" t="n">
        <v>0</v>
      </c>
      <c r="Y82" s="2" t="n">
        <v>0</v>
      </c>
      <c r="Z82" s="2" t="n">
        <v>8</v>
      </c>
      <c r="AA82" s="2" t="n">
        <v>3</v>
      </c>
      <c r="AB82" s="3" t="n">
        <f aca="false">SUM(Q82:Y82)-Z82</f>
        <v>1</v>
      </c>
      <c r="AC82" s="3" t="str">
        <f aca="false">IF(I82="","",IF(OR(LEFT(I82,3)="BKK",I82="LCH55"),"BKK",IF(LEFT(I82,3)="LCH","LCH","OTHER")))</f>
        <v>BKK</v>
      </c>
      <c r="AD82" s="3" t="n">
        <f aca="false">MAX(0,Q82-MAX(0,Z82-0))</f>
        <v>0</v>
      </c>
      <c r="AE82" s="3" t="n">
        <f aca="false">MAX(0,R82-MAX(0,Z82-SUM(Q82:Q82)))</f>
        <v>0</v>
      </c>
      <c r="AF82" s="3" t="n">
        <f aca="false">MAX(0,S82-MAX(0,Z82-SUM(Q82:R82)))</f>
        <v>1</v>
      </c>
      <c r="AG82" s="3" t="n">
        <f aca="false">MAX(0,T82-MAX(0,Z82-SUM(Q82:S82)))</f>
        <v>0</v>
      </c>
      <c r="AH82" s="3" t="n">
        <f aca="false">MAX(0,U82-MAX(0,Z82-SUM(Q82:T82)))</f>
        <v>0</v>
      </c>
      <c r="AI82" s="3" t="n">
        <f aca="false">MAX(0,V82-MAX(0,Z82-SUM(Q82:U82)))</f>
        <v>0</v>
      </c>
      <c r="AJ82" s="3" t="n">
        <f aca="false">MAX(0,W82-MAX(0,Z82-SUM(Q82:V82)))</f>
        <v>0</v>
      </c>
      <c r="AK82" s="3" t="n">
        <f aca="false">MAX(0,X82-MAX(0,Z82-SUM(Q82:W82)))</f>
        <v>0</v>
      </c>
      <c r="AL82" s="3" t="n">
        <f aca="false">MAX(0,Y82-MAX(0,Z82-SUM(Q82:X82)))</f>
        <v>0</v>
      </c>
    </row>
    <row r="83" customFormat="false" ht="15" hidden="false" customHeight="false" outlineLevel="0" collapsed="false">
      <c r="A83" s="2" t="s">
        <v>454</v>
      </c>
      <c r="B83" s="2" t="s">
        <v>119</v>
      </c>
      <c r="C83" s="2" t="s">
        <v>39</v>
      </c>
      <c r="D83" s="2" t="s">
        <v>120</v>
      </c>
      <c r="E83" s="2"/>
      <c r="F83" s="2" t="s">
        <v>63</v>
      </c>
      <c r="G83" s="2" t="s">
        <v>121</v>
      </c>
      <c r="H83" s="2" t="s">
        <v>455</v>
      </c>
      <c r="I83" s="2" t="s">
        <v>130</v>
      </c>
      <c r="J83" s="2" t="s">
        <v>131</v>
      </c>
      <c r="K83" s="2" t="s">
        <v>46</v>
      </c>
      <c r="L83" s="2" t="s">
        <v>456</v>
      </c>
      <c r="M83" s="2" t="s">
        <v>456</v>
      </c>
      <c r="N83" s="2" t="s">
        <v>457</v>
      </c>
      <c r="O83" s="2" t="s">
        <v>458</v>
      </c>
      <c r="P83" s="4" t="s">
        <v>459</v>
      </c>
      <c r="Q83" s="2" t="n">
        <v>0</v>
      </c>
      <c r="R83" s="2" t="n">
        <v>0</v>
      </c>
      <c r="S83" s="2" t="n">
        <v>0</v>
      </c>
      <c r="T83" s="2" t="n">
        <v>0</v>
      </c>
      <c r="U83" s="2" t="n">
        <v>1</v>
      </c>
      <c r="V83" s="2" t="n">
        <v>0</v>
      </c>
      <c r="W83" s="2" t="n">
        <v>0</v>
      </c>
      <c r="X83" s="2" t="n">
        <v>0</v>
      </c>
      <c r="Y83" s="2" t="n">
        <v>0</v>
      </c>
      <c r="Z83" s="2" t="n">
        <v>0</v>
      </c>
      <c r="AA83" s="2" t="n">
        <v>0</v>
      </c>
      <c r="AB83" s="3" t="n">
        <f aca="false">SUM(Q83:Y83)-Z83</f>
        <v>1</v>
      </c>
      <c r="AC83" s="3" t="str">
        <f aca="false">IF(I83="","",IF(OR(LEFT(I83,3)="BKK",I83="LCH55"),"BKK",IF(LEFT(I83,3)="LCH","LCH","OTHER")))</f>
        <v>LCH</v>
      </c>
      <c r="AD83" s="3" t="n">
        <f aca="false">MAX(0,Q83-MAX(0,Z83-0))</f>
        <v>0</v>
      </c>
      <c r="AE83" s="3" t="n">
        <f aca="false">MAX(0,R83-MAX(0,Z83-SUM(Q83:Q83)))</f>
        <v>0</v>
      </c>
      <c r="AF83" s="3" t="n">
        <f aca="false">MAX(0,S83-MAX(0,Z83-SUM(Q83:R83)))</f>
        <v>0</v>
      </c>
      <c r="AG83" s="3" t="n">
        <f aca="false">MAX(0,T83-MAX(0,Z83-SUM(Q83:S83)))</f>
        <v>0</v>
      </c>
      <c r="AH83" s="3" t="n">
        <f aca="false">MAX(0,U83-MAX(0,Z83-SUM(Q83:T83)))</f>
        <v>1</v>
      </c>
      <c r="AI83" s="3" t="n">
        <f aca="false">MAX(0,V83-MAX(0,Z83-SUM(Q83:U83)))</f>
        <v>0</v>
      </c>
      <c r="AJ83" s="3" t="n">
        <f aca="false">MAX(0,W83-MAX(0,Z83-SUM(Q83:V83)))</f>
        <v>0</v>
      </c>
      <c r="AK83" s="3" t="n">
        <f aca="false">MAX(0,X83-MAX(0,Z83-SUM(Q83:W83)))</f>
        <v>0</v>
      </c>
      <c r="AL83" s="3" t="n">
        <f aca="false">MAX(0,Y83-MAX(0,Z83-SUM(Q83:X83)))</f>
        <v>0</v>
      </c>
    </row>
    <row r="84" customFormat="false" ht="15" hidden="false" customHeight="false" outlineLevel="0" collapsed="false">
      <c r="A84" s="2" t="s">
        <v>460</v>
      </c>
      <c r="B84" s="2" t="s">
        <v>119</v>
      </c>
      <c r="C84" s="2" t="s">
        <v>39</v>
      </c>
      <c r="D84" s="2" t="s">
        <v>120</v>
      </c>
      <c r="E84" s="2"/>
      <c r="F84" s="2" t="s">
        <v>63</v>
      </c>
      <c r="G84" s="2" t="s">
        <v>121</v>
      </c>
      <c r="H84" s="2" t="s">
        <v>455</v>
      </c>
      <c r="I84" s="2" t="s">
        <v>130</v>
      </c>
      <c r="J84" s="2" t="s">
        <v>131</v>
      </c>
      <c r="K84" s="2" t="s">
        <v>46</v>
      </c>
      <c r="L84" s="2" t="s">
        <v>456</v>
      </c>
      <c r="M84" s="2" t="s">
        <v>456</v>
      </c>
      <c r="N84" s="2" t="s">
        <v>457</v>
      </c>
      <c r="O84" s="2" t="s">
        <v>458</v>
      </c>
      <c r="P84" s="4" t="s">
        <v>459</v>
      </c>
      <c r="Q84" s="2" t="n">
        <v>0</v>
      </c>
      <c r="R84" s="2" t="n">
        <v>0</v>
      </c>
      <c r="S84" s="2" t="n">
        <v>0</v>
      </c>
      <c r="T84" s="2" t="n">
        <v>0</v>
      </c>
      <c r="U84" s="2" t="n">
        <v>1</v>
      </c>
      <c r="V84" s="2" t="n">
        <v>0</v>
      </c>
      <c r="W84" s="2" t="n">
        <v>0</v>
      </c>
      <c r="X84" s="2" t="n">
        <v>0</v>
      </c>
      <c r="Y84" s="2" t="n">
        <v>0</v>
      </c>
      <c r="Z84" s="2" t="n">
        <v>0</v>
      </c>
      <c r="AA84" s="2" t="n">
        <v>0</v>
      </c>
      <c r="AB84" s="3" t="n">
        <f aca="false">SUM(Q84:Y84)-Z84</f>
        <v>1</v>
      </c>
      <c r="AC84" s="3" t="str">
        <f aca="false">IF(I84="","",IF(OR(LEFT(I84,3)="BKK",I84="LCH55"),"BKK",IF(LEFT(I84,3)="LCH","LCH","OTHER")))</f>
        <v>LCH</v>
      </c>
      <c r="AD84" s="3" t="n">
        <f aca="false">MAX(0,Q84-MAX(0,Z84-0))</f>
        <v>0</v>
      </c>
      <c r="AE84" s="3" t="n">
        <f aca="false">MAX(0,R84-MAX(0,Z84-SUM(Q84:Q84)))</f>
        <v>0</v>
      </c>
      <c r="AF84" s="3" t="n">
        <f aca="false">MAX(0,S84-MAX(0,Z84-SUM(Q84:R84)))</f>
        <v>0</v>
      </c>
      <c r="AG84" s="3" t="n">
        <f aca="false">MAX(0,T84-MAX(0,Z84-SUM(Q84:S84)))</f>
        <v>0</v>
      </c>
      <c r="AH84" s="3" t="n">
        <f aca="false">MAX(0,U84-MAX(0,Z84-SUM(Q84:T84)))</f>
        <v>1</v>
      </c>
      <c r="AI84" s="3" t="n">
        <f aca="false">MAX(0,V84-MAX(0,Z84-SUM(Q84:U84)))</f>
        <v>0</v>
      </c>
      <c r="AJ84" s="3" t="n">
        <f aca="false">MAX(0,W84-MAX(0,Z84-SUM(Q84:V84)))</f>
        <v>0</v>
      </c>
      <c r="AK84" s="3" t="n">
        <f aca="false">MAX(0,X84-MAX(0,Z84-SUM(Q84:W84)))</f>
        <v>0</v>
      </c>
      <c r="AL84" s="3" t="n">
        <f aca="false">MAX(0,Y84-MAX(0,Z84-SUM(Q84:X84)))</f>
        <v>0</v>
      </c>
    </row>
    <row r="85" customFormat="false" ht="15" hidden="false" customHeight="false" outlineLevel="0" collapsed="false">
      <c r="A85" s="2" t="s">
        <v>461</v>
      </c>
      <c r="B85" s="2" t="s">
        <v>198</v>
      </c>
      <c r="C85" s="2" t="s">
        <v>199</v>
      </c>
      <c r="D85" s="2" t="s">
        <v>462</v>
      </c>
      <c r="E85" s="2"/>
      <c r="F85" s="2" t="s">
        <v>63</v>
      </c>
      <c r="G85" s="2" t="s">
        <v>121</v>
      </c>
      <c r="H85" s="2" t="s">
        <v>455</v>
      </c>
      <c r="I85" s="2" t="s">
        <v>130</v>
      </c>
      <c r="J85" s="2" t="s">
        <v>131</v>
      </c>
      <c r="K85" s="2" t="s">
        <v>75</v>
      </c>
      <c r="L85" s="2" t="s">
        <v>456</v>
      </c>
      <c r="M85" s="2" t="s">
        <v>456</v>
      </c>
      <c r="N85" s="2" t="s">
        <v>457</v>
      </c>
      <c r="O85" s="2" t="s">
        <v>458</v>
      </c>
      <c r="P85" s="4" t="s">
        <v>463</v>
      </c>
      <c r="Q85" s="2" t="n">
        <v>0</v>
      </c>
      <c r="R85" s="2" t="n">
        <v>0</v>
      </c>
      <c r="S85" s="2" t="n">
        <v>0</v>
      </c>
      <c r="T85" s="2" t="n">
        <v>0</v>
      </c>
      <c r="U85" s="2" t="n">
        <v>1</v>
      </c>
      <c r="V85" s="2" t="n">
        <v>0</v>
      </c>
      <c r="W85" s="2" t="n">
        <v>0</v>
      </c>
      <c r="X85" s="2" t="n">
        <v>0</v>
      </c>
      <c r="Y85" s="2" t="n">
        <v>0</v>
      </c>
      <c r="Z85" s="2" t="n">
        <v>0</v>
      </c>
      <c r="AA85" s="2" t="n">
        <v>0</v>
      </c>
      <c r="AB85" s="3" t="n">
        <f aca="false">SUM(Q85:Y85)-Z85</f>
        <v>1</v>
      </c>
      <c r="AC85" s="3" t="str">
        <f aca="false">IF(I85="","",IF(OR(LEFT(I85,3)="BKK",I85="LCH55"),"BKK",IF(LEFT(I85,3)="LCH","LCH","OTHER")))</f>
        <v>LCH</v>
      </c>
      <c r="AD85" s="3" t="n">
        <f aca="false">MAX(0,Q85-MAX(0,Z85-0))</f>
        <v>0</v>
      </c>
      <c r="AE85" s="3" t="n">
        <f aca="false">MAX(0,R85-MAX(0,Z85-SUM(Q85:Q85)))</f>
        <v>0</v>
      </c>
      <c r="AF85" s="3" t="n">
        <f aca="false">MAX(0,S85-MAX(0,Z85-SUM(Q85:R85)))</f>
        <v>0</v>
      </c>
      <c r="AG85" s="3" t="n">
        <f aca="false">MAX(0,T85-MAX(0,Z85-SUM(Q85:S85)))</f>
        <v>0</v>
      </c>
      <c r="AH85" s="3" t="n">
        <f aca="false">MAX(0,U85-MAX(0,Z85-SUM(Q85:T85)))</f>
        <v>1</v>
      </c>
      <c r="AI85" s="3" t="n">
        <f aca="false">MAX(0,V85-MAX(0,Z85-SUM(Q85:U85)))</f>
        <v>0</v>
      </c>
      <c r="AJ85" s="3" t="n">
        <f aca="false">MAX(0,W85-MAX(0,Z85-SUM(Q85:V85)))</f>
        <v>0</v>
      </c>
      <c r="AK85" s="3" t="n">
        <f aca="false">MAX(0,X85-MAX(0,Z85-SUM(Q85:W85)))</f>
        <v>0</v>
      </c>
      <c r="AL85" s="3" t="n">
        <f aca="false">MAX(0,Y85-MAX(0,Z85-SUM(Q85:X85)))</f>
        <v>0</v>
      </c>
    </row>
    <row r="86" customFormat="false" ht="15" hidden="false" customHeight="false" outlineLevel="0" collapsed="false">
      <c r="A86" s="2" t="s">
        <v>464</v>
      </c>
      <c r="B86" s="2" t="s">
        <v>198</v>
      </c>
      <c r="C86" s="2" t="s">
        <v>199</v>
      </c>
      <c r="D86" s="2" t="s">
        <v>462</v>
      </c>
      <c r="E86" s="2"/>
      <c r="F86" s="2" t="s">
        <v>63</v>
      </c>
      <c r="G86" s="2" t="s">
        <v>121</v>
      </c>
      <c r="H86" s="2" t="s">
        <v>455</v>
      </c>
      <c r="I86" s="2" t="s">
        <v>130</v>
      </c>
      <c r="J86" s="2" t="s">
        <v>131</v>
      </c>
      <c r="K86" s="2" t="s">
        <v>75</v>
      </c>
      <c r="L86" s="2" t="s">
        <v>456</v>
      </c>
      <c r="M86" s="2" t="s">
        <v>456</v>
      </c>
      <c r="N86" s="2" t="s">
        <v>457</v>
      </c>
      <c r="O86" s="2" t="s">
        <v>458</v>
      </c>
      <c r="P86" s="4" t="s">
        <v>465</v>
      </c>
      <c r="Q86" s="2" t="n">
        <v>0</v>
      </c>
      <c r="R86" s="2" t="n">
        <v>0</v>
      </c>
      <c r="S86" s="2" t="n">
        <v>0</v>
      </c>
      <c r="T86" s="2" t="n">
        <v>0</v>
      </c>
      <c r="U86" s="2" t="n">
        <v>1</v>
      </c>
      <c r="V86" s="2" t="n">
        <v>0</v>
      </c>
      <c r="W86" s="2" t="n">
        <v>0</v>
      </c>
      <c r="X86" s="2" t="n">
        <v>0</v>
      </c>
      <c r="Y86" s="2" t="n">
        <v>0</v>
      </c>
      <c r="Z86" s="2" t="n">
        <v>0</v>
      </c>
      <c r="AA86" s="2" t="n">
        <v>0</v>
      </c>
      <c r="AB86" s="3" t="n">
        <f aca="false">SUM(Q86:Y86)-Z86</f>
        <v>1</v>
      </c>
      <c r="AC86" s="3" t="str">
        <f aca="false">IF(I86="","",IF(OR(LEFT(I86,3)="BKK",I86="LCH55"),"BKK",IF(LEFT(I86,3)="LCH","LCH","OTHER")))</f>
        <v>LCH</v>
      </c>
      <c r="AD86" s="3" t="n">
        <f aca="false">MAX(0,Q86-MAX(0,Z86-0))</f>
        <v>0</v>
      </c>
      <c r="AE86" s="3" t="n">
        <f aca="false">MAX(0,R86-MAX(0,Z86-SUM(Q86:Q86)))</f>
        <v>0</v>
      </c>
      <c r="AF86" s="3" t="n">
        <f aca="false">MAX(0,S86-MAX(0,Z86-SUM(Q86:R86)))</f>
        <v>0</v>
      </c>
      <c r="AG86" s="3" t="n">
        <f aca="false">MAX(0,T86-MAX(0,Z86-SUM(Q86:S86)))</f>
        <v>0</v>
      </c>
      <c r="AH86" s="3" t="n">
        <f aca="false">MAX(0,U86-MAX(0,Z86-SUM(Q86:T86)))</f>
        <v>1</v>
      </c>
      <c r="AI86" s="3" t="n">
        <f aca="false">MAX(0,V86-MAX(0,Z86-SUM(Q86:U86)))</f>
        <v>0</v>
      </c>
      <c r="AJ86" s="3" t="n">
        <f aca="false">MAX(0,W86-MAX(0,Z86-SUM(Q86:V86)))</f>
        <v>0</v>
      </c>
      <c r="AK86" s="3" t="n">
        <f aca="false">MAX(0,X86-MAX(0,Z86-SUM(Q86:W86)))</f>
        <v>0</v>
      </c>
      <c r="AL86" s="3" t="n">
        <f aca="false">MAX(0,Y86-MAX(0,Z86-SUM(Q86:X86)))</f>
        <v>0</v>
      </c>
    </row>
    <row r="87" customFormat="false" ht="15" hidden="false" customHeight="false" outlineLevel="0" collapsed="false">
      <c r="A87" s="2" t="s">
        <v>466</v>
      </c>
      <c r="B87" s="2" t="s">
        <v>198</v>
      </c>
      <c r="C87" s="2" t="s">
        <v>199</v>
      </c>
      <c r="D87" s="2" t="s">
        <v>462</v>
      </c>
      <c r="E87" s="2"/>
      <c r="F87" s="2" t="s">
        <v>63</v>
      </c>
      <c r="G87" s="2" t="s">
        <v>121</v>
      </c>
      <c r="H87" s="2" t="s">
        <v>455</v>
      </c>
      <c r="I87" s="2" t="s">
        <v>130</v>
      </c>
      <c r="J87" s="2" t="s">
        <v>131</v>
      </c>
      <c r="K87" s="2" t="s">
        <v>75</v>
      </c>
      <c r="L87" s="2" t="s">
        <v>456</v>
      </c>
      <c r="M87" s="2" t="s">
        <v>456</v>
      </c>
      <c r="N87" s="2" t="s">
        <v>457</v>
      </c>
      <c r="O87" s="2" t="s">
        <v>458</v>
      </c>
      <c r="P87" s="4" t="s">
        <v>463</v>
      </c>
      <c r="Q87" s="2" t="n">
        <v>0</v>
      </c>
      <c r="R87" s="2" t="n">
        <v>0</v>
      </c>
      <c r="S87" s="2" t="n">
        <v>0</v>
      </c>
      <c r="T87" s="2" t="n">
        <v>0</v>
      </c>
      <c r="U87" s="2" t="n">
        <v>1</v>
      </c>
      <c r="V87" s="2" t="n">
        <v>0</v>
      </c>
      <c r="W87" s="2" t="n">
        <v>0</v>
      </c>
      <c r="X87" s="2" t="n">
        <v>0</v>
      </c>
      <c r="Y87" s="2" t="n">
        <v>0</v>
      </c>
      <c r="Z87" s="2" t="n">
        <v>0</v>
      </c>
      <c r="AA87" s="2" t="n">
        <v>0</v>
      </c>
      <c r="AB87" s="3" t="n">
        <f aca="false">SUM(Q87:Y87)-Z87</f>
        <v>1</v>
      </c>
      <c r="AC87" s="3" t="str">
        <f aca="false">IF(I87="","",IF(OR(LEFT(I87,3)="BKK",I87="LCH55"),"BKK",IF(LEFT(I87,3)="LCH","LCH","OTHER")))</f>
        <v>LCH</v>
      </c>
      <c r="AD87" s="3" t="n">
        <f aca="false">MAX(0,Q87-MAX(0,Z87-0))</f>
        <v>0</v>
      </c>
      <c r="AE87" s="3" t="n">
        <f aca="false">MAX(0,R87-MAX(0,Z87-SUM(Q87:Q87)))</f>
        <v>0</v>
      </c>
      <c r="AF87" s="3" t="n">
        <f aca="false">MAX(0,S87-MAX(0,Z87-SUM(Q87:R87)))</f>
        <v>0</v>
      </c>
      <c r="AG87" s="3" t="n">
        <f aca="false">MAX(0,T87-MAX(0,Z87-SUM(Q87:S87)))</f>
        <v>0</v>
      </c>
      <c r="AH87" s="3" t="n">
        <f aca="false">MAX(0,U87-MAX(0,Z87-SUM(Q87:T87)))</f>
        <v>1</v>
      </c>
      <c r="AI87" s="3" t="n">
        <f aca="false">MAX(0,V87-MAX(0,Z87-SUM(Q87:U87)))</f>
        <v>0</v>
      </c>
      <c r="AJ87" s="3" t="n">
        <f aca="false">MAX(0,W87-MAX(0,Z87-SUM(Q87:V87)))</f>
        <v>0</v>
      </c>
      <c r="AK87" s="3" t="n">
        <f aca="false">MAX(0,X87-MAX(0,Z87-SUM(Q87:W87)))</f>
        <v>0</v>
      </c>
      <c r="AL87" s="3" t="n">
        <f aca="false">MAX(0,Y87-MAX(0,Z87-SUM(Q87:X87)))</f>
        <v>0</v>
      </c>
    </row>
    <row r="88" customFormat="false" ht="15" hidden="false" customHeight="false" outlineLevel="0" collapsed="false">
      <c r="A88" s="2" t="s">
        <v>467</v>
      </c>
      <c r="B88" s="2" t="s">
        <v>119</v>
      </c>
      <c r="C88" s="2" t="s">
        <v>39</v>
      </c>
      <c r="D88" s="2" t="s">
        <v>120</v>
      </c>
      <c r="E88" s="2"/>
      <c r="F88" s="2" t="s">
        <v>63</v>
      </c>
      <c r="G88" s="2" t="s">
        <v>121</v>
      </c>
      <c r="H88" s="2" t="s">
        <v>455</v>
      </c>
      <c r="I88" s="2" t="s">
        <v>130</v>
      </c>
      <c r="J88" s="2" t="s">
        <v>131</v>
      </c>
      <c r="K88" s="2" t="s">
        <v>46</v>
      </c>
      <c r="L88" s="2" t="s">
        <v>456</v>
      </c>
      <c r="M88" s="2" t="s">
        <v>456</v>
      </c>
      <c r="N88" s="2" t="s">
        <v>457</v>
      </c>
      <c r="O88" s="2" t="s">
        <v>458</v>
      </c>
      <c r="P88" s="4" t="s">
        <v>459</v>
      </c>
      <c r="Q88" s="2" t="n">
        <v>0</v>
      </c>
      <c r="R88" s="2" t="n">
        <v>0</v>
      </c>
      <c r="S88" s="2" t="n">
        <v>0</v>
      </c>
      <c r="T88" s="2" t="n">
        <v>0</v>
      </c>
      <c r="U88" s="2" t="n">
        <v>1</v>
      </c>
      <c r="V88" s="2" t="n">
        <v>0</v>
      </c>
      <c r="W88" s="2" t="n">
        <v>0</v>
      </c>
      <c r="X88" s="2" t="n">
        <v>0</v>
      </c>
      <c r="Y88" s="2" t="n">
        <v>0</v>
      </c>
      <c r="Z88" s="2" t="n">
        <v>0</v>
      </c>
      <c r="AA88" s="2" t="n">
        <v>0</v>
      </c>
      <c r="AB88" s="3" t="n">
        <f aca="false">SUM(Q88:Y88)-Z88</f>
        <v>1</v>
      </c>
      <c r="AC88" s="3" t="str">
        <f aca="false">IF(I88="","",IF(OR(LEFT(I88,3)="BKK",I88="LCH55"),"BKK",IF(LEFT(I88,3)="LCH","LCH","OTHER")))</f>
        <v>LCH</v>
      </c>
      <c r="AD88" s="3" t="n">
        <f aca="false">MAX(0,Q88-MAX(0,Z88-0))</f>
        <v>0</v>
      </c>
      <c r="AE88" s="3" t="n">
        <f aca="false">MAX(0,R88-MAX(0,Z88-SUM(Q88:Q88)))</f>
        <v>0</v>
      </c>
      <c r="AF88" s="3" t="n">
        <f aca="false">MAX(0,S88-MAX(0,Z88-SUM(Q88:R88)))</f>
        <v>0</v>
      </c>
      <c r="AG88" s="3" t="n">
        <f aca="false">MAX(0,T88-MAX(0,Z88-SUM(Q88:S88)))</f>
        <v>0</v>
      </c>
      <c r="AH88" s="3" t="n">
        <f aca="false">MAX(0,U88-MAX(0,Z88-SUM(Q88:T88)))</f>
        <v>1</v>
      </c>
      <c r="AI88" s="3" t="n">
        <f aca="false">MAX(0,V88-MAX(0,Z88-SUM(Q88:U88)))</f>
        <v>0</v>
      </c>
      <c r="AJ88" s="3" t="n">
        <f aca="false">MAX(0,W88-MAX(0,Z88-SUM(Q88:V88)))</f>
        <v>0</v>
      </c>
      <c r="AK88" s="3" t="n">
        <f aca="false">MAX(0,X88-MAX(0,Z88-SUM(Q88:W88)))</f>
        <v>0</v>
      </c>
      <c r="AL88" s="3" t="n">
        <f aca="false">MAX(0,Y88-MAX(0,Z88-SUM(Q88:X88)))</f>
        <v>0</v>
      </c>
    </row>
    <row r="89" customFormat="false" ht="15" hidden="false" customHeight="false" outlineLevel="0" collapsed="false">
      <c r="A89" s="2" t="s">
        <v>468</v>
      </c>
      <c r="B89" s="2" t="s">
        <v>112</v>
      </c>
      <c r="C89" s="2" t="s">
        <v>113</v>
      </c>
      <c r="D89" s="2" t="s">
        <v>114</v>
      </c>
      <c r="E89" s="2"/>
      <c r="F89" s="2" t="s">
        <v>63</v>
      </c>
      <c r="G89" s="2" t="s">
        <v>469</v>
      </c>
      <c r="H89" s="2" t="s">
        <v>455</v>
      </c>
      <c r="I89" s="2" t="s">
        <v>130</v>
      </c>
      <c r="J89" s="2" t="s">
        <v>131</v>
      </c>
      <c r="K89" s="2" t="s">
        <v>75</v>
      </c>
      <c r="L89" s="2" t="s">
        <v>470</v>
      </c>
      <c r="M89" s="2" t="s">
        <v>471</v>
      </c>
      <c r="N89" s="2" t="s">
        <v>472</v>
      </c>
      <c r="O89" s="4" t="s">
        <v>473</v>
      </c>
      <c r="P89" s="4" t="s">
        <v>474</v>
      </c>
      <c r="Q89" s="2" t="n">
        <v>0</v>
      </c>
      <c r="R89" s="2" t="n">
        <v>0</v>
      </c>
      <c r="S89" s="2" t="n">
        <v>0</v>
      </c>
      <c r="T89" s="2" t="n">
        <v>0</v>
      </c>
      <c r="U89" s="2" t="n">
        <v>1</v>
      </c>
      <c r="V89" s="2" t="n">
        <v>0</v>
      </c>
      <c r="W89" s="2" t="n">
        <v>0</v>
      </c>
      <c r="X89" s="2" t="n">
        <v>0</v>
      </c>
      <c r="Y89" s="2" t="n">
        <v>0</v>
      </c>
      <c r="Z89" s="2" t="n">
        <v>0</v>
      </c>
      <c r="AA89" s="2" t="n">
        <v>0</v>
      </c>
      <c r="AB89" s="3" t="n">
        <f aca="false">SUM(Q89:Y89)-Z89</f>
        <v>1</v>
      </c>
      <c r="AC89" s="3" t="str">
        <f aca="false">IF(I89="","",IF(OR(LEFT(I89,3)="BKK",I89="LCH55"),"BKK",IF(LEFT(I89,3)="LCH","LCH","OTHER")))</f>
        <v>LCH</v>
      </c>
      <c r="AD89" s="3" t="n">
        <f aca="false">MAX(0,Q89-MAX(0,Z89-0))</f>
        <v>0</v>
      </c>
      <c r="AE89" s="3" t="n">
        <f aca="false">MAX(0,R89-MAX(0,Z89-SUM(Q89:Q89)))</f>
        <v>0</v>
      </c>
      <c r="AF89" s="3" t="n">
        <f aca="false">MAX(0,S89-MAX(0,Z89-SUM(Q89:R89)))</f>
        <v>0</v>
      </c>
      <c r="AG89" s="3" t="n">
        <f aca="false">MAX(0,T89-MAX(0,Z89-SUM(Q89:S89)))</f>
        <v>0</v>
      </c>
      <c r="AH89" s="3" t="n">
        <f aca="false">MAX(0,U89-MAX(0,Z89-SUM(Q89:T89)))</f>
        <v>1</v>
      </c>
      <c r="AI89" s="3" t="n">
        <f aca="false">MAX(0,V89-MAX(0,Z89-SUM(Q89:U89)))</f>
        <v>0</v>
      </c>
      <c r="AJ89" s="3" t="n">
        <f aca="false">MAX(0,W89-MAX(0,Z89-SUM(Q89:V89)))</f>
        <v>0</v>
      </c>
      <c r="AK89" s="3" t="n">
        <f aca="false">MAX(0,X89-MAX(0,Z89-SUM(Q89:W89)))</f>
        <v>0</v>
      </c>
      <c r="AL89" s="3" t="n">
        <f aca="false">MAX(0,Y89-MAX(0,Z89-SUM(Q89:X89)))</f>
        <v>0</v>
      </c>
    </row>
    <row r="91" customFormat="false" ht="15" hidden="false" customHeight="false" outlineLevel="0" collapsed="false">
      <c r="A91" s="7" t="s">
        <v>475</v>
      </c>
    </row>
  </sheetData>
  <autoFilter ref="A1:AL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8"/>
    <col collapsed="false" customWidth="true" hidden="false" outlineLevel="0" max="4" min="4" style="0" width="10"/>
    <col collapsed="false" customWidth="true" hidden="false" outlineLevel="0" max="5" min="5" style="0" width="32"/>
    <col collapsed="false" customWidth="true" hidden="false" outlineLevel="0" max="6" min="6" style="0" width="16"/>
    <col collapsed="false" customWidth="true" hidden="false" outlineLevel="0" max="8" min="7" style="0" width="12"/>
    <col collapsed="false" customWidth="true" hidden="false" outlineLevel="0" max="9" min="9" style="0" width="16"/>
    <col collapsed="false" customWidth="true" hidden="false" outlineLevel="0" max="18" min="10" style="0" width="10"/>
  </cols>
  <sheetData>
    <row r="1" customFormat="false" ht="15" hidden="false" customHeight="false" outlineLevel="0" collapsed="false">
      <c r="A1" s="8" t="s">
        <v>476</v>
      </c>
      <c r="B1" s="8"/>
      <c r="C1" s="8"/>
      <c r="D1" s="8"/>
      <c r="E1" s="8"/>
      <c r="F1" s="8"/>
      <c r="G1" s="8"/>
      <c r="H1" s="8"/>
      <c r="I1" s="8"/>
      <c r="J1" s="8"/>
      <c r="K1" s="8"/>
      <c r="L1" s="8"/>
      <c r="M1" s="8"/>
      <c r="N1" s="8"/>
      <c r="O1" s="8"/>
      <c r="P1" s="8"/>
      <c r="Q1" s="8"/>
      <c r="R1" s="8"/>
    </row>
    <row r="2" customFormat="false" ht="22.35" hidden="false" customHeight="true" outlineLevel="0" collapsed="false">
      <c r="A2" s="9" t="s">
        <v>477</v>
      </c>
      <c r="B2" s="9"/>
      <c r="C2" s="9"/>
      <c r="D2" s="9"/>
      <c r="E2" s="9"/>
      <c r="F2" s="9"/>
      <c r="G2" s="9"/>
      <c r="H2" s="9"/>
      <c r="I2" s="9"/>
      <c r="J2" s="9"/>
      <c r="K2" s="9"/>
      <c r="L2" s="9"/>
      <c r="M2" s="9"/>
      <c r="N2" s="9"/>
      <c r="O2" s="9"/>
      <c r="P2" s="9"/>
      <c r="Q2" s="9"/>
      <c r="R2" s="9"/>
    </row>
    <row r="4" customFormat="false" ht="15" hidden="false" customHeight="false" outlineLevel="0" collapsed="false">
      <c r="A4" s="1" t="s">
        <v>0</v>
      </c>
      <c r="B4" s="1" t="s">
        <v>1</v>
      </c>
      <c r="C4" s="1" t="s">
        <v>2</v>
      </c>
      <c r="D4" s="1" t="s">
        <v>8</v>
      </c>
      <c r="E4" s="1" t="s">
        <v>9</v>
      </c>
      <c r="F4" s="1" t="s">
        <v>7</v>
      </c>
      <c r="G4" s="1" t="s">
        <v>478</v>
      </c>
      <c r="H4" s="1" t="s">
        <v>479</v>
      </c>
      <c r="I4" s="1" t="s">
        <v>480</v>
      </c>
      <c r="J4" s="1" t="s">
        <v>28</v>
      </c>
      <c r="K4" s="1" t="s">
        <v>29</v>
      </c>
      <c r="L4" s="1" t="s">
        <v>30</v>
      </c>
      <c r="M4" s="1" t="s">
        <v>31</v>
      </c>
      <c r="N4" s="1" t="s">
        <v>32</v>
      </c>
      <c r="O4" s="1" t="s">
        <v>33</v>
      </c>
      <c r="P4" s="1" t="s">
        <v>34</v>
      </c>
      <c r="Q4" s="1" t="s">
        <v>35</v>
      </c>
      <c r="R4" s="1" t="s">
        <v>36</v>
      </c>
    </row>
    <row r="5" customFormat="false" ht="15" hidden="false" customHeight="false" outlineLevel="0" collapsed="false">
      <c r="A5" s="5" t="str">
        <f aca="false">Data!A51</f>
        <v>HASLS22260900416</v>
      </c>
      <c r="B5" s="5" t="str">
        <f aca="false">Data!B51</f>
        <v>SWBT</v>
      </c>
      <c r="C5" s="5" t="str">
        <f aca="false">Data!C51</f>
        <v>2615N</v>
      </c>
      <c r="D5" s="5" t="n">
        <f aca="false">Data!I51</f>
        <v>0</v>
      </c>
      <c r="E5" s="5" t="n">
        <f aca="false">Data!J51</f>
        <v>0</v>
      </c>
      <c r="F5" s="5" t="str">
        <f aca="false">Data!H51</f>
        <v>40Hx1 </v>
      </c>
      <c r="G5" s="6" t="n">
        <f aca="false">SUM(Data!Q51:Y51)</f>
        <v>1</v>
      </c>
      <c r="H5" s="6" t="n">
        <f aca="false">Data!Z51</f>
        <v>0</v>
      </c>
      <c r="I5" s="6" t="n">
        <f aca="false">G5-H5</f>
        <v>1</v>
      </c>
      <c r="J5" s="6" t="n">
        <f aca="false">Data!AD51</f>
        <v>0</v>
      </c>
      <c r="K5" s="6" t="n">
        <f aca="false">Data!AE51</f>
        <v>0</v>
      </c>
      <c r="L5" s="6" t="n">
        <f aca="false">Data!AF51</f>
        <v>1</v>
      </c>
      <c r="M5" s="6" t="n">
        <f aca="false">Data!AG51</f>
        <v>0</v>
      </c>
      <c r="N5" s="6" t="n">
        <f aca="false">Data!AH51</f>
        <v>0</v>
      </c>
      <c r="O5" s="6" t="n">
        <f aca="false">Data!AI51</f>
        <v>0</v>
      </c>
      <c r="P5" s="6" t="n">
        <f aca="false">Data!AJ51</f>
        <v>0</v>
      </c>
      <c r="Q5" s="6" t="n">
        <f aca="false">Data!AK51</f>
        <v>0</v>
      </c>
      <c r="R5" s="6" t="n">
        <f aca="false">Data!AL51</f>
        <v>0</v>
      </c>
    </row>
    <row r="6" customFormat="false" ht="15" hidden="false" customHeight="false" outlineLevel="0" collapsed="false">
      <c r="A6" s="2" t="str">
        <f aca="false">Data!A50</f>
        <v>HASLS22260701999</v>
      </c>
      <c r="B6" s="2" t="str">
        <f aca="false">Data!B50</f>
        <v>SWSR</v>
      </c>
      <c r="C6" s="2" t="str">
        <f aca="false">Data!C50</f>
        <v>2610N</v>
      </c>
      <c r="D6" s="2" t="str">
        <f aca="false">Data!I50</f>
        <v>BKK27</v>
      </c>
      <c r="E6" s="2" t="str">
        <f aca="false">Data!J50</f>
        <v>B.C. DEPOT CO.,LTD. ( Bang-Na KM.18)</v>
      </c>
      <c r="F6" s="2" t="str">
        <f aca="false">Data!H50</f>
        <v>20'x3 </v>
      </c>
      <c r="G6" s="3" t="n">
        <f aca="false">SUM(Data!Q50:Y50)</f>
        <v>3</v>
      </c>
      <c r="H6" s="3" t="n">
        <f aca="false">Data!Z50</f>
        <v>0</v>
      </c>
      <c r="I6" s="3" t="n">
        <f aca="false">G6-H6</f>
        <v>3</v>
      </c>
      <c r="J6" s="3" t="n">
        <f aca="false">Data!AD50</f>
        <v>3</v>
      </c>
      <c r="K6" s="3" t="n">
        <f aca="false">Data!AE50</f>
        <v>0</v>
      </c>
      <c r="L6" s="3" t="n">
        <f aca="false">Data!AF50</f>
        <v>0</v>
      </c>
      <c r="M6" s="3" t="n">
        <f aca="false">Data!AG50</f>
        <v>0</v>
      </c>
      <c r="N6" s="3" t="n">
        <f aca="false">Data!AH50</f>
        <v>0</v>
      </c>
      <c r="O6" s="3" t="n">
        <f aca="false">Data!AI50</f>
        <v>0</v>
      </c>
      <c r="P6" s="3" t="n">
        <f aca="false">Data!AJ50</f>
        <v>0</v>
      </c>
      <c r="Q6" s="3" t="n">
        <f aca="false">Data!AK50</f>
        <v>0</v>
      </c>
      <c r="R6" s="3" t="n">
        <f aca="false">Data!AL50</f>
        <v>0</v>
      </c>
    </row>
    <row r="7" customFormat="false" ht="15" hidden="false" customHeight="false" outlineLevel="0" collapsed="false">
      <c r="A7" s="2" t="str">
        <f aca="false">Data!A49</f>
        <v>HASLS22260800103</v>
      </c>
      <c r="B7" s="2" t="str">
        <f aca="false">Data!B49</f>
        <v>SWIC</v>
      </c>
      <c r="C7" s="2" t="str">
        <f aca="false">Data!C49</f>
        <v>2610N</v>
      </c>
      <c r="D7" s="2" t="str">
        <f aca="false">Data!I49</f>
        <v>BKK27</v>
      </c>
      <c r="E7" s="2" t="str">
        <f aca="false">Data!J49</f>
        <v>B.C. DEPOT CO.,LTD. ( Bang-Na KM.18)</v>
      </c>
      <c r="F7" s="2" t="str">
        <f aca="false">Data!H49</f>
        <v>20'x2 </v>
      </c>
      <c r="G7" s="3" t="n">
        <f aca="false">SUM(Data!Q49:Y49)</f>
        <v>2</v>
      </c>
      <c r="H7" s="3" t="n">
        <f aca="false">Data!Z49</f>
        <v>0</v>
      </c>
      <c r="I7" s="3" t="n">
        <f aca="false">G7-H7</f>
        <v>2</v>
      </c>
      <c r="J7" s="3" t="n">
        <f aca="false">Data!AD49</f>
        <v>2</v>
      </c>
      <c r="K7" s="3" t="n">
        <f aca="false">Data!AE49</f>
        <v>0</v>
      </c>
      <c r="L7" s="3" t="n">
        <f aca="false">Data!AF49</f>
        <v>0</v>
      </c>
      <c r="M7" s="3" t="n">
        <f aca="false">Data!AG49</f>
        <v>0</v>
      </c>
      <c r="N7" s="3" t="n">
        <f aca="false">Data!AH49</f>
        <v>0</v>
      </c>
      <c r="O7" s="3" t="n">
        <f aca="false">Data!AI49</f>
        <v>0</v>
      </c>
      <c r="P7" s="3" t="n">
        <f aca="false">Data!AJ49</f>
        <v>0</v>
      </c>
      <c r="Q7" s="3" t="n">
        <f aca="false">Data!AK49</f>
        <v>0</v>
      </c>
      <c r="R7" s="3" t="n">
        <f aca="false">Data!AL49</f>
        <v>0</v>
      </c>
    </row>
    <row r="8" customFormat="false" ht="15" hidden="false" customHeight="false" outlineLevel="0" collapsed="false">
      <c r="A8" s="2" t="str">
        <f aca="false">Data!A53</f>
        <v>HASLS22260801132</v>
      </c>
      <c r="B8" s="2" t="str">
        <f aca="false">Data!B53</f>
        <v>SWMM</v>
      </c>
      <c r="C8" s="2" t="str">
        <f aca="false">Data!C53</f>
        <v>2609N</v>
      </c>
      <c r="D8" s="2" t="str">
        <f aca="false">Data!I53</f>
        <v>BKK27</v>
      </c>
      <c r="E8" s="2" t="str">
        <f aca="false">Data!J53</f>
        <v>B.C. DEPOT CO.,LTD. ( Bang-Na KM.18)</v>
      </c>
      <c r="F8" s="2" t="str">
        <f aca="false">Data!H53</f>
        <v>40Hx1 </v>
      </c>
      <c r="G8" s="3" t="n">
        <f aca="false">SUM(Data!Q53:Y53)</f>
        <v>1</v>
      </c>
      <c r="H8" s="3" t="n">
        <f aca="false">Data!Z53</f>
        <v>0</v>
      </c>
      <c r="I8" s="3" t="n">
        <f aca="false">G8-H8</f>
        <v>1</v>
      </c>
      <c r="J8" s="3" t="n">
        <f aca="false">Data!AD53</f>
        <v>0</v>
      </c>
      <c r="K8" s="3" t="n">
        <f aca="false">Data!AE53</f>
        <v>0</v>
      </c>
      <c r="L8" s="3" t="n">
        <f aca="false">Data!AF53</f>
        <v>1</v>
      </c>
      <c r="M8" s="3" t="n">
        <f aca="false">Data!AG53</f>
        <v>0</v>
      </c>
      <c r="N8" s="3" t="n">
        <f aca="false">Data!AH53</f>
        <v>0</v>
      </c>
      <c r="O8" s="3" t="n">
        <f aca="false">Data!AI53</f>
        <v>0</v>
      </c>
      <c r="P8" s="3" t="n">
        <f aca="false">Data!AJ53</f>
        <v>0</v>
      </c>
      <c r="Q8" s="3" t="n">
        <f aca="false">Data!AK53</f>
        <v>0</v>
      </c>
      <c r="R8" s="3" t="n">
        <f aca="false">Data!AL53</f>
        <v>0</v>
      </c>
    </row>
    <row r="9" customFormat="false" ht="15" hidden="false" customHeight="false" outlineLevel="0" collapsed="false">
      <c r="A9" s="2" t="str">
        <f aca="false">Data!A77</f>
        <v>HASLS22260801246</v>
      </c>
      <c r="B9" s="2" t="str">
        <f aca="false">Data!B77</f>
        <v>SWCP</v>
      </c>
      <c r="C9" s="2" t="str">
        <f aca="false">Data!C77</f>
        <v>2609N</v>
      </c>
      <c r="D9" s="2" t="str">
        <f aca="false">Data!I77</f>
        <v>BKK27</v>
      </c>
      <c r="E9" s="2" t="str">
        <f aca="false">Data!J77</f>
        <v>B.C. DEPOT CO.,LTD. ( Bang-Na KM.18)</v>
      </c>
      <c r="F9" s="2" t="str">
        <f aca="false">Data!H77</f>
        <v>40Hx4 </v>
      </c>
      <c r="G9" s="3" t="n">
        <f aca="false">SUM(Data!Q77:Y77)</f>
        <v>4</v>
      </c>
      <c r="H9" s="3" t="n">
        <f aca="false">Data!Z77</f>
        <v>2</v>
      </c>
      <c r="I9" s="3" t="n">
        <f aca="false">G9-H9</f>
        <v>2</v>
      </c>
      <c r="J9" s="3" t="n">
        <f aca="false">Data!AD77</f>
        <v>0</v>
      </c>
      <c r="K9" s="3" t="n">
        <f aca="false">Data!AE77</f>
        <v>0</v>
      </c>
      <c r="L9" s="3" t="n">
        <f aca="false">Data!AF77</f>
        <v>2</v>
      </c>
      <c r="M9" s="3" t="n">
        <f aca="false">Data!AG77</f>
        <v>0</v>
      </c>
      <c r="N9" s="3" t="n">
        <f aca="false">Data!AH77</f>
        <v>0</v>
      </c>
      <c r="O9" s="3" t="n">
        <f aca="false">Data!AI77</f>
        <v>0</v>
      </c>
      <c r="P9" s="3" t="n">
        <f aca="false">Data!AJ77</f>
        <v>0</v>
      </c>
      <c r="Q9" s="3" t="n">
        <f aca="false">Data!AK77</f>
        <v>0</v>
      </c>
      <c r="R9" s="3" t="n">
        <f aca="false">Data!AL77</f>
        <v>0</v>
      </c>
    </row>
    <row r="10" customFormat="false" ht="15" hidden="false" customHeight="false" outlineLevel="0" collapsed="false">
      <c r="A10" s="2" t="str">
        <f aca="false">Data!A44</f>
        <v>HASLS22260801433</v>
      </c>
      <c r="B10" s="2" t="str">
        <f aca="false">Data!B44</f>
        <v>NSSJ</v>
      </c>
      <c r="C10" s="2" t="str">
        <f aca="false">Data!C44</f>
        <v>2607S</v>
      </c>
      <c r="D10" s="2" t="str">
        <f aca="false">Data!I44</f>
        <v>BKK27</v>
      </c>
      <c r="E10" s="2" t="str">
        <f aca="false">Data!J44</f>
        <v>B.C. DEPOT CO.,LTD. ( Bang-Na KM.18)</v>
      </c>
      <c r="F10" s="2" t="str">
        <f aca="false">Data!H44</f>
        <v>20'x2 </v>
      </c>
      <c r="G10" s="3" t="n">
        <f aca="false">SUM(Data!Q44:Y44)</f>
        <v>2</v>
      </c>
      <c r="H10" s="3" t="n">
        <f aca="false">Data!Z44</f>
        <v>0</v>
      </c>
      <c r="I10" s="3" t="n">
        <f aca="false">G10-H10</f>
        <v>2</v>
      </c>
      <c r="J10" s="3" t="n">
        <f aca="false">Data!AD44</f>
        <v>2</v>
      </c>
      <c r="K10" s="3" t="n">
        <f aca="false">Data!AE44</f>
        <v>0</v>
      </c>
      <c r="L10" s="3" t="n">
        <f aca="false">Data!AF44</f>
        <v>0</v>
      </c>
      <c r="M10" s="3" t="n">
        <f aca="false">Data!AG44</f>
        <v>0</v>
      </c>
      <c r="N10" s="3" t="n">
        <f aca="false">Data!AH44</f>
        <v>0</v>
      </c>
      <c r="O10" s="3" t="n">
        <f aca="false">Data!AI44</f>
        <v>0</v>
      </c>
      <c r="P10" s="3" t="n">
        <f aca="false">Data!AJ44</f>
        <v>0</v>
      </c>
      <c r="Q10" s="3" t="n">
        <f aca="false">Data!AK44</f>
        <v>0</v>
      </c>
      <c r="R10" s="3" t="n">
        <f aca="false">Data!AL44</f>
        <v>0</v>
      </c>
    </row>
    <row r="11" customFormat="false" ht="15" hidden="false" customHeight="false" outlineLevel="0" collapsed="false">
      <c r="A11" s="2" t="str">
        <f aca="false">Data!A42</f>
        <v>HASLS22260801444</v>
      </c>
      <c r="B11" s="2" t="str">
        <f aca="false">Data!B42</f>
        <v>SWCP</v>
      </c>
      <c r="C11" s="2" t="str">
        <f aca="false">Data!C42</f>
        <v>2609N</v>
      </c>
      <c r="D11" s="2" t="str">
        <f aca="false">Data!I42</f>
        <v>BKK27</v>
      </c>
      <c r="E11" s="2" t="str">
        <f aca="false">Data!J42</f>
        <v>B.C. DEPOT CO.,LTD. ( Bang-Na KM.18)</v>
      </c>
      <c r="F11" s="2" t="str">
        <f aca="false">Data!H42</f>
        <v>20'x10 </v>
      </c>
      <c r="G11" s="3" t="n">
        <f aca="false">SUM(Data!Q42:Y42)</f>
        <v>10</v>
      </c>
      <c r="H11" s="3" t="n">
        <f aca="false">Data!Z42</f>
        <v>0</v>
      </c>
      <c r="I11" s="3" t="n">
        <f aca="false">G11-H11</f>
        <v>10</v>
      </c>
      <c r="J11" s="3" t="n">
        <f aca="false">Data!AD42</f>
        <v>10</v>
      </c>
      <c r="K11" s="3" t="n">
        <f aca="false">Data!AE42</f>
        <v>0</v>
      </c>
      <c r="L11" s="3" t="n">
        <f aca="false">Data!AF42</f>
        <v>0</v>
      </c>
      <c r="M11" s="3" t="n">
        <f aca="false">Data!AG42</f>
        <v>0</v>
      </c>
      <c r="N11" s="3" t="n">
        <f aca="false">Data!AH42</f>
        <v>0</v>
      </c>
      <c r="O11" s="3" t="n">
        <f aca="false">Data!AI42</f>
        <v>0</v>
      </c>
      <c r="P11" s="3" t="n">
        <f aca="false">Data!AJ42</f>
        <v>0</v>
      </c>
      <c r="Q11" s="3" t="n">
        <f aca="false">Data!AK42</f>
        <v>0</v>
      </c>
      <c r="R11" s="3" t="n">
        <f aca="false">Data!AL42</f>
        <v>0</v>
      </c>
    </row>
    <row r="12" customFormat="false" ht="15" hidden="false" customHeight="false" outlineLevel="0" collapsed="false">
      <c r="A12" s="2" t="str">
        <f aca="false">Data!A34</f>
        <v>HASLS22260801612</v>
      </c>
      <c r="B12" s="2" t="str">
        <f aca="false">Data!B34</f>
        <v>CMA</v>
      </c>
      <c r="C12" s="2" t="str">
        <f aca="false">Data!C34</f>
        <v>2614N</v>
      </c>
      <c r="D12" s="2" t="str">
        <f aca="false">Data!I34</f>
        <v>BKK27</v>
      </c>
      <c r="E12" s="2" t="str">
        <f aca="false">Data!J34</f>
        <v>B.C. DEPOT CO.,LTD. ( Bang-Na KM.18)</v>
      </c>
      <c r="F12" s="2" t="str">
        <f aca="false">Data!H34</f>
        <v>20'x1 </v>
      </c>
      <c r="G12" s="3" t="n">
        <f aca="false">SUM(Data!Q34:Y34)</f>
        <v>1</v>
      </c>
      <c r="H12" s="3" t="n">
        <f aca="false">Data!Z34</f>
        <v>0</v>
      </c>
      <c r="I12" s="3" t="n">
        <f aca="false">G12-H12</f>
        <v>1</v>
      </c>
      <c r="J12" s="3" t="n">
        <f aca="false">Data!AD34</f>
        <v>1</v>
      </c>
      <c r="K12" s="3" t="n">
        <f aca="false">Data!AE34</f>
        <v>0</v>
      </c>
      <c r="L12" s="3" t="n">
        <f aca="false">Data!AF34</f>
        <v>0</v>
      </c>
      <c r="M12" s="3" t="n">
        <f aca="false">Data!AG34</f>
        <v>0</v>
      </c>
      <c r="N12" s="3" t="n">
        <f aca="false">Data!AH34</f>
        <v>0</v>
      </c>
      <c r="O12" s="3" t="n">
        <f aca="false">Data!AI34</f>
        <v>0</v>
      </c>
      <c r="P12" s="3" t="n">
        <f aca="false">Data!AJ34</f>
        <v>0</v>
      </c>
      <c r="Q12" s="3" t="n">
        <f aca="false">Data!AK34</f>
        <v>0</v>
      </c>
      <c r="R12" s="3" t="n">
        <f aca="false">Data!AL34</f>
        <v>0</v>
      </c>
    </row>
    <row r="13" customFormat="false" ht="15" hidden="false" customHeight="false" outlineLevel="0" collapsed="false">
      <c r="A13" s="2" t="str">
        <f aca="false">Data!A39</f>
        <v>HASLS22260801620</v>
      </c>
      <c r="B13" s="2" t="str">
        <f aca="false">Data!B39</f>
        <v>SWSR</v>
      </c>
      <c r="C13" s="2" t="str">
        <f aca="false">Data!C39</f>
        <v>2610N</v>
      </c>
      <c r="D13" s="2" t="str">
        <f aca="false">Data!I39</f>
        <v>BKK27</v>
      </c>
      <c r="E13" s="2" t="str">
        <f aca="false">Data!J39</f>
        <v>B.C. DEPOT CO.,LTD. ( Bang-Na KM.18)</v>
      </c>
      <c r="F13" s="2" t="str">
        <f aca="false">Data!H39</f>
        <v>20'x1 </v>
      </c>
      <c r="G13" s="3" t="n">
        <f aca="false">SUM(Data!Q39:Y39)</f>
        <v>1</v>
      </c>
      <c r="H13" s="3" t="n">
        <f aca="false">Data!Z39</f>
        <v>0</v>
      </c>
      <c r="I13" s="3" t="n">
        <f aca="false">G13-H13</f>
        <v>1</v>
      </c>
      <c r="J13" s="3" t="n">
        <f aca="false">Data!AD39</f>
        <v>1</v>
      </c>
      <c r="K13" s="3" t="n">
        <f aca="false">Data!AE39</f>
        <v>0</v>
      </c>
      <c r="L13" s="3" t="n">
        <f aca="false">Data!AF39</f>
        <v>0</v>
      </c>
      <c r="M13" s="3" t="n">
        <f aca="false">Data!AG39</f>
        <v>0</v>
      </c>
      <c r="N13" s="3" t="n">
        <f aca="false">Data!AH39</f>
        <v>0</v>
      </c>
      <c r="O13" s="3" t="n">
        <f aca="false">Data!AI39</f>
        <v>0</v>
      </c>
      <c r="P13" s="3" t="n">
        <f aca="false">Data!AJ39</f>
        <v>0</v>
      </c>
      <c r="Q13" s="3" t="n">
        <f aca="false">Data!AK39</f>
        <v>0</v>
      </c>
      <c r="R13" s="3" t="n">
        <f aca="false">Data!AL39</f>
        <v>0</v>
      </c>
    </row>
    <row r="14" customFormat="false" ht="15" hidden="false" customHeight="false" outlineLevel="0" collapsed="false">
      <c r="A14" s="2" t="str">
        <f aca="false">Data!A46</f>
        <v>HASLS22260801621</v>
      </c>
      <c r="B14" s="2" t="str">
        <f aca="false">Data!B46</f>
        <v>SWSR</v>
      </c>
      <c r="C14" s="2" t="str">
        <f aca="false">Data!C46</f>
        <v>2610N</v>
      </c>
      <c r="D14" s="2" t="str">
        <f aca="false">Data!I46</f>
        <v>BKK27</v>
      </c>
      <c r="E14" s="2" t="str">
        <f aca="false">Data!J46</f>
        <v>B.C. DEPOT CO.,LTD. ( Bang-Na KM.18)</v>
      </c>
      <c r="F14" s="2" t="str">
        <f aca="false">Data!H46</f>
        <v>20'x2 </v>
      </c>
      <c r="G14" s="3" t="n">
        <f aca="false">SUM(Data!Q46:Y46)</f>
        <v>2</v>
      </c>
      <c r="H14" s="3" t="n">
        <f aca="false">Data!Z46</f>
        <v>0</v>
      </c>
      <c r="I14" s="3" t="n">
        <f aca="false">G14-H14</f>
        <v>2</v>
      </c>
      <c r="J14" s="3" t="n">
        <f aca="false">Data!AD46</f>
        <v>2</v>
      </c>
      <c r="K14" s="3" t="n">
        <f aca="false">Data!AE46</f>
        <v>0</v>
      </c>
      <c r="L14" s="3" t="n">
        <f aca="false">Data!AF46</f>
        <v>0</v>
      </c>
      <c r="M14" s="3" t="n">
        <f aca="false">Data!AG46</f>
        <v>0</v>
      </c>
      <c r="N14" s="3" t="n">
        <f aca="false">Data!AH46</f>
        <v>0</v>
      </c>
      <c r="O14" s="3" t="n">
        <f aca="false">Data!AI46</f>
        <v>0</v>
      </c>
      <c r="P14" s="3" t="n">
        <f aca="false">Data!AJ46</f>
        <v>0</v>
      </c>
      <c r="Q14" s="3" t="n">
        <f aca="false">Data!AK46</f>
        <v>0</v>
      </c>
      <c r="R14" s="3" t="n">
        <f aca="false">Data!AL46</f>
        <v>0</v>
      </c>
    </row>
    <row r="15" customFormat="false" ht="15" hidden="false" customHeight="false" outlineLevel="0" collapsed="false">
      <c r="A15" s="2" t="str">
        <f aca="false">Data!A33</f>
        <v>HASLS22260801623</v>
      </c>
      <c r="B15" s="2" t="str">
        <f aca="false">Data!B33</f>
        <v>SWSR</v>
      </c>
      <c r="C15" s="2" t="str">
        <f aca="false">Data!C33</f>
        <v>2610N</v>
      </c>
      <c r="D15" s="2" t="str">
        <f aca="false">Data!I33</f>
        <v>BKK27</v>
      </c>
      <c r="E15" s="2" t="str">
        <f aca="false">Data!J33</f>
        <v>B.C. DEPOT CO.,LTD. ( Bang-Na KM.18)</v>
      </c>
      <c r="F15" s="2" t="str">
        <f aca="false">Data!H33</f>
        <v>20'x1 </v>
      </c>
      <c r="G15" s="3" t="n">
        <f aca="false">SUM(Data!Q33:Y33)</f>
        <v>1</v>
      </c>
      <c r="H15" s="3" t="n">
        <f aca="false">Data!Z33</f>
        <v>0</v>
      </c>
      <c r="I15" s="3" t="n">
        <f aca="false">G15-H15</f>
        <v>1</v>
      </c>
      <c r="J15" s="3" t="n">
        <f aca="false">Data!AD33</f>
        <v>1</v>
      </c>
      <c r="K15" s="3" t="n">
        <f aca="false">Data!AE33</f>
        <v>0</v>
      </c>
      <c r="L15" s="3" t="n">
        <f aca="false">Data!AF33</f>
        <v>0</v>
      </c>
      <c r="M15" s="3" t="n">
        <f aca="false">Data!AG33</f>
        <v>0</v>
      </c>
      <c r="N15" s="3" t="n">
        <f aca="false">Data!AH33</f>
        <v>0</v>
      </c>
      <c r="O15" s="3" t="n">
        <f aca="false">Data!AI33</f>
        <v>0</v>
      </c>
      <c r="P15" s="3" t="n">
        <f aca="false">Data!AJ33</f>
        <v>0</v>
      </c>
      <c r="Q15" s="3" t="n">
        <f aca="false">Data!AK33</f>
        <v>0</v>
      </c>
      <c r="R15" s="3" t="n">
        <f aca="false">Data!AL33</f>
        <v>0</v>
      </c>
    </row>
    <row r="16" customFormat="false" ht="15" hidden="false" customHeight="false" outlineLevel="0" collapsed="false">
      <c r="A16" s="2" t="str">
        <f aca="false">Data!A9</f>
        <v>HASLS22260801624</v>
      </c>
      <c r="B16" s="2" t="str">
        <f aca="false">Data!B9</f>
        <v>SWSR</v>
      </c>
      <c r="C16" s="2" t="str">
        <f aca="false">Data!C9</f>
        <v>2610N</v>
      </c>
      <c r="D16" s="2" t="str">
        <f aca="false">Data!I9</f>
        <v>BKK27</v>
      </c>
      <c r="E16" s="2" t="str">
        <f aca="false">Data!J9</f>
        <v>B.C. DEPOT CO.,LTD. ( Bang-Na KM.18)</v>
      </c>
      <c r="F16" s="2" t="str">
        <f aca="false">Data!H9</f>
        <v>20'x1 </v>
      </c>
      <c r="G16" s="3" t="n">
        <f aca="false">SUM(Data!Q9:Y9)</f>
        <v>1</v>
      </c>
      <c r="H16" s="3" t="n">
        <f aca="false">Data!Z9</f>
        <v>0</v>
      </c>
      <c r="I16" s="3" t="n">
        <f aca="false">G16-H16</f>
        <v>1</v>
      </c>
      <c r="J16" s="3" t="n">
        <f aca="false">Data!AD9</f>
        <v>1</v>
      </c>
      <c r="K16" s="3" t="n">
        <f aca="false">Data!AE9</f>
        <v>0</v>
      </c>
      <c r="L16" s="3" t="n">
        <f aca="false">Data!AF9</f>
        <v>0</v>
      </c>
      <c r="M16" s="3" t="n">
        <f aca="false">Data!AG9</f>
        <v>0</v>
      </c>
      <c r="N16" s="3" t="n">
        <f aca="false">Data!AH9</f>
        <v>0</v>
      </c>
      <c r="O16" s="3" t="n">
        <f aca="false">Data!AI9</f>
        <v>0</v>
      </c>
      <c r="P16" s="3" t="n">
        <f aca="false">Data!AJ9</f>
        <v>0</v>
      </c>
      <c r="Q16" s="3" t="n">
        <f aca="false">Data!AK9</f>
        <v>0</v>
      </c>
      <c r="R16" s="3" t="n">
        <f aca="false">Data!AL9</f>
        <v>0</v>
      </c>
    </row>
    <row r="17" customFormat="false" ht="15" hidden="false" customHeight="false" outlineLevel="0" collapsed="false">
      <c r="A17" s="2" t="str">
        <f aca="false">Data!A29</f>
        <v>HASLS22260801625</v>
      </c>
      <c r="B17" s="2" t="str">
        <f aca="false">Data!B29</f>
        <v>SWSR</v>
      </c>
      <c r="C17" s="2" t="str">
        <f aca="false">Data!C29</f>
        <v>2610N</v>
      </c>
      <c r="D17" s="2" t="str">
        <f aca="false">Data!I29</f>
        <v>BKK27</v>
      </c>
      <c r="E17" s="2" t="str">
        <f aca="false">Data!J29</f>
        <v>B.C. DEPOT CO.,LTD. ( Bang-Na KM.18)</v>
      </c>
      <c r="F17" s="2" t="str">
        <f aca="false">Data!H29</f>
        <v>20'x1 </v>
      </c>
      <c r="G17" s="3" t="n">
        <f aca="false">SUM(Data!Q29:Y29)</f>
        <v>1</v>
      </c>
      <c r="H17" s="3" t="n">
        <f aca="false">Data!Z29</f>
        <v>0</v>
      </c>
      <c r="I17" s="3" t="n">
        <f aca="false">G17-H17</f>
        <v>1</v>
      </c>
      <c r="J17" s="3" t="n">
        <f aca="false">Data!AD29</f>
        <v>1</v>
      </c>
      <c r="K17" s="3" t="n">
        <f aca="false">Data!AE29</f>
        <v>0</v>
      </c>
      <c r="L17" s="3" t="n">
        <f aca="false">Data!AF29</f>
        <v>0</v>
      </c>
      <c r="M17" s="3" t="n">
        <f aca="false">Data!AG29</f>
        <v>0</v>
      </c>
      <c r="N17" s="3" t="n">
        <f aca="false">Data!AH29</f>
        <v>0</v>
      </c>
      <c r="O17" s="3" t="n">
        <f aca="false">Data!AI29</f>
        <v>0</v>
      </c>
      <c r="P17" s="3" t="n">
        <f aca="false">Data!AJ29</f>
        <v>0</v>
      </c>
      <c r="Q17" s="3" t="n">
        <f aca="false">Data!AK29</f>
        <v>0</v>
      </c>
      <c r="R17" s="3" t="n">
        <f aca="false">Data!AL29</f>
        <v>0</v>
      </c>
    </row>
    <row r="18" customFormat="false" ht="15" hidden="false" customHeight="false" outlineLevel="0" collapsed="false">
      <c r="A18" s="2" t="str">
        <f aca="false">Data!A28</f>
        <v>HASLS22260801739</v>
      </c>
      <c r="B18" s="2" t="str">
        <f aca="false">Data!B28</f>
        <v>SWSR</v>
      </c>
      <c r="C18" s="2" t="str">
        <f aca="false">Data!C28</f>
        <v>2610N</v>
      </c>
      <c r="D18" s="2" t="str">
        <f aca="false">Data!I28</f>
        <v>BKK27</v>
      </c>
      <c r="E18" s="2" t="str">
        <f aca="false">Data!J28</f>
        <v>B.C. DEPOT CO.,LTD. ( Bang-Na KM.18)</v>
      </c>
      <c r="F18" s="2" t="str">
        <f aca="false">Data!H28</f>
        <v>20'x1 </v>
      </c>
      <c r="G18" s="3" t="n">
        <f aca="false">SUM(Data!Q28:Y28)</f>
        <v>1</v>
      </c>
      <c r="H18" s="3" t="n">
        <f aca="false">Data!Z28</f>
        <v>0</v>
      </c>
      <c r="I18" s="3" t="n">
        <f aca="false">G18-H18</f>
        <v>1</v>
      </c>
      <c r="J18" s="3" t="n">
        <f aca="false">Data!AD28</f>
        <v>1</v>
      </c>
      <c r="K18" s="3" t="n">
        <f aca="false">Data!AE28</f>
        <v>0</v>
      </c>
      <c r="L18" s="3" t="n">
        <f aca="false">Data!AF28</f>
        <v>0</v>
      </c>
      <c r="M18" s="3" t="n">
        <f aca="false">Data!AG28</f>
        <v>0</v>
      </c>
      <c r="N18" s="3" t="n">
        <f aca="false">Data!AH28</f>
        <v>0</v>
      </c>
      <c r="O18" s="3" t="n">
        <f aca="false">Data!AI28</f>
        <v>0</v>
      </c>
      <c r="P18" s="3" t="n">
        <f aca="false">Data!AJ28</f>
        <v>0</v>
      </c>
      <c r="Q18" s="3" t="n">
        <f aca="false">Data!AK28</f>
        <v>0</v>
      </c>
      <c r="R18" s="3" t="n">
        <f aca="false">Data!AL28</f>
        <v>0</v>
      </c>
    </row>
    <row r="19" customFormat="false" ht="15" hidden="false" customHeight="false" outlineLevel="0" collapsed="false">
      <c r="A19" s="2" t="str">
        <f aca="false">Data!A2</f>
        <v>HASLS22260801752</v>
      </c>
      <c r="B19" s="2" t="str">
        <f aca="false">Data!B2</f>
        <v>SWSR</v>
      </c>
      <c r="C19" s="2" t="str">
        <f aca="false">Data!C2</f>
        <v>2610N</v>
      </c>
      <c r="D19" s="2" t="str">
        <f aca="false">Data!I2</f>
        <v>BKK27</v>
      </c>
      <c r="E19" s="2" t="str">
        <f aca="false">Data!J2</f>
        <v>B.C. DEPOT CO.,LTD. ( Bang-Na KM.18)</v>
      </c>
      <c r="F19" s="2" t="str">
        <f aca="false">Data!H2</f>
        <v>20'x1 </v>
      </c>
      <c r="G19" s="3" t="n">
        <f aca="false">SUM(Data!Q2:Y2)</f>
        <v>1</v>
      </c>
      <c r="H19" s="3" t="n">
        <f aca="false">Data!Z2</f>
        <v>0</v>
      </c>
      <c r="I19" s="3" t="n">
        <f aca="false">G19-H19</f>
        <v>1</v>
      </c>
      <c r="J19" s="3" t="n">
        <f aca="false">Data!AD2</f>
        <v>1</v>
      </c>
      <c r="K19" s="3" t="n">
        <f aca="false">Data!AE2</f>
        <v>0</v>
      </c>
      <c r="L19" s="3" t="n">
        <f aca="false">Data!AF2</f>
        <v>0</v>
      </c>
      <c r="M19" s="3" t="n">
        <f aca="false">Data!AG2</f>
        <v>0</v>
      </c>
      <c r="N19" s="3" t="n">
        <f aca="false">Data!AH2</f>
        <v>0</v>
      </c>
      <c r="O19" s="3" t="n">
        <f aca="false">Data!AI2</f>
        <v>0</v>
      </c>
      <c r="P19" s="3" t="n">
        <f aca="false">Data!AJ2</f>
        <v>0</v>
      </c>
      <c r="Q19" s="3" t="n">
        <f aca="false">Data!AK2</f>
        <v>0</v>
      </c>
      <c r="R19" s="3" t="n">
        <f aca="false">Data!AL2</f>
        <v>0</v>
      </c>
    </row>
    <row r="20" customFormat="false" ht="15" hidden="false" customHeight="false" outlineLevel="0" collapsed="false">
      <c r="A20" s="2" t="str">
        <f aca="false">Data!A70</f>
        <v>HASLS22260801841</v>
      </c>
      <c r="B20" s="2" t="str">
        <f aca="false">Data!B70</f>
        <v>SWBT</v>
      </c>
      <c r="C20" s="2" t="str">
        <f aca="false">Data!C70</f>
        <v>2615N</v>
      </c>
      <c r="D20" s="2" t="str">
        <f aca="false">Data!I70</f>
        <v>BKK27</v>
      </c>
      <c r="E20" s="2" t="str">
        <f aca="false">Data!J70</f>
        <v>B.C. DEPOT CO.,LTD. ( Bang-Na KM.18)</v>
      </c>
      <c r="F20" s="2" t="str">
        <f aca="false">Data!H70</f>
        <v>40Hx17 </v>
      </c>
      <c r="G20" s="3" t="n">
        <f aca="false">SUM(Data!Q70:Y70)</f>
        <v>17</v>
      </c>
      <c r="H20" s="3" t="n">
        <f aca="false">Data!Z70</f>
        <v>9</v>
      </c>
      <c r="I20" s="3" t="n">
        <f aca="false">G20-H20</f>
        <v>8</v>
      </c>
      <c r="J20" s="3" t="n">
        <f aca="false">Data!AD70</f>
        <v>0</v>
      </c>
      <c r="K20" s="3" t="n">
        <f aca="false">Data!AE70</f>
        <v>0</v>
      </c>
      <c r="L20" s="3" t="n">
        <f aca="false">Data!AF70</f>
        <v>8</v>
      </c>
      <c r="M20" s="3" t="n">
        <f aca="false">Data!AG70</f>
        <v>0</v>
      </c>
      <c r="N20" s="3" t="n">
        <f aca="false">Data!AH70</f>
        <v>0</v>
      </c>
      <c r="O20" s="3" t="n">
        <f aca="false">Data!AI70</f>
        <v>0</v>
      </c>
      <c r="P20" s="3" t="n">
        <f aca="false">Data!AJ70</f>
        <v>0</v>
      </c>
      <c r="Q20" s="3" t="n">
        <f aca="false">Data!AK70</f>
        <v>0</v>
      </c>
      <c r="R20" s="3" t="n">
        <f aca="false">Data!AL70</f>
        <v>0</v>
      </c>
    </row>
    <row r="21" customFormat="false" ht="15" hidden="false" customHeight="false" outlineLevel="0" collapsed="false">
      <c r="A21" s="2" t="str">
        <f aca="false">Data!A63</f>
        <v>HASLS22260801939</v>
      </c>
      <c r="B21" s="2" t="str">
        <f aca="false">Data!B63</f>
        <v>SWBT</v>
      </c>
      <c r="C21" s="2" t="str">
        <f aca="false">Data!C63</f>
        <v>2615N</v>
      </c>
      <c r="D21" s="2" t="str">
        <f aca="false">Data!I63</f>
        <v>BKK27</v>
      </c>
      <c r="E21" s="2" t="str">
        <f aca="false">Data!J63</f>
        <v>B.C. DEPOT CO.,LTD. ( Bang-Na KM.18)</v>
      </c>
      <c r="F21" s="2" t="str">
        <f aca="false">Data!H63</f>
        <v>40Hx1 </v>
      </c>
      <c r="G21" s="3" t="n">
        <f aca="false">SUM(Data!Q63:Y63)</f>
        <v>1</v>
      </c>
      <c r="H21" s="3" t="n">
        <f aca="false">Data!Z63</f>
        <v>0</v>
      </c>
      <c r="I21" s="3" t="n">
        <f aca="false">G21-H21</f>
        <v>1</v>
      </c>
      <c r="J21" s="3" t="n">
        <f aca="false">Data!AD63</f>
        <v>0</v>
      </c>
      <c r="K21" s="3" t="n">
        <f aca="false">Data!AE63</f>
        <v>0</v>
      </c>
      <c r="L21" s="3" t="n">
        <f aca="false">Data!AF63</f>
        <v>1</v>
      </c>
      <c r="M21" s="3" t="n">
        <f aca="false">Data!AG63</f>
        <v>0</v>
      </c>
      <c r="N21" s="3" t="n">
        <f aca="false">Data!AH63</f>
        <v>0</v>
      </c>
      <c r="O21" s="3" t="n">
        <f aca="false">Data!AI63</f>
        <v>0</v>
      </c>
      <c r="P21" s="3" t="n">
        <f aca="false">Data!AJ63</f>
        <v>0</v>
      </c>
      <c r="Q21" s="3" t="n">
        <f aca="false">Data!AK63</f>
        <v>0</v>
      </c>
      <c r="R21" s="3" t="n">
        <f aca="false">Data!AL63</f>
        <v>0</v>
      </c>
    </row>
    <row r="22" customFormat="false" ht="15" hidden="false" customHeight="false" outlineLevel="0" collapsed="false">
      <c r="A22" s="2" t="str">
        <f aca="false">Data!A55</f>
        <v>HASLS22260802380</v>
      </c>
      <c r="B22" s="2" t="str">
        <f aca="false">Data!B55</f>
        <v>KUS</v>
      </c>
      <c r="C22" s="2" t="str">
        <f aca="false">Data!C55</f>
        <v>2615N</v>
      </c>
      <c r="D22" s="2" t="str">
        <f aca="false">Data!I55</f>
        <v>BKK27</v>
      </c>
      <c r="E22" s="2" t="str">
        <f aca="false">Data!J55</f>
        <v>B.C. DEPOT CO.,LTD. ( Bang-Na KM.18)</v>
      </c>
      <c r="F22" s="2" t="str">
        <f aca="false">Data!H55</f>
        <v>40Hx1 </v>
      </c>
      <c r="G22" s="3" t="n">
        <f aca="false">SUM(Data!Q55:Y55)</f>
        <v>1</v>
      </c>
      <c r="H22" s="3" t="n">
        <f aca="false">Data!Z55</f>
        <v>0</v>
      </c>
      <c r="I22" s="3" t="n">
        <f aca="false">G22-H22</f>
        <v>1</v>
      </c>
      <c r="J22" s="3" t="n">
        <f aca="false">Data!AD55</f>
        <v>0</v>
      </c>
      <c r="K22" s="3" t="n">
        <f aca="false">Data!AE55</f>
        <v>0</v>
      </c>
      <c r="L22" s="3" t="n">
        <f aca="false">Data!AF55</f>
        <v>1</v>
      </c>
      <c r="M22" s="3" t="n">
        <f aca="false">Data!AG55</f>
        <v>0</v>
      </c>
      <c r="N22" s="3" t="n">
        <f aca="false">Data!AH55</f>
        <v>0</v>
      </c>
      <c r="O22" s="3" t="n">
        <f aca="false">Data!AI55</f>
        <v>0</v>
      </c>
      <c r="P22" s="3" t="n">
        <f aca="false">Data!AJ55</f>
        <v>0</v>
      </c>
      <c r="Q22" s="3" t="n">
        <f aca="false">Data!AK55</f>
        <v>0</v>
      </c>
      <c r="R22" s="3" t="n">
        <f aca="false">Data!AL55</f>
        <v>0</v>
      </c>
    </row>
    <row r="23" customFormat="false" ht="15" hidden="false" customHeight="false" outlineLevel="0" collapsed="false">
      <c r="A23" s="2" t="str">
        <f aca="false">Data!A3</f>
        <v>HASLS22260802441</v>
      </c>
      <c r="B23" s="2" t="str">
        <f aca="false">Data!B3</f>
        <v>SWSR</v>
      </c>
      <c r="C23" s="2" t="str">
        <f aca="false">Data!C3</f>
        <v>2610N</v>
      </c>
      <c r="D23" s="2" t="str">
        <f aca="false">Data!I3</f>
        <v>BKK27</v>
      </c>
      <c r="E23" s="2" t="str">
        <f aca="false">Data!J3</f>
        <v>B.C. DEPOT CO.,LTD. ( Bang-Na KM.18)</v>
      </c>
      <c r="F23" s="2" t="str">
        <f aca="false">Data!H3</f>
        <v>20'x1 </v>
      </c>
      <c r="G23" s="3" t="n">
        <f aca="false">SUM(Data!Q3:Y3)</f>
        <v>1</v>
      </c>
      <c r="H23" s="3" t="n">
        <f aca="false">Data!Z3</f>
        <v>0</v>
      </c>
      <c r="I23" s="3" t="n">
        <f aca="false">G23-H23</f>
        <v>1</v>
      </c>
      <c r="J23" s="3" t="n">
        <f aca="false">Data!AD3</f>
        <v>1</v>
      </c>
      <c r="K23" s="3" t="n">
        <f aca="false">Data!AE3</f>
        <v>0</v>
      </c>
      <c r="L23" s="3" t="n">
        <f aca="false">Data!AF3</f>
        <v>0</v>
      </c>
      <c r="M23" s="3" t="n">
        <f aca="false">Data!AG3</f>
        <v>0</v>
      </c>
      <c r="N23" s="3" t="n">
        <f aca="false">Data!AH3</f>
        <v>0</v>
      </c>
      <c r="O23" s="3" t="n">
        <f aca="false">Data!AI3</f>
        <v>0</v>
      </c>
      <c r="P23" s="3" t="n">
        <f aca="false">Data!AJ3</f>
        <v>0</v>
      </c>
      <c r="Q23" s="3" t="n">
        <f aca="false">Data!AK3</f>
        <v>0</v>
      </c>
      <c r="R23" s="3" t="n">
        <f aca="false">Data!AL3</f>
        <v>0</v>
      </c>
    </row>
    <row r="24" customFormat="false" ht="15" hidden="false" customHeight="false" outlineLevel="0" collapsed="false">
      <c r="A24" s="2" t="str">
        <f aca="false">Data!A80</f>
        <v>HASLS22260900475</v>
      </c>
      <c r="B24" s="2" t="str">
        <f aca="false">Data!B80</f>
        <v>DJCF</v>
      </c>
      <c r="C24" s="2" t="str">
        <f aca="false">Data!C80</f>
        <v>0151N</v>
      </c>
      <c r="D24" s="2" t="str">
        <f aca="false">Data!I80</f>
        <v>BKK27</v>
      </c>
      <c r="E24" s="2" t="str">
        <f aca="false">Data!J80</f>
        <v>B.C. DEPOT CO.,LTD. ( Bang-Na KM.18)</v>
      </c>
      <c r="F24" s="2" t="str">
        <f aca="false">Data!H80</f>
        <v>40Hx5 </v>
      </c>
      <c r="G24" s="3" t="n">
        <f aca="false">SUM(Data!Q80:Y80)</f>
        <v>5</v>
      </c>
      <c r="H24" s="3" t="n">
        <f aca="false">Data!Z80</f>
        <v>0</v>
      </c>
      <c r="I24" s="3" t="n">
        <f aca="false">G24-H24</f>
        <v>5</v>
      </c>
      <c r="J24" s="3" t="n">
        <f aca="false">Data!AD80</f>
        <v>0</v>
      </c>
      <c r="K24" s="3" t="n">
        <f aca="false">Data!AE80</f>
        <v>0</v>
      </c>
      <c r="L24" s="3" t="n">
        <f aca="false">Data!AF80</f>
        <v>5</v>
      </c>
      <c r="M24" s="3" t="n">
        <f aca="false">Data!AG80</f>
        <v>0</v>
      </c>
      <c r="N24" s="3" t="n">
        <f aca="false">Data!AH80</f>
        <v>0</v>
      </c>
      <c r="O24" s="3" t="n">
        <f aca="false">Data!AI80</f>
        <v>0</v>
      </c>
      <c r="P24" s="3" t="n">
        <f aca="false">Data!AJ80</f>
        <v>0</v>
      </c>
      <c r="Q24" s="3" t="n">
        <f aca="false">Data!AK80</f>
        <v>0</v>
      </c>
      <c r="R24" s="3" t="n">
        <f aca="false">Data!AL80</f>
        <v>0</v>
      </c>
    </row>
    <row r="25" customFormat="false" ht="15" hidden="false" customHeight="false" outlineLevel="0" collapsed="false">
      <c r="A25" s="2" t="str">
        <f aca="false">Data!A71</f>
        <v>HASLS22260900486</v>
      </c>
      <c r="B25" s="2" t="str">
        <f aca="false">Data!B71</f>
        <v>KJT</v>
      </c>
      <c r="C25" s="2" t="str">
        <f aca="false">Data!C71</f>
        <v>2610N</v>
      </c>
      <c r="D25" s="2" t="str">
        <f aca="false">Data!I71</f>
        <v>BKK27</v>
      </c>
      <c r="E25" s="2" t="str">
        <f aca="false">Data!J71</f>
        <v>B.C. DEPOT CO.,LTD. ( Bang-Na KM.18)</v>
      </c>
      <c r="F25" s="2" t="str">
        <f aca="false">Data!H71</f>
        <v>40Hx2 </v>
      </c>
      <c r="G25" s="3" t="n">
        <f aca="false">SUM(Data!Q71:Y71)</f>
        <v>2</v>
      </c>
      <c r="H25" s="3" t="n">
        <f aca="false">Data!Z71</f>
        <v>0</v>
      </c>
      <c r="I25" s="3" t="n">
        <f aca="false">G25-H25</f>
        <v>2</v>
      </c>
      <c r="J25" s="3" t="n">
        <f aca="false">Data!AD71</f>
        <v>0</v>
      </c>
      <c r="K25" s="3" t="n">
        <f aca="false">Data!AE71</f>
        <v>0</v>
      </c>
      <c r="L25" s="3" t="n">
        <f aca="false">Data!AF71</f>
        <v>2</v>
      </c>
      <c r="M25" s="3" t="n">
        <f aca="false">Data!AG71</f>
        <v>0</v>
      </c>
      <c r="N25" s="3" t="n">
        <f aca="false">Data!AH71</f>
        <v>0</v>
      </c>
      <c r="O25" s="3" t="n">
        <f aca="false">Data!AI71</f>
        <v>0</v>
      </c>
      <c r="P25" s="3" t="n">
        <f aca="false">Data!AJ71</f>
        <v>0</v>
      </c>
      <c r="Q25" s="3" t="n">
        <f aca="false">Data!AK71</f>
        <v>0</v>
      </c>
      <c r="R25" s="3" t="n">
        <f aca="false">Data!AL71</f>
        <v>0</v>
      </c>
    </row>
    <row r="26" customFormat="false" ht="15" hidden="false" customHeight="false" outlineLevel="0" collapsed="false">
      <c r="A26" s="2" t="str">
        <f aca="false">Data!A62</f>
        <v>HASLS22260900696</v>
      </c>
      <c r="B26" s="2" t="str">
        <f aca="false">Data!B62</f>
        <v>SWAL</v>
      </c>
      <c r="C26" s="2" t="str">
        <f aca="false">Data!C62</f>
        <v>2608N</v>
      </c>
      <c r="D26" s="2" t="str">
        <f aca="false">Data!I62</f>
        <v>BKK27</v>
      </c>
      <c r="E26" s="2" t="str">
        <f aca="false">Data!J62</f>
        <v>B.C. DEPOT CO.,LTD. ( Bang-Na KM.18)</v>
      </c>
      <c r="F26" s="2" t="str">
        <f aca="false">Data!H62</f>
        <v>40Hx1 </v>
      </c>
      <c r="G26" s="3" t="n">
        <f aca="false">SUM(Data!Q62:Y62)</f>
        <v>1</v>
      </c>
      <c r="H26" s="3" t="n">
        <f aca="false">Data!Z62</f>
        <v>0</v>
      </c>
      <c r="I26" s="3" t="n">
        <f aca="false">G26-H26</f>
        <v>1</v>
      </c>
      <c r="J26" s="3" t="n">
        <f aca="false">Data!AD62</f>
        <v>0</v>
      </c>
      <c r="K26" s="3" t="n">
        <f aca="false">Data!AE62</f>
        <v>0</v>
      </c>
      <c r="L26" s="3" t="n">
        <f aca="false">Data!AF62</f>
        <v>1</v>
      </c>
      <c r="M26" s="3" t="n">
        <f aca="false">Data!AG62</f>
        <v>0</v>
      </c>
      <c r="N26" s="3" t="n">
        <f aca="false">Data!AH62</f>
        <v>0</v>
      </c>
      <c r="O26" s="3" t="n">
        <f aca="false">Data!AI62</f>
        <v>0</v>
      </c>
      <c r="P26" s="3" t="n">
        <f aca="false">Data!AJ62</f>
        <v>0</v>
      </c>
      <c r="Q26" s="3" t="n">
        <f aca="false">Data!AK62</f>
        <v>0</v>
      </c>
      <c r="R26" s="3" t="n">
        <f aca="false">Data!AL62</f>
        <v>0</v>
      </c>
    </row>
    <row r="27" customFormat="false" ht="15" hidden="false" customHeight="false" outlineLevel="0" collapsed="false">
      <c r="A27" s="2" t="str">
        <f aca="false">Data!A60</f>
        <v>HASLS22260801889</v>
      </c>
      <c r="B27" s="2" t="str">
        <f aca="false">Data!B60</f>
        <v>ICVY</v>
      </c>
      <c r="C27" s="2" t="str">
        <f aca="false">Data!C60</f>
        <v>2607S</v>
      </c>
      <c r="D27" s="2" t="str">
        <f aca="false">Data!I60</f>
        <v>LCH28</v>
      </c>
      <c r="E27" s="2" t="str">
        <f aca="false">Data!J60</f>
        <v>CELLO</v>
      </c>
      <c r="F27" s="2" t="str">
        <f aca="false">Data!H60</f>
        <v>40Hx1 </v>
      </c>
      <c r="G27" s="3" t="n">
        <f aca="false">SUM(Data!Q60:Y60)</f>
        <v>1</v>
      </c>
      <c r="H27" s="3" t="n">
        <f aca="false">Data!Z60</f>
        <v>0</v>
      </c>
      <c r="I27" s="3" t="n">
        <f aca="false">G27-H27</f>
        <v>1</v>
      </c>
      <c r="J27" s="3" t="n">
        <f aca="false">Data!AD60</f>
        <v>0</v>
      </c>
      <c r="K27" s="3" t="n">
        <f aca="false">Data!AE60</f>
        <v>0</v>
      </c>
      <c r="L27" s="3" t="n">
        <f aca="false">Data!AF60</f>
        <v>1</v>
      </c>
      <c r="M27" s="3" t="n">
        <f aca="false">Data!AG60</f>
        <v>0</v>
      </c>
      <c r="N27" s="3" t="n">
        <f aca="false">Data!AH60</f>
        <v>0</v>
      </c>
      <c r="O27" s="3" t="n">
        <f aca="false">Data!AI60</f>
        <v>0</v>
      </c>
      <c r="P27" s="3" t="n">
        <f aca="false">Data!AJ60</f>
        <v>0</v>
      </c>
      <c r="Q27" s="3" t="n">
        <f aca="false">Data!AK60</f>
        <v>0</v>
      </c>
      <c r="R27" s="3" t="n">
        <f aca="false">Data!AL60</f>
        <v>0</v>
      </c>
    </row>
    <row r="28" customFormat="false" ht="15" hidden="false" customHeight="false" outlineLevel="0" collapsed="false">
      <c r="A28" s="2" t="str">
        <f aca="false">Data!A66</f>
        <v>HASLS22260700701</v>
      </c>
      <c r="B28" s="2" t="str">
        <f aca="false">Data!B66</f>
        <v>ICVY</v>
      </c>
      <c r="C28" s="2" t="str">
        <f aca="false">Data!C66</f>
        <v>2607S</v>
      </c>
      <c r="D28" s="2" t="str">
        <f aca="false">Data!I66</f>
        <v>LCH27</v>
      </c>
      <c r="E28" s="2" t="str">
        <f aca="false">Data!J66</f>
        <v>HAST Logistics Co.,Ltd. </v>
      </c>
      <c r="F28" s="2" t="str">
        <f aca="false">Data!H66</f>
        <v>40Hx1 </v>
      </c>
      <c r="G28" s="3" t="n">
        <f aca="false">SUM(Data!Q66:Y66)</f>
        <v>1</v>
      </c>
      <c r="H28" s="3" t="n">
        <f aca="false">Data!Z66</f>
        <v>0</v>
      </c>
      <c r="I28" s="3" t="n">
        <f aca="false">G28-H28</f>
        <v>1</v>
      </c>
      <c r="J28" s="3" t="n">
        <f aca="false">Data!AD66</f>
        <v>0</v>
      </c>
      <c r="K28" s="3" t="n">
        <f aca="false">Data!AE66</f>
        <v>0</v>
      </c>
      <c r="L28" s="3" t="n">
        <f aca="false">Data!AF66</f>
        <v>1</v>
      </c>
      <c r="M28" s="3" t="n">
        <f aca="false">Data!AG66</f>
        <v>0</v>
      </c>
      <c r="N28" s="3" t="n">
        <f aca="false">Data!AH66</f>
        <v>0</v>
      </c>
      <c r="O28" s="3" t="n">
        <f aca="false">Data!AI66</f>
        <v>0</v>
      </c>
      <c r="P28" s="3" t="n">
        <f aca="false">Data!AJ66</f>
        <v>0</v>
      </c>
      <c r="Q28" s="3" t="n">
        <f aca="false">Data!AK66</f>
        <v>0</v>
      </c>
      <c r="R28" s="3" t="n">
        <f aca="false">Data!AL66</f>
        <v>0</v>
      </c>
    </row>
    <row r="29" customFormat="false" ht="15" hidden="false" customHeight="false" outlineLevel="0" collapsed="false">
      <c r="A29" s="2" t="str">
        <f aca="false">Data!A61</f>
        <v>HASLS22260800573</v>
      </c>
      <c r="B29" s="2" t="str">
        <f aca="false">Data!B61</f>
        <v>DJCF</v>
      </c>
      <c r="C29" s="2" t="str">
        <f aca="false">Data!C61</f>
        <v>0151N</v>
      </c>
      <c r="D29" s="2" t="str">
        <f aca="false">Data!I61</f>
        <v>LCH27</v>
      </c>
      <c r="E29" s="2" t="str">
        <f aca="false">Data!J61</f>
        <v>HAST Logistics Co.,Ltd. </v>
      </c>
      <c r="F29" s="2" t="str">
        <f aca="false">Data!H61</f>
        <v>40Hx1 </v>
      </c>
      <c r="G29" s="3" t="n">
        <f aca="false">SUM(Data!Q61:Y61)</f>
        <v>1</v>
      </c>
      <c r="H29" s="3" t="n">
        <f aca="false">Data!Z61</f>
        <v>0</v>
      </c>
      <c r="I29" s="3" t="n">
        <f aca="false">G29-H29</f>
        <v>1</v>
      </c>
      <c r="J29" s="3" t="n">
        <f aca="false">Data!AD61</f>
        <v>0</v>
      </c>
      <c r="K29" s="3" t="n">
        <f aca="false">Data!AE61</f>
        <v>0</v>
      </c>
      <c r="L29" s="3" t="n">
        <f aca="false">Data!AF61</f>
        <v>1</v>
      </c>
      <c r="M29" s="3" t="n">
        <f aca="false">Data!AG61</f>
        <v>0</v>
      </c>
      <c r="N29" s="3" t="n">
        <f aca="false">Data!AH61</f>
        <v>0</v>
      </c>
      <c r="O29" s="3" t="n">
        <f aca="false">Data!AI61</f>
        <v>0</v>
      </c>
      <c r="P29" s="3" t="n">
        <f aca="false">Data!AJ61</f>
        <v>0</v>
      </c>
      <c r="Q29" s="3" t="n">
        <f aca="false">Data!AK61</f>
        <v>0</v>
      </c>
      <c r="R29" s="3" t="n">
        <f aca="false">Data!AL61</f>
        <v>0</v>
      </c>
    </row>
    <row r="30" customFormat="false" ht="15" hidden="false" customHeight="false" outlineLevel="0" collapsed="false">
      <c r="A30" s="2" t="str">
        <f aca="false">Data!A79</f>
        <v>HASLS22260800855</v>
      </c>
      <c r="B30" s="2" t="str">
        <f aca="false">Data!B79</f>
        <v>DJCF</v>
      </c>
      <c r="C30" s="2" t="str">
        <f aca="false">Data!C79</f>
        <v>0151N</v>
      </c>
      <c r="D30" s="2" t="str">
        <f aca="false">Data!I79</f>
        <v>LCH27</v>
      </c>
      <c r="E30" s="2" t="str">
        <f aca="false">Data!J79</f>
        <v>HAST Logistics Co.,Ltd. </v>
      </c>
      <c r="F30" s="2" t="str">
        <f aca="false">Data!H79</f>
        <v>40Hx5 </v>
      </c>
      <c r="G30" s="3" t="n">
        <f aca="false">SUM(Data!Q79:Y79)</f>
        <v>5</v>
      </c>
      <c r="H30" s="3" t="n">
        <f aca="false">Data!Z79</f>
        <v>0</v>
      </c>
      <c r="I30" s="3" t="n">
        <f aca="false">G30-H30</f>
        <v>5</v>
      </c>
      <c r="J30" s="3" t="n">
        <f aca="false">Data!AD79</f>
        <v>0</v>
      </c>
      <c r="K30" s="3" t="n">
        <f aca="false">Data!AE79</f>
        <v>0</v>
      </c>
      <c r="L30" s="3" t="n">
        <f aca="false">Data!AF79</f>
        <v>5</v>
      </c>
      <c r="M30" s="3" t="n">
        <f aca="false">Data!AG79</f>
        <v>0</v>
      </c>
      <c r="N30" s="3" t="n">
        <f aca="false">Data!AH79</f>
        <v>0</v>
      </c>
      <c r="O30" s="3" t="n">
        <f aca="false">Data!AI79</f>
        <v>0</v>
      </c>
      <c r="P30" s="3" t="n">
        <f aca="false">Data!AJ79</f>
        <v>0</v>
      </c>
      <c r="Q30" s="3" t="n">
        <f aca="false">Data!AK79</f>
        <v>0</v>
      </c>
      <c r="R30" s="3" t="n">
        <f aca="false">Data!AL79</f>
        <v>0</v>
      </c>
    </row>
    <row r="31" customFormat="false" ht="15" hidden="false" customHeight="false" outlineLevel="0" collapsed="false">
      <c r="A31" s="2" t="str">
        <f aca="false">Data!A19</f>
        <v>HASLS22260801481</v>
      </c>
      <c r="B31" s="2" t="str">
        <f aca="false">Data!B19</f>
        <v>NSSJ</v>
      </c>
      <c r="C31" s="2" t="str">
        <f aca="false">Data!C19</f>
        <v>2607S</v>
      </c>
      <c r="D31" s="2" t="str">
        <f aca="false">Data!I19</f>
        <v>LCH27</v>
      </c>
      <c r="E31" s="2" t="str">
        <f aca="false">Data!J19</f>
        <v>HAST Logistics Co.,Ltd. </v>
      </c>
      <c r="F31" s="2" t="str">
        <f aca="false">Data!H19</f>
        <v>20'x1 </v>
      </c>
      <c r="G31" s="3" t="n">
        <f aca="false">SUM(Data!Q19:Y19)</f>
        <v>1</v>
      </c>
      <c r="H31" s="3" t="n">
        <f aca="false">Data!Z19</f>
        <v>0</v>
      </c>
      <c r="I31" s="3" t="n">
        <f aca="false">G31-H31</f>
        <v>1</v>
      </c>
      <c r="J31" s="3" t="n">
        <f aca="false">Data!AD19</f>
        <v>1</v>
      </c>
      <c r="K31" s="3" t="n">
        <f aca="false">Data!AE19</f>
        <v>0</v>
      </c>
      <c r="L31" s="3" t="n">
        <f aca="false">Data!AF19</f>
        <v>0</v>
      </c>
      <c r="M31" s="3" t="n">
        <f aca="false">Data!AG19</f>
        <v>0</v>
      </c>
      <c r="N31" s="3" t="n">
        <f aca="false">Data!AH19</f>
        <v>0</v>
      </c>
      <c r="O31" s="3" t="n">
        <f aca="false">Data!AI19</f>
        <v>0</v>
      </c>
      <c r="P31" s="3" t="n">
        <f aca="false">Data!AJ19</f>
        <v>0</v>
      </c>
      <c r="Q31" s="3" t="n">
        <f aca="false">Data!AK19</f>
        <v>0</v>
      </c>
      <c r="R31" s="3" t="n">
        <f aca="false">Data!AL19</f>
        <v>0</v>
      </c>
    </row>
    <row r="32" customFormat="false" ht="15" hidden="false" customHeight="false" outlineLevel="0" collapsed="false">
      <c r="A32" s="2" t="str">
        <f aca="false">Data!A84</f>
        <v>HASLS22260801673</v>
      </c>
      <c r="B32" s="2" t="str">
        <f aca="false">Data!B84</f>
        <v>KJT</v>
      </c>
      <c r="C32" s="2" t="str">
        <f aca="false">Data!C84</f>
        <v>2610N</v>
      </c>
      <c r="D32" s="2" t="str">
        <f aca="false">Data!I84</f>
        <v>LCH27</v>
      </c>
      <c r="E32" s="2" t="str">
        <f aca="false">Data!J84</f>
        <v>HAST Logistics Co.,Ltd. </v>
      </c>
      <c r="F32" s="2" t="str">
        <f aca="false">Data!H84</f>
        <v>R40Hx1 </v>
      </c>
      <c r="G32" s="3" t="n">
        <f aca="false">SUM(Data!Q84:Y84)</f>
        <v>1</v>
      </c>
      <c r="H32" s="3" t="n">
        <f aca="false">Data!Z84</f>
        <v>0</v>
      </c>
      <c r="I32" s="3" t="n">
        <f aca="false">G32-H32</f>
        <v>1</v>
      </c>
      <c r="J32" s="3" t="n">
        <f aca="false">Data!AD84</f>
        <v>0</v>
      </c>
      <c r="K32" s="3" t="n">
        <f aca="false">Data!AE84</f>
        <v>0</v>
      </c>
      <c r="L32" s="3" t="n">
        <f aca="false">Data!AF84</f>
        <v>0</v>
      </c>
      <c r="M32" s="3" t="n">
        <f aca="false">Data!AG84</f>
        <v>0</v>
      </c>
      <c r="N32" s="3" t="n">
        <f aca="false">Data!AH84</f>
        <v>1</v>
      </c>
      <c r="O32" s="3" t="n">
        <f aca="false">Data!AI84</f>
        <v>0</v>
      </c>
      <c r="P32" s="3" t="n">
        <f aca="false">Data!AJ84</f>
        <v>0</v>
      </c>
      <c r="Q32" s="3" t="n">
        <f aca="false">Data!AK84</f>
        <v>0</v>
      </c>
      <c r="R32" s="3" t="n">
        <f aca="false">Data!AL84</f>
        <v>0</v>
      </c>
    </row>
    <row r="33" customFormat="false" ht="15" hidden="false" customHeight="false" outlineLevel="0" collapsed="false">
      <c r="A33" s="2" t="str">
        <f aca="false">Data!A83</f>
        <v>HASLS22260801674</v>
      </c>
      <c r="B33" s="2" t="str">
        <f aca="false">Data!B83</f>
        <v>KJT</v>
      </c>
      <c r="C33" s="2" t="str">
        <f aca="false">Data!C83</f>
        <v>2610N</v>
      </c>
      <c r="D33" s="2" t="str">
        <f aca="false">Data!I83</f>
        <v>LCH27</v>
      </c>
      <c r="E33" s="2" t="str">
        <f aca="false">Data!J83</f>
        <v>HAST Logistics Co.,Ltd. </v>
      </c>
      <c r="F33" s="2" t="str">
        <f aca="false">Data!H83</f>
        <v>R40Hx1 </v>
      </c>
      <c r="G33" s="3" t="n">
        <f aca="false">SUM(Data!Q83:Y83)</f>
        <v>1</v>
      </c>
      <c r="H33" s="3" t="n">
        <f aca="false">Data!Z83</f>
        <v>0</v>
      </c>
      <c r="I33" s="3" t="n">
        <f aca="false">G33-H33</f>
        <v>1</v>
      </c>
      <c r="J33" s="3" t="n">
        <f aca="false">Data!AD83</f>
        <v>0</v>
      </c>
      <c r="K33" s="3" t="n">
        <f aca="false">Data!AE83</f>
        <v>0</v>
      </c>
      <c r="L33" s="3" t="n">
        <f aca="false">Data!AF83</f>
        <v>0</v>
      </c>
      <c r="M33" s="3" t="n">
        <f aca="false">Data!AG83</f>
        <v>0</v>
      </c>
      <c r="N33" s="3" t="n">
        <f aca="false">Data!AH83</f>
        <v>1</v>
      </c>
      <c r="O33" s="3" t="n">
        <f aca="false">Data!AI83</f>
        <v>0</v>
      </c>
      <c r="P33" s="3" t="n">
        <f aca="false">Data!AJ83</f>
        <v>0</v>
      </c>
      <c r="Q33" s="3" t="n">
        <f aca="false">Data!AK83</f>
        <v>0</v>
      </c>
      <c r="R33" s="3" t="n">
        <f aca="false">Data!AL83</f>
        <v>0</v>
      </c>
    </row>
    <row r="34" customFormat="false" ht="15" hidden="false" customHeight="false" outlineLevel="0" collapsed="false">
      <c r="A34" s="2" t="str">
        <f aca="false">Data!A88</f>
        <v>HASLS22260801675</v>
      </c>
      <c r="B34" s="2" t="str">
        <f aca="false">Data!B88</f>
        <v>KJT</v>
      </c>
      <c r="C34" s="2" t="str">
        <f aca="false">Data!C88</f>
        <v>2610N</v>
      </c>
      <c r="D34" s="2" t="str">
        <f aca="false">Data!I88</f>
        <v>LCH27</v>
      </c>
      <c r="E34" s="2" t="str">
        <f aca="false">Data!J88</f>
        <v>HAST Logistics Co.,Ltd. </v>
      </c>
      <c r="F34" s="2" t="str">
        <f aca="false">Data!H88</f>
        <v>R40Hx1 </v>
      </c>
      <c r="G34" s="3" t="n">
        <f aca="false">SUM(Data!Q88:Y88)</f>
        <v>1</v>
      </c>
      <c r="H34" s="3" t="n">
        <f aca="false">Data!Z88</f>
        <v>0</v>
      </c>
      <c r="I34" s="3" t="n">
        <f aca="false">G34-H34</f>
        <v>1</v>
      </c>
      <c r="J34" s="3" t="n">
        <f aca="false">Data!AD88</f>
        <v>0</v>
      </c>
      <c r="K34" s="3" t="n">
        <f aca="false">Data!AE88</f>
        <v>0</v>
      </c>
      <c r="L34" s="3" t="n">
        <f aca="false">Data!AF88</f>
        <v>0</v>
      </c>
      <c r="M34" s="3" t="n">
        <f aca="false">Data!AG88</f>
        <v>0</v>
      </c>
      <c r="N34" s="3" t="n">
        <f aca="false">Data!AH88</f>
        <v>1</v>
      </c>
      <c r="O34" s="3" t="n">
        <f aca="false">Data!AI88</f>
        <v>0</v>
      </c>
      <c r="P34" s="3" t="n">
        <f aca="false">Data!AJ88</f>
        <v>0</v>
      </c>
      <c r="Q34" s="3" t="n">
        <f aca="false">Data!AK88</f>
        <v>0</v>
      </c>
      <c r="R34" s="3" t="n">
        <f aca="false">Data!AL88</f>
        <v>0</v>
      </c>
    </row>
    <row r="35" customFormat="false" ht="15" hidden="false" customHeight="false" outlineLevel="0" collapsed="false">
      <c r="A35" s="2" t="str">
        <f aca="false">Data!A87</f>
        <v>HASLS22260801677</v>
      </c>
      <c r="B35" s="2" t="str">
        <f aca="false">Data!B87</f>
        <v>CMA</v>
      </c>
      <c r="C35" s="2" t="str">
        <f aca="false">Data!C87</f>
        <v>2614N</v>
      </c>
      <c r="D35" s="2" t="str">
        <f aca="false">Data!I87</f>
        <v>LCH27</v>
      </c>
      <c r="E35" s="2" t="str">
        <f aca="false">Data!J87</f>
        <v>HAST Logistics Co.,Ltd. </v>
      </c>
      <c r="F35" s="2" t="str">
        <f aca="false">Data!H87</f>
        <v>R40Hx1 </v>
      </c>
      <c r="G35" s="3" t="n">
        <f aca="false">SUM(Data!Q87:Y87)</f>
        <v>1</v>
      </c>
      <c r="H35" s="3" t="n">
        <f aca="false">Data!Z87</f>
        <v>0</v>
      </c>
      <c r="I35" s="3" t="n">
        <f aca="false">G35-H35</f>
        <v>1</v>
      </c>
      <c r="J35" s="3" t="n">
        <f aca="false">Data!AD87</f>
        <v>0</v>
      </c>
      <c r="K35" s="3" t="n">
        <f aca="false">Data!AE87</f>
        <v>0</v>
      </c>
      <c r="L35" s="3" t="n">
        <f aca="false">Data!AF87</f>
        <v>0</v>
      </c>
      <c r="M35" s="3" t="n">
        <f aca="false">Data!AG87</f>
        <v>0</v>
      </c>
      <c r="N35" s="3" t="n">
        <f aca="false">Data!AH87</f>
        <v>1</v>
      </c>
      <c r="O35" s="3" t="n">
        <f aca="false">Data!AI87</f>
        <v>0</v>
      </c>
      <c r="P35" s="3" t="n">
        <f aca="false">Data!AJ87</f>
        <v>0</v>
      </c>
      <c r="Q35" s="3" t="n">
        <f aca="false">Data!AK87</f>
        <v>0</v>
      </c>
      <c r="R35" s="3" t="n">
        <f aca="false">Data!AL87</f>
        <v>0</v>
      </c>
    </row>
    <row r="36" customFormat="false" ht="15" hidden="false" customHeight="false" outlineLevel="0" collapsed="false">
      <c r="A36" s="2" t="str">
        <f aca="false">Data!A85</f>
        <v>HASLS22260801679</v>
      </c>
      <c r="B36" s="2" t="str">
        <f aca="false">Data!B85</f>
        <v>CMA</v>
      </c>
      <c r="C36" s="2" t="str">
        <f aca="false">Data!C85</f>
        <v>2614N</v>
      </c>
      <c r="D36" s="2" t="str">
        <f aca="false">Data!I85</f>
        <v>LCH27</v>
      </c>
      <c r="E36" s="2" t="str">
        <f aca="false">Data!J85</f>
        <v>HAST Logistics Co.,Ltd. </v>
      </c>
      <c r="F36" s="2" t="str">
        <f aca="false">Data!H85</f>
        <v>R40Hx1 </v>
      </c>
      <c r="G36" s="3" t="n">
        <f aca="false">SUM(Data!Q85:Y85)</f>
        <v>1</v>
      </c>
      <c r="H36" s="3" t="n">
        <f aca="false">Data!Z85</f>
        <v>0</v>
      </c>
      <c r="I36" s="3" t="n">
        <f aca="false">G36-H36</f>
        <v>1</v>
      </c>
      <c r="J36" s="3" t="n">
        <f aca="false">Data!AD85</f>
        <v>0</v>
      </c>
      <c r="K36" s="3" t="n">
        <f aca="false">Data!AE85</f>
        <v>0</v>
      </c>
      <c r="L36" s="3" t="n">
        <f aca="false">Data!AF85</f>
        <v>0</v>
      </c>
      <c r="M36" s="3" t="n">
        <f aca="false">Data!AG85</f>
        <v>0</v>
      </c>
      <c r="N36" s="3" t="n">
        <f aca="false">Data!AH85</f>
        <v>1</v>
      </c>
      <c r="O36" s="3" t="n">
        <f aca="false">Data!AI85</f>
        <v>0</v>
      </c>
      <c r="P36" s="3" t="n">
        <f aca="false">Data!AJ85</f>
        <v>0</v>
      </c>
      <c r="Q36" s="3" t="n">
        <f aca="false">Data!AK85</f>
        <v>0</v>
      </c>
      <c r="R36" s="3" t="n">
        <f aca="false">Data!AL85</f>
        <v>0</v>
      </c>
    </row>
    <row r="37" customFormat="false" ht="15" hidden="false" customHeight="false" outlineLevel="0" collapsed="false">
      <c r="A37" s="2" t="str">
        <f aca="false">Data!A86</f>
        <v>HASLS22260801681</v>
      </c>
      <c r="B37" s="2" t="str">
        <f aca="false">Data!B86</f>
        <v>CMA</v>
      </c>
      <c r="C37" s="2" t="str">
        <f aca="false">Data!C86</f>
        <v>2614N</v>
      </c>
      <c r="D37" s="2" t="str">
        <f aca="false">Data!I86</f>
        <v>LCH27</v>
      </c>
      <c r="E37" s="2" t="str">
        <f aca="false">Data!J86</f>
        <v>HAST Logistics Co.,Ltd. </v>
      </c>
      <c r="F37" s="2" t="str">
        <f aca="false">Data!H86</f>
        <v>R40Hx1 </v>
      </c>
      <c r="G37" s="3" t="n">
        <f aca="false">SUM(Data!Q86:Y86)</f>
        <v>1</v>
      </c>
      <c r="H37" s="3" t="n">
        <f aca="false">Data!Z86</f>
        <v>0</v>
      </c>
      <c r="I37" s="3" t="n">
        <f aca="false">G37-H37</f>
        <v>1</v>
      </c>
      <c r="J37" s="3" t="n">
        <f aca="false">Data!AD86</f>
        <v>0</v>
      </c>
      <c r="K37" s="3" t="n">
        <f aca="false">Data!AE86</f>
        <v>0</v>
      </c>
      <c r="L37" s="3" t="n">
        <f aca="false">Data!AF86</f>
        <v>0</v>
      </c>
      <c r="M37" s="3" t="n">
        <f aca="false">Data!AG86</f>
        <v>0</v>
      </c>
      <c r="N37" s="3" t="n">
        <f aca="false">Data!AH86</f>
        <v>1</v>
      </c>
      <c r="O37" s="3" t="n">
        <f aca="false">Data!AI86</f>
        <v>0</v>
      </c>
      <c r="P37" s="3" t="n">
        <f aca="false">Data!AJ86</f>
        <v>0</v>
      </c>
      <c r="Q37" s="3" t="n">
        <f aca="false">Data!AK86</f>
        <v>0</v>
      </c>
      <c r="R37" s="3" t="n">
        <f aca="false">Data!AL86</f>
        <v>0</v>
      </c>
    </row>
    <row r="38" customFormat="false" ht="15" hidden="false" customHeight="false" outlineLevel="0" collapsed="false">
      <c r="A38" s="2" t="str">
        <f aca="false">Data!A89</f>
        <v>HASLS22260801873</v>
      </c>
      <c r="B38" s="2" t="str">
        <f aca="false">Data!B89</f>
        <v>YSVY</v>
      </c>
      <c r="C38" s="2" t="str">
        <f aca="false">Data!C89</f>
        <v>2607N</v>
      </c>
      <c r="D38" s="2" t="str">
        <f aca="false">Data!I89</f>
        <v>LCH27</v>
      </c>
      <c r="E38" s="2" t="str">
        <f aca="false">Data!J89</f>
        <v>HAST Logistics Co.,Ltd. </v>
      </c>
      <c r="F38" s="2" t="str">
        <f aca="false">Data!H89</f>
        <v>R40Hx1 </v>
      </c>
      <c r="G38" s="3" t="n">
        <f aca="false">SUM(Data!Q89:Y89)</f>
        <v>1</v>
      </c>
      <c r="H38" s="3" t="n">
        <f aca="false">Data!Z89</f>
        <v>0</v>
      </c>
      <c r="I38" s="3" t="n">
        <f aca="false">G38-H38</f>
        <v>1</v>
      </c>
      <c r="J38" s="3" t="n">
        <f aca="false">Data!AD89</f>
        <v>0</v>
      </c>
      <c r="K38" s="3" t="n">
        <f aca="false">Data!AE89</f>
        <v>0</v>
      </c>
      <c r="L38" s="3" t="n">
        <f aca="false">Data!AF89</f>
        <v>0</v>
      </c>
      <c r="M38" s="3" t="n">
        <f aca="false">Data!AG89</f>
        <v>0</v>
      </c>
      <c r="N38" s="3" t="n">
        <f aca="false">Data!AH89</f>
        <v>1</v>
      </c>
      <c r="O38" s="3" t="n">
        <f aca="false">Data!AI89</f>
        <v>0</v>
      </c>
      <c r="P38" s="3" t="n">
        <f aca="false">Data!AJ89</f>
        <v>0</v>
      </c>
      <c r="Q38" s="3" t="n">
        <f aca="false">Data!AK89</f>
        <v>0</v>
      </c>
      <c r="R38" s="3" t="n">
        <f aca="false">Data!AL89</f>
        <v>0</v>
      </c>
    </row>
    <row r="39" customFormat="false" ht="15" hidden="false" customHeight="false" outlineLevel="0" collapsed="false">
      <c r="A39" s="2" t="str">
        <f aca="false">Data!A21</f>
        <v>HASLS22260802294</v>
      </c>
      <c r="B39" s="2" t="str">
        <f aca="false">Data!B21</f>
        <v>YSVY</v>
      </c>
      <c r="C39" s="2" t="str">
        <f aca="false">Data!C21</f>
        <v>2607N</v>
      </c>
      <c r="D39" s="2" t="str">
        <f aca="false">Data!I21</f>
        <v>LCH27</v>
      </c>
      <c r="E39" s="2" t="str">
        <f aca="false">Data!J21</f>
        <v>HAST Logistics Co.,Ltd. </v>
      </c>
      <c r="F39" s="2" t="str">
        <f aca="false">Data!H21</f>
        <v>20'x1 </v>
      </c>
      <c r="G39" s="3" t="n">
        <f aca="false">SUM(Data!Q21:Y21)</f>
        <v>1</v>
      </c>
      <c r="H39" s="3" t="n">
        <f aca="false">Data!Z21</f>
        <v>0</v>
      </c>
      <c r="I39" s="3" t="n">
        <f aca="false">G39-H39</f>
        <v>1</v>
      </c>
      <c r="J39" s="3" t="n">
        <f aca="false">Data!AD21</f>
        <v>1</v>
      </c>
      <c r="K39" s="3" t="n">
        <f aca="false">Data!AE21</f>
        <v>0</v>
      </c>
      <c r="L39" s="3" t="n">
        <f aca="false">Data!AF21</f>
        <v>0</v>
      </c>
      <c r="M39" s="3" t="n">
        <f aca="false">Data!AG21</f>
        <v>0</v>
      </c>
      <c r="N39" s="3" t="n">
        <f aca="false">Data!AH21</f>
        <v>0</v>
      </c>
      <c r="O39" s="3" t="n">
        <f aca="false">Data!AI21</f>
        <v>0</v>
      </c>
      <c r="P39" s="3" t="n">
        <f aca="false">Data!AJ21</f>
        <v>0</v>
      </c>
      <c r="Q39" s="3" t="n">
        <f aca="false">Data!AK21</f>
        <v>0</v>
      </c>
      <c r="R39" s="3" t="n">
        <f aca="false">Data!AL21</f>
        <v>0</v>
      </c>
    </row>
    <row r="40" customFormat="false" ht="15" hidden="false" customHeight="false" outlineLevel="0" collapsed="false">
      <c r="A40" s="2" t="str">
        <f aca="false">Data!A27</f>
        <v>HASLS22260802371</v>
      </c>
      <c r="B40" s="2" t="str">
        <f aca="false">Data!B27</f>
        <v>YSVY</v>
      </c>
      <c r="C40" s="2" t="str">
        <f aca="false">Data!C27</f>
        <v>2607N</v>
      </c>
      <c r="D40" s="2" t="str">
        <f aca="false">Data!I27</f>
        <v>LCH27</v>
      </c>
      <c r="E40" s="2" t="str">
        <f aca="false">Data!J27</f>
        <v>HAST Logistics Co.,Ltd. </v>
      </c>
      <c r="F40" s="2" t="str">
        <f aca="false">Data!H27</f>
        <v>20'x1 </v>
      </c>
      <c r="G40" s="3" t="n">
        <f aca="false">SUM(Data!Q27:Y27)</f>
        <v>1</v>
      </c>
      <c r="H40" s="3" t="n">
        <f aca="false">Data!Z27</f>
        <v>0</v>
      </c>
      <c r="I40" s="3" t="n">
        <f aca="false">G40-H40</f>
        <v>1</v>
      </c>
      <c r="J40" s="3" t="n">
        <f aca="false">Data!AD27</f>
        <v>1</v>
      </c>
      <c r="K40" s="3" t="n">
        <f aca="false">Data!AE27</f>
        <v>0</v>
      </c>
      <c r="L40" s="3" t="n">
        <f aca="false">Data!AF27</f>
        <v>0</v>
      </c>
      <c r="M40" s="3" t="n">
        <f aca="false">Data!AG27</f>
        <v>0</v>
      </c>
      <c r="N40" s="3" t="n">
        <f aca="false">Data!AH27</f>
        <v>0</v>
      </c>
      <c r="O40" s="3" t="n">
        <f aca="false">Data!AI27</f>
        <v>0</v>
      </c>
      <c r="P40" s="3" t="n">
        <f aca="false">Data!AJ27</f>
        <v>0</v>
      </c>
      <c r="Q40" s="3" t="n">
        <f aca="false">Data!AK27</f>
        <v>0</v>
      </c>
      <c r="R40" s="3" t="n">
        <f aca="false">Data!AL27</f>
        <v>0</v>
      </c>
    </row>
    <row r="41" customFormat="false" ht="15" hidden="false" customHeight="false" outlineLevel="0" collapsed="false">
      <c r="A41" s="2" t="str">
        <f aca="false">Data!A81</f>
        <v>HASLS22260802467</v>
      </c>
      <c r="B41" s="2" t="str">
        <f aca="false">Data!B81</f>
        <v>DJCF</v>
      </c>
      <c r="C41" s="2" t="str">
        <f aca="false">Data!C81</f>
        <v>0151N</v>
      </c>
      <c r="D41" s="2" t="str">
        <f aca="false">Data!I81</f>
        <v>LCH27</v>
      </c>
      <c r="E41" s="2" t="str">
        <f aca="false">Data!J81</f>
        <v>HAST Logistics Co.,Ltd. </v>
      </c>
      <c r="F41" s="2" t="str">
        <f aca="false">Data!H81</f>
        <v>40Hx7 </v>
      </c>
      <c r="G41" s="3" t="n">
        <f aca="false">SUM(Data!Q81:Y81)</f>
        <v>7</v>
      </c>
      <c r="H41" s="3" t="n">
        <f aca="false">Data!Z81</f>
        <v>0</v>
      </c>
      <c r="I41" s="3" t="n">
        <f aca="false">G41-H41</f>
        <v>7</v>
      </c>
      <c r="J41" s="3" t="n">
        <f aca="false">Data!AD81</f>
        <v>0</v>
      </c>
      <c r="K41" s="3" t="n">
        <f aca="false">Data!AE81</f>
        <v>0</v>
      </c>
      <c r="L41" s="3" t="n">
        <f aca="false">Data!AF81</f>
        <v>7</v>
      </c>
      <c r="M41" s="3" t="n">
        <f aca="false">Data!AG81</f>
        <v>0</v>
      </c>
      <c r="N41" s="3" t="n">
        <f aca="false">Data!AH81</f>
        <v>0</v>
      </c>
      <c r="O41" s="3" t="n">
        <f aca="false">Data!AI81</f>
        <v>0</v>
      </c>
      <c r="P41" s="3" t="n">
        <f aca="false">Data!AJ81</f>
        <v>0</v>
      </c>
      <c r="Q41" s="3" t="n">
        <f aca="false">Data!AK81</f>
        <v>0</v>
      </c>
      <c r="R41" s="3" t="n">
        <f aca="false">Data!AL81</f>
        <v>0</v>
      </c>
    </row>
    <row r="42" customFormat="false" ht="15" hidden="false" customHeight="false" outlineLevel="0" collapsed="false">
      <c r="A42" s="2" t="str">
        <f aca="false">Data!A73</f>
        <v>HASLS22260802468</v>
      </c>
      <c r="B42" s="2" t="str">
        <f aca="false">Data!B73</f>
        <v>DJCF</v>
      </c>
      <c r="C42" s="2" t="str">
        <f aca="false">Data!C73</f>
        <v>0151N</v>
      </c>
      <c r="D42" s="2" t="str">
        <f aca="false">Data!I73</f>
        <v>LCH27</v>
      </c>
      <c r="E42" s="2" t="str">
        <f aca="false">Data!J73</f>
        <v>HAST Logistics Co.,Ltd. </v>
      </c>
      <c r="F42" s="2" t="str">
        <f aca="false">Data!H73</f>
        <v>40Hx2 </v>
      </c>
      <c r="G42" s="3" t="n">
        <f aca="false">SUM(Data!Q73:Y73)</f>
        <v>2</v>
      </c>
      <c r="H42" s="3" t="n">
        <f aca="false">Data!Z73</f>
        <v>0</v>
      </c>
      <c r="I42" s="3" t="n">
        <f aca="false">G42-H42</f>
        <v>2</v>
      </c>
      <c r="J42" s="3" t="n">
        <f aca="false">Data!AD73</f>
        <v>0</v>
      </c>
      <c r="K42" s="3" t="n">
        <f aca="false">Data!AE73</f>
        <v>0</v>
      </c>
      <c r="L42" s="3" t="n">
        <f aca="false">Data!AF73</f>
        <v>2</v>
      </c>
      <c r="M42" s="3" t="n">
        <f aca="false">Data!AG73</f>
        <v>0</v>
      </c>
      <c r="N42" s="3" t="n">
        <f aca="false">Data!AH73</f>
        <v>0</v>
      </c>
      <c r="O42" s="3" t="n">
        <f aca="false">Data!AI73</f>
        <v>0</v>
      </c>
      <c r="P42" s="3" t="n">
        <f aca="false">Data!AJ73</f>
        <v>0</v>
      </c>
      <c r="Q42" s="3" t="n">
        <f aca="false">Data!AK73</f>
        <v>0</v>
      </c>
      <c r="R42" s="3" t="n">
        <f aca="false">Data!AL73</f>
        <v>0</v>
      </c>
    </row>
    <row r="43" customFormat="false" ht="15" hidden="false" customHeight="false" outlineLevel="0" collapsed="false">
      <c r="A43" s="2" t="str">
        <f aca="false">Data!A24</f>
        <v>HASLS22260802479</v>
      </c>
      <c r="B43" s="2" t="str">
        <f aca="false">Data!B24</f>
        <v>SWCP</v>
      </c>
      <c r="C43" s="2" t="str">
        <f aca="false">Data!C24</f>
        <v>2609N</v>
      </c>
      <c r="D43" s="2" t="str">
        <f aca="false">Data!I24</f>
        <v>LCH27</v>
      </c>
      <c r="E43" s="2" t="str">
        <f aca="false">Data!J24</f>
        <v>HAST Logistics Co.,Ltd. </v>
      </c>
      <c r="F43" s="2" t="str">
        <f aca="false">Data!H24</f>
        <v>20'x1 </v>
      </c>
      <c r="G43" s="3" t="n">
        <f aca="false">SUM(Data!Q24:Y24)</f>
        <v>1</v>
      </c>
      <c r="H43" s="3" t="n">
        <f aca="false">Data!Z24</f>
        <v>0</v>
      </c>
      <c r="I43" s="3" t="n">
        <f aca="false">G43-H43</f>
        <v>1</v>
      </c>
      <c r="J43" s="3" t="n">
        <f aca="false">Data!AD24</f>
        <v>1</v>
      </c>
      <c r="K43" s="3" t="n">
        <f aca="false">Data!AE24</f>
        <v>0</v>
      </c>
      <c r="L43" s="3" t="n">
        <f aca="false">Data!AF24</f>
        <v>0</v>
      </c>
      <c r="M43" s="3" t="n">
        <f aca="false">Data!AG24</f>
        <v>0</v>
      </c>
      <c r="N43" s="3" t="n">
        <f aca="false">Data!AH24</f>
        <v>0</v>
      </c>
      <c r="O43" s="3" t="n">
        <f aca="false">Data!AI24</f>
        <v>0</v>
      </c>
      <c r="P43" s="3" t="n">
        <f aca="false">Data!AJ24</f>
        <v>0</v>
      </c>
      <c r="Q43" s="3" t="n">
        <f aca="false">Data!AK24</f>
        <v>0</v>
      </c>
      <c r="R43" s="3" t="n">
        <f aca="false">Data!AL24</f>
        <v>0</v>
      </c>
    </row>
    <row r="44" customFormat="false" ht="15" hidden="false" customHeight="false" outlineLevel="0" collapsed="false">
      <c r="A44" s="2" t="str">
        <f aca="false">Data!A23</f>
        <v>HASLS22260802481</v>
      </c>
      <c r="B44" s="2" t="str">
        <f aca="false">Data!B23</f>
        <v>SWCP</v>
      </c>
      <c r="C44" s="2" t="str">
        <f aca="false">Data!C23</f>
        <v>2609N</v>
      </c>
      <c r="D44" s="2" t="str">
        <f aca="false">Data!I23</f>
        <v>LCH27</v>
      </c>
      <c r="E44" s="2" t="str">
        <f aca="false">Data!J23</f>
        <v>HAST Logistics Co.,Ltd. </v>
      </c>
      <c r="F44" s="2" t="str">
        <f aca="false">Data!H23</f>
        <v>20'x1 </v>
      </c>
      <c r="G44" s="3" t="n">
        <f aca="false">SUM(Data!Q23:Y23)</f>
        <v>1</v>
      </c>
      <c r="H44" s="3" t="n">
        <f aca="false">Data!Z23</f>
        <v>0</v>
      </c>
      <c r="I44" s="3" t="n">
        <f aca="false">G44-H44</f>
        <v>1</v>
      </c>
      <c r="J44" s="3" t="n">
        <f aca="false">Data!AD23</f>
        <v>1</v>
      </c>
      <c r="K44" s="3" t="n">
        <f aca="false">Data!AE23</f>
        <v>0</v>
      </c>
      <c r="L44" s="3" t="n">
        <f aca="false">Data!AF23</f>
        <v>0</v>
      </c>
      <c r="M44" s="3" t="n">
        <f aca="false">Data!AG23</f>
        <v>0</v>
      </c>
      <c r="N44" s="3" t="n">
        <f aca="false">Data!AH23</f>
        <v>0</v>
      </c>
      <c r="O44" s="3" t="n">
        <f aca="false">Data!AI23</f>
        <v>0</v>
      </c>
      <c r="P44" s="3" t="n">
        <f aca="false">Data!AJ23</f>
        <v>0</v>
      </c>
      <c r="Q44" s="3" t="n">
        <f aca="false">Data!AK23</f>
        <v>0</v>
      </c>
      <c r="R44" s="3" t="n">
        <f aca="false">Data!AL23</f>
        <v>0</v>
      </c>
    </row>
    <row r="45" customFormat="false" ht="15" hidden="false" customHeight="false" outlineLevel="0" collapsed="false">
      <c r="A45" s="2" t="str">
        <f aca="false">Data!A65</f>
        <v>HASLS22260802563</v>
      </c>
      <c r="B45" s="2" t="str">
        <f aca="false">Data!B65</f>
        <v>SWCP</v>
      </c>
      <c r="C45" s="2" t="str">
        <f aca="false">Data!C65</f>
        <v>2609N</v>
      </c>
      <c r="D45" s="2" t="str">
        <f aca="false">Data!I65</f>
        <v>LCH27</v>
      </c>
      <c r="E45" s="2" t="str">
        <f aca="false">Data!J65</f>
        <v>HAST Logistics Co.,Ltd. </v>
      </c>
      <c r="F45" s="2" t="str">
        <f aca="false">Data!H65</f>
        <v>40Hx1 </v>
      </c>
      <c r="G45" s="3" t="n">
        <f aca="false">SUM(Data!Q65:Y65)</f>
        <v>1</v>
      </c>
      <c r="H45" s="3" t="n">
        <f aca="false">Data!Z65</f>
        <v>0</v>
      </c>
      <c r="I45" s="3" t="n">
        <f aca="false">G45-H45</f>
        <v>1</v>
      </c>
      <c r="J45" s="3" t="n">
        <f aca="false">Data!AD65</f>
        <v>0</v>
      </c>
      <c r="K45" s="3" t="n">
        <f aca="false">Data!AE65</f>
        <v>0</v>
      </c>
      <c r="L45" s="3" t="n">
        <f aca="false">Data!AF65</f>
        <v>1</v>
      </c>
      <c r="M45" s="3" t="n">
        <f aca="false">Data!AG65</f>
        <v>0</v>
      </c>
      <c r="N45" s="3" t="n">
        <f aca="false">Data!AH65</f>
        <v>0</v>
      </c>
      <c r="O45" s="3" t="n">
        <f aca="false">Data!AI65</f>
        <v>0</v>
      </c>
      <c r="P45" s="3" t="n">
        <f aca="false">Data!AJ65</f>
        <v>0</v>
      </c>
      <c r="Q45" s="3" t="n">
        <f aca="false">Data!AK65</f>
        <v>0</v>
      </c>
      <c r="R45" s="3" t="n">
        <f aca="false">Data!AL65</f>
        <v>0</v>
      </c>
    </row>
    <row r="46" customFormat="false" ht="15" hidden="false" customHeight="false" outlineLevel="0" collapsed="false">
      <c r="A46" s="2" t="str">
        <f aca="false">Data!A17</f>
        <v>HASLS22260900305</v>
      </c>
      <c r="B46" s="2" t="str">
        <f aca="false">Data!B17</f>
        <v>YSVY</v>
      </c>
      <c r="C46" s="2" t="str">
        <f aca="false">Data!C17</f>
        <v>2607N</v>
      </c>
      <c r="D46" s="2" t="str">
        <f aca="false">Data!I17</f>
        <v>LCH27</v>
      </c>
      <c r="E46" s="2" t="str">
        <f aca="false">Data!J17</f>
        <v>HAST Logistics Co.,Ltd. </v>
      </c>
      <c r="F46" s="2" t="str">
        <f aca="false">Data!H17</f>
        <v>20'x1 </v>
      </c>
      <c r="G46" s="3" t="n">
        <f aca="false">SUM(Data!Q17:Y17)</f>
        <v>1</v>
      </c>
      <c r="H46" s="3" t="n">
        <f aca="false">Data!Z17</f>
        <v>0</v>
      </c>
      <c r="I46" s="3" t="n">
        <f aca="false">G46-H46</f>
        <v>1</v>
      </c>
      <c r="J46" s="3" t="n">
        <f aca="false">Data!AD17</f>
        <v>1</v>
      </c>
      <c r="K46" s="3" t="n">
        <f aca="false">Data!AE17</f>
        <v>0</v>
      </c>
      <c r="L46" s="3" t="n">
        <f aca="false">Data!AF17</f>
        <v>0</v>
      </c>
      <c r="M46" s="3" t="n">
        <f aca="false">Data!AG17</f>
        <v>0</v>
      </c>
      <c r="N46" s="3" t="n">
        <f aca="false">Data!AH17</f>
        <v>0</v>
      </c>
      <c r="O46" s="3" t="n">
        <f aca="false">Data!AI17</f>
        <v>0</v>
      </c>
      <c r="P46" s="3" t="n">
        <f aca="false">Data!AJ17</f>
        <v>0</v>
      </c>
      <c r="Q46" s="3" t="n">
        <f aca="false">Data!AK17</f>
        <v>0</v>
      </c>
      <c r="R46" s="3" t="n">
        <f aca="false">Data!AL17</f>
        <v>0</v>
      </c>
    </row>
    <row r="47" customFormat="false" ht="15" hidden="false" customHeight="false" outlineLevel="0" collapsed="false">
      <c r="A47" s="2" t="str">
        <f aca="false">Data!A7</f>
        <v>HASLS22260601389</v>
      </c>
      <c r="B47" s="2" t="str">
        <f aca="false">Data!B7</f>
        <v>SWIC</v>
      </c>
      <c r="C47" s="2" t="str">
        <f aca="false">Data!C7</f>
        <v>2610N</v>
      </c>
      <c r="D47" s="2" t="str">
        <f aca="false">Data!I7</f>
        <v>BKK01</v>
      </c>
      <c r="E47" s="2" t="str">
        <f aca="false">Data!J7</f>
        <v>PAT TERMINAL 2 (PORT AUTHORITY OF THAILAND)</v>
      </c>
      <c r="F47" s="2" t="str">
        <f aca="false">Data!H7</f>
        <v>20'x1 </v>
      </c>
      <c r="G47" s="3" t="n">
        <f aca="false">SUM(Data!Q7:Y7)</f>
        <v>1</v>
      </c>
      <c r="H47" s="3" t="n">
        <f aca="false">Data!Z7</f>
        <v>0</v>
      </c>
      <c r="I47" s="3" t="n">
        <f aca="false">G47-H47</f>
        <v>1</v>
      </c>
      <c r="J47" s="3" t="n">
        <f aca="false">Data!AD7</f>
        <v>1</v>
      </c>
      <c r="K47" s="3" t="n">
        <f aca="false">Data!AE7</f>
        <v>0</v>
      </c>
      <c r="L47" s="3" t="n">
        <f aca="false">Data!AF7</f>
        <v>0</v>
      </c>
      <c r="M47" s="3" t="n">
        <f aca="false">Data!AG7</f>
        <v>0</v>
      </c>
      <c r="N47" s="3" t="n">
        <f aca="false">Data!AH7</f>
        <v>0</v>
      </c>
      <c r="O47" s="3" t="n">
        <f aca="false">Data!AI7</f>
        <v>0</v>
      </c>
      <c r="P47" s="3" t="n">
        <f aca="false">Data!AJ7</f>
        <v>0</v>
      </c>
      <c r="Q47" s="3" t="n">
        <f aca="false">Data!AK7</f>
        <v>0</v>
      </c>
      <c r="R47" s="3" t="n">
        <f aca="false">Data!AL7</f>
        <v>0</v>
      </c>
    </row>
    <row r="48" customFormat="false" ht="15" hidden="false" customHeight="false" outlineLevel="0" collapsed="false">
      <c r="A48" s="2" t="str">
        <f aca="false">Data!A68</f>
        <v>HASLS22260700882</v>
      </c>
      <c r="B48" s="2" t="str">
        <f aca="false">Data!B68</f>
        <v>SWSR</v>
      </c>
      <c r="C48" s="2" t="str">
        <f aca="false">Data!C68</f>
        <v>2610N</v>
      </c>
      <c r="D48" s="2" t="str">
        <f aca="false">Data!I68</f>
        <v>BKK01</v>
      </c>
      <c r="E48" s="2" t="str">
        <f aca="false">Data!J68</f>
        <v>PAT TERMINAL 2 (PORT AUTHORITY OF THAILAND)</v>
      </c>
      <c r="F48" s="2" t="str">
        <f aca="false">Data!H68</f>
        <v>40Hx1 20'x1 </v>
      </c>
      <c r="G48" s="3" t="n">
        <f aca="false">SUM(Data!Q68:Y68)</f>
        <v>2</v>
      </c>
      <c r="H48" s="3" t="n">
        <f aca="false">Data!Z68</f>
        <v>0</v>
      </c>
      <c r="I48" s="3" t="n">
        <f aca="false">G48-H48</f>
        <v>2</v>
      </c>
      <c r="J48" s="3" t="n">
        <f aca="false">Data!AD68</f>
        <v>1</v>
      </c>
      <c r="K48" s="3" t="n">
        <f aca="false">Data!AE68</f>
        <v>0</v>
      </c>
      <c r="L48" s="3" t="n">
        <f aca="false">Data!AF68</f>
        <v>1</v>
      </c>
      <c r="M48" s="3" t="n">
        <f aca="false">Data!AG68</f>
        <v>0</v>
      </c>
      <c r="N48" s="3" t="n">
        <f aca="false">Data!AH68</f>
        <v>0</v>
      </c>
      <c r="O48" s="3" t="n">
        <f aca="false">Data!AI68</f>
        <v>0</v>
      </c>
      <c r="P48" s="3" t="n">
        <f aca="false">Data!AJ68</f>
        <v>0</v>
      </c>
      <c r="Q48" s="3" t="n">
        <f aca="false">Data!AK68</f>
        <v>0</v>
      </c>
      <c r="R48" s="3" t="n">
        <f aca="false">Data!AL68</f>
        <v>0</v>
      </c>
    </row>
    <row r="49" customFormat="false" ht="15" hidden="false" customHeight="false" outlineLevel="0" collapsed="false">
      <c r="A49" s="2" t="str">
        <f aca="false">Data!A75</f>
        <v>HASLS22260800724</v>
      </c>
      <c r="B49" s="2" t="str">
        <f aca="false">Data!B75</f>
        <v>SWSR</v>
      </c>
      <c r="C49" s="2" t="str">
        <f aca="false">Data!C75</f>
        <v>2610N</v>
      </c>
      <c r="D49" s="2" t="str">
        <f aca="false">Data!I75</f>
        <v>BKK01</v>
      </c>
      <c r="E49" s="2" t="str">
        <f aca="false">Data!J75</f>
        <v>PAT TERMINAL 2 (PORT AUTHORITY OF THAILAND)</v>
      </c>
      <c r="F49" s="2" t="str">
        <f aca="false">Data!H75</f>
        <v>40Hx3 </v>
      </c>
      <c r="G49" s="3" t="n">
        <f aca="false">SUM(Data!Q75:Y75)</f>
        <v>3</v>
      </c>
      <c r="H49" s="3" t="n">
        <f aca="false">Data!Z75</f>
        <v>0</v>
      </c>
      <c r="I49" s="3" t="n">
        <f aca="false">G49-H49</f>
        <v>3</v>
      </c>
      <c r="J49" s="3" t="n">
        <f aca="false">Data!AD75</f>
        <v>0</v>
      </c>
      <c r="K49" s="3" t="n">
        <f aca="false">Data!AE75</f>
        <v>0</v>
      </c>
      <c r="L49" s="3" t="n">
        <f aca="false">Data!AF75</f>
        <v>3</v>
      </c>
      <c r="M49" s="3" t="n">
        <f aca="false">Data!AG75</f>
        <v>0</v>
      </c>
      <c r="N49" s="3" t="n">
        <f aca="false">Data!AH75</f>
        <v>0</v>
      </c>
      <c r="O49" s="3" t="n">
        <f aca="false">Data!AI75</f>
        <v>0</v>
      </c>
      <c r="P49" s="3" t="n">
        <f aca="false">Data!AJ75</f>
        <v>0</v>
      </c>
      <c r="Q49" s="3" t="n">
        <f aca="false">Data!AK75</f>
        <v>0</v>
      </c>
      <c r="R49" s="3" t="n">
        <f aca="false">Data!AL75</f>
        <v>0</v>
      </c>
    </row>
    <row r="50" customFormat="false" ht="15" hidden="false" customHeight="false" outlineLevel="0" collapsed="false">
      <c r="A50" s="2" t="str">
        <f aca="false">Data!A52</f>
        <v>HASLS22260801876</v>
      </c>
      <c r="B50" s="2" t="str">
        <f aca="false">Data!B52</f>
        <v>SWSR</v>
      </c>
      <c r="C50" s="2" t="str">
        <f aca="false">Data!C52</f>
        <v>2610N</v>
      </c>
      <c r="D50" s="2" t="str">
        <f aca="false">Data!I52</f>
        <v>BKK01</v>
      </c>
      <c r="E50" s="2" t="str">
        <f aca="false">Data!J52</f>
        <v>PAT TERMINAL 2 (PORT AUTHORITY OF THAILAND)</v>
      </c>
      <c r="F50" s="2" t="str">
        <f aca="false">Data!H52</f>
        <v>40Hx1 </v>
      </c>
      <c r="G50" s="3" t="n">
        <f aca="false">SUM(Data!Q52:Y52)</f>
        <v>1</v>
      </c>
      <c r="H50" s="3" t="n">
        <f aca="false">Data!Z52</f>
        <v>0</v>
      </c>
      <c r="I50" s="3" t="n">
        <f aca="false">G50-H50</f>
        <v>1</v>
      </c>
      <c r="J50" s="3" t="n">
        <f aca="false">Data!AD52</f>
        <v>0</v>
      </c>
      <c r="K50" s="3" t="n">
        <f aca="false">Data!AE52</f>
        <v>0</v>
      </c>
      <c r="L50" s="3" t="n">
        <f aca="false">Data!AF52</f>
        <v>1</v>
      </c>
      <c r="M50" s="3" t="n">
        <f aca="false">Data!AG52</f>
        <v>0</v>
      </c>
      <c r="N50" s="3" t="n">
        <f aca="false">Data!AH52</f>
        <v>0</v>
      </c>
      <c r="O50" s="3" t="n">
        <f aca="false">Data!AI52</f>
        <v>0</v>
      </c>
      <c r="P50" s="3" t="n">
        <f aca="false">Data!AJ52</f>
        <v>0</v>
      </c>
      <c r="Q50" s="3" t="n">
        <f aca="false">Data!AK52</f>
        <v>0</v>
      </c>
      <c r="R50" s="3" t="n">
        <f aca="false">Data!AL52</f>
        <v>0</v>
      </c>
    </row>
    <row r="51" customFormat="false" ht="15" hidden="false" customHeight="false" outlineLevel="0" collapsed="false">
      <c r="A51" s="2" t="str">
        <f aca="false">Data!A59</f>
        <v>HASLS22260900181</v>
      </c>
      <c r="B51" s="2" t="str">
        <f aca="false">Data!B59</f>
        <v>SWSR</v>
      </c>
      <c r="C51" s="2" t="str">
        <f aca="false">Data!C59</f>
        <v>2610N</v>
      </c>
      <c r="D51" s="2" t="str">
        <f aca="false">Data!I59</f>
        <v>BKK01</v>
      </c>
      <c r="E51" s="2" t="str">
        <f aca="false">Data!J59</f>
        <v>PAT TERMINAL 2 (PORT AUTHORITY OF THAILAND)</v>
      </c>
      <c r="F51" s="2" t="str">
        <f aca="false">Data!H59</f>
        <v>40Hx1 </v>
      </c>
      <c r="G51" s="3" t="n">
        <f aca="false">SUM(Data!Q59:Y59)</f>
        <v>1</v>
      </c>
      <c r="H51" s="3" t="n">
        <f aca="false">Data!Z59</f>
        <v>0</v>
      </c>
      <c r="I51" s="3" t="n">
        <f aca="false">G51-H51</f>
        <v>1</v>
      </c>
      <c r="J51" s="3" t="n">
        <f aca="false">Data!AD59</f>
        <v>0</v>
      </c>
      <c r="K51" s="3" t="n">
        <f aca="false">Data!AE59</f>
        <v>0</v>
      </c>
      <c r="L51" s="3" t="n">
        <f aca="false">Data!AF59</f>
        <v>1</v>
      </c>
      <c r="M51" s="3" t="n">
        <f aca="false">Data!AG59</f>
        <v>0</v>
      </c>
      <c r="N51" s="3" t="n">
        <f aca="false">Data!AH59</f>
        <v>0</v>
      </c>
      <c r="O51" s="3" t="n">
        <f aca="false">Data!AI59</f>
        <v>0</v>
      </c>
      <c r="P51" s="3" t="n">
        <f aca="false">Data!AJ59</f>
        <v>0</v>
      </c>
      <c r="Q51" s="3" t="n">
        <f aca="false">Data!AK59</f>
        <v>0</v>
      </c>
      <c r="R51" s="3" t="n">
        <f aca="false">Data!AL59</f>
        <v>0</v>
      </c>
    </row>
    <row r="52" customFormat="false" ht="15" hidden="false" customHeight="false" outlineLevel="0" collapsed="false">
      <c r="A52" s="2" t="str">
        <f aca="false">Data!A37</f>
        <v>HASLS22260900321</v>
      </c>
      <c r="B52" s="2" t="str">
        <f aca="false">Data!B37</f>
        <v>KMBK</v>
      </c>
      <c r="C52" s="2" t="str">
        <f aca="false">Data!C37</f>
        <v>2610N</v>
      </c>
      <c r="D52" s="2" t="str">
        <f aca="false">Data!I37</f>
        <v>BKK01</v>
      </c>
      <c r="E52" s="2" t="str">
        <f aca="false">Data!J37</f>
        <v>PAT TERMINAL 2 (PORT AUTHORITY OF THAILAND)</v>
      </c>
      <c r="F52" s="2" t="str">
        <f aca="false">Data!H37</f>
        <v>20'x1 </v>
      </c>
      <c r="G52" s="3" t="n">
        <f aca="false">SUM(Data!Q37:Y37)</f>
        <v>1</v>
      </c>
      <c r="H52" s="3" t="n">
        <f aca="false">Data!Z37</f>
        <v>0</v>
      </c>
      <c r="I52" s="3" t="n">
        <f aca="false">G52-H52</f>
        <v>1</v>
      </c>
      <c r="J52" s="3" t="n">
        <f aca="false">Data!AD37</f>
        <v>1</v>
      </c>
      <c r="K52" s="3" t="n">
        <f aca="false">Data!AE37</f>
        <v>0</v>
      </c>
      <c r="L52" s="3" t="n">
        <f aca="false">Data!AF37</f>
        <v>0</v>
      </c>
      <c r="M52" s="3" t="n">
        <f aca="false">Data!AG37</f>
        <v>0</v>
      </c>
      <c r="N52" s="3" t="n">
        <f aca="false">Data!AH37</f>
        <v>0</v>
      </c>
      <c r="O52" s="3" t="n">
        <f aca="false">Data!AI37</f>
        <v>0</v>
      </c>
      <c r="P52" s="3" t="n">
        <f aca="false">Data!AJ37</f>
        <v>0</v>
      </c>
      <c r="Q52" s="3" t="n">
        <f aca="false">Data!AK37</f>
        <v>0</v>
      </c>
      <c r="R52" s="3" t="n">
        <f aca="false">Data!AL37</f>
        <v>0</v>
      </c>
    </row>
    <row r="53" customFormat="false" ht="15" hidden="false" customHeight="false" outlineLevel="0" collapsed="false">
      <c r="A53" s="2" t="str">
        <f aca="false">Data!A10</f>
        <v>HASLS22260702326</v>
      </c>
      <c r="B53" s="2" t="str">
        <f aca="false">Data!B10</f>
        <v>SWSR</v>
      </c>
      <c r="C53" s="2" t="str">
        <f aca="false">Data!C10</f>
        <v>2610N</v>
      </c>
      <c r="D53" s="2" t="str">
        <f aca="false">Data!I10</f>
        <v>LCHY5</v>
      </c>
      <c r="E53" s="2" t="str">
        <f aca="false">Data!J10</f>
        <v>PW DEPOT CO., LTD.</v>
      </c>
      <c r="F53" s="2" t="str">
        <f aca="false">Data!H10</f>
        <v>20'x1 </v>
      </c>
      <c r="G53" s="3" t="n">
        <f aca="false">SUM(Data!Q10:Y10)</f>
        <v>1</v>
      </c>
      <c r="H53" s="3" t="n">
        <f aca="false">Data!Z10</f>
        <v>0</v>
      </c>
      <c r="I53" s="3" t="n">
        <f aca="false">G53-H53</f>
        <v>1</v>
      </c>
      <c r="J53" s="3" t="n">
        <f aca="false">Data!AD10</f>
        <v>1</v>
      </c>
      <c r="K53" s="3" t="n">
        <f aca="false">Data!AE10</f>
        <v>0</v>
      </c>
      <c r="L53" s="3" t="n">
        <f aca="false">Data!AF10</f>
        <v>0</v>
      </c>
      <c r="M53" s="3" t="n">
        <f aca="false">Data!AG10</f>
        <v>0</v>
      </c>
      <c r="N53" s="3" t="n">
        <f aca="false">Data!AH10</f>
        <v>0</v>
      </c>
      <c r="O53" s="3" t="n">
        <f aca="false">Data!AI10</f>
        <v>0</v>
      </c>
      <c r="P53" s="3" t="n">
        <f aca="false">Data!AJ10</f>
        <v>0</v>
      </c>
      <c r="Q53" s="3" t="n">
        <f aca="false">Data!AK10</f>
        <v>0</v>
      </c>
      <c r="R53" s="3" t="n">
        <f aca="false">Data!AL10</f>
        <v>0</v>
      </c>
    </row>
    <row r="54" customFormat="false" ht="15" hidden="false" customHeight="false" outlineLevel="0" collapsed="false">
      <c r="A54" s="2" t="str">
        <f aca="false">Data!A57</f>
        <v>HASLS22260702337</v>
      </c>
      <c r="B54" s="2" t="str">
        <f aca="false">Data!B57</f>
        <v>DJCF</v>
      </c>
      <c r="C54" s="2" t="str">
        <f aca="false">Data!C57</f>
        <v>0151N</v>
      </c>
      <c r="D54" s="2" t="str">
        <f aca="false">Data!I57</f>
        <v>LCHY5</v>
      </c>
      <c r="E54" s="2" t="str">
        <f aca="false">Data!J57</f>
        <v>PW DEPOT CO., LTD.</v>
      </c>
      <c r="F54" s="2" t="str">
        <f aca="false">Data!H57</f>
        <v>40Hx1 </v>
      </c>
      <c r="G54" s="3" t="n">
        <f aca="false">SUM(Data!Q57:Y57)</f>
        <v>1</v>
      </c>
      <c r="H54" s="3" t="n">
        <f aca="false">Data!Z57</f>
        <v>0</v>
      </c>
      <c r="I54" s="3" t="n">
        <f aca="false">G54-H54</f>
        <v>1</v>
      </c>
      <c r="J54" s="3" t="n">
        <f aca="false">Data!AD57</f>
        <v>0</v>
      </c>
      <c r="K54" s="3" t="n">
        <f aca="false">Data!AE57</f>
        <v>0</v>
      </c>
      <c r="L54" s="3" t="n">
        <f aca="false">Data!AF57</f>
        <v>1</v>
      </c>
      <c r="M54" s="3" t="n">
        <f aca="false">Data!AG57</f>
        <v>0</v>
      </c>
      <c r="N54" s="3" t="n">
        <f aca="false">Data!AH57</f>
        <v>0</v>
      </c>
      <c r="O54" s="3" t="n">
        <f aca="false">Data!AI57</f>
        <v>0</v>
      </c>
      <c r="P54" s="3" t="n">
        <f aca="false">Data!AJ57</f>
        <v>0</v>
      </c>
      <c r="Q54" s="3" t="n">
        <f aca="false">Data!AK57</f>
        <v>0</v>
      </c>
      <c r="R54" s="3" t="n">
        <f aca="false">Data!AL57</f>
        <v>0</v>
      </c>
    </row>
    <row r="55" customFormat="false" ht="15" hidden="false" customHeight="false" outlineLevel="0" collapsed="false">
      <c r="A55" s="2" t="str">
        <f aca="false">Data!A26</f>
        <v>HASLS22260800343</v>
      </c>
      <c r="B55" s="2" t="str">
        <f aca="false">Data!B26</f>
        <v>SWSR</v>
      </c>
      <c r="C55" s="2" t="str">
        <f aca="false">Data!C26</f>
        <v>2610N</v>
      </c>
      <c r="D55" s="2" t="str">
        <f aca="false">Data!I26</f>
        <v>LCHY5</v>
      </c>
      <c r="E55" s="2" t="str">
        <f aca="false">Data!J26</f>
        <v>PW DEPOT CO., LTD.</v>
      </c>
      <c r="F55" s="2" t="str">
        <f aca="false">Data!H26</f>
        <v>20'x1 </v>
      </c>
      <c r="G55" s="3" t="n">
        <f aca="false">SUM(Data!Q26:Y26)</f>
        <v>1</v>
      </c>
      <c r="H55" s="3" t="n">
        <f aca="false">Data!Z26</f>
        <v>0</v>
      </c>
      <c r="I55" s="3" t="n">
        <f aca="false">G55-H55</f>
        <v>1</v>
      </c>
      <c r="J55" s="3" t="n">
        <f aca="false">Data!AD26</f>
        <v>1</v>
      </c>
      <c r="K55" s="3" t="n">
        <f aca="false">Data!AE26</f>
        <v>0</v>
      </c>
      <c r="L55" s="3" t="n">
        <f aca="false">Data!AF26</f>
        <v>0</v>
      </c>
      <c r="M55" s="3" t="n">
        <f aca="false">Data!AG26</f>
        <v>0</v>
      </c>
      <c r="N55" s="3" t="n">
        <f aca="false">Data!AH26</f>
        <v>0</v>
      </c>
      <c r="O55" s="3" t="n">
        <f aca="false">Data!AI26</f>
        <v>0</v>
      </c>
      <c r="P55" s="3" t="n">
        <f aca="false">Data!AJ26</f>
        <v>0</v>
      </c>
      <c r="Q55" s="3" t="n">
        <f aca="false">Data!AK26</f>
        <v>0</v>
      </c>
      <c r="R55" s="3" t="n">
        <f aca="false">Data!AL26</f>
        <v>0</v>
      </c>
    </row>
    <row r="56" customFormat="false" ht="15" hidden="false" customHeight="false" outlineLevel="0" collapsed="false">
      <c r="A56" s="2" t="str">
        <f aca="false">Data!A6</f>
        <v>HASLS22260800345</v>
      </c>
      <c r="B56" s="2" t="str">
        <f aca="false">Data!B6</f>
        <v>SWSR</v>
      </c>
      <c r="C56" s="2" t="str">
        <f aca="false">Data!C6</f>
        <v>2610N</v>
      </c>
      <c r="D56" s="2" t="str">
        <f aca="false">Data!I6</f>
        <v>LCHY5</v>
      </c>
      <c r="E56" s="2" t="str">
        <f aca="false">Data!J6</f>
        <v>PW DEPOT CO., LTD.</v>
      </c>
      <c r="F56" s="2" t="str">
        <f aca="false">Data!H6</f>
        <v>20'x1 </v>
      </c>
      <c r="G56" s="3" t="n">
        <f aca="false">SUM(Data!Q6:Y6)</f>
        <v>1</v>
      </c>
      <c r="H56" s="3" t="n">
        <f aca="false">Data!Z6</f>
        <v>0</v>
      </c>
      <c r="I56" s="3" t="n">
        <f aca="false">G56-H56</f>
        <v>1</v>
      </c>
      <c r="J56" s="3" t="n">
        <f aca="false">Data!AD6</f>
        <v>1</v>
      </c>
      <c r="K56" s="3" t="n">
        <f aca="false">Data!AE6</f>
        <v>0</v>
      </c>
      <c r="L56" s="3" t="n">
        <f aca="false">Data!AF6</f>
        <v>0</v>
      </c>
      <c r="M56" s="3" t="n">
        <f aca="false">Data!AG6</f>
        <v>0</v>
      </c>
      <c r="N56" s="3" t="n">
        <f aca="false">Data!AH6</f>
        <v>0</v>
      </c>
      <c r="O56" s="3" t="n">
        <f aca="false">Data!AI6</f>
        <v>0</v>
      </c>
      <c r="P56" s="3" t="n">
        <f aca="false">Data!AJ6</f>
        <v>0</v>
      </c>
      <c r="Q56" s="3" t="n">
        <f aca="false">Data!AK6</f>
        <v>0</v>
      </c>
      <c r="R56" s="3" t="n">
        <f aca="false">Data!AL6</f>
        <v>0</v>
      </c>
    </row>
    <row r="57" customFormat="false" ht="15" hidden="false" customHeight="false" outlineLevel="0" collapsed="false">
      <c r="A57" s="2" t="str">
        <f aca="false">Data!A64</f>
        <v>HASLS22260800736</v>
      </c>
      <c r="B57" s="2" t="str">
        <f aca="false">Data!B64</f>
        <v>SWMM</v>
      </c>
      <c r="C57" s="2" t="str">
        <f aca="false">Data!C64</f>
        <v>2609N</v>
      </c>
      <c r="D57" s="2" t="str">
        <f aca="false">Data!I64</f>
        <v>LCHY5</v>
      </c>
      <c r="E57" s="2" t="str">
        <f aca="false">Data!J64</f>
        <v>PW DEPOT CO., LTD.</v>
      </c>
      <c r="F57" s="2" t="str">
        <f aca="false">Data!H64</f>
        <v>40Hx1 </v>
      </c>
      <c r="G57" s="3" t="n">
        <f aca="false">SUM(Data!Q64:Y64)</f>
        <v>1</v>
      </c>
      <c r="H57" s="3" t="n">
        <f aca="false">Data!Z64</f>
        <v>0</v>
      </c>
      <c r="I57" s="3" t="n">
        <f aca="false">G57-H57</f>
        <v>1</v>
      </c>
      <c r="J57" s="3" t="n">
        <f aca="false">Data!AD64</f>
        <v>0</v>
      </c>
      <c r="K57" s="3" t="n">
        <f aca="false">Data!AE64</f>
        <v>0</v>
      </c>
      <c r="L57" s="3" t="n">
        <f aca="false">Data!AF64</f>
        <v>1</v>
      </c>
      <c r="M57" s="3" t="n">
        <f aca="false">Data!AG64</f>
        <v>0</v>
      </c>
      <c r="N57" s="3" t="n">
        <f aca="false">Data!AH64</f>
        <v>0</v>
      </c>
      <c r="O57" s="3" t="n">
        <f aca="false">Data!AI64</f>
        <v>0</v>
      </c>
      <c r="P57" s="3" t="n">
        <f aca="false">Data!AJ64</f>
        <v>0</v>
      </c>
      <c r="Q57" s="3" t="n">
        <f aca="false">Data!AK64</f>
        <v>0</v>
      </c>
      <c r="R57" s="3" t="n">
        <f aca="false">Data!AL64</f>
        <v>0</v>
      </c>
    </row>
    <row r="58" customFormat="false" ht="15" hidden="false" customHeight="false" outlineLevel="0" collapsed="false">
      <c r="A58" s="2" t="str">
        <f aca="false">Data!A76</f>
        <v>HASLS22260800853</v>
      </c>
      <c r="B58" s="2" t="str">
        <f aca="false">Data!B76</f>
        <v>SWMM</v>
      </c>
      <c r="C58" s="2" t="str">
        <f aca="false">Data!C76</f>
        <v>2609N</v>
      </c>
      <c r="D58" s="2" t="str">
        <f aca="false">Data!I76</f>
        <v>LCHY5</v>
      </c>
      <c r="E58" s="2" t="str">
        <f aca="false">Data!J76</f>
        <v>PW DEPOT CO., LTD.</v>
      </c>
      <c r="F58" s="2" t="str">
        <f aca="false">Data!H76</f>
        <v>40Hx30 </v>
      </c>
      <c r="G58" s="3" t="n">
        <f aca="false">SUM(Data!Q76:Y76)</f>
        <v>30</v>
      </c>
      <c r="H58" s="3" t="n">
        <f aca="false">Data!Z76</f>
        <v>0</v>
      </c>
      <c r="I58" s="3" t="n">
        <f aca="false">G58-H58</f>
        <v>30</v>
      </c>
      <c r="J58" s="3" t="n">
        <f aca="false">Data!AD76</f>
        <v>0</v>
      </c>
      <c r="K58" s="3" t="n">
        <f aca="false">Data!AE76</f>
        <v>0</v>
      </c>
      <c r="L58" s="3" t="n">
        <f aca="false">Data!AF76</f>
        <v>30</v>
      </c>
      <c r="M58" s="3" t="n">
        <f aca="false">Data!AG76</f>
        <v>0</v>
      </c>
      <c r="N58" s="3" t="n">
        <f aca="false">Data!AH76</f>
        <v>0</v>
      </c>
      <c r="O58" s="3" t="n">
        <f aca="false">Data!AI76</f>
        <v>0</v>
      </c>
      <c r="P58" s="3" t="n">
        <f aca="false">Data!AJ76</f>
        <v>0</v>
      </c>
      <c r="Q58" s="3" t="n">
        <f aca="false">Data!AK76</f>
        <v>0</v>
      </c>
      <c r="R58" s="3" t="n">
        <f aca="false">Data!AL76</f>
        <v>0</v>
      </c>
    </row>
    <row r="59" customFormat="false" ht="15" hidden="false" customHeight="false" outlineLevel="0" collapsed="false">
      <c r="A59" s="2" t="str">
        <f aca="false">Data!A69</f>
        <v>HASLS22260800854</v>
      </c>
      <c r="B59" s="2" t="str">
        <f aca="false">Data!B69</f>
        <v>SWMM</v>
      </c>
      <c r="C59" s="2" t="str">
        <f aca="false">Data!C69</f>
        <v>2609N</v>
      </c>
      <c r="D59" s="2" t="str">
        <f aca="false">Data!I69</f>
        <v>LCHY5</v>
      </c>
      <c r="E59" s="2" t="str">
        <f aca="false">Data!J69</f>
        <v>PW DEPOT CO., LTD.</v>
      </c>
      <c r="F59" s="2" t="str">
        <f aca="false">Data!H69</f>
        <v>40Hx10 </v>
      </c>
      <c r="G59" s="3" t="n">
        <f aca="false">SUM(Data!Q69:Y69)</f>
        <v>10</v>
      </c>
      <c r="H59" s="3" t="n">
        <f aca="false">Data!Z69</f>
        <v>0</v>
      </c>
      <c r="I59" s="3" t="n">
        <f aca="false">G59-H59</f>
        <v>10</v>
      </c>
      <c r="J59" s="3" t="n">
        <f aca="false">Data!AD69</f>
        <v>0</v>
      </c>
      <c r="K59" s="3" t="n">
        <f aca="false">Data!AE69</f>
        <v>0</v>
      </c>
      <c r="L59" s="3" t="n">
        <f aca="false">Data!AF69</f>
        <v>10</v>
      </c>
      <c r="M59" s="3" t="n">
        <f aca="false">Data!AG69</f>
        <v>0</v>
      </c>
      <c r="N59" s="3" t="n">
        <f aca="false">Data!AH69</f>
        <v>0</v>
      </c>
      <c r="O59" s="3" t="n">
        <f aca="false">Data!AI69</f>
        <v>0</v>
      </c>
      <c r="P59" s="3" t="n">
        <f aca="false">Data!AJ69</f>
        <v>0</v>
      </c>
      <c r="Q59" s="3" t="n">
        <f aca="false">Data!AK69</f>
        <v>0</v>
      </c>
      <c r="R59" s="3" t="n">
        <f aca="false">Data!AL69</f>
        <v>0</v>
      </c>
    </row>
    <row r="60" customFormat="false" ht="15" hidden="false" customHeight="false" outlineLevel="0" collapsed="false">
      <c r="A60" s="2" t="str">
        <f aca="false">Data!A78</f>
        <v>HASLS22260800958</v>
      </c>
      <c r="B60" s="2" t="str">
        <f aca="false">Data!B78</f>
        <v>SWBT</v>
      </c>
      <c r="C60" s="2" t="str">
        <f aca="false">Data!C78</f>
        <v>2615N</v>
      </c>
      <c r="D60" s="2" t="str">
        <f aca="false">Data!I78</f>
        <v>LCHY5</v>
      </c>
      <c r="E60" s="2" t="str">
        <f aca="false">Data!J78</f>
        <v>PW DEPOT CO., LTD.</v>
      </c>
      <c r="F60" s="2" t="str">
        <f aca="false">Data!H78</f>
        <v>40Hx4 20'x20 </v>
      </c>
      <c r="G60" s="3" t="n">
        <f aca="false">SUM(Data!Q78:Y78)</f>
        <v>24</v>
      </c>
      <c r="H60" s="3" t="n">
        <f aca="false">Data!Z78</f>
        <v>0</v>
      </c>
      <c r="I60" s="3" t="n">
        <f aca="false">G60-H60</f>
        <v>24</v>
      </c>
      <c r="J60" s="3" t="n">
        <f aca="false">Data!AD78</f>
        <v>20</v>
      </c>
      <c r="K60" s="3" t="n">
        <f aca="false">Data!AE78</f>
        <v>0</v>
      </c>
      <c r="L60" s="3" t="n">
        <f aca="false">Data!AF78</f>
        <v>4</v>
      </c>
      <c r="M60" s="3" t="n">
        <f aca="false">Data!AG78</f>
        <v>0</v>
      </c>
      <c r="N60" s="3" t="n">
        <f aca="false">Data!AH78</f>
        <v>0</v>
      </c>
      <c r="O60" s="3" t="n">
        <f aca="false">Data!AI78</f>
        <v>0</v>
      </c>
      <c r="P60" s="3" t="n">
        <f aca="false">Data!AJ78</f>
        <v>0</v>
      </c>
      <c r="Q60" s="3" t="n">
        <f aca="false">Data!AK78</f>
        <v>0</v>
      </c>
      <c r="R60" s="3" t="n">
        <f aca="false">Data!AL78</f>
        <v>0</v>
      </c>
    </row>
    <row r="61" customFormat="false" ht="15" hidden="false" customHeight="false" outlineLevel="0" collapsed="false">
      <c r="A61" s="2" t="str">
        <f aca="false">Data!A14</f>
        <v>HASLS22260801116</v>
      </c>
      <c r="B61" s="2" t="str">
        <f aca="false">Data!B14</f>
        <v>KJT</v>
      </c>
      <c r="C61" s="2" t="str">
        <f aca="false">Data!C14</f>
        <v>2610N</v>
      </c>
      <c r="D61" s="2" t="str">
        <f aca="false">Data!I14</f>
        <v>LCHY5</v>
      </c>
      <c r="E61" s="2" t="str">
        <f aca="false">Data!J14</f>
        <v>PW DEPOT CO., LTD.</v>
      </c>
      <c r="F61" s="2" t="str">
        <f aca="false">Data!H14</f>
        <v>20'x1 </v>
      </c>
      <c r="G61" s="3" t="n">
        <f aca="false">SUM(Data!Q14:Y14)</f>
        <v>1</v>
      </c>
      <c r="H61" s="3" t="n">
        <f aca="false">Data!Z14</f>
        <v>0</v>
      </c>
      <c r="I61" s="3" t="n">
        <f aca="false">G61-H61</f>
        <v>1</v>
      </c>
      <c r="J61" s="3" t="n">
        <f aca="false">Data!AD14</f>
        <v>1</v>
      </c>
      <c r="K61" s="3" t="n">
        <f aca="false">Data!AE14</f>
        <v>0</v>
      </c>
      <c r="L61" s="3" t="n">
        <f aca="false">Data!AF14</f>
        <v>0</v>
      </c>
      <c r="M61" s="3" t="n">
        <f aca="false">Data!AG14</f>
        <v>0</v>
      </c>
      <c r="N61" s="3" t="n">
        <f aca="false">Data!AH14</f>
        <v>0</v>
      </c>
      <c r="O61" s="3" t="n">
        <f aca="false">Data!AI14</f>
        <v>0</v>
      </c>
      <c r="P61" s="3" t="n">
        <f aca="false">Data!AJ14</f>
        <v>0</v>
      </c>
      <c r="Q61" s="3" t="n">
        <f aca="false">Data!AK14</f>
        <v>0</v>
      </c>
      <c r="R61" s="3" t="n">
        <f aca="false">Data!AL14</f>
        <v>0</v>
      </c>
    </row>
    <row r="62" customFormat="false" ht="15" hidden="false" customHeight="false" outlineLevel="0" collapsed="false">
      <c r="A62" s="2" t="str">
        <f aca="false">Data!A41</f>
        <v>HASLS22260801451</v>
      </c>
      <c r="B62" s="2" t="str">
        <f aca="false">Data!B41</f>
        <v>ICVY</v>
      </c>
      <c r="C62" s="2" t="str">
        <f aca="false">Data!C41</f>
        <v>2607S</v>
      </c>
      <c r="D62" s="2" t="str">
        <f aca="false">Data!I41</f>
        <v>LCHY5</v>
      </c>
      <c r="E62" s="2" t="str">
        <f aca="false">Data!J41</f>
        <v>PW DEPOT CO., LTD.</v>
      </c>
      <c r="F62" s="2" t="str">
        <f aca="false">Data!H41</f>
        <v>20'x1 </v>
      </c>
      <c r="G62" s="3" t="n">
        <f aca="false">SUM(Data!Q41:Y41)</f>
        <v>1</v>
      </c>
      <c r="H62" s="3" t="n">
        <f aca="false">Data!Z41</f>
        <v>0</v>
      </c>
      <c r="I62" s="3" t="n">
        <f aca="false">G62-H62</f>
        <v>1</v>
      </c>
      <c r="J62" s="3" t="n">
        <f aca="false">Data!AD41</f>
        <v>1</v>
      </c>
      <c r="K62" s="3" t="n">
        <f aca="false">Data!AE41</f>
        <v>0</v>
      </c>
      <c r="L62" s="3" t="n">
        <f aca="false">Data!AF41</f>
        <v>0</v>
      </c>
      <c r="M62" s="3" t="n">
        <f aca="false">Data!AG41</f>
        <v>0</v>
      </c>
      <c r="N62" s="3" t="n">
        <f aca="false">Data!AH41</f>
        <v>0</v>
      </c>
      <c r="O62" s="3" t="n">
        <f aca="false">Data!AI41</f>
        <v>0</v>
      </c>
      <c r="P62" s="3" t="n">
        <f aca="false">Data!AJ41</f>
        <v>0</v>
      </c>
      <c r="Q62" s="3" t="n">
        <f aca="false">Data!AK41</f>
        <v>0</v>
      </c>
      <c r="R62" s="3" t="n">
        <f aca="false">Data!AL41</f>
        <v>0</v>
      </c>
    </row>
    <row r="63" customFormat="false" ht="15" hidden="false" customHeight="false" outlineLevel="0" collapsed="false">
      <c r="A63" s="2" t="str">
        <f aca="false">Data!A16</f>
        <v>HASLS22260801665</v>
      </c>
      <c r="B63" s="2" t="str">
        <f aca="false">Data!B16</f>
        <v>YSVY</v>
      </c>
      <c r="C63" s="2" t="str">
        <f aca="false">Data!C16</f>
        <v>2607N</v>
      </c>
      <c r="D63" s="2" t="str">
        <f aca="false">Data!I16</f>
        <v>LCHY5</v>
      </c>
      <c r="E63" s="2" t="str">
        <f aca="false">Data!J16</f>
        <v>PW DEPOT CO., LTD.</v>
      </c>
      <c r="F63" s="2" t="str">
        <f aca="false">Data!H16</f>
        <v>20'x1 </v>
      </c>
      <c r="G63" s="3" t="n">
        <f aca="false">SUM(Data!Q16:Y16)</f>
        <v>1</v>
      </c>
      <c r="H63" s="3" t="n">
        <f aca="false">Data!Z16</f>
        <v>0</v>
      </c>
      <c r="I63" s="3" t="n">
        <f aca="false">G63-H63</f>
        <v>1</v>
      </c>
      <c r="J63" s="3" t="n">
        <f aca="false">Data!AD16</f>
        <v>1</v>
      </c>
      <c r="K63" s="3" t="n">
        <f aca="false">Data!AE16</f>
        <v>0</v>
      </c>
      <c r="L63" s="3" t="n">
        <f aca="false">Data!AF16</f>
        <v>0</v>
      </c>
      <c r="M63" s="3" t="n">
        <f aca="false">Data!AG16</f>
        <v>0</v>
      </c>
      <c r="N63" s="3" t="n">
        <f aca="false">Data!AH16</f>
        <v>0</v>
      </c>
      <c r="O63" s="3" t="n">
        <f aca="false">Data!AI16</f>
        <v>0</v>
      </c>
      <c r="P63" s="3" t="n">
        <f aca="false">Data!AJ16</f>
        <v>0</v>
      </c>
      <c r="Q63" s="3" t="n">
        <f aca="false">Data!AK16</f>
        <v>0</v>
      </c>
      <c r="R63" s="3" t="n">
        <f aca="false">Data!AL16</f>
        <v>0</v>
      </c>
    </row>
    <row r="64" customFormat="false" ht="15" hidden="false" customHeight="false" outlineLevel="0" collapsed="false">
      <c r="A64" s="2" t="str">
        <f aca="false">Data!A13</f>
        <v>HASLS22260801667</v>
      </c>
      <c r="B64" s="2" t="str">
        <f aca="false">Data!B13</f>
        <v>YSVY</v>
      </c>
      <c r="C64" s="2" t="str">
        <f aca="false">Data!C13</f>
        <v>2607N</v>
      </c>
      <c r="D64" s="2" t="str">
        <f aca="false">Data!I13</f>
        <v>LCHY5</v>
      </c>
      <c r="E64" s="2" t="str">
        <f aca="false">Data!J13</f>
        <v>PW DEPOT CO., LTD.</v>
      </c>
      <c r="F64" s="2" t="str">
        <f aca="false">Data!H13</f>
        <v>20'x1 </v>
      </c>
      <c r="G64" s="3" t="n">
        <f aca="false">SUM(Data!Q13:Y13)</f>
        <v>1</v>
      </c>
      <c r="H64" s="3" t="n">
        <f aca="false">Data!Z13</f>
        <v>0</v>
      </c>
      <c r="I64" s="3" t="n">
        <f aca="false">G64-H64</f>
        <v>1</v>
      </c>
      <c r="J64" s="3" t="n">
        <f aca="false">Data!AD13</f>
        <v>1</v>
      </c>
      <c r="K64" s="3" t="n">
        <f aca="false">Data!AE13</f>
        <v>0</v>
      </c>
      <c r="L64" s="3" t="n">
        <f aca="false">Data!AF13</f>
        <v>0</v>
      </c>
      <c r="M64" s="3" t="n">
        <f aca="false">Data!AG13</f>
        <v>0</v>
      </c>
      <c r="N64" s="3" t="n">
        <f aca="false">Data!AH13</f>
        <v>0</v>
      </c>
      <c r="O64" s="3" t="n">
        <f aca="false">Data!AI13</f>
        <v>0</v>
      </c>
      <c r="P64" s="3" t="n">
        <f aca="false">Data!AJ13</f>
        <v>0</v>
      </c>
      <c r="Q64" s="3" t="n">
        <f aca="false">Data!AK13</f>
        <v>0</v>
      </c>
      <c r="R64" s="3" t="n">
        <f aca="false">Data!AL13</f>
        <v>0</v>
      </c>
    </row>
    <row r="65" customFormat="false" ht="15" hidden="false" customHeight="false" outlineLevel="0" collapsed="false">
      <c r="A65" s="2" t="str">
        <f aca="false">Data!A18</f>
        <v>HASLS22260801668</v>
      </c>
      <c r="B65" s="2" t="str">
        <f aca="false">Data!B18</f>
        <v>YSVY</v>
      </c>
      <c r="C65" s="2" t="str">
        <f aca="false">Data!C18</f>
        <v>2607N</v>
      </c>
      <c r="D65" s="2" t="str">
        <f aca="false">Data!I18</f>
        <v>LCHY5</v>
      </c>
      <c r="E65" s="2" t="str">
        <f aca="false">Data!J18</f>
        <v>PW DEPOT CO., LTD.</v>
      </c>
      <c r="F65" s="2" t="str">
        <f aca="false">Data!H18</f>
        <v>20'x1 </v>
      </c>
      <c r="G65" s="3" t="n">
        <f aca="false">SUM(Data!Q18:Y18)</f>
        <v>1</v>
      </c>
      <c r="H65" s="3" t="n">
        <f aca="false">Data!Z18</f>
        <v>0</v>
      </c>
      <c r="I65" s="3" t="n">
        <f aca="false">G65-H65</f>
        <v>1</v>
      </c>
      <c r="J65" s="3" t="n">
        <f aca="false">Data!AD18</f>
        <v>1</v>
      </c>
      <c r="K65" s="3" t="n">
        <f aca="false">Data!AE18</f>
        <v>0</v>
      </c>
      <c r="L65" s="3" t="n">
        <f aca="false">Data!AF18</f>
        <v>0</v>
      </c>
      <c r="M65" s="3" t="n">
        <f aca="false">Data!AG18</f>
        <v>0</v>
      </c>
      <c r="N65" s="3" t="n">
        <f aca="false">Data!AH18</f>
        <v>0</v>
      </c>
      <c r="O65" s="3" t="n">
        <f aca="false">Data!AI18</f>
        <v>0</v>
      </c>
      <c r="P65" s="3" t="n">
        <f aca="false">Data!AJ18</f>
        <v>0</v>
      </c>
      <c r="Q65" s="3" t="n">
        <f aca="false">Data!AK18</f>
        <v>0</v>
      </c>
      <c r="R65" s="3" t="n">
        <f aca="false">Data!AL18</f>
        <v>0</v>
      </c>
    </row>
    <row r="66" customFormat="false" ht="15" hidden="false" customHeight="false" outlineLevel="0" collapsed="false">
      <c r="A66" s="2" t="str">
        <f aca="false">Data!A12</f>
        <v>HASLS22260801712</v>
      </c>
      <c r="B66" s="2" t="str">
        <f aca="false">Data!B12</f>
        <v>SWCP</v>
      </c>
      <c r="C66" s="2" t="str">
        <f aca="false">Data!C12</f>
        <v>2609N</v>
      </c>
      <c r="D66" s="2" t="str">
        <f aca="false">Data!I12</f>
        <v>LCHY5</v>
      </c>
      <c r="E66" s="2" t="str">
        <f aca="false">Data!J12</f>
        <v>PW DEPOT CO., LTD.</v>
      </c>
      <c r="F66" s="2" t="str">
        <f aca="false">Data!H12</f>
        <v>20'x1 </v>
      </c>
      <c r="G66" s="3" t="n">
        <f aca="false">SUM(Data!Q12:Y12)</f>
        <v>1</v>
      </c>
      <c r="H66" s="3" t="n">
        <f aca="false">Data!Z12</f>
        <v>0</v>
      </c>
      <c r="I66" s="3" t="n">
        <f aca="false">G66-H66</f>
        <v>1</v>
      </c>
      <c r="J66" s="3" t="n">
        <f aca="false">Data!AD12</f>
        <v>1</v>
      </c>
      <c r="K66" s="3" t="n">
        <f aca="false">Data!AE12</f>
        <v>0</v>
      </c>
      <c r="L66" s="3" t="n">
        <f aca="false">Data!AF12</f>
        <v>0</v>
      </c>
      <c r="M66" s="3" t="n">
        <f aca="false">Data!AG12</f>
        <v>0</v>
      </c>
      <c r="N66" s="3" t="n">
        <f aca="false">Data!AH12</f>
        <v>0</v>
      </c>
      <c r="O66" s="3" t="n">
        <f aca="false">Data!AI12</f>
        <v>0</v>
      </c>
      <c r="P66" s="3" t="n">
        <f aca="false">Data!AJ12</f>
        <v>0</v>
      </c>
      <c r="Q66" s="3" t="n">
        <f aca="false">Data!AK12</f>
        <v>0</v>
      </c>
      <c r="R66" s="3" t="n">
        <f aca="false">Data!AL12</f>
        <v>0</v>
      </c>
    </row>
    <row r="67" customFormat="false" ht="15" hidden="false" customHeight="false" outlineLevel="0" collapsed="false">
      <c r="A67" s="2" t="str">
        <f aca="false">Data!A4</f>
        <v>HASLS22260801713</v>
      </c>
      <c r="B67" s="2" t="str">
        <f aca="false">Data!B4</f>
        <v>SWCP</v>
      </c>
      <c r="C67" s="2" t="str">
        <f aca="false">Data!C4</f>
        <v>2609N</v>
      </c>
      <c r="D67" s="2" t="str">
        <f aca="false">Data!I4</f>
        <v>LCHY5</v>
      </c>
      <c r="E67" s="2" t="str">
        <f aca="false">Data!J4</f>
        <v>PW DEPOT CO., LTD.</v>
      </c>
      <c r="F67" s="2" t="str">
        <f aca="false">Data!H4</f>
        <v>20'x1 </v>
      </c>
      <c r="G67" s="3" t="n">
        <f aca="false">SUM(Data!Q4:Y4)</f>
        <v>1</v>
      </c>
      <c r="H67" s="3" t="n">
        <f aca="false">Data!Z4</f>
        <v>0</v>
      </c>
      <c r="I67" s="3" t="n">
        <f aca="false">G67-H67</f>
        <v>1</v>
      </c>
      <c r="J67" s="3" t="n">
        <f aca="false">Data!AD4</f>
        <v>1</v>
      </c>
      <c r="K67" s="3" t="n">
        <f aca="false">Data!AE4</f>
        <v>0</v>
      </c>
      <c r="L67" s="3" t="n">
        <f aca="false">Data!AF4</f>
        <v>0</v>
      </c>
      <c r="M67" s="3" t="n">
        <f aca="false">Data!AG4</f>
        <v>0</v>
      </c>
      <c r="N67" s="3" t="n">
        <f aca="false">Data!AH4</f>
        <v>0</v>
      </c>
      <c r="O67" s="3" t="n">
        <f aca="false">Data!AI4</f>
        <v>0</v>
      </c>
      <c r="P67" s="3" t="n">
        <f aca="false">Data!AJ4</f>
        <v>0</v>
      </c>
      <c r="Q67" s="3" t="n">
        <f aca="false">Data!AK4</f>
        <v>0</v>
      </c>
      <c r="R67" s="3" t="n">
        <f aca="false">Data!AL4</f>
        <v>0</v>
      </c>
    </row>
    <row r="68" customFormat="false" ht="15" hidden="false" customHeight="false" outlineLevel="0" collapsed="false">
      <c r="A68" s="2" t="str">
        <f aca="false">Data!A35</f>
        <v>HASLS22260801714</v>
      </c>
      <c r="B68" s="2" t="str">
        <f aca="false">Data!B35</f>
        <v>SWCP</v>
      </c>
      <c r="C68" s="2" t="str">
        <f aca="false">Data!C35</f>
        <v>2609N</v>
      </c>
      <c r="D68" s="2" t="str">
        <f aca="false">Data!I35</f>
        <v>LCHY5</v>
      </c>
      <c r="E68" s="2" t="str">
        <f aca="false">Data!J35</f>
        <v>PW DEPOT CO., LTD.</v>
      </c>
      <c r="F68" s="2" t="str">
        <f aca="false">Data!H35</f>
        <v>20'x1 </v>
      </c>
      <c r="G68" s="3" t="n">
        <f aca="false">SUM(Data!Q35:Y35)</f>
        <v>1</v>
      </c>
      <c r="H68" s="3" t="n">
        <f aca="false">Data!Z35</f>
        <v>0</v>
      </c>
      <c r="I68" s="3" t="n">
        <f aca="false">G68-H68</f>
        <v>1</v>
      </c>
      <c r="J68" s="3" t="n">
        <f aca="false">Data!AD35</f>
        <v>1</v>
      </c>
      <c r="K68" s="3" t="n">
        <f aca="false">Data!AE35</f>
        <v>0</v>
      </c>
      <c r="L68" s="3" t="n">
        <f aca="false">Data!AF35</f>
        <v>0</v>
      </c>
      <c r="M68" s="3" t="n">
        <f aca="false">Data!AG35</f>
        <v>0</v>
      </c>
      <c r="N68" s="3" t="n">
        <f aca="false">Data!AH35</f>
        <v>0</v>
      </c>
      <c r="O68" s="3" t="n">
        <f aca="false">Data!AI35</f>
        <v>0</v>
      </c>
      <c r="P68" s="3" t="n">
        <f aca="false">Data!AJ35</f>
        <v>0</v>
      </c>
      <c r="Q68" s="3" t="n">
        <f aca="false">Data!AK35</f>
        <v>0</v>
      </c>
      <c r="R68" s="3" t="n">
        <f aca="false">Data!AL35</f>
        <v>0</v>
      </c>
    </row>
    <row r="69" customFormat="false" ht="15" hidden="false" customHeight="false" outlineLevel="0" collapsed="false">
      <c r="A69" s="2" t="str">
        <f aca="false">Data!A11</f>
        <v>HASLS22260801715</v>
      </c>
      <c r="B69" s="2" t="str">
        <f aca="false">Data!B11</f>
        <v>SWCP</v>
      </c>
      <c r="C69" s="2" t="str">
        <f aca="false">Data!C11</f>
        <v>2609N</v>
      </c>
      <c r="D69" s="2" t="str">
        <f aca="false">Data!I11</f>
        <v>LCHY5</v>
      </c>
      <c r="E69" s="2" t="str">
        <f aca="false">Data!J11</f>
        <v>PW DEPOT CO., LTD.</v>
      </c>
      <c r="F69" s="2" t="str">
        <f aca="false">Data!H11</f>
        <v>20'x1 </v>
      </c>
      <c r="G69" s="3" t="n">
        <f aca="false">SUM(Data!Q11:Y11)</f>
        <v>1</v>
      </c>
      <c r="H69" s="3" t="n">
        <f aca="false">Data!Z11</f>
        <v>0</v>
      </c>
      <c r="I69" s="3" t="n">
        <f aca="false">G69-H69</f>
        <v>1</v>
      </c>
      <c r="J69" s="3" t="n">
        <f aca="false">Data!AD11</f>
        <v>1</v>
      </c>
      <c r="K69" s="3" t="n">
        <f aca="false">Data!AE11</f>
        <v>0</v>
      </c>
      <c r="L69" s="3" t="n">
        <f aca="false">Data!AF11</f>
        <v>0</v>
      </c>
      <c r="M69" s="3" t="n">
        <f aca="false">Data!AG11</f>
        <v>0</v>
      </c>
      <c r="N69" s="3" t="n">
        <f aca="false">Data!AH11</f>
        <v>0</v>
      </c>
      <c r="O69" s="3" t="n">
        <f aca="false">Data!AI11</f>
        <v>0</v>
      </c>
      <c r="P69" s="3" t="n">
        <f aca="false">Data!AJ11</f>
        <v>0</v>
      </c>
      <c r="Q69" s="3" t="n">
        <f aca="false">Data!AK11</f>
        <v>0</v>
      </c>
      <c r="R69" s="3" t="n">
        <f aca="false">Data!AL11</f>
        <v>0</v>
      </c>
    </row>
    <row r="70" customFormat="false" ht="15" hidden="false" customHeight="false" outlineLevel="0" collapsed="false">
      <c r="A70" s="2" t="str">
        <f aca="false">Data!A8</f>
        <v>HASLS22260801718</v>
      </c>
      <c r="B70" s="2" t="str">
        <f aca="false">Data!B8</f>
        <v>SWCP</v>
      </c>
      <c r="C70" s="2" t="str">
        <f aca="false">Data!C8</f>
        <v>2609N</v>
      </c>
      <c r="D70" s="2" t="str">
        <f aca="false">Data!I8</f>
        <v>LCHY5</v>
      </c>
      <c r="E70" s="2" t="str">
        <f aca="false">Data!J8</f>
        <v>PW DEPOT CO., LTD.</v>
      </c>
      <c r="F70" s="2" t="str">
        <f aca="false">Data!H8</f>
        <v>20'x1 </v>
      </c>
      <c r="G70" s="3" t="n">
        <f aca="false">SUM(Data!Q8:Y8)</f>
        <v>1</v>
      </c>
      <c r="H70" s="3" t="n">
        <f aca="false">Data!Z8</f>
        <v>0</v>
      </c>
      <c r="I70" s="3" t="n">
        <f aca="false">G70-H70</f>
        <v>1</v>
      </c>
      <c r="J70" s="3" t="n">
        <f aca="false">Data!AD8</f>
        <v>1</v>
      </c>
      <c r="K70" s="3" t="n">
        <f aca="false">Data!AE8</f>
        <v>0</v>
      </c>
      <c r="L70" s="3" t="n">
        <f aca="false">Data!AF8</f>
        <v>0</v>
      </c>
      <c r="M70" s="3" t="n">
        <f aca="false">Data!AG8</f>
        <v>0</v>
      </c>
      <c r="N70" s="3" t="n">
        <f aca="false">Data!AH8</f>
        <v>0</v>
      </c>
      <c r="O70" s="3" t="n">
        <f aca="false">Data!AI8</f>
        <v>0</v>
      </c>
      <c r="P70" s="3" t="n">
        <f aca="false">Data!AJ8</f>
        <v>0</v>
      </c>
      <c r="Q70" s="3" t="n">
        <f aca="false">Data!AK8</f>
        <v>0</v>
      </c>
      <c r="R70" s="3" t="n">
        <f aca="false">Data!AL8</f>
        <v>0</v>
      </c>
    </row>
    <row r="71" customFormat="false" ht="15" hidden="false" customHeight="false" outlineLevel="0" collapsed="false">
      <c r="A71" s="2" t="str">
        <f aca="false">Data!A31</f>
        <v>HASLS22260801719</v>
      </c>
      <c r="B71" s="2" t="str">
        <f aca="false">Data!B31</f>
        <v>SWCP</v>
      </c>
      <c r="C71" s="2" t="str">
        <f aca="false">Data!C31</f>
        <v>2609N</v>
      </c>
      <c r="D71" s="2" t="str">
        <f aca="false">Data!I31</f>
        <v>LCHY5</v>
      </c>
      <c r="E71" s="2" t="str">
        <f aca="false">Data!J31</f>
        <v>PW DEPOT CO., LTD.</v>
      </c>
      <c r="F71" s="2" t="str">
        <f aca="false">Data!H31</f>
        <v>20'x1 </v>
      </c>
      <c r="G71" s="3" t="n">
        <f aca="false">SUM(Data!Q31:Y31)</f>
        <v>1</v>
      </c>
      <c r="H71" s="3" t="n">
        <f aca="false">Data!Z31</f>
        <v>0</v>
      </c>
      <c r="I71" s="3" t="n">
        <f aca="false">G71-H71</f>
        <v>1</v>
      </c>
      <c r="J71" s="3" t="n">
        <f aca="false">Data!AD31</f>
        <v>1</v>
      </c>
      <c r="K71" s="3" t="n">
        <f aca="false">Data!AE31</f>
        <v>0</v>
      </c>
      <c r="L71" s="3" t="n">
        <f aca="false">Data!AF31</f>
        <v>0</v>
      </c>
      <c r="M71" s="3" t="n">
        <f aca="false">Data!AG31</f>
        <v>0</v>
      </c>
      <c r="N71" s="3" t="n">
        <f aca="false">Data!AH31</f>
        <v>0</v>
      </c>
      <c r="O71" s="3" t="n">
        <f aca="false">Data!AI31</f>
        <v>0</v>
      </c>
      <c r="P71" s="3" t="n">
        <f aca="false">Data!AJ31</f>
        <v>0</v>
      </c>
      <c r="Q71" s="3" t="n">
        <f aca="false">Data!AK31</f>
        <v>0</v>
      </c>
      <c r="R71" s="3" t="n">
        <f aca="false">Data!AL31</f>
        <v>0</v>
      </c>
    </row>
    <row r="72" customFormat="false" ht="15" hidden="false" customHeight="false" outlineLevel="0" collapsed="false">
      <c r="A72" s="2" t="str">
        <f aca="false">Data!A20</f>
        <v>HASLS22260801720</v>
      </c>
      <c r="B72" s="2" t="str">
        <f aca="false">Data!B20</f>
        <v>YSVY</v>
      </c>
      <c r="C72" s="2" t="str">
        <f aca="false">Data!C20</f>
        <v>2607N</v>
      </c>
      <c r="D72" s="2" t="str">
        <f aca="false">Data!I20</f>
        <v>LCHY5</v>
      </c>
      <c r="E72" s="2" t="str">
        <f aca="false">Data!J20</f>
        <v>PW DEPOT CO., LTD.</v>
      </c>
      <c r="F72" s="2" t="str">
        <f aca="false">Data!H20</f>
        <v>20'x1 </v>
      </c>
      <c r="G72" s="3" t="n">
        <f aca="false">SUM(Data!Q20:Y20)</f>
        <v>1</v>
      </c>
      <c r="H72" s="3" t="n">
        <f aca="false">Data!Z20</f>
        <v>0</v>
      </c>
      <c r="I72" s="3" t="n">
        <f aca="false">G72-H72</f>
        <v>1</v>
      </c>
      <c r="J72" s="3" t="n">
        <f aca="false">Data!AD20</f>
        <v>1</v>
      </c>
      <c r="K72" s="3" t="n">
        <f aca="false">Data!AE20</f>
        <v>0</v>
      </c>
      <c r="L72" s="3" t="n">
        <f aca="false">Data!AF20</f>
        <v>0</v>
      </c>
      <c r="M72" s="3" t="n">
        <f aca="false">Data!AG20</f>
        <v>0</v>
      </c>
      <c r="N72" s="3" t="n">
        <f aca="false">Data!AH20</f>
        <v>0</v>
      </c>
      <c r="O72" s="3" t="n">
        <f aca="false">Data!AI20</f>
        <v>0</v>
      </c>
      <c r="P72" s="3" t="n">
        <f aca="false">Data!AJ20</f>
        <v>0</v>
      </c>
      <c r="Q72" s="3" t="n">
        <f aca="false">Data!AK20</f>
        <v>0</v>
      </c>
      <c r="R72" s="3" t="n">
        <f aca="false">Data!AL20</f>
        <v>0</v>
      </c>
    </row>
    <row r="73" customFormat="false" ht="15" hidden="false" customHeight="false" outlineLevel="0" collapsed="false">
      <c r="A73" s="2" t="str">
        <f aca="false">Data!A15</f>
        <v>HASLS22260801721</v>
      </c>
      <c r="B73" s="2" t="str">
        <f aca="false">Data!B15</f>
        <v>YSVY</v>
      </c>
      <c r="C73" s="2" t="str">
        <f aca="false">Data!C15</f>
        <v>2607N</v>
      </c>
      <c r="D73" s="2" t="str">
        <f aca="false">Data!I15</f>
        <v>LCHY5</v>
      </c>
      <c r="E73" s="2" t="str">
        <f aca="false">Data!J15</f>
        <v>PW DEPOT CO., LTD.</v>
      </c>
      <c r="F73" s="2" t="str">
        <f aca="false">Data!H15</f>
        <v>20'x1 </v>
      </c>
      <c r="G73" s="3" t="n">
        <f aca="false">SUM(Data!Q15:Y15)</f>
        <v>1</v>
      </c>
      <c r="H73" s="3" t="n">
        <f aca="false">Data!Z15</f>
        <v>0</v>
      </c>
      <c r="I73" s="3" t="n">
        <f aca="false">G73-H73</f>
        <v>1</v>
      </c>
      <c r="J73" s="3" t="n">
        <f aca="false">Data!AD15</f>
        <v>1</v>
      </c>
      <c r="K73" s="3" t="n">
        <f aca="false">Data!AE15</f>
        <v>0</v>
      </c>
      <c r="L73" s="3" t="n">
        <f aca="false">Data!AF15</f>
        <v>0</v>
      </c>
      <c r="M73" s="3" t="n">
        <f aca="false">Data!AG15</f>
        <v>0</v>
      </c>
      <c r="N73" s="3" t="n">
        <f aca="false">Data!AH15</f>
        <v>0</v>
      </c>
      <c r="O73" s="3" t="n">
        <f aca="false">Data!AI15</f>
        <v>0</v>
      </c>
      <c r="P73" s="3" t="n">
        <f aca="false">Data!AJ15</f>
        <v>0</v>
      </c>
      <c r="Q73" s="3" t="n">
        <f aca="false">Data!AK15</f>
        <v>0</v>
      </c>
      <c r="R73" s="3" t="n">
        <f aca="false">Data!AL15</f>
        <v>0</v>
      </c>
    </row>
    <row r="74" customFormat="false" ht="15" hidden="false" customHeight="false" outlineLevel="0" collapsed="false">
      <c r="A74" s="2" t="str">
        <f aca="false">Data!A25</f>
        <v>HASLS22260801723</v>
      </c>
      <c r="B74" s="2" t="str">
        <f aca="false">Data!B25</f>
        <v>YSVY</v>
      </c>
      <c r="C74" s="2" t="str">
        <f aca="false">Data!C25</f>
        <v>2607N</v>
      </c>
      <c r="D74" s="2" t="str">
        <f aca="false">Data!I25</f>
        <v>LCHY5</v>
      </c>
      <c r="E74" s="2" t="str">
        <f aca="false">Data!J25</f>
        <v>PW DEPOT CO., LTD.</v>
      </c>
      <c r="F74" s="2" t="str">
        <f aca="false">Data!H25</f>
        <v>20'x1 </v>
      </c>
      <c r="G74" s="3" t="n">
        <f aca="false">SUM(Data!Q25:Y25)</f>
        <v>1</v>
      </c>
      <c r="H74" s="3" t="n">
        <f aca="false">Data!Z25</f>
        <v>0</v>
      </c>
      <c r="I74" s="3" t="n">
        <f aca="false">G74-H74</f>
        <v>1</v>
      </c>
      <c r="J74" s="3" t="n">
        <f aca="false">Data!AD25</f>
        <v>1</v>
      </c>
      <c r="K74" s="3" t="n">
        <f aca="false">Data!AE25</f>
        <v>0</v>
      </c>
      <c r="L74" s="3" t="n">
        <f aca="false">Data!AF25</f>
        <v>0</v>
      </c>
      <c r="M74" s="3" t="n">
        <f aca="false">Data!AG25</f>
        <v>0</v>
      </c>
      <c r="N74" s="3" t="n">
        <f aca="false">Data!AH25</f>
        <v>0</v>
      </c>
      <c r="O74" s="3" t="n">
        <f aca="false">Data!AI25</f>
        <v>0</v>
      </c>
      <c r="P74" s="3" t="n">
        <f aca="false">Data!AJ25</f>
        <v>0</v>
      </c>
      <c r="Q74" s="3" t="n">
        <f aca="false">Data!AK25</f>
        <v>0</v>
      </c>
      <c r="R74" s="3" t="n">
        <f aca="false">Data!AL25</f>
        <v>0</v>
      </c>
    </row>
    <row r="75" customFormat="false" ht="15" hidden="false" customHeight="false" outlineLevel="0" collapsed="false">
      <c r="A75" s="2" t="str">
        <f aca="false">Data!A72</f>
        <v>HASLS22260801978</v>
      </c>
      <c r="B75" s="2" t="str">
        <f aca="false">Data!B72</f>
        <v>NSSJ</v>
      </c>
      <c r="C75" s="2" t="str">
        <f aca="false">Data!C72</f>
        <v>2607S</v>
      </c>
      <c r="D75" s="2" t="str">
        <f aca="false">Data!I72</f>
        <v>LCHY5</v>
      </c>
      <c r="E75" s="2" t="str">
        <f aca="false">Data!J72</f>
        <v>PW DEPOT CO., LTD.</v>
      </c>
      <c r="F75" s="2" t="str">
        <f aca="false">Data!H72</f>
        <v>40Hx2 </v>
      </c>
      <c r="G75" s="3" t="n">
        <f aca="false">SUM(Data!Q72:Y72)</f>
        <v>2</v>
      </c>
      <c r="H75" s="3" t="n">
        <f aca="false">Data!Z72</f>
        <v>0</v>
      </c>
      <c r="I75" s="3" t="n">
        <f aca="false">G75-H75</f>
        <v>2</v>
      </c>
      <c r="J75" s="3" t="n">
        <f aca="false">Data!AD72</f>
        <v>0</v>
      </c>
      <c r="K75" s="3" t="n">
        <f aca="false">Data!AE72</f>
        <v>0</v>
      </c>
      <c r="L75" s="3" t="n">
        <f aca="false">Data!AF72</f>
        <v>2</v>
      </c>
      <c r="M75" s="3" t="n">
        <f aca="false">Data!AG72</f>
        <v>0</v>
      </c>
      <c r="N75" s="3" t="n">
        <f aca="false">Data!AH72</f>
        <v>0</v>
      </c>
      <c r="O75" s="3" t="n">
        <f aca="false">Data!AI72</f>
        <v>0</v>
      </c>
      <c r="P75" s="3" t="n">
        <f aca="false">Data!AJ72</f>
        <v>0</v>
      </c>
      <c r="Q75" s="3" t="n">
        <f aca="false">Data!AK72</f>
        <v>0</v>
      </c>
      <c r="R75" s="3" t="n">
        <f aca="false">Data!AL72</f>
        <v>0</v>
      </c>
    </row>
    <row r="76" customFormat="false" ht="15" hidden="false" customHeight="false" outlineLevel="0" collapsed="false">
      <c r="A76" s="2" t="str">
        <f aca="false">Data!A40</f>
        <v>HASLS22260801983</v>
      </c>
      <c r="B76" s="2" t="str">
        <f aca="false">Data!B40</f>
        <v>NSSJ</v>
      </c>
      <c r="C76" s="2" t="str">
        <f aca="false">Data!C40</f>
        <v>2607S</v>
      </c>
      <c r="D76" s="2" t="str">
        <f aca="false">Data!I40</f>
        <v>LCHY5</v>
      </c>
      <c r="E76" s="2" t="str">
        <f aca="false">Data!J40</f>
        <v>PW DEPOT CO., LTD.</v>
      </c>
      <c r="F76" s="2" t="str">
        <f aca="false">Data!H40</f>
        <v>20'x1 </v>
      </c>
      <c r="G76" s="3" t="n">
        <f aca="false">SUM(Data!Q40:Y40)</f>
        <v>1</v>
      </c>
      <c r="H76" s="3" t="n">
        <f aca="false">Data!Z40</f>
        <v>0</v>
      </c>
      <c r="I76" s="3" t="n">
        <f aca="false">G76-H76</f>
        <v>1</v>
      </c>
      <c r="J76" s="3" t="n">
        <f aca="false">Data!AD40</f>
        <v>1</v>
      </c>
      <c r="K76" s="3" t="n">
        <f aca="false">Data!AE40</f>
        <v>0</v>
      </c>
      <c r="L76" s="3" t="n">
        <f aca="false">Data!AF40</f>
        <v>0</v>
      </c>
      <c r="M76" s="3" t="n">
        <f aca="false">Data!AG40</f>
        <v>0</v>
      </c>
      <c r="N76" s="3" t="n">
        <f aca="false">Data!AH40</f>
        <v>0</v>
      </c>
      <c r="O76" s="3" t="n">
        <f aca="false">Data!AI40</f>
        <v>0</v>
      </c>
      <c r="P76" s="3" t="n">
        <f aca="false">Data!AJ40</f>
        <v>0</v>
      </c>
      <c r="Q76" s="3" t="n">
        <f aca="false">Data!AK40</f>
        <v>0</v>
      </c>
      <c r="R76" s="3" t="n">
        <f aca="false">Data!AL40</f>
        <v>0</v>
      </c>
    </row>
    <row r="77" customFormat="false" ht="15" hidden="false" customHeight="false" outlineLevel="0" collapsed="false">
      <c r="A77" s="2" t="str">
        <f aca="false">Data!A47</f>
        <v>HASLS22260801987</v>
      </c>
      <c r="B77" s="2" t="str">
        <f aca="false">Data!B47</f>
        <v>KMSU</v>
      </c>
      <c r="C77" s="2" t="str">
        <f aca="false">Data!C47</f>
        <v>2607S</v>
      </c>
      <c r="D77" s="2" t="str">
        <f aca="false">Data!I47</f>
        <v>LCHY5</v>
      </c>
      <c r="E77" s="2" t="str">
        <f aca="false">Data!J47</f>
        <v>PW DEPOT CO., LTD.</v>
      </c>
      <c r="F77" s="2" t="str">
        <f aca="false">Data!H47</f>
        <v>20'x2 </v>
      </c>
      <c r="G77" s="3" t="n">
        <f aca="false">SUM(Data!Q47:Y47)</f>
        <v>2</v>
      </c>
      <c r="H77" s="3" t="n">
        <f aca="false">Data!Z47</f>
        <v>0</v>
      </c>
      <c r="I77" s="3" t="n">
        <f aca="false">G77-H77</f>
        <v>2</v>
      </c>
      <c r="J77" s="3" t="n">
        <f aca="false">Data!AD47</f>
        <v>2</v>
      </c>
      <c r="K77" s="3" t="n">
        <f aca="false">Data!AE47</f>
        <v>0</v>
      </c>
      <c r="L77" s="3" t="n">
        <f aca="false">Data!AF47</f>
        <v>0</v>
      </c>
      <c r="M77" s="3" t="n">
        <f aca="false">Data!AG47</f>
        <v>0</v>
      </c>
      <c r="N77" s="3" t="n">
        <f aca="false">Data!AH47</f>
        <v>0</v>
      </c>
      <c r="O77" s="3" t="n">
        <f aca="false">Data!AI47</f>
        <v>0</v>
      </c>
      <c r="P77" s="3" t="n">
        <f aca="false">Data!AJ47</f>
        <v>0</v>
      </c>
      <c r="Q77" s="3" t="n">
        <f aca="false">Data!AK47</f>
        <v>0</v>
      </c>
      <c r="R77" s="3" t="n">
        <f aca="false">Data!AL47</f>
        <v>0</v>
      </c>
    </row>
    <row r="78" customFormat="false" ht="15" hidden="false" customHeight="false" outlineLevel="0" collapsed="false">
      <c r="A78" s="2" t="str">
        <f aca="false">Data!A30</f>
        <v>HASLS22260801994</v>
      </c>
      <c r="B78" s="2" t="str">
        <f aca="false">Data!B30</f>
        <v>SWSR</v>
      </c>
      <c r="C78" s="2" t="str">
        <f aca="false">Data!C30</f>
        <v>2610N</v>
      </c>
      <c r="D78" s="2" t="str">
        <f aca="false">Data!I30</f>
        <v>LCHY5</v>
      </c>
      <c r="E78" s="2" t="str">
        <f aca="false">Data!J30</f>
        <v>PW DEPOT CO., LTD.</v>
      </c>
      <c r="F78" s="2" t="str">
        <f aca="false">Data!H30</f>
        <v>20'x1 </v>
      </c>
      <c r="G78" s="3" t="n">
        <f aca="false">SUM(Data!Q30:Y30)</f>
        <v>1</v>
      </c>
      <c r="H78" s="3" t="n">
        <f aca="false">Data!Z30</f>
        <v>0</v>
      </c>
      <c r="I78" s="3" t="n">
        <f aca="false">G78-H78</f>
        <v>1</v>
      </c>
      <c r="J78" s="3" t="n">
        <f aca="false">Data!AD30</f>
        <v>1</v>
      </c>
      <c r="K78" s="3" t="n">
        <f aca="false">Data!AE30</f>
        <v>0</v>
      </c>
      <c r="L78" s="3" t="n">
        <f aca="false">Data!AF30</f>
        <v>0</v>
      </c>
      <c r="M78" s="3" t="n">
        <f aca="false">Data!AG30</f>
        <v>0</v>
      </c>
      <c r="N78" s="3" t="n">
        <f aca="false">Data!AH30</f>
        <v>0</v>
      </c>
      <c r="O78" s="3" t="n">
        <f aca="false">Data!AI30</f>
        <v>0</v>
      </c>
      <c r="P78" s="3" t="n">
        <f aca="false">Data!AJ30</f>
        <v>0</v>
      </c>
      <c r="Q78" s="3" t="n">
        <f aca="false">Data!AK30</f>
        <v>0</v>
      </c>
      <c r="R78" s="3" t="n">
        <f aca="false">Data!AL30</f>
        <v>0</v>
      </c>
    </row>
    <row r="79" customFormat="false" ht="15" hidden="false" customHeight="false" outlineLevel="0" collapsed="false">
      <c r="A79" s="2" t="str">
        <f aca="false">Data!A5</f>
        <v>HASLS22260900144</v>
      </c>
      <c r="B79" s="2" t="str">
        <f aca="false">Data!B5</f>
        <v>SWSR</v>
      </c>
      <c r="C79" s="2" t="str">
        <f aca="false">Data!C5</f>
        <v>2610N</v>
      </c>
      <c r="D79" s="2" t="str">
        <f aca="false">Data!I5</f>
        <v>LCHY5</v>
      </c>
      <c r="E79" s="2" t="str">
        <f aca="false">Data!J5</f>
        <v>PW DEPOT CO., LTD.</v>
      </c>
      <c r="F79" s="2" t="str">
        <f aca="false">Data!H5</f>
        <v>20'x1 </v>
      </c>
      <c r="G79" s="3" t="n">
        <f aca="false">SUM(Data!Q5:Y5)</f>
        <v>1</v>
      </c>
      <c r="H79" s="3" t="n">
        <f aca="false">Data!Z5</f>
        <v>0</v>
      </c>
      <c r="I79" s="3" t="n">
        <f aca="false">G79-H79</f>
        <v>1</v>
      </c>
      <c r="J79" s="3" t="n">
        <f aca="false">Data!AD5</f>
        <v>1</v>
      </c>
      <c r="K79" s="3" t="n">
        <f aca="false">Data!AE5</f>
        <v>0</v>
      </c>
      <c r="L79" s="3" t="n">
        <f aca="false">Data!AF5</f>
        <v>0</v>
      </c>
      <c r="M79" s="3" t="n">
        <f aca="false">Data!AG5</f>
        <v>0</v>
      </c>
      <c r="N79" s="3" t="n">
        <f aca="false">Data!AH5</f>
        <v>0</v>
      </c>
      <c r="O79" s="3" t="n">
        <f aca="false">Data!AI5</f>
        <v>0</v>
      </c>
      <c r="P79" s="3" t="n">
        <f aca="false">Data!AJ5</f>
        <v>0</v>
      </c>
      <c r="Q79" s="3" t="n">
        <f aca="false">Data!AK5</f>
        <v>0</v>
      </c>
      <c r="R79" s="3" t="n">
        <f aca="false">Data!AL5</f>
        <v>0</v>
      </c>
    </row>
    <row r="80" customFormat="false" ht="15" hidden="false" customHeight="false" outlineLevel="0" collapsed="false">
      <c r="A80" s="2" t="str">
        <f aca="false">Data!A48</f>
        <v>HASLS22260900145</v>
      </c>
      <c r="B80" s="2" t="str">
        <f aca="false">Data!B48</f>
        <v>SWSR</v>
      </c>
      <c r="C80" s="2" t="str">
        <f aca="false">Data!C48</f>
        <v>2610N</v>
      </c>
      <c r="D80" s="2" t="str">
        <f aca="false">Data!I48</f>
        <v>LCHY5</v>
      </c>
      <c r="E80" s="2" t="str">
        <f aca="false">Data!J48</f>
        <v>PW DEPOT CO., LTD.</v>
      </c>
      <c r="F80" s="2" t="str">
        <f aca="false">Data!H48</f>
        <v>20'x2 </v>
      </c>
      <c r="G80" s="3" t="n">
        <f aca="false">SUM(Data!Q48:Y48)</f>
        <v>2</v>
      </c>
      <c r="H80" s="3" t="n">
        <f aca="false">Data!Z48</f>
        <v>0</v>
      </c>
      <c r="I80" s="3" t="n">
        <f aca="false">G80-H80</f>
        <v>2</v>
      </c>
      <c r="J80" s="3" t="n">
        <f aca="false">Data!AD48</f>
        <v>2</v>
      </c>
      <c r="K80" s="3" t="n">
        <f aca="false">Data!AE48</f>
        <v>0</v>
      </c>
      <c r="L80" s="3" t="n">
        <f aca="false">Data!AF48</f>
        <v>0</v>
      </c>
      <c r="M80" s="3" t="n">
        <f aca="false">Data!AG48</f>
        <v>0</v>
      </c>
      <c r="N80" s="3" t="n">
        <f aca="false">Data!AH48</f>
        <v>0</v>
      </c>
      <c r="O80" s="3" t="n">
        <f aca="false">Data!AI48</f>
        <v>0</v>
      </c>
      <c r="P80" s="3" t="n">
        <f aca="false">Data!AJ48</f>
        <v>0</v>
      </c>
      <c r="Q80" s="3" t="n">
        <f aca="false">Data!AK48</f>
        <v>0</v>
      </c>
      <c r="R80" s="3" t="n">
        <f aca="false">Data!AL48</f>
        <v>0</v>
      </c>
    </row>
    <row r="81" customFormat="false" ht="15" hidden="false" customHeight="false" outlineLevel="0" collapsed="false">
      <c r="A81" s="2" t="str">
        <f aca="false">Data!A67</f>
        <v>HASLS22260900253</v>
      </c>
      <c r="B81" s="2" t="str">
        <f aca="false">Data!B67</f>
        <v>SWCP</v>
      </c>
      <c r="C81" s="2" t="str">
        <f aca="false">Data!C67</f>
        <v>2609N</v>
      </c>
      <c r="D81" s="2" t="str">
        <f aca="false">Data!I67</f>
        <v>LCHY5</v>
      </c>
      <c r="E81" s="2" t="str">
        <f aca="false">Data!J67</f>
        <v>PW DEPOT CO., LTD.</v>
      </c>
      <c r="F81" s="2" t="str">
        <f aca="false">Data!H67</f>
        <v>40Hx1 </v>
      </c>
      <c r="G81" s="3" t="n">
        <f aca="false">SUM(Data!Q67:Y67)</f>
        <v>1</v>
      </c>
      <c r="H81" s="3" t="n">
        <f aca="false">Data!Z67</f>
        <v>0</v>
      </c>
      <c r="I81" s="3" t="n">
        <f aca="false">G81-H81</f>
        <v>1</v>
      </c>
      <c r="J81" s="3" t="n">
        <f aca="false">Data!AD67</f>
        <v>0</v>
      </c>
      <c r="K81" s="3" t="n">
        <f aca="false">Data!AE67</f>
        <v>0</v>
      </c>
      <c r="L81" s="3" t="n">
        <f aca="false">Data!AF67</f>
        <v>1</v>
      </c>
      <c r="M81" s="3" t="n">
        <f aca="false">Data!AG67</f>
        <v>0</v>
      </c>
      <c r="N81" s="3" t="n">
        <f aca="false">Data!AH67</f>
        <v>0</v>
      </c>
      <c r="O81" s="3" t="n">
        <f aca="false">Data!AI67</f>
        <v>0</v>
      </c>
      <c r="P81" s="3" t="n">
        <f aca="false">Data!AJ67</f>
        <v>0</v>
      </c>
      <c r="Q81" s="3" t="n">
        <f aca="false">Data!AK67</f>
        <v>0</v>
      </c>
      <c r="R81" s="3" t="n">
        <f aca="false">Data!AL67</f>
        <v>0</v>
      </c>
    </row>
    <row r="82" customFormat="false" ht="15" hidden="false" customHeight="false" outlineLevel="0" collapsed="false">
      <c r="A82" s="2" t="str">
        <f aca="false">Data!A22</f>
        <v>HASLS22260900276</v>
      </c>
      <c r="B82" s="2" t="str">
        <f aca="false">Data!B22</f>
        <v>YSVY</v>
      </c>
      <c r="C82" s="2" t="str">
        <f aca="false">Data!C22</f>
        <v>2607N</v>
      </c>
      <c r="D82" s="2" t="str">
        <f aca="false">Data!I22</f>
        <v>LCHY5</v>
      </c>
      <c r="E82" s="2" t="str">
        <f aca="false">Data!J22</f>
        <v>PW DEPOT CO., LTD.</v>
      </c>
      <c r="F82" s="2" t="str">
        <f aca="false">Data!H22</f>
        <v>20'x1 </v>
      </c>
      <c r="G82" s="3" t="n">
        <f aca="false">SUM(Data!Q22:Y22)</f>
        <v>1</v>
      </c>
      <c r="H82" s="3" t="n">
        <f aca="false">Data!Z22</f>
        <v>0</v>
      </c>
      <c r="I82" s="3" t="n">
        <f aca="false">G82-H82</f>
        <v>1</v>
      </c>
      <c r="J82" s="3" t="n">
        <f aca="false">Data!AD22</f>
        <v>1</v>
      </c>
      <c r="K82" s="3" t="n">
        <f aca="false">Data!AE22</f>
        <v>0</v>
      </c>
      <c r="L82" s="3" t="n">
        <f aca="false">Data!AF22</f>
        <v>0</v>
      </c>
      <c r="M82" s="3" t="n">
        <f aca="false">Data!AG22</f>
        <v>0</v>
      </c>
      <c r="N82" s="3" t="n">
        <f aca="false">Data!AH22</f>
        <v>0</v>
      </c>
      <c r="O82" s="3" t="n">
        <f aca="false">Data!AI22</f>
        <v>0</v>
      </c>
      <c r="P82" s="3" t="n">
        <f aca="false">Data!AJ22</f>
        <v>0</v>
      </c>
      <c r="Q82" s="3" t="n">
        <f aca="false">Data!AK22</f>
        <v>0</v>
      </c>
      <c r="R82" s="3" t="n">
        <f aca="false">Data!AL22</f>
        <v>0</v>
      </c>
    </row>
    <row r="83" customFormat="false" ht="15" hidden="false" customHeight="false" outlineLevel="0" collapsed="false">
      <c r="A83" s="2" t="str">
        <f aca="false">Data!A32</f>
        <v>HASLS22260900277</v>
      </c>
      <c r="B83" s="2" t="str">
        <f aca="false">Data!B32</f>
        <v>YSVY</v>
      </c>
      <c r="C83" s="2" t="str">
        <f aca="false">Data!C32</f>
        <v>2607N</v>
      </c>
      <c r="D83" s="2" t="str">
        <f aca="false">Data!I32</f>
        <v>LCHY5</v>
      </c>
      <c r="E83" s="2" t="str">
        <f aca="false">Data!J32</f>
        <v>PW DEPOT CO., LTD.</v>
      </c>
      <c r="F83" s="2" t="str">
        <f aca="false">Data!H32</f>
        <v>20'x1 </v>
      </c>
      <c r="G83" s="3" t="n">
        <f aca="false">SUM(Data!Q32:Y32)</f>
        <v>1</v>
      </c>
      <c r="H83" s="3" t="n">
        <f aca="false">Data!Z32</f>
        <v>0</v>
      </c>
      <c r="I83" s="3" t="n">
        <f aca="false">G83-H83</f>
        <v>1</v>
      </c>
      <c r="J83" s="3" t="n">
        <f aca="false">Data!AD32</f>
        <v>1</v>
      </c>
      <c r="K83" s="3" t="n">
        <f aca="false">Data!AE32</f>
        <v>0</v>
      </c>
      <c r="L83" s="3" t="n">
        <f aca="false">Data!AF32</f>
        <v>0</v>
      </c>
      <c r="M83" s="3" t="n">
        <f aca="false">Data!AG32</f>
        <v>0</v>
      </c>
      <c r="N83" s="3" t="n">
        <f aca="false">Data!AH32</f>
        <v>0</v>
      </c>
      <c r="O83" s="3" t="n">
        <f aca="false">Data!AI32</f>
        <v>0</v>
      </c>
      <c r="P83" s="3" t="n">
        <f aca="false">Data!AJ32</f>
        <v>0</v>
      </c>
      <c r="Q83" s="3" t="n">
        <f aca="false">Data!AK32</f>
        <v>0</v>
      </c>
      <c r="R83" s="3" t="n">
        <f aca="false">Data!AL32</f>
        <v>0</v>
      </c>
    </row>
    <row r="84" customFormat="false" ht="15" hidden="false" customHeight="false" outlineLevel="0" collapsed="false">
      <c r="A84" s="2" t="str">
        <f aca="false">Data!A43</f>
        <v>HASLS22260801018</v>
      </c>
      <c r="B84" s="2" t="str">
        <f aca="false">Data!B43</f>
        <v>SWCP</v>
      </c>
      <c r="C84" s="2" t="str">
        <f aca="false">Data!C43</f>
        <v>2609N</v>
      </c>
      <c r="D84" s="2" t="str">
        <f aca="false">Data!I43</f>
        <v>BKK25</v>
      </c>
      <c r="E84" s="2" t="str">
        <f aca="false">Data!J43</f>
        <v>Smart Logistics Service (Thailand ) Co.,Ltd. </v>
      </c>
      <c r="F84" s="2" t="str">
        <f aca="false">Data!H43</f>
        <v>20'x12 </v>
      </c>
      <c r="G84" s="3" t="n">
        <f aca="false">SUM(Data!Q43:Y43)</f>
        <v>12</v>
      </c>
      <c r="H84" s="3" t="n">
        <f aca="false">Data!Z43</f>
        <v>10</v>
      </c>
      <c r="I84" s="3" t="n">
        <f aca="false">G84-H84</f>
        <v>2</v>
      </c>
      <c r="J84" s="3" t="n">
        <f aca="false">Data!AD43</f>
        <v>2</v>
      </c>
      <c r="K84" s="3" t="n">
        <f aca="false">Data!AE43</f>
        <v>0</v>
      </c>
      <c r="L84" s="3" t="n">
        <f aca="false">Data!AF43</f>
        <v>0</v>
      </c>
      <c r="M84" s="3" t="n">
        <f aca="false">Data!AG43</f>
        <v>0</v>
      </c>
      <c r="N84" s="3" t="n">
        <f aca="false">Data!AH43</f>
        <v>0</v>
      </c>
      <c r="O84" s="3" t="n">
        <f aca="false">Data!AI43</f>
        <v>0</v>
      </c>
      <c r="P84" s="3" t="n">
        <f aca="false">Data!AJ43</f>
        <v>0</v>
      </c>
      <c r="Q84" s="3" t="n">
        <f aca="false">Data!AK43</f>
        <v>0</v>
      </c>
      <c r="R84" s="3" t="n">
        <f aca="false">Data!AL43</f>
        <v>0</v>
      </c>
    </row>
    <row r="85" customFormat="false" ht="15" hidden="false" customHeight="false" outlineLevel="0" collapsed="false">
      <c r="A85" s="2" t="str">
        <f aca="false">Data!A82</f>
        <v>HASLS22260801133</v>
      </c>
      <c r="B85" s="2" t="str">
        <f aca="false">Data!B82</f>
        <v>SWCP</v>
      </c>
      <c r="C85" s="2" t="str">
        <f aca="false">Data!C82</f>
        <v>2609N</v>
      </c>
      <c r="D85" s="2" t="str">
        <f aca="false">Data!I82</f>
        <v>BKK25</v>
      </c>
      <c r="E85" s="2" t="str">
        <f aca="false">Data!J82</f>
        <v>Smart Logistics Service (Thailand ) Co.,Ltd. </v>
      </c>
      <c r="F85" s="2" t="str">
        <f aca="false">Data!H82</f>
        <v>40Hx9 </v>
      </c>
      <c r="G85" s="3" t="n">
        <f aca="false">SUM(Data!Q82:Y82)</f>
        <v>9</v>
      </c>
      <c r="H85" s="3" t="n">
        <f aca="false">Data!Z82</f>
        <v>8</v>
      </c>
      <c r="I85" s="3" t="n">
        <f aca="false">G85-H85</f>
        <v>1</v>
      </c>
      <c r="J85" s="3" t="n">
        <f aca="false">Data!AD82</f>
        <v>0</v>
      </c>
      <c r="K85" s="3" t="n">
        <f aca="false">Data!AE82</f>
        <v>0</v>
      </c>
      <c r="L85" s="3" t="n">
        <f aca="false">Data!AF82</f>
        <v>1</v>
      </c>
      <c r="M85" s="3" t="n">
        <f aca="false">Data!AG82</f>
        <v>0</v>
      </c>
      <c r="N85" s="3" t="n">
        <f aca="false">Data!AH82</f>
        <v>0</v>
      </c>
      <c r="O85" s="3" t="n">
        <f aca="false">Data!AI82</f>
        <v>0</v>
      </c>
      <c r="P85" s="3" t="n">
        <f aca="false">Data!AJ82</f>
        <v>0</v>
      </c>
      <c r="Q85" s="3" t="n">
        <f aca="false">Data!AK82</f>
        <v>0</v>
      </c>
      <c r="R85" s="3" t="n">
        <f aca="false">Data!AL82</f>
        <v>0</v>
      </c>
    </row>
    <row r="86" customFormat="false" ht="15" hidden="false" customHeight="false" outlineLevel="0" collapsed="false">
      <c r="A86" s="2" t="str">
        <f aca="false">Data!A74</f>
        <v>HASLS22260801472</v>
      </c>
      <c r="B86" s="2" t="str">
        <f aca="false">Data!B74</f>
        <v>DJCF</v>
      </c>
      <c r="C86" s="2" t="str">
        <f aca="false">Data!C74</f>
        <v>0151N</v>
      </c>
      <c r="D86" s="2" t="str">
        <f aca="false">Data!I74</f>
        <v>BKK25</v>
      </c>
      <c r="E86" s="2" t="str">
        <f aca="false">Data!J74</f>
        <v>Smart Logistics Service (Thailand ) Co.,Ltd. </v>
      </c>
      <c r="F86" s="2" t="str">
        <f aca="false">Data!H74</f>
        <v>40Hx3 </v>
      </c>
      <c r="G86" s="3" t="n">
        <f aca="false">SUM(Data!Q74:Y74)</f>
        <v>3</v>
      </c>
      <c r="H86" s="3" t="n">
        <f aca="false">Data!Z74</f>
        <v>0</v>
      </c>
      <c r="I86" s="3" t="n">
        <f aca="false">G86-H86</f>
        <v>3</v>
      </c>
      <c r="J86" s="3" t="n">
        <f aca="false">Data!AD74</f>
        <v>0</v>
      </c>
      <c r="K86" s="3" t="n">
        <f aca="false">Data!AE74</f>
        <v>0</v>
      </c>
      <c r="L86" s="3" t="n">
        <f aca="false">Data!AF74</f>
        <v>3</v>
      </c>
      <c r="M86" s="3" t="n">
        <f aca="false">Data!AG74</f>
        <v>0</v>
      </c>
      <c r="N86" s="3" t="n">
        <f aca="false">Data!AH74</f>
        <v>0</v>
      </c>
      <c r="O86" s="3" t="n">
        <f aca="false">Data!AI74</f>
        <v>0</v>
      </c>
      <c r="P86" s="3" t="n">
        <f aca="false">Data!AJ74</f>
        <v>0</v>
      </c>
      <c r="Q86" s="3" t="n">
        <f aca="false">Data!AK74</f>
        <v>0</v>
      </c>
      <c r="R86" s="3" t="n">
        <f aca="false">Data!AL74</f>
        <v>0</v>
      </c>
    </row>
    <row r="87" customFormat="false" ht="15" hidden="false" customHeight="false" outlineLevel="0" collapsed="false">
      <c r="A87" s="2" t="str">
        <f aca="false">Data!A54</f>
        <v>HASLS22260900147</v>
      </c>
      <c r="B87" s="2" t="str">
        <f aca="false">Data!B54</f>
        <v>SWSR</v>
      </c>
      <c r="C87" s="2" t="str">
        <f aca="false">Data!C54</f>
        <v>2610N</v>
      </c>
      <c r="D87" s="2" t="str">
        <f aca="false">Data!I54</f>
        <v>BKK25</v>
      </c>
      <c r="E87" s="2" t="str">
        <f aca="false">Data!J54</f>
        <v>Smart Logistics Service (Thailand ) Co.,Ltd. </v>
      </c>
      <c r="F87" s="2" t="str">
        <f aca="false">Data!H54</f>
        <v>40Hx1 </v>
      </c>
      <c r="G87" s="3" t="n">
        <f aca="false">SUM(Data!Q54:Y54)</f>
        <v>1</v>
      </c>
      <c r="H87" s="3" t="n">
        <f aca="false">Data!Z54</f>
        <v>0</v>
      </c>
      <c r="I87" s="3" t="n">
        <f aca="false">G87-H87</f>
        <v>1</v>
      </c>
      <c r="J87" s="3" t="n">
        <f aca="false">Data!AD54</f>
        <v>0</v>
      </c>
      <c r="K87" s="3" t="n">
        <f aca="false">Data!AE54</f>
        <v>0</v>
      </c>
      <c r="L87" s="3" t="n">
        <f aca="false">Data!AF54</f>
        <v>1</v>
      </c>
      <c r="M87" s="3" t="n">
        <f aca="false">Data!AG54</f>
        <v>0</v>
      </c>
      <c r="N87" s="3" t="n">
        <f aca="false">Data!AH54</f>
        <v>0</v>
      </c>
      <c r="O87" s="3" t="n">
        <f aca="false">Data!AI54</f>
        <v>0</v>
      </c>
      <c r="P87" s="3" t="n">
        <f aca="false">Data!AJ54</f>
        <v>0</v>
      </c>
      <c r="Q87" s="3" t="n">
        <f aca="false">Data!AK54</f>
        <v>0</v>
      </c>
      <c r="R87" s="3" t="n">
        <f aca="false">Data!AL54</f>
        <v>0</v>
      </c>
    </row>
    <row r="88" customFormat="false" ht="15" hidden="false" customHeight="false" outlineLevel="0" collapsed="false">
      <c r="A88" s="2" t="str">
        <f aca="false">Data!A36</f>
        <v>HASLS22260900236</v>
      </c>
      <c r="B88" s="2" t="str">
        <f aca="false">Data!B36</f>
        <v>KMTP</v>
      </c>
      <c r="C88" s="2" t="str">
        <f aca="false">Data!C36</f>
        <v>2611N</v>
      </c>
      <c r="D88" s="2" t="str">
        <f aca="false">Data!I36</f>
        <v>BKK25</v>
      </c>
      <c r="E88" s="2" t="str">
        <f aca="false">Data!J36</f>
        <v>Smart Logistics Service (Thailand ) Co.,Ltd. </v>
      </c>
      <c r="F88" s="2" t="str">
        <f aca="false">Data!H36</f>
        <v>20'x1 </v>
      </c>
      <c r="G88" s="3" t="n">
        <f aca="false">SUM(Data!Q36:Y36)</f>
        <v>1</v>
      </c>
      <c r="H88" s="3" t="n">
        <f aca="false">Data!Z36</f>
        <v>0</v>
      </c>
      <c r="I88" s="3" t="n">
        <f aca="false">G88-H88</f>
        <v>1</v>
      </c>
      <c r="J88" s="3" t="n">
        <f aca="false">Data!AD36</f>
        <v>1</v>
      </c>
      <c r="K88" s="3" t="n">
        <f aca="false">Data!AE36</f>
        <v>0</v>
      </c>
      <c r="L88" s="3" t="n">
        <f aca="false">Data!AF36</f>
        <v>0</v>
      </c>
      <c r="M88" s="3" t="n">
        <f aca="false">Data!AG36</f>
        <v>0</v>
      </c>
      <c r="N88" s="3" t="n">
        <f aca="false">Data!AH36</f>
        <v>0</v>
      </c>
      <c r="O88" s="3" t="n">
        <f aca="false">Data!AI36</f>
        <v>0</v>
      </c>
      <c r="P88" s="3" t="n">
        <f aca="false">Data!AJ36</f>
        <v>0</v>
      </c>
      <c r="Q88" s="3" t="n">
        <f aca="false">Data!AK36</f>
        <v>0</v>
      </c>
      <c r="R88" s="3" t="n">
        <f aca="false">Data!AL36</f>
        <v>0</v>
      </c>
    </row>
    <row r="89" customFormat="false" ht="15" hidden="false" customHeight="false" outlineLevel="0" collapsed="false">
      <c r="A89" s="2" t="str">
        <f aca="false">Data!A58</f>
        <v>HASLS22260900251</v>
      </c>
      <c r="B89" s="2" t="str">
        <f aca="false">Data!B58</f>
        <v>SWCP</v>
      </c>
      <c r="C89" s="2" t="str">
        <f aca="false">Data!C58</f>
        <v>2609N</v>
      </c>
      <c r="D89" s="2" t="str">
        <f aca="false">Data!I58</f>
        <v>BKK25</v>
      </c>
      <c r="E89" s="2" t="str">
        <f aca="false">Data!J58</f>
        <v>Smart Logistics Service (Thailand ) Co.,Ltd. </v>
      </c>
      <c r="F89" s="2" t="str">
        <f aca="false">Data!H58</f>
        <v>40Hx1 </v>
      </c>
      <c r="G89" s="3" t="n">
        <f aca="false">SUM(Data!Q58:Y58)</f>
        <v>1</v>
      </c>
      <c r="H89" s="3" t="n">
        <f aca="false">Data!Z58</f>
        <v>0</v>
      </c>
      <c r="I89" s="3" t="n">
        <f aca="false">G89-H89</f>
        <v>1</v>
      </c>
      <c r="J89" s="3" t="n">
        <f aca="false">Data!AD58</f>
        <v>0</v>
      </c>
      <c r="K89" s="3" t="n">
        <f aca="false">Data!AE58</f>
        <v>0</v>
      </c>
      <c r="L89" s="3" t="n">
        <f aca="false">Data!AF58</f>
        <v>1</v>
      </c>
      <c r="M89" s="3" t="n">
        <f aca="false">Data!AG58</f>
        <v>0</v>
      </c>
      <c r="N89" s="3" t="n">
        <f aca="false">Data!AH58</f>
        <v>0</v>
      </c>
      <c r="O89" s="3" t="n">
        <f aca="false">Data!AI58</f>
        <v>0</v>
      </c>
      <c r="P89" s="3" t="n">
        <f aca="false">Data!AJ58</f>
        <v>0</v>
      </c>
      <c r="Q89" s="3" t="n">
        <f aca="false">Data!AK58</f>
        <v>0</v>
      </c>
      <c r="R89" s="3" t="n">
        <f aca="false">Data!AL58</f>
        <v>0</v>
      </c>
    </row>
    <row r="90" customFormat="false" ht="15" hidden="false" customHeight="false" outlineLevel="0" collapsed="false">
      <c r="A90" s="2" t="str">
        <f aca="false">Data!A56</f>
        <v>HASLS22260900265</v>
      </c>
      <c r="B90" s="2" t="str">
        <f aca="false">Data!B56</f>
        <v>YSVY</v>
      </c>
      <c r="C90" s="2" t="str">
        <f aca="false">Data!C56</f>
        <v>2607N</v>
      </c>
      <c r="D90" s="2" t="str">
        <f aca="false">Data!I56</f>
        <v>BKK25</v>
      </c>
      <c r="E90" s="2" t="str">
        <f aca="false">Data!J56</f>
        <v>Smart Logistics Service (Thailand ) Co.,Ltd. </v>
      </c>
      <c r="F90" s="2" t="str">
        <f aca="false">Data!H56</f>
        <v>40Hx1 </v>
      </c>
      <c r="G90" s="3" t="n">
        <f aca="false">SUM(Data!Q56:Y56)</f>
        <v>1</v>
      </c>
      <c r="H90" s="3" t="n">
        <f aca="false">Data!Z56</f>
        <v>0</v>
      </c>
      <c r="I90" s="3" t="n">
        <f aca="false">G90-H90</f>
        <v>1</v>
      </c>
      <c r="J90" s="3" t="n">
        <f aca="false">Data!AD56</f>
        <v>0</v>
      </c>
      <c r="K90" s="3" t="n">
        <f aca="false">Data!AE56</f>
        <v>0</v>
      </c>
      <c r="L90" s="3" t="n">
        <f aca="false">Data!AF56</f>
        <v>1</v>
      </c>
      <c r="M90" s="3" t="n">
        <f aca="false">Data!AG56</f>
        <v>0</v>
      </c>
      <c r="N90" s="3" t="n">
        <f aca="false">Data!AH56</f>
        <v>0</v>
      </c>
      <c r="O90" s="3" t="n">
        <f aca="false">Data!AI56</f>
        <v>0</v>
      </c>
      <c r="P90" s="3" t="n">
        <f aca="false">Data!AJ56</f>
        <v>0</v>
      </c>
      <c r="Q90" s="3" t="n">
        <f aca="false">Data!AK56</f>
        <v>0</v>
      </c>
      <c r="R90" s="3" t="n">
        <f aca="false">Data!AL56</f>
        <v>0</v>
      </c>
    </row>
    <row r="91" customFormat="false" ht="15" hidden="false" customHeight="false" outlineLevel="0" collapsed="false">
      <c r="A91" s="2" t="str">
        <f aca="false">Data!A38</f>
        <v>HASLS22260900421</v>
      </c>
      <c r="B91" s="2" t="str">
        <f aca="false">Data!B38</f>
        <v>KMGY</v>
      </c>
      <c r="C91" s="2" t="str">
        <f aca="false">Data!C38</f>
        <v>2610N</v>
      </c>
      <c r="D91" s="2" t="str">
        <f aca="false">Data!I38</f>
        <v>BKK25</v>
      </c>
      <c r="E91" s="2" t="str">
        <f aca="false">Data!J38</f>
        <v>Smart Logistics Service (Thailand ) Co.,Ltd. </v>
      </c>
      <c r="F91" s="2" t="str">
        <f aca="false">Data!H38</f>
        <v>20'x1 </v>
      </c>
      <c r="G91" s="3" t="n">
        <f aca="false">SUM(Data!Q38:Y38)</f>
        <v>1</v>
      </c>
      <c r="H91" s="3" t="n">
        <f aca="false">Data!Z38</f>
        <v>0</v>
      </c>
      <c r="I91" s="3" t="n">
        <f aca="false">G91-H91</f>
        <v>1</v>
      </c>
      <c r="J91" s="3" t="n">
        <f aca="false">Data!AD38</f>
        <v>1</v>
      </c>
      <c r="K91" s="3" t="n">
        <f aca="false">Data!AE38</f>
        <v>0</v>
      </c>
      <c r="L91" s="3" t="n">
        <f aca="false">Data!AF38</f>
        <v>0</v>
      </c>
      <c r="M91" s="3" t="n">
        <f aca="false">Data!AG38</f>
        <v>0</v>
      </c>
      <c r="N91" s="3" t="n">
        <f aca="false">Data!AH38</f>
        <v>0</v>
      </c>
      <c r="O91" s="3" t="n">
        <f aca="false">Data!AI38</f>
        <v>0</v>
      </c>
      <c r="P91" s="3" t="n">
        <f aca="false">Data!AJ38</f>
        <v>0</v>
      </c>
      <c r="Q91" s="3" t="n">
        <f aca="false">Data!AK38</f>
        <v>0</v>
      </c>
      <c r="R91" s="3" t="n">
        <f aca="false">Data!AL38</f>
        <v>0</v>
      </c>
    </row>
    <row r="92" customFormat="false" ht="15" hidden="false" customHeight="false" outlineLevel="0" collapsed="false">
      <c r="A92" s="2" t="str">
        <f aca="false">Data!A45</f>
        <v>HASLS22260900541</v>
      </c>
      <c r="B92" s="2" t="str">
        <f aca="false">Data!B45</f>
        <v>PGPO</v>
      </c>
      <c r="C92" s="2" t="str">
        <f aca="false">Data!C45</f>
        <v>2612N</v>
      </c>
      <c r="D92" s="2" t="str">
        <f aca="false">Data!I45</f>
        <v>BKK25</v>
      </c>
      <c r="E92" s="2" t="str">
        <f aca="false">Data!J45</f>
        <v>Smart Logistics Service (Thailand ) Co.,Ltd. </v>
      </c>
      <c r="F92" s="2" t="str">
        <f aca="false">Data!H45</f>
        <v>20'x2 </v>
      </c>
      <c r="G92" s="3" t="n">
        <f aca="false">SUM(Data!Q45:Y45)</f>
        <v>2</v>
      </c>
      <c r="H92" s="3" t="n">
        <f aca="false">Data!Z45</f>
        <v>0</v>
      </c>
      <c r="I92" s="3" t="n">
        <f aca="false">G92-H92</f>
        <v>2</v>
      </c>
      <c r="J92" s="3" t="n">
        <f aca="false">Data!AD45</f>
        <v>2</v>
      </c>
      <c r="K92" s="3" t="n">
        <f aca="false">Data!AE45</f>
        <v>0</v>
      </c>
      <c r="L92" s="3" t="n">
        <f aca="false">Data!AF45</f>
        <v>0</v>
      </c>
      <c r="M92" s="3" t="n">
        <f aca="false">Data!AG45</f>
        <v>0</v>
      </c>
      <c r="N92" s="3" t="n">
        <f aca="false">Data!AH45</f>
        <v>0</v>
      </c>
      <c r="O92" s="3" t="n">
        <f aca="false">Data!AI45</f>
        <v>0</v>
      </c>
      <c r="P92" s="3" t="n">
        <f aca="false">Data!AJ45</f>
        <v>0</v>
      </c>
      <c r="Q92" s="3" t="n">
        <f aca="false">Data!AK45</f>
        <v>0</v>
      </c>
      <c r="R92" s="3" t="n">
        <f aca="false">Data!AL45</f>
        <v>0</v>
      </c>
    </row>
    <row r="93" customFormat="false" ht="15" hidden="false" customHeight="false" outlineLevel="0" collapsed="false">
      <c r="A93" s="10"/>
      <c r="B93" s="10"/>
      <c r="C93" s="10"/>
      <c r="D93" s="10"/>
      <c r="E93" s="10" t="s">
        <v>481</v>
      </c>
      <c r="F93" s="11" t="str">
        <f aca="false">COUNTA(A5:A92)&amp;" bookings"</f>
        <v>88 bookings</v>
      </c>
      <c r="G93" s="11" t="n">
        <f aca="false">SUM(G5:G92)</f>
        <v>226</v>
      </c>
      <c r="H93" s="11" t="n">
        <f aca="false">SUM(H5:H92)</f>
        <v>29</v>
      </c>
      <c r="I93" s="11" t="n">
        <f aca="false">SUM(I5:I92)</f>
        <v>197</v>
      </c>
      <c r="J93" s="11" t="n">
        <f aca="false">SUM(J5:J92)</f>
        <v>88</v>
      </c>
      <c r="K93" s="11" t="n">
        <f aca="false">SUM(K5:K92)</f>
        <v>0</v>
      </c>
      <c r="L93" s="11" t="n">
        <f aca="false">SUM(L5:L92)</f>
        <v>102</v>
      </c>
      <c r="M93" s="11" t="n">
        <f aca="false">SUM(M5:M92)</f>
        <v>0</v>
      </c>
      <c r="N93" s="11" t="n">
        <f aca="false">SUM(N5:N92)</f>
        <v>7</v>
      </c>
      <c r="O93" s="11" t="n">
        <f aca="false">SUM(O5:O92)</f>
        <v>0</v>
      </c>
      <c r="P93" s="11" t="n">
        <f aca="false">SUM(P5:P92)</f>
        <v>0</v>
      </c>
      <c r="Q93" s="11" t="n">
        <f aca="false">SUM(Q5:Q92)</f>
        <v>0</v>
      </c>
      <c r="R93" s="11" t="n">
        <f aca="false">SUM(R5:R92)</f>
        <v>0</v>
      </c>
    </row>
  </sheetData>
  <autoFilter ref="A4:R92"/>
  <mergeCells count="2">
    <mergeCell ref="A1:R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32"/>
    <col collapsed="false" customWidth="true" hidden="false" outlineLevel="0" max="4" min="4" style="0" width="14"/>
    <col collapsed="false" customWidth="true" hidden="false" outlineLevel="0" max="13" min="5" style="0" width="7"/>
    <col collapsed="false" customWidth="true" hidden="false" outlineLevel="0" max="14" min="14" style="0" width="14"/>
  </cols>
  <sheetData>
    <row r="1" customFormat="false" ht="15" hidden="false" customHeight="false" outlineLevel="0" collapsed="false">
      <c r="A1" s="8" t="s">
        <v>482</v>
      </c>
      <c r="B1" s="8"/>
      <c r="C1" s="8"/>
      <c r="D1" s="8"/>
      <c r="E1" s="8"/>
      <c r="F1" s="8"/>
      <c r="G1" s="8"/>
      <c r="H1" s="8"/>
      <c r="I1" s="8"/>
      <c r="J1" s="8"/>
      <c r="K1" s="8"/>
      <c r="L1" s="8"/>
      <c r="M1" s="8"/>
      <c r="N1" s="8"/>
    </row>
    <row r="2" customFormat="false" ht="22.35" hidden="false" customHeight="true" outlineLevel="0" collapsed="false">
      <c r="A2" s="9" t="s">
        <v>483</v>
      </c>
      <c r="B2" s="9"/>
      <c r="C2" s="9"/>
      <c r="D2" s="9"/>
      <c r="E2" s="9"/>
      <c r="F2" s="9"/>
      <c r="G2" s="9"/>
      <c r="H2" s="9"/>
      <c r="I2" s="9"/>
      <c r="J2" s="9"/>
      <c r="K2" s="9"/>
      <c r="L2" s="9"/>
      <c r="M2" s="9"/>
      <c r="N2" s="9"/>
    </row>
    <row r="4" customFormat="false" ht="15" hidden="false" customHeight="false" outlineLevel="0" collapsed="false">
      <c r="A4" s="1" t="s">
        <v>27</v>
      </c>
      <c r="B4" s="1" t="s">
        <v>8</v>
      </c>
      <c r="C4" s="1" t="s">
        <v>9</v>
      </c>
      <c r="D4" s="1" t="s">
        <v>484</v>
      </c>
      <c r="E4" s="1" t="s">
        <v>16</v>
      </c>
      <c r="F4" s="1" t="s">
        <v>17</v>
      </c>
      <c r="G4" s="1" t="s">
        <v>18</v>
      </c>
      <c r="H4" s="1" t="s">
        <v>19</v>
      </c>
      <c r="I4" s="1" t="s">
        <v>20</v>
      </c>
      <c r="J4" s="1" t="s">
        <v>21</v>
      </c>
      <c r="K4" s="1" t="s">
        <v>22</v>
      </c>
      <c r="L4" s="1" t="s">
        <v>23</v>
      </c>
      <c r="M4" s="1" t="s">
        <v>24</v>
      </c>
      <c r="N4" s="1" t="s">
        <v>485</v>
      </c>
    </row>
    <row r="5" customFormat="false" ht="15" hidden="false" customHeight="false" outlineLevel="0" collapsed="false">
      <c r="A5" s="3" t="s">
        <v>486</v>
      </c>
      <c r="B5" s="3" t="s">
        <v>487</v>
      </c>
      <c r="C5" s="2" t="s">
        <v>488</v>
      </c>
      <c r="D5" s="3" t="n">
        <f aca="false">COUNTIF(Data!I:I,"BKK01")+COUNTIF(Data!I:I,"BKK04")</f>
        <v>6</v>
      </c>
      <c r="E5" s="3" t="n">
        <f aca="false">SUMIF(Data!I:I,"BKK01",Data!AD:AD)+SUMIF(Data!I:I,"BKK04",Data!AD:AD)</f>
        <v>3</v>
      </c>
      <c r="F5" s="3" t="n">
        <f aca="false">SUMIF(Data!I:I,"BKK01",Data!AE:AE)+SUMIF(Data!I:I,"BKK04",Data!AE:AE)</f>
        <v>0</v>
      </c>
      <c r="G5" s="3" t="n">
        <f aca="false">SUMIF(Data!I:I,"BKK01",Data!AF:AF)+SUMIF(Data!I:I,"BKK04",Data!AF:AF)</f>
        <v>6</v>
      </c>
      <c r="H5" s="3" t="n">
        <f aca="false">SUMIF(Data!I:I,"BKK01",Data!AG:AG)+SUMIF(Data!I:I,"BKK04",Data!AG:AG)</f>
        <v>0</v>
      </c>
      <c r="I5" s="3" t="n">
        <f aca="false">SUMIF(Data!I:I,"BKK01",Data!AH:AH)+SUMIF(Data!I:I,"BKK04",Data!AH:AH)</f>
        <v>0</v>
      </c>
      <c r="J5" s="3" t="n">
        <f aca="false">SUMIF(Data!I:I,"BKK01",Data!AI:AI)+SUMIF(Data!I:I,"BKK04",Data!AI:AI)</f>
        <v>0</v>
      </c>
      <c r="K5" s="3" t="n">
        <f aca="false">SUMIF(Data!I:I,"BKK01",Data!AJ:AJ)+SUMIF(Data!I:I,"BKK04",Data!AJ:AJ)</f>
        <v>0</v>
      </c>
      <c r="L5" s="3" t="n">
        <f aca="false">SUMIF(Data!I:I,"BKK01",Data!AK:AK)+SUMIF(Data!I:I,"BKK04",Data!AK:AK)</f>
        <v>0</v>
      </c>
      <c r="M5" s="3" t="n">
        <f aca="false">SUMIF(Data!I:I,"BKK01",Data!AL:AL)+SUMIF(Data!I:I,"BKK04",Data!AL:AL)</f>
        <v>0</v>
      </c>
      <c r="N5" s="3" t="n">
        <f aca="false">SUM(E5:M5)</f>
        <v>9</v>
      </c>
    </row>
    <row r="6" customFormat="false" ht="15" hidden="false" customHeight="false" outlineLevel="0" collapsed="false">
      <c r="A6" s="3" t="s">
        <v>486</v>
      </c>
      <c r="B6" s="3" t="s">
        <v>210</v>
      </c>
      <c r="C6" s="2" t="s">
        <v>211</v>
      </c>
      <c r="D6" s="3" t="n">
        <f aca="false">COUNTIF(Data!I:I,"BKK25")</f>
        <v>9</v>
      </c>
      <c r="E6" s="3" t="n">
        <f aca="false">SUMIF(Data!I:I,"BKK25",Data!AD:AD)</f>
        <v>6</v>
      </c>
      <c r="F6" s="3" t="n">
        <f aca="false">SUMIF(Data!I:I,"BKK25",Data!AE:AE)</f>
        <v>0</v>
      </c>
      <c r="G6" s="3" t="n">
        <f aca="false">SUMIF(Data!I:I,"BKK25",Data!AF:AF)</f>
        <v>7</v>
      </c>
      <c r="H6" s="3" t="n">
        <f aca="false">SUMIF(Data!I:I,"BKK25",Data!AG:AG)</f>
        <v>0</v>
      </c>
      <c r="I6" s="3" t="n">
        <f aca="false">SUMIF(Data!I:I,"BKK25",Data!AH:AH)</f>
        <v>0</v>
      </c>
      <c r="J6" s="3" t="n">
        <f aca="false">SUMIF(Data!I:I,"BKK25",Data!AI:AI)</f>
        <v>0</v>
      </c>
      <c r="K6" s="3" t="n">
        <f aca="false">SUMIF(Data!I:I,"BKK25",Data!AJ:AJ)</f>
        <v>0</v>
      </c>
      <c r="L6" s="3" t="n">
        <f aca="false">SUMIF(Data!I:I,"BKK25",Data!AK:AK)</f>
        <v>0</v>
      </c>
      <c r="M6" s="3" t="n">
        <f aca="false">SUMIF(Data!I:I,"BKK25",Data!AL:AL)</f>
        <v>0</v>
      </c>
      <c r="N6" s="3" t="n">
        <f aca="false">SUM(E6:M6)</f>
        <v>13</v>
      </c>
    </row>
    <row r="7" customFormat="false" ht="15" hidden="false" customHeight="false" outlineLevel="0" collapsed="false">
      <c r="A7" s="3" t="s">
        <v>486</v>
      </c>
      <c r="B7" s="3" t="s">
        <v>44</v>
      </c>
      <c r="C7" s="2" t="s">
        <v>45</v>
      </c>
      <c r="D7" s="3" t="n">
        <f aca="false">COUNTIF(Data!I:I,"BKK27")</f>
        <v>21</v>
      </c>
      <c r="E7" s="3" t="n">
        <f aca="false">SUMIF(Data!I:I,"BKK27",Data!AD:AD)</f>
        <v>27</v>
      </c>
      <c r="F7" s="3" t="n">
        <f aca="false">SUMIF(Data!I:I,"BKK27",Data!AE:AE)</f>
        <v>0</v>
      </c>
      <c r="G7" s="3" t="n">
        <f aca="false">SUMIF(Data!I:I,"BKK27",Data!AF:AF)</f>
        <v>21</v>
      </c>
      <c r="H7" s="3" t="n">
        <f aca="false">SUMIF(Data!I:I,"BKK27",Data!AG:AG)</f>
        <v>0</v>
      </c>
      <c r="I7" s="3" t="n">
        <f aca="false">SUMIF(Data!I:I,"BKK27",Data!AH:AH)</f>
        <v>0</v>
      </c>
      <c r="J7" s="3" t="n">
        <f aca="false">SUMIF(Data!I:I,"BKK27",Data!AI:AI)</f>
        <v>0</v>
      </c>
      <c r="K7" s="3" t="n">
        <f aca="false">SUMIF(Data!I:I,"BKK27",Data!AJ:AJ)</f>
        <v>0</v>
      </c>
      <c r="L7" s="3" t="n">
        <f aca="false">SUMIF(Data!I:I,"BKK27",Data!AK:AK)</f>
        <v>0</v>
      </c>
      <c r="M7" s="3" t="n">
        <f aca="false">SUMIF(Data!I:I,"BKK27",Data!AL:AL)</f>
        <v>0</v>
      </c>
      <c r="N7" s="3" t="n">
        <f aca="false">SUM(E7:M7)</f>
        <v>48</v>
      </c>
    </row>
    <row r="8" customFormat="false" ht="15" hidden="false" customHeight="false" outlineLevel="0" collapsed="false">
      <c r="A8" s="3" t="s">
        <v>489</v>
      </c>
      <c r="B8" s="3" t="s">
        <v>130</v>
      </c>
      <c r="C8" s="2" t="s">
        <v>131</v>
      </c>
      <c r="D8" s="3" t="n">
        <f aca="false">COUNTIF(Data!I:I,"LCH27")</f>
        <v>19</v>
      </c>
      <c r="E8" s="3" t="n">
        <f aca="false">SUMIF(Data!I:I,"LCH27",Data!AD:AD)</f>
        <v>6</v>
      </c>
      <c r="F8" s="3" t="n">
        <f aca="false">SUMIF(Data!I:I,"LCH27",Data!AE:AE)</f>
        <v>0</v>
      </c>
      <c r="G8" s="3" t="n">
        <f aca="false">SUMIF(Data!I:I,"LCH27",Data!AF:AF)</f>
        <v>17</v>
      </c>
      <c r="H8" s="3" t="n">
        <f aca="false">SUMIF(Data!I:I,"LCH27",Data!AG:AG)</f>
        <v>0</v>
      </c>
      <c r="I8" s="3" t="n">
        <f aca="false">SUMIF(Data!I:I,"LCH27",Data!AH:AH)</f>
        <v>7</v>
      </c>
      <c r="J8" s="3" t="n">
        <f aca="false">SUMIF(Data!I:I,"LCH27",Data!AI:AI)</f>
        <v>0</v>
      </c>
      <c r="K8" s="3" t="n">
        <f aca="false">SUMIF(Data!I:I,"LCH27",Data!AJ:AJ)</f>
        <v>0</v>
      </c>
      <c r="L8" s="3" t="n">
        <f aca="false">SUMIF(Data!I:I,"LCH27",Data!AK:AK)</f>
        <v>0</v>
      </c>
      <c r="M8" s="3" t="n">
        <f aca="false">SUMIF(Data!I:I,"LCH27",Data!AL:AL)</f>
        <v>0</v>
      </c>
      <c r="N8" s="3" t="n">
        <f aca="false">SUM(E8:M8)</f>
        <v>30</v>
      </c>
    </row>
    <row r="9" customFormat="false" ht="15" hidden="false" customHeight="false" outlineLevel="0" collapsed="false">
      <c r="A9" s="3" t="s">
        <v>489</v>
      </c>
      <c r="B9" s="3" t="s">
        <v>351</v>
      </c>
      <c r="C9" s="2" t="s">
        <v>352</v>
      </c>
      <c r="D9" s="3" t="n">
        <f aca="false">COUNTIF(Data!I:I,"LCH28")</f>
        <v>1</v>
      </c>
      <c r="E9" s="3" t="n">
        <f aca="false">SUMIF(Data!I:I,"LCH28",Data!AD:AD)</f>
        <v>0</v>
      </c>
      <c r="F9" s="3" t="n">
        <f aca="false">SUMIF(Data!I:I,"LCH28",Data!AE:AE)</f>
        <v>0</v>
      </c>
      <c r="G9" s="3" t="n">
        <f aca="false">SUMIF(Data!I:I,"LCH28",Data!AF:AF)</f>
        <v>1</v>
      </c>
      <c r="H9" s="3" t="n">
        <f aca="false">SUMIF(Data!I:I,"LCH28",Data!AG:AG)</f>
        <v>0</v>
      </c>
      <c r="I9" s="3" t="n">
        <f aca="false">SUMIF(Data!I:I,"LCH28",Data!AH:AH)</f>
        <v>0</v>
      </c>
      <c r="J9" s="3" t="n">
        <f aca="false">SUMIF(Data!I:I,"LCH28",Data!AI:AI)</f>
        <v>0</v>
      </c>
      <c r="K9" s="3" t="n">
        <f aca="false">SUMIF(Data!I:I,"LCH28",Data!AJ:AJ)</f>
        <v>0</v>
      </c>
      <c r="L9" s="3" t="n">
        <f aca="false">SUMIF(Data!I:I,"LCH28",Data!AK:AK)</f>
        <v>0</v>
      </c>
      <c r="M9" s="3" t="n">
        <f aca="false">SUMIF(Data!I:I,"LCH28",Data!AL:AL)</f>
        <v>0</v>
      </c>
      <c r="N9" s="3" t="n">
        <f aca="false">SUM(E9:M9)</f>
        <v>1</v>
      </c>
    </row>
    <row r="10" customFormat="false" ht="15" hidden="false" customHeight="false" outlineLevel="0" collapsed="false">
      <c r="A10" s="3" t="s">
        <v>489</v>
      </c>
      <c r="B10" s="3" t="s">
        <v>65</v>
      </c>
      <c r="C10" s="2" t="s">
        <v>66</v>
      </c>
      <c r="D10" s="3" t="n">
        <f aca="false">COUNTIF(Data!I:I,"LCHY5")</f>
        <v>31</v>
      </c>
      <c r="E10" s="3" t="n">
        <f aca="false">SUMIF(Data!I:I,"LCHY5",Data!AD:AD)</f>
        <v>46</v>
      </c>
      <c r="F10" s="3" t="n">
        <f aca="false">SUMIF(Data!I:I,"LCHY5",Data!AE:AE)</f>
        <v>0</v>
      </c>
      <c r="G10" s="3" t="n">
        <f aca="false">SUMIF(Data!I:I,"LCHY5",Data!AF:AF)</f>
        <v>49</v>
      </c>
      <c r="H10" s="3" t="n">
        <f aca="false">SUMIF(Data!I:I,"LCHY5",Data!AG:AG)</f>
        <v>0</v>
      </c>
      <c r="I10" s="3" t="n">
        <f aca="false">SUMIF(Data!I:I,"LCHY5",Data!AH:AH)</f>
        <v>0</v>
      </c>
      <c r="J10" s="3" t="n">
        <f aca="false">SUMIF(Data!I:I,"LCHY5",Data!AI:AI)</f>
        <v>0</v>
      </c>
      <c r="K10" s="3" t="n">
        <f aca="false">SUMIF(Data!I:I,"LCHY5",Data!AJ:AJ)</f>
        <v>0</v>
      </c>
      <c r="L10" s="3" t="n">
        <f aca="false">SUMIF(Data!I:I,"LCHY5",Data!AK:AK)</f>
        <v>0</v>
      </c>
      <c r="M10" s="3" t="n">
        <f aca="false">SUMIF(Data!I:I,"LCHY5",Data!AL:AL)</f>
        <v>0</v>
      </c>
      <c r="N10" s="3" t="n">
        <f aca="false">SUM(E10:M10)</f>
        <v>95</v>
      </c>
    </row>
    <row r="11" customFormat="false" ht="15" hidden="false" customHeight="false" outlineLevel="0" collapsed="false">
      <c r="A11" s="11"/>
      <c r="B11" s="11"/>
      <c r="C11" s="10" t="s">
        <v>481</v>
      </c>
      <c r="D11" s="11" t="n">
        <f aca="false">SUM(D5:D10)</f>
        <v>87</v>
      </c>
      <c r="E11" s="11" t="n">
        <f aca="false">SUM(E5:E10)</f>
        <v>88</v>
      </c>
      <c r="F11" s="11" t="n">
        <f aca="false">SUM(F5:F10)</f>
        <v>0</v>
      </c>
      <c r="G11" s="11" t="n">
        <f aca="false">SUM(G5:G10)</f>
        <v>101</v>
      </c>
      <c r="H11" s="11" t="n">
        <f aca="false">SUM(H5:H10)</f>
        <v>0</v>
      </c>
      <c r="I11" s="11" t="n">
        <f aca="false">SUM(I5:I10)</f>
        <v>7</v>
      </c>
      <c r="J11" s="11" t="n">
        <f aca="false">SUM(J5:J10)</f>
        <v>0</v>
      </c>
      <c r="K11" s="11" t="n">
        <f aca="false">SUM(K5:K10)</f>
        <v>0</v>
      </c>
      <c r="L11" s="11" t="n">
        <f aca="false">SUM(L5:L10)</f>
        <v>0</v>
      </c>
      <c r="M11" s="11" t="n">
        <f aca="false">SUM(M5:M10)</f>
        <v>0</v>
      </c>
      <c r="N11" s="11" t="n">
        <f aca="false">SUM(N5:N10)</f>
        <v>196</v>
      </c>
    </row>
    <row r="14" customFormat="false" ht="15" hidden="false" customHeight="false" outlineLevel="0" collapsed="false">
      <c r="C14" s="1" t="s">
        <v>27</v>
      </c>
      <c r="D14" s="1" t="s">
        <v>484</v>
      </c>
      <c r="E14" s="1" t="s">
        <v>16</v>
      </c>
      <c r="F14" s="1" t="s">
        <v>17</v>
      </c>
      <c r="G14" s="1" t="s">
        <v>18</v>
      </c>
      <c r="H14" s="1" t="s">
        <v>19</v>
      </c>
      <c r="I14" s="1" t="s">
        <v>20</v>
      </c>
      <c r="J14" s="1" t="s">
        <v>21</v>
      </c>
      <c r="K14" s="1" t="s">
        <v>22</v>
      </c>
      <c r="L14" s="1" t="s">
        <v>23</v>
      </c>
      <c r="M14" s="1" t="s">
        <v>24</v>
      </c>
      <c r="N14" s="1" t="s">
        <v>485</v>
      </c>
    </row>
    <row r="15" customFormat="false" ht="15" hidden="false" customHeight="false" outlineLevel="0" collapsed="false">
      <c r="C15" s="12" t="s">
        <v>486</v>
      </c>
      <c r="D15" s="13" t="n">
        <f aca="false">COUNTIF(Data!AC:AC,"BKK")</f>
        <v>36</v>
      </c>
      <c r="E15" s="13" t="n">
        <f aca="false">SUMIF(Data!AC:AC,"BKK",Data!AD:AD)</f>
        <v>36</v>
      </c>
      <c r="F15" s="13" t="n">
        <f aca="false">SUMIF(Data!AC:AC,"BKK",Data!AE:AE)</f>
        <v>0</v>
      </c>
      <c r="G15" s="13" t="n">
        <f aca="false">SUMIF(Data!AC:AC,"BKK",Data!AF:AF)</f>
        <v>34</v>
      </c>
      <c r="H15" s="13" t="n">
        <f aca="false">SUMIF(Data!AC:AC,"BKK",Data!AG:AG)</f>
        <v>0</v>
      </c>
      <c r="I15" s="13" t="n">
        <f aca="false">SUMIF(Data!AC:AC,"BKK",Data!AH:AH)</f>
        <v>0</v>
      </c>
      <c r="J15" s="13" t="n">
        <f aca="false">SUMIF(Data!AC:AC,"BKK",Data!AI:AI)</f>
        <v>0</v>
      </c>
      <c r="K15" s="13" t="n">
        <f aca="false">SUMIF(Data!AC:AC,"BKK",Data!AJ:AJ)</f>
        <v>0</v>
      </c>
      <c r="L15" s="13" t="n">
        <f aca="false">SUMIF(Data!AC:AC,"BKK",Data!AK:AK)</f>
        <v>0</v>
      </c>
      <c r="M15" s="13" t="n">
        <f aca="false">SUMIF(Data!AC:AC,"BKK",Data!AL:AL)</f>
        <v>0</v>
      </c>
      <c r="N15" s="13" t="n">
        <f aca="false">SUM(E15:M15)</f>
        <v>70</v>
      </c>
    </row>
    <row r="16" customFormat="false" ht="15" hidden="false" customHeight="false" outlineLevel="0" collapsed="false">
      <c r="C16" s="12" t="s">
        <v>489</v>
      </c>
      <c r="D16" s="13" t="n">
        <f aca="false">COUNTIF(Data!AC:AC,"LCH")</f>
        <v>51</v>
      </c>
      <c r="E16" s="13" t="n">
        <f aca="false">SUMIF(Data!AC:AC,"LCH",Data!AD:AD)</f>
        <v>52</v>
      </c>
      <c r="F16" s="13" t="n">
        <f aca="false">SUMIF(Data!AC:AC,"LCH",Data!AE:AE)</f>
        <v>0</v>
      </c>
      <c r="G16" s="13" t="n">
        <f aca="false">SUMIF(Data!AC:AC,"LCH",Data!AF:AF)</f>
        <v>67</v>
      </c>
      <c r="H16" s="13" t="n">
        <f aca="false">SUMIF(Data!AC:AC,"LCH",Data!AG:AG)</f>
        <v>0</v>
      </c>
      <c r="I16" s="13" t="n">
        <f aca="false">SUMIF(Data!AC:AC,"LCH",Data!AH:AH)</f>
        <v>7</v>
      </c>
      <c r="J16" s="13" t="n">
        <f aca="false">SUMIF(Data!AC:AC,"LCH",Data!AI:AI)</f>
        <v>0</v>
      </c>
      <c r="K16" s="13" t="n">
        <f aca="false">SUMIF(Data!AC:AC,"LCH",Data!AJ:AJ)</f>
        <v>0</v>
      </c>
      <c r="L16" s="13" t="n">
        <f aca="false">SUMIF(Data!AC:AC,"LCH",Data!AK:AK)</f>
        <v>0</v>
      </c>
      <c r="M16" s="13" t="n">
        <f aca="false">SUMIF(Data!AC:AC,"LCH",Data!AL:AL)</f>
        <v>0</v>
      </c>
      <c r="N16" s="13" t="n">
        <f aca="false">SUM(E16:M16)</f>
        <v>126</v>
      </c>
    </row>
    <row r="17" customFormat="false" ht="15" hidden="false" customHeight="false" outlineLevel="0" collapsed="false">
      <c r="C17" s="10" t="s">
        <v>490</v>
      </c>
      <c r="D17" s="11" t="n">
        <f aca="false">SUM(D15:D16)</f>
        <v>87</v>
      </c>
      <c r="E17" s="11" t="n">
        <f aca="false">SUM(E15:E16)</f>
        <v>88</v>
      </c>
      <c r="F17" s="11" t="n">
        <f aca="false">SUM(F15:F16)</f>
        <v>0</v>
      </c>
      <c r="G17" s="11" t="n">
        <f aca="false">SUM(G15:G16)</f>
        <v>101</v>
      </c>
      <c r="H17" s="11" t="n">
        <f aca="false">SUM(H15:H16)</f>
        <v>0</v>
      </c>
      <c r="I17" s="11" t="n">
        <f aca="false">SUM(I15:I16)</f>
        <v>7</v>
      </c>
      <c r="J17" s="11" t="n">
        <f aca="false">SUM(J15:J16)</f>
        <v>0</v>
      </c>
      <c r="K17" s="11" t="n">
        <f aca="false">SUM(K15:K16)</f>
        <v>0</v>
      </c>
      <c r="L17" s="11" t="n">
        <f aca="false">SUM(L15:L16)</f>
        <v>0</v>
      </c>
      <c r="M17" s="11" t="n">
        <f aca="false">SUM(M15:M16)</f>
        <v>0</v>
      </c>
      <c r="N17" s="11" t="n">
        <f aca="false">SUM(N15:N16)</f>
        <v>196</v>
      </c>
    </row>
  </sheetData>
  <autoFilter ref="A4:N10"/>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2026-09-08T11:36:55Z</dcterms:created>
  <dc:creator>openpyxl</dc:creator>
  <dc:description/>
  <dc:language>en-US</dc:language>
  <cp:lastModifiedBy/>
  <dcterms:modified xsi:type="dcterms:W3CDTF">2026-09-08T11:36:55Z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