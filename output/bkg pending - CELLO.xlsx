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'Pending'!$A$2:$AI$5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6" customWidth="1" min="11" max="11"/>
    <col width="24" customWidth="1" min="12" max="12"/>
    <col width="28" customWidth="1" min="13" max="13"/>
    <col width="34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22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</cols>
  <sheetData>
    <row r="1" ht="20" customHeight="1">
      <c r="A1" s="1" t="inlineStr">
        <is>
          <t>BKG PENDING — CELLO   (LCH28)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DOC CUST</t>
        </is>
      </c>
      <c r="K2" s="3" t="inlineStr">
        <is>
          <t>ORG CUST</t>
        </is>
      </c>
      <c r="L2" s="3" t="inlineStr">
        <is>
          <t>COMMODITY</t>
        </is>
      </c>
      <c r="M2" s="3" t="inlineStr">
        <is>
          <t>TRAFFIC ORDER</t>
        </is>
      </c>
      <c r="N2" s="3" t="inlineStr">
        <is>
          <t>COMMON REMARK</t>
        </is>
      </c>
      <c r="O2" s="3" t="inlineStr">
        <is>
          <t>GP22</t>
        </is>
      </c>
      <c r="P2" s="3" t="inlineStr">
        <is>
          <t>GP42</t>
        </is>
      </c>
      <c r="Q2" s="3" t="inlineStr">
        <is>
          <t>GP45</t>
        </is>
      </c>
      <c r="R2" s="3" t="inlineStr">
        <is>
          <t>RE22</t>
        </is>
      </c>
      <c r="S2" s="3" t="inlineStr">
        <is>
          <t>RE45</t>
        </is>
      </c>
      <c r="T2" s="3" t="inlineStr">
        <is>
          <t>UT22</t>
        </is>
      </c>
      <c r="U2" s="3" t="inlineStr">
        <is>
          <t>UT42</t>
        </is>
      </c>
      <c r="V2" s="3" t="inlineStr">
        <is>
          <t>PC22</t>
        </is>
      </c>
      <c r="W2" s="3" t="inlineStr">
        <is>
          <t>PC42</t>
        </is>
      </c>
      <c r="X2" s="3" t="inlineStr">
        <is>
          <t>Pickup</t>
        </is>
      </c>
      <c r="Y2" s="3" t="inlineStr">
        <is>
          <t>Return</t>
        </is>
      </c>
      <c r="Z2" s="3" t="inlineStr">
        <is>
          <t>Balance (Booked - Pickup)</t>
        </is>
      </c>
      <c r="AA2" s="3" t="inlineStr">
        <is>
          <t>GP22 Remaining</t>
        </is>
      </c>
      <c r="AB2" s="3" t="inlineStr">
        <is>
          <t>GP42 Remaining</t>
        </is>
      </c>
      <c r="AC2" s="3" t="inlineStr">
        <is>
          <t>GP45 Remaining</t>
        </is>
      </c>
      <c r="AD2" s="3" t="inlineStr">
        <is>
          <t>RE22 Remaining</t>
        </is>
      </c>
      <c r="AE2" s="3" t="inlineStr">
        <is>
          <t>RE45 Remaining</t>
        </is>
      </c>
      <c r="AF2" s="3" t="inlineStr">
        <is>
          <t>UT22 Remaining</t>
        </is>
      </c>
      <c r="AG2" s="3" t="inlineStr">
        <is>
          <t>UT42 Remaining</t>
        </is>
      </c>
      <c r="AH2" s="3" t="inlineStr">
        <is>
          <t>PC22 Remaining</t>
        </is>
      </c>
      <c r="AI2" s="3" t="inlineStr">
        <is>
          <t>PC42 Remaining</t>
        </is>
      </c>
    </row>
    <row r="3">
      <c r="A3" s="4" t="inlineStr">
        <is>
          <t>HASLS22260701890</t>
        </is>
      </c>
      <c r="B3" s="4" t="inlineStr">
        <is>
          <t>SWBT</t>
        </is>
      </c>
      <c r="C3" s="4" t="inlineStr">
        <is>
          <t>2615N</t>
        </is>
      </c>
      <c r="D3" s="4" t="inlineStr">
        <is>
          <t>202609220700</t>
        </is>
      </c>
      <c r="E3" s="4" t="inlineStr"/>
      <c r="F3" s="4" t="inlineStr">
        <is>
          <t>THLCH</t>
        </is>
      </c>
      <c r="G3" s="4" t="inlineStr">
        <is>
          <t>KRPTK</t>
        </is>
      </c>
      <c r="H3" s="4" t="inlineStr">
        <is>
          <t xml:space="preserve">40Hx1 </t>
        </is>
      </c>
      <c r="I3" s="4" t="inlineStr">
        <is>
          <t>20260912</t>
        </is>
      </c>
      <c r="J3" s="4" t="inlineStr">
        <is>
          <t>SDS-ACUTECH CO., LTD.</t>
        </is>
      </c>
      <c r="K3" s="4" t="inlineStr">
        <is>
          <t>TPV TECHNOLOGY (THAILAND) CO., LTD.</t>
        </is>
      </c>
      <c r="L3" s="4" t="inlineStr">
        <is>
          <t>MONITOR SCREEN</t>
        </is>
      </c>
      <c r="M3" s="4" t="inlineStr">
        <is>
          <t>GOOD AND CLEAN CONTAINER</t>
        </is>
      </c>
      <c r="N3" s="4" t="inlineStr">
        <is>
          <t xml:space="preserve">Pickup : 2026-09-12, Return : 2026-09-13 [1ST RTN 14/09/2026 W/O RENT]
** PLEASE CHECK OPEN GATE BEFORE RETURN CONTAINER ** </t>
        </is>
      </c>
      <c r="O3" s="4" t="n">
        <v>0</v>
      </c>
      <c r="P3" s="4" t="n">
        <v>0</v>
      </c>
      <c r="Q3" s="4" t="n">
        <v>1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>
        <f>SUM(O3:W3)-X3</f>
        <v/>
      </c>
      <c r="AA3" s="4">
        <f>MAX(0,O3-MAX(0,X3))</f>
        <v/>
      </c>
      <c r="AB3" s="4">
        <f>MAX(0,P3-MAX(0,X3-SUM(O3:O3)))</f>
        <v/>
      </c>
      <c r="AC3" s="4">
        <f>MAX(0,Q3-MAX(0,X3-SUM(O3:P3)))</f>
        <v/>
      </c>
      <c r="AD3" s="4">
        <f>MAX(0,R3-MAX(0,X3-SUM(O3:Q3)))</f>
        <v/>
      </c>
      <c r="AE3" s="4">
        <f>MAX(0,S3-MAX(0,X3-SUM(O3:R3)))</f>
        <v/>
      </c>
      <c r="AF3" s="4">
        <f>MAX(0,T3-MAX(0,X3-SUM(O3:S3)))</f>
        <v/>
      </c>
      <c r="AG3" s="4">
        <f>MAX(0,U3-MAX(0,X3-SUM(O3:T3)))</f>
        <v/>
      </c>
      <c r="AH3" s="4">
        <f>MAX(0,V3-MAX(0,X3-SUM(O3:U3)))</f>
        <v/>
      </c>
      <c r="AI3" s="4">
        <f>MAX(0,W3-MAX(0,X3-SUM(O3:V3)))</f>
        <v/>
      </c>
    </row>
    <row r="4">
      <c r="A4" s="4" t="inlineStr">
        <is>
          <t>HASLS22260802485</t>
        </is>
      </c>
      <c r="B4" s="4" t="inlineStr">
        <is>
          <t>SWVG</t>
        </is>
      </c>
      <c r="C4" s="4" t="inlineStr">
        <is>
          <t>2612N</t>
        </is>
      </c>
      <c r="D4" s="4" t="inlineStr">
        <is>
          <t>202610031830</t>
        </is>
      </c>
      <c r="E4" s="4" t="inlineStr"/>
      <c r="F4" s="4" t="inlineStr">
        <is>
          <t>THLCH</t>
        </is>
      </c>
      <c r="G4" s="4" t="inlineStr">
        <is>
          <t>JPIYM</t>
        </is>
      </c>
      <c r="H4" s="4" t="inlineStr">
        <is>
          <t xml:space="preserve">20'x2 </t>
        </is>
      </c>
      <c r="I4" s="4" t="inlineStr">
        <is>
          <t>20260914</t>
        </is>
      </c>
      <c r="J4" s="4" t="inlineStr">
        <is>
          <t>WHA GC LOGISTICS COMPANY LIMITED</t>
        </is>
      </c>
      <c r="K4" s="4" t="inlineStr">
        <is>
          <t>PTT GLOBAL CHEMICAL PUBLIC COMPANY LIMITED</t>
        </is>
      </c>
      <c r="L4" s="4" t="inlineStr">
        <is>
          <t>RESIN</t>
        </is>
      </c>
      <c r="M4" s="4" t="inlineStr">
        <is>
          <t>GOOD AND CLEAN CTNR</t>
        </is>
      </c>
      <c r="N4" s="4" t="inlineStr">
        <is>
          <t xml:space="preserve">CY-RTN 14-27/09/26 </t>
        </is>
      </c>
      <c r="O4" s="4" t="n">
        <v>2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>
        <f>SUM(O4:W4)-X4</f>
        <v/>
      </c>
      <c r="AA4" s="4">
        <f>MAX(0,O4-MAX(0,X4))</f>
        <v/>
      </c>
      <c r="AB4" s="4">
        <f>MAX(0,P4-MAX(0,X4-SUM(O4:O4)))</f>
        <v/>
      </c>
      <c r="AC4" s="4">
        <f>MAX(0,Q4-MAX(0,X4-SUM(O4:P4)))</f>
        <v/>
      </c>
      <c r="AD4" s="4">
        <f>MAX(0,R4-MAX(0,X4-SUM(O4:Q4)))</f>
        <v/>
      </c>
      <c r="AE4" s="4">
        <f>MAX(0,S4-MAX(0,X4-SUM(O4:R4)))</f>
        <v/>
      </c>
      <c r="AF4" s="4">
        <f>MAX(0,T4-MAX(0,X4-SUM(O4:S4)))</f>
        <v/>
      </c>
      <c r="AG4" s="4">
        <f>MAX(0,U4-MAX(0,X4-SUM(O4:T4)))</f>
        <v/>
      </c>
      <c r="AH4" s="4">
        <f>MAX(0,V4-MAX(0,X4-SUM(O4:U4)))</f>
        <v/>
      </c>
      <c r="AI4" s="4">
        <f>MAX(0,W4-MAX(0,X4-SUM(O4:V4)))</f>
        <v/>
      </c>
    </row>
    <row r="5">
      <c r="A5" s="4" t="inlineStr">
        <is>
          <t>HASLS22260901089</t>
        </is>
      </c>
      <c r="B5" s="4" t="inlineStr">
        <is>
          <t>SWVG</t>
        </is>
      </c>
      <c r="C5" s="4" t="inlineStr">
        <is>
          <t>2612N</t>
        </is>
      </c>
      <c r="D5" s="4" t="inlineStr">
        <is>
          <t>202610031830</t>
        </is>
      </c>
      <c r="E5" s="4" t="inlineStr"/>
      <c r="F5" s="4" t="inlineStr">
        <is>
          <t>THLCH</t>
        </is>
      </c>
      <c r="G5" s="4" t="inlineStr">
        <is>
          <t>JPIYM</t>
        </is>
      </c>
      <c r="H5" s="4" t="inlineStr">
        <is>
          <t xml:space="preserve">20'x1 </t>
        </is>
      </c>
      <c r="I5" s="4" t="inlineStr">
        <is>
          <t>20260914</t>
        </is>
      </c>
      <c r="J5" s="4" t="inlineStr">
        <is>
          <t>WHA GC LOGISTICS COMPANY LIMITED</t>
        </is>
      </c>
      <c r="K5" s="4" t="inlineStr">
        <is>
          <t>PTT GLOBAL CHEMICAL PUBLIC COMPANY LIMITED</t>
        </is>
      </c>
      <c r="L5" s="4" t="inlineStr">
        <is>
          <t>RESIN</t>
        </is>
      </c>
      <c r="M5" s="4" t="inlineStr">
        <is>
          <t>GOOD AND CLEAN CTNR</t>
        </is>
      </c>
      <c r="N5" s="4" t="inlineStr">
        <is>
          <t xml:space="preserve">CY-RTN 14-27/09/26 </t>
        </is>
      </c>
      <c r="O5" s="4" t="n">
        <v>1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>
        <f>SUM(O5:W5)-X5</f>
        <v/>
      </c>
      <c r="AA5" s="4">
        <f>MAX(0,O5-MAX(0,X5))</f>
        <v/>
      </c>
      <c r="AB5" s="4">
        <f>MAX(0,P5-MAX(0,X5-SUM(O5:O5)))</f>
        <v/>
      </c>
      <c r="AC5" s="4">
        <f>MAX(0,Q5-MAX(0,X5-SUM(O5:P5)))</f>
        <v/>
      </c>
      <c r="AD5" s="4">
        <f>MAX(0,R5-MAX(0,X5-SUM(O5:Q5)))</f>
        <v/>
      </c>
      <c r="AE5" s="4">
        <f>MAX(0,S5-MAX(0,X5-SUM(O5:R5)))</f>
        <v/>
      </c>
      <c r="AF5" s="4">
        <f>MAX(0,T5-MAX(0,X5-SUM(O5:S5)))</f>
        <v/>
      </c>
      <c r="AG5" s="4">
        <f>MAX(0,U5-MAX(0,X5-SUM(O5:T5)))</f>
        <v/>
      </c>
      <c r="AH5" s="4">
        <f>MAX(0,V5-MAX(0,X5-SUM(O5:U5)))</f>
        <v/>
      </c>
      <c r="AI5" s="4">
        <f>MAX(0,W5-MAX(0,X5-SUM(O5:V5)))</f>
        <v/>
      </c>
    </row>
    <row r="6">
      <c r="A6" s="5" t="inlineStr">
        <is>
          <t>TOTAL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>
        <f>SUM(O3:O5)</f>
        <v/>
      </c>
      <c r="P6" s="5">
        <f>SUM(P3:P5)</f>
        <v/>
      </c>
      <c r="Q6" s="5">
        <f>SUM(Q3:Q5)</f>
        <v/>
      </c>
      <c r="R6" s="5">
        <f>SUM(R3:R5)</f>
        <v/>
      </c>
      <c r="S6" s="5">
        <f>SUM(S3:S5)</f>
        <v/>
      </c>
      <c r="T6" s="5">
        <f>SUM(T3:T5)</f>
        <v/>
      </c>
      <c r="U6" s="5">
        <f>SUM(U3:U5)</f>
        <v/>
      </c>
      <c r="V6" s="5">
        <f>SUM(V3:V5)</f>
        <v/>
      </c>
      <c r="W6" s="5">
        <f>SUM(W3:W5)</f>
        <v/>
      </c>
      <c r="X6" s="5">
        <f>SUM(X3:X5)</f>
        <v/>
      </c>
      <c r="Y6" s="5" t="n"/>
      <c r="Z6" s="5">
        <f>SUM(Z3:Z5)</f>
        <v/>
      </c>
      <c r="AA6" s="5">
        <f>SUM(AA3:AA5)</f>
        <v/>
      </c>
      <c r="AB6" s="5">
        <f>SUM(AB3:AB5)</f>
        <v/>
      </c>
      <c r="AC6" s="5">
        <f>SUM(AC3:AC5)</f>
        <v/>
      </c>
      <c r="AD6" s="5">
        <f>SUM(AD3:AD5)</f>
        <v/>
      </c>
      <c r="AE6" s="5">
        <f>SUM(AE3:AE5)</f>
        <v/>
      </c>
      <c r="AF6" s="5">
        <f>SUM(AF3:AF5)</f>
        <v/>
      </c>
      <c r="AG6" s="5">
        <f>SUM(AG3:AG5)</f>
        <v/>
      </c>
      <c r="AH6" s="5">
        <f>SUM(AH3:AH5)</f>
        <v/>
      </c>
      <c r="AI6" s="5">
        <f>SUM(AI3:AI5)</f>
        <v/>
      </c>
    </row>
  </sheetData>
  <autoFilter ref="A2:AI5"/>
  <mergeCells count="1">
    <mergeCell ref="A1:A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2026-09-15T11:00:48Z</dcterms:created>
  <dcterms:modified xmlns:dcterms="http://purl.org/dc/terms/" xmlns:xsi="http://www.w3.org/2001/XMLSchema-instance" xsi:type="dcterms:W3CDTF">2026-09-15T11:00:48Z</dcterms:modified>
</cp:coreProperties>
</file>