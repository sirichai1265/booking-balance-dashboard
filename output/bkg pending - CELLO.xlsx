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PENDING BKG\output\"/>
    </mc:Choice>
  </mc:AlternateContent>
  <xr:revisionPtr revIDLastSave="0" documentId="13_ncr:1_{261A9255-BAE0-4548-A40F-F33520BE023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ending" sheetId="1" r:id="rId1"/>
  </sheets>
  <definedNames>
    <definedName name="_xlnm._FilterDatabase" localSheetId="0" hidden="1">Pending!$A$2:$AG$4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" i="1" l="1"/>
  <c r="AF5" i="1"/>
  <c r="AB5" i="1"/>
  <c r="AA5" i="1"/>
  <c r="Z5" i="1"/>
  <c r="Y5" i="1"/>
  <c r="X5" i="1"/>
  <c r="V5" i="1"/>
  <c r="U5" i="1"/>
  <c r="T5" i="1"/>
  <c r="S5" i="1"/>
  <c r="R5" i="1"/>
  <c r="Q5" i="1"/>
  <c r="P5" i="1"/>
  <c r="O5" i="1"/>
  <c r="N5" i="1"/>
  <c r="M5" i="1"/>
  <c r="AG4" i="1"/>
  <c r="AF4" i="1"/>
  <c r="AE4" i="1"/>
  <c r="AD4" i="1"/>
  <c r="AC4" i="1"/>
  <c r="AC5" i="1" s="1"/>
  <c r="AB4" i="1"/>
  <c r="AA4" i="1"/>
  <c r="Z4" i="1"/>
  <c r="Y4" i="1"/>
  <c r="X4" i="1"/>
  <c r="AG3" i="1"/>
  <c r="AF3" i="1"/>
  <c r="AE3" i="1"/>
  <c r="AE5" i="1" s="1"/>
  <c r="AD3" i="1"/>
  <c r="AD5" i="1" s="1"/>
  <c r="AC3" i="1"/>
  <c r="AB3" i="1"/>
  <c r="AA3" i="1"/>
  <c r="Z3" i="1"/>
  <c r="Y3" i="1"/>
  <c r="X3" i="1"/>
</calcChain>
</file>

<file path=xl/sharedStrings.xml><?xml version="1.0" encoding="utf-8"?>
<sst xmlns="http://schemas.openxmlformats.org/spreadsheetml/2006/main" count="62" uniqueCount="44">
  <si>
    <t>BKG PENDING — CELLO   (LCH28)</t>
  </si>
  <si>
    <t>BK No</t>
  </si>
  <si>
    <t>VSL</t>
  </si>
  <si>
    <t>VOY</t>
  </si>
  <si>
    <t>ETD</t>
  </si>
  <si>
    <t>POR</t>
  </si>
  <si>
    <t>LOD</t>
  </si>
  <si>
    <t>DIS</t>
  </si>
  <si>
    <t>TPSZ</t>
  </si>
  <si>
    <t>TRAN DT</t>
  </si>
  <si>
    <t>ORG CUST</t>
  </si>
  <si>
    <t>COMMODITY</t>
  </si>
  <si>
    <t>TRAFFIC ORDER</t>
  </si>
  <si>
    <t>GP22</t>
  </si>
  <si>
    <t>GP42</t>
  </si>
  <si>
    <t>GP45</t>
  </si>
  <si>
    <t>RE22</t>
  </si>
  <si>
    <t>RE45</t>
  </si>
  <si>
    <t>UT22</t>
  </si>
  <si>
    <t>UT42</t>
  </si>
  <si>
    <t>PC22</t>
  </si>
  <si>
    <t>PC42</t>
  </si>
  <si>
    <t>Pickup</t>
  </si>
  <si>
    <t>Return</t>
  </si>
  <si>
    <t>Balance (Booked - Pickup)</t>
  </si>
  <si>
    <t>HASLS22260802485</t>
  </si>
  <si>
    <t>SWVG</t>
  </si>
  <si>
    <t>2612N</t>
  </si>
  <si>
    <t>202610031800</t>
  </si>
  <si>
    <t>THLCH</t>
  </si>
  <si>
    <t>JPIYM</t>
  </si>
  <si>
    <t xml:space="preserve">20'x2 </t>
  </si>
  <si>
    <t>20260914</t>
  </si>
  <si>
    <t>PTT GLOBAL CHEMICAL PUBLIC COMPANY LIMITED</t>
  </si>
  <si>
    <t>RESIN</t>
  </si>
  <si>
    <t>GOOD AND CLEAN CTNR</t>
  </si>
  <si>
    <t>HASLS22260901089</t>
  </si>
  <si>
    <t xml:space="preserve">20'x1 </t>
  </si>
  <si>
    <t>TOTAL</t>
  </si>
  <si>
    <t>Pickup Name</t>
  </si>
  <si>
    <t>Number of Records</t>
  </si>
  <si>
    <t>Total Balance</t>
  </si>
  <si>
    <t>CELLO</t>
  </si>
  <si>
    <t>สรุปยอดบุ๊คทั้งหมด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</si>
</sst>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Tahoma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"/>
  <sheetViews>
    <sheetView tabSelected="1" workbookViewId="0">
      <pane ySplit="2" topLeftCell="A3" activePane="bottomLeft" state="frozen"/>
      <selection pane="bottomLeft" activeCell="L17" sqref="L17"/>
    </sheetView>
  </sheetViews>
  <sheetFormatPr defaultRowHeight="14.25" x14ac:dyDescent="0.2"/>
  <cols>
    <col min="1" max="1" width="18" customWidth="1"/>
    <col min="2" max="3" width="8.625" customWidth="1"/>
    <col min="4" max="4" width="11.375" hidden="1" customWidth="1"/>
    <col min="5" max="5" width="4.125" hidden="1" customWidth="1"/>
    <col min="6" max="6" width="5.75" hidden="1" customWidth="1"/>
    <col min="7" max="7" width="5.375" bestFit="1" customWidth="1"/>
    <col min="8" max="8" width="5.125" bestFit="1" customWidth="1"/>
    <col min="9" max="9" width="7.875" bestFit="1" customWidth="1"/>
    <col min="10" max="10" width="26" customWidth="1"/>
    <col min="11" max="11" width="11.125" bestFit="1" customWidth="1"/>
    <col min="12" max="12" width="19.625" bestFit="1" customWidth="1"/>
    <col min="13" max="24" width="5.75" hidden="1" customWidth="1"/>
    <col min="25" max="33" width="5.75" customWidth="1"/>
  </cols>
  <sheetData>
    <row r="1" spans="1:33" ht="12.95" customHeight="1" x14ac:dyDescent="0.3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spans="1:33" ht="12.95" customHeight="1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13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21</v>
      </c>
    </row>
    <row r="3" spans="1:33" ht="12.95" customHeight="1" x14ac:dyDescent="0.25">
      <c r="A3" s="2" t="s">
        <v>25</v>
      </c>
      <c r="B3" s="2" t="s">
        <v>26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2" t="s">
        <v>33</v>
      </c>
      <c r="K3" s="2" t="s">
        <v>34</v>
      </c>
      <c r="L3" s="2" t="s">
        <v>35</v>
      </c>
      <c r="M3" s="2">
        <v>2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f>SUM(M3:U3)-V3</f>
        <v>2</v>
      </c>
      <c r="Y3" s="2">
        <f>MAX(0,M3-MAX(0,V3))</f>
        <v>2</v>
      </c>
      <c r="Z3" s="2">
        <f>MAX(0,N3-MAX(0,V3-SUM(M3:M3)))</f>
        <v>0</v>
      </c>
      <c r="AA3" s="2">
        <f>MAX(0,O3-MAX(0,V3-SUM(M3:N3)))</f>
        <v>0</v>
      </c>
      <c r="AB3" s="2">
        <f>MAX(0,P3-MAX(0,V3-SUM(M3:O3)))</f>
        <v>0</v>
      </c>
      <c r="AC3" s="2">
        <f>MAX(0,Q3-MAX(0,V3-SUM(M3:P3)))</f>
        <v>0</v>
      </c>
      <c r="AD3" s="2">
        <f>MAX(0,R3-MAX(0,V3-SUM(M3:Q3)))</f>
        <v>0</v>
      </c>
      <c r="AE3" s="2">
        <f>MAX(0,S3-MAX(0,V3-SUM(M3:R3)))</f>
        <v>0</v>
      </c>
      <c r="AF3" s="2">
        <f>MAX(0,T3-MAX(0,V3-SUM(M3:S3)))</f>
        <v>0</v>
      </c>
      <c r="AG3" s="2">
        <f>MAX(0,U3-MAX(0,V3-SUM(M3:T3)))</f>
        <v>0</v>
      </c>
    </row>
    <row r="4" spans="1:33" ht="12.95" customHeight="1" x14ac:dyDescent="0.25">
      <c r="A4" s="2" t="s">
        <v>36</v>
      </c>
      <c r="B4" s="2" t="s">
        <v>26</v>
      </c>
      <c r="C4" s="2" t="s">
        <v>27</v>
      </c>
      <c r="D4" s="2" t="s">
        <v>28</v>
      </c>
      <c r="E4" s="2"/>
      <c r="F4" s="2" t="s">
        <v>29</v>
      </c>
      <c r="G4" s="2" t="s">
        <v>30</v>
      </c>
      <c r="H4" s="2" t="s">
        <v>37</v>
      </c>
      <c r="I4" s="2" t="s">
        <v>32</v>
      </c>
      <c r="J4" s="2" t="s">
        <v>33</v>
      </c>
      <c r="K4" s="2" t="s">
        <v>34</v>
      </c>
      <c r="L4" s="2" t="s">
        <v>35</v>
      </c>
      <c r="M4" s="2">
        <v>1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f>SUM(M4:U4)-V4</f>
        <v>1</v>
      </c>
      <c r="Y4" s="2">
        <f>MAX(0,M4-MAX(0,V4))</f>
        <v>1</v>
      </c>
      <c r="Z4" s="2">
        <f>MAX(0,N4-MAX(0,V4-SUM(M4:M4)))</f>
        <v>0</v>
      </c>
      <c r="AA4" s="2">
        <f>MAX(0,O4-MAX(0,V4-SUM(M4:N4)))</f>
        <v>0</v>
      </c>
      <c r="AB4" s="2">
        <f>MAX(0,P4-MAX(0,V4-SUM(M4:O4)))</f>
        <v>0</v>
      </c>
      <c r="AC4" s="2">
        <f>MAX(0,Q4-MAX(0,V4-SUM(M4:P4)))</f>
        <v>0</v>
      </c>
      <c r="AD4" s="2">
        <f>MAX(0,R4-MAX(0,V4-SUM(M4:Q4)))</f>
        <v>0</v>
      </c>
      <c r="AE4" s="2">
        <f>MAX(0,S4-MAX(0,V4-SUM(M4:R4)))</f>
        <v>0</v>
      </c>
      <c r="AF4" s="2">
        <f>MAX(0,T4-MAX(0,V4-SUM(M4:S4)))</f>
        <v>0</v>
      </c>
      <c r="AG4" s="2">
        <f>MAX(0,U4-MAX(0,V4-SUM(M4:T4)))</f>
        <v>0</v>
      </c>
    </row>
    <row r="5" spans="1:33" ht="12.95" customHeight="1" x14ac:dyDescent="0.25">
      <c r="A5" s="3" t="s">
        <v>38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>
        <f t="shared" ref="M5:V5" si="0">SUM(M3:M4)</f>
        <v>3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/>
      <c r="X5" s="3">
        <f t="shared" ref="X5:AG5" si="1">SUM(X3:X4)</f>
        <v>3</v>
      </c>
      <c r="Y5" s="3">
        <f t="shared" si="1"/>
        <v>3</v>
      </c>
      <c r="Z5" s="3">
        <f t="shared" si="1"/>
        <v>0</v>
      </c>
      <c r="AA5" s="3">
        <f t="shared" si="1"/>
        <v>0</v>
      </c>
      <c r="AB5" s="3">
        <f t="shared" si="1"/>
        <v>0</v>
      </c>
      <c r="AC5" s="3">
        <f t="shared" si="1"/>
        <v>0</v>
      </c>
      <c r="AD5" s="3">
        <f t="shared" si="1"/>
        <v>0</v>
      </c>
      <c r="AE5" s="3">
        <f t="shared" si="1"/>
        <v>0</v>
      </c>
      <c r="AF5" s="3">
        <f t="shared" si="1"/>
        <v>0</v>
      </c>
      <c r="AG5" s="3">
        <f t="shared" si="1"/>
        <v>0</v>
      </c>
    </row>
    <row r="8" spans="1:33" ht="12.95" customHeight="1" x14ac:dyDescent="0.25">
      <c r="A8" s="4" t="s">
        <v>39</v>
      </c>
      <c r="B8" s="4" t="s">
        <v>40</v>
      </c>
      <c r="C8" s="4" t="s">
        <v>41</v>
      </c>
    </row>
    <row r="9" spans="1:33" ht="12.95" customHeight="1" x14ac:dyDescent="0.25">
      <c r="A9" s="2" t="s">
        <v>42</v>
      </c>
      <c r="B9" s="2">
        <v>2</v>
      </c>
      <c r="C9" s="2">
        <v>3</v>
      </c>
    </row>
    <row r="10" spans="1:33" ht="12.95" customHeight="1" x14ac:dyDescent="0.25">
      <c r="A10" s="3" t="s">
        <v>43</v>
      </c>
      <c r="B10" s="3">
        <v>2</v>
      </c>
      <c r="C10" s="3">
        <v>3</v>
      </c>
    </row>
  </sheetData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office4</cp:lastModifiedBy>
  <dcterms:created xsi:type="dcterms:W3CDTF">2026-09-16T10:35:33Z</dcterms:created>
  <dcterms:modified xsi:type="dcterms:W3CDTF">2026-09-16T10:50:50Z</dcterms:modified>
</cp:coreProperties>
</file>