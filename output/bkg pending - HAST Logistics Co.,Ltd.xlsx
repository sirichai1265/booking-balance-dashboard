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4" borderId="1" pivotButton="0" quotePrefix="0" xfId="0"/>
    <xf numFmtId="0" fontId="4" fillId="5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HAST Logistics Co.,Ltd.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HASLS22260701405</t>
        </is>
      </c>
      <c r="B3" s="4" t="inlineStr">
        <is>
          <t>SWIC</t>
        </is>
      </c>
      <c r="C3" s="4" t="inlineStr">
        <is>
          <t>2610N</t>
        </is>
      </c>
      <c r="D3" s="4" t="inlineStr">
        <is>
          <t>202609220400</t>
        </is>
      </c>
      <c r="E3" s="4" t="inlineStr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40Hx4 </t>
        </is>
      </c>
      <c r="I3" s="4" t="inlineStr">
        <is>
          <t>20260909</t>
        </is>
      </c>
      <c r="J3" s="4" t="inlineStr">
        <is>
          <t>PTT GLOBAL CHEMICAL PUBLIC COMPANY LIMITED</t>
        </is>
      </c>
      <c r="K3" s="4" t="inlineStr">
        <is>
          <t>RESIN</t>
        </is>
      </c>
      <c r="L3" s="4" t="inlineStr">
        <is>
          <t>GOOD AND CLEAN CTNR</t>
        </is>
      </c>
      <c r="M3" s="4" t="n">
        <v>0</v>
      </c>
      <c r="N3" s="4" t="n">
        <v>0</v>
      </c>
      <c r="O3" s="4" t="n">
        <v>4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HASLS22260801614</t>
        </is>
      </c>
      <c r="B4" s="4" t="inlineStr">
        <is>
          <t>ICVY</t>
        </is>
      </c>
      <c r="C4" s="4" t="inlineStr">
        <is>
          <t>2607S</t>
        </is>
      </c>
      <c r="D4" s="4" t="inlineStr">
        <is>
          <t>202609211900</t>
        </is>
      </c>
      <c r="E4" s="4" t="inlineStr"/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20'x1 </t>
        </is>
      </c>
      <c r="I4" s="4" t="inlineStr">
        <is>
          <t>20260916</t>
        </is>
      </c>
      <c r="J4" s="4" t="inlineStr">
        <is>
          <t>INGREDION (THAILAND) CO., LTD.</t>
        </is>
      </c>
      <c r="K4" s="4" t="inlineStr">
        <is>
          <t>MODIFIED TAPIOCA STARCH (GRADE : PURITY 21T)</t>
        </is>
      </c>
      <c r="L4" s="4" t="inlineStr">
        <is>
          <t>GOOD AND CLEAN CONTAINER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5" t="inlineStr">
        <is>
          <t>HASLS22260801673</t>
        </is>
      </c>
      <c r="B5" s="5" t="inlineStr">
        <is>
          <t>KJT</t>
        </is>
      </c>
      <c r="C5" s="5" t="inlineStr">
        <is>
          <t>2610N</t>
        </is>
      </c>
      <c r="D5" s="5" t="inlineStr">
        <is>
          <t>202609231400</t>
        </is>
      </c>
      <c r="E5" s="5" t="inlineStr"/>
      <c r="F5" s="5" t="inlineStr">
        <is>
          <t>THLCH</t>
        </is>
      </c>
      <c r="G5" s="5" t="inlineStr">
        <is>
          <t>CNSHK</t>
        </is>
      </c>
      <c r="H5" s="5" t="inlineStr">
        <is>
          <t xml:space="preserve">R40Hx1 </t>
        </is>
      </c>
      <c r="I5" s="5" t="inlineStr">
        <is>
          <t>20260905</t>
        </is>
      </c>
      <c r="J5" s="5" t="inlineStr">
        <is>
          <t>POSTMAN (THAILAND) CO.,LTD.</t>
        </is>
      </c>
      <c r="K5" s="5" t="inlineStr">
        <is>
          <t>FRESH COCONUT</t>
        </is>
      </c>
      <c r="L5" s="5" t="inlineStr">
        <is>
          <t>RF45REx1 (Temp +2.0℃ / Vent 10% Open)</t>
        </is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>
        <f>SUM(M5:U5)-V5</f>
        <v/>
      </c>
      <c r="Y5" s="5">
        <f>MAX(0,M5-MAX(0,V5))</f>
        <v/>
      </c>
      <c r="Z5" s="5">
        <f>MAX(0,N5-MAX(0,V5-SUM(M5:M5)))</f>
        <v/>
      </c>
      <c r="AA5" s="5">
        <f>MAX(0,O5-MAX(0,V5-SUM(M5:N5)))</f>
        <v/>
      </c>
      <c r="AB5" s="5">
        <f>MAX(0,P5-MAX(0,V5-SUM(M5:O5)))</f>
        <v/>
      </c>
      <c r="AC5" s="5">
        <f>MAX(0,Q5-MAX(0,V5-SUM(M5:P5)))</f>
        <v/>
      </c>
      <c r="AD5" s="5">
        <f>MAX(0,R5-MAX(0,V5-SUM(M5:Q5)))</f>
        <v/>
      </c>
      <c r="AE5" s="5">
        <f>MAX(0,S5-MAX(0,V5-SUM(M5:R5)))</f>
        <v/>
      </c>
      <c r="AF5" s="5">
        <f>MAX(0,T5-MAX(0,V5-SUM(M5:S5)))</f>
        <v/>
      </c>
      <c r="AG5" s="5">
        <f>MAX(0,U5-MAX(0,V5-SUM(M5:T5)))</f>
        <v/>
      </c>
    </row>
    <row r="6" ht="13" customHeight="1">
      <c r="A6" s="5" t="inlineStr">
        <is>
          <t>HASLS22260801674</t>
        </is>
      </c>
      <c r="B6" s="5" t="inlineStr">
        <is>
          <t>KJT</t>
        </is>
      </c>
      <c r="C6" s="5" t="inlineStr">
        <is>
          <t>2610N</t>
        </is>
      </c>
      <c r="D6" s="5" t="inlineStr">
        <is>
          <t>202609231400</t>
        </is>
      </c>
      <c r="E6" s="5" t="inlineStr"/>
      <c r="F6" s="5" t="inlineStr">
        <is>
          <t>THLCH</t>
        </is>
      </c>
      <c r="G6" s="5" t="inlineStr">
        <is>
          <t>CNSHK</t>
        </is>
      </c>
      <c r="H6" s="5" t="inlineStr">
        <is>
          <t xml:space="preserve">R40Hx1 </t>
        </is>
      </c>
      <c r="I6" s="5" t="inlineStr">
        <is>
          <t>20260905</t>
        </is>
      </c>
      <c r="J6" s="5" t="inlineStr">
        <is>
          <t>POSTMAN (THAILAND) CO.,LTD.</t>
        </is>
      </c>
      <c r="K6" s="5" t="inlineStr">
        <is>
          <t>FRESH COCONUT</t>
        </is>
      </c>
      <c r="L6" s="5" t="inlineStr">
        <is>
          <t>RF45REx1 (Temp +2.0℃ / Vent 10% Open)</t>
        </is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>
        <f>SUM(M6:U6)-V6</f>
        <v/>
      </c>
      <c r="Y6" s="5">
        <f>MAX(0,M6-MAX(0,V6))</f>
        <v/>
      </c>
      <c r="Z6" s="5">
        <f>MAX(0,N6-MAX(0,V6-SUM(M6:M6)))</f>
        <v/>
      </c>
      <c r="AA6" s="5">
        <f>MAX(0,O6-MAX(0,V6-SUM(M6:N6)))</f>
        <v/>
      </c>
      <c r="AB6" s="5">
        <f>MAX(0,P6-MAX(0,V6-SUM(M6:O6)))</f>
        <v/>
      </c>
      <c r="AC6" s="5">
        <f>MAX(0,Q6-MAX(0,V6-SUM(M6:P6)))</f>
        <v/>
      </c>
      <c r="AD6" s="5">
        <f>MAX(0,R6-MAX(0,V6-SUM(M6:Q6)))</f>
        <v/>
      </c>
      <c r="AE6" s="5">
        <f>MAX(0,S6-MAX(0,V6-SUM(M6:R6)))</f>
        <v/>
      </c>
      <c r="AF6" s="5">
        <f>MAX(0,T6-MAX(0,V6-SUM(M6:S6)))</f>
        <v/>
      </c>
      <c r="AG6" s="5">
        <f>MAX(0,U6-MAX(0,V6-SUM(M6:T6)))</f>
        <v/>
      </c>
    </row>
    <row r="7" ht="13" customHeight="1">
      <c r="A7" s="5" t="inlineStr">
        <is>
          <t>HASLS22260801675</t>
        </is>
      </c>
      <c r="B7" s="5" t="inlineStr">
        <is>
          <t>KJT</t>
        </is>
      </c>
      <c r="C7" s="5" t="inlineStr">
        <is>
          <t>2610N</t>
        </is>
      </c>
      <c r="D7" s="5" t="inlineStr">
        <is>
          <t>202609231400</t>
        </is>
      </c>
      <c r="E7" s="5" t="inlineStr"/>
      <c r="F7" s="5" t="inlineStr">
        <is>
          <t>THLCH</t>
        </is>
      </c>
      <c r="G7" s="5" t="inlineStr">
        <is>
          <t>CNSHK</t>
        </is>
      </c>
      <c r="H7" s="5" t="inlineStr">
        <is>
          <t xml:space="preserve">R40Hx1 </t>
        </is>
      </c>
      <c r="I7" s="5" t="inlineStr">
        <is>
          <t>20260905</t>
        </is>
      </c>
      <c r="J7" s="5" t="inlineStr">
        <is>
          <t>POSTMAN (THAILAND) CO.,LTD.</t>
        </is>
      </c>
      <c r="K7" s="5" t="inlineStr">
        <is>
          <t>FRESH COCONUT</t>
        </is>
      </c>
      <c r="L7" s="5" t="inlineStr">
        <is>
          <t>RF45REx1 (Temp +2.0℃ / Vent 10% Open)</t>
        </is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1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>
        <f>SUM(M7:U7)-V7</f>
        <v/>
      </c>
      <c r="Y7" s="5">
        <f>MAX(0,M7-MAX(0,V7))</f>
        <v/>
      </c>
      <c r="Z7" s="5">
        <f>MAX(0,N7-MAX(0,V7-SUM(M7:M7)))</f>
        <v/>
      </c>
      <c r="AA7" s="5">
        <f>MAX(0,O7-MAX(0,V7-SUM(M7:N7)))</f>
        <v/>
      </c>
      <c r="AB7" s="5">
        <f>MAX(0,P7-MAX(0,V7-SUM(M7:O7)))</f>
        <v/>
      </c>
      <c r="AC7" s="5">
        <f>MAX(0,Q7-MAX(0,V7-SUM(M7:P7)))</f>
        <v/>
      </c>
      <c r="AD7" s="5">
        <f>MAX(0,R7-MAX(0,V7-SUM(M7:Q7)))</f>
        <v/>
      </c>
      <c r="AE7" s="5">
        <f>MAX(0,S7-MAX(0,V7-SUM(M7:R7)))</f>
        <v/>
      </c>
      <c r="AF7" s="5">
        <f>MAX(0,T7-MAX(0,V7-SUM(M7:S7)))</f>
        <v/>
      </c>
      <c r="AG7" s="5">
        <f>MAX(0,U7-MAX(0,V7-SUM(M7:T7)))</f>
        <v/>
      </c>
    </row>
    <row r="8" ht="13" customHeight="1">
      <c r="A8" s="5" t="inlineStr">
        <is>
          <t>HASLS22260801677</t>
        </is>
      </c>
      <c r="B8" s="5" t="inlineStr">
        <is>
          <t>CMA</t>
        </is>
      </c>
      <c r="C8" s="5" t="inlineStr">
        <is>
          <t>2614N</t>
        </is>
      </c>
      <c r="D8" s="5" t="inlineStr">
        <is>
          <t>202609250500</t>
        </is>
      </c>
      <c r="E8" s="5" t="inlineStr"/>
      <c r="F8" s="5" t="inlineStr">
        <is>
          <t>THLCH</t>
        </is>
      </c>
      <c r="G8" s="5" t="inlineStr">
        <is>
          <t>CNSHK</t>
        </is>
      </c>
      <c r="H8" s="5" t="inlineStr">
        <is>
          <t xml:space="preserve">R40Hx1 </t>
        </is>
      </c>
      <c r="I8" s="5" t="inlineStr">
        <is>
          <t>20260907</t>
        </is>
      </c>
      <c r="J8" s="5" t="inlineStr">
        <is>
          <t>POSTMAN (THAILAND) CO.,LTD.</t>
        </is>
      </c>
      <c r="K8" s="5" t="inlineStr">
        <is>
          <t>FRESH COCONUT</t>
        </is>
      </c>
      <c r="L8" s="5" t="inlineStr">
        <is>
          <t>RF45REx1 (Temp +2.0℃ / Vent 10% Open)</t>
        </is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1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>
        <f>SUM(M8:U8)-V8</f>
        <v/>
      </c>
      <c r="Y8" s="5">
        <f>MAX(0,M8-MAX(0,V8))</f>
        <v/>
      </c>
      <c r="Z8" s="5">
        <f>MAX(0,N8-MAX(0,V8-SUM(M8:M8)))</f>
        <v/>
      </c>
      <c r="AA8" s="5">
        <f>MAX(0,O8-MAX(0,V8-SUM(M8:N8)))</f>
        <v/>
      </c>
      <c r="AB8" s="5">
        <f>MAX(0,P8-MAX(0,V8-SUM(M8:O8)))</f>
        <v/>
      </c>
      <c r="AC8" s="5">
        <f>MAX(0,Q8-MAX(0,V8-SUM(M8:P8)))</f>
        <v/>
      </c>
      <c r="AD8" s="5">
        <f>MAX(0,R8-MAX(0,V8-SUM(M8:Q8)))</f>
        <v/>
      </c>
      <c r="AE8" s="5">
        <f>MAX(0,S8-MAX(0,V8-SUM(M8:R8)))</f>
        <v/>
      </c>
      <c r="AF8" s="5">
        <f>MAX(0,T8-MAX(0,V8-SUM(M8:S8)))</f>
        <v/>
      </c>
      <c r="AG8" s="5">
        <f>MAX(0,U8-MAX(0,V8-SUM(M8:T8)))</f>
        <v/>
      </c>
    </row>
    <row r="9" ht="13" customHeight="1">
      <c r="A9" s="5" t="inlineStr">
        <is>
          <t>HASLS22260801679</t>
        </is>
      </c>
      <c r="B9" s="5" t="inlineStr">
        <is>
          <t>CMA</t>
        </is>
      </c>
      <c r="C9" s="5" t="inlineStr">
        <is>
          <t>2614N</t>
        </is>
      </c>
      <c r="D9" s="5" t="inlineStr">
        <is>
          <t>202609250500</t>
        </is>
      </c>
      <c r="E9" s="5" t="inlineStr"/>
      <c r="F9" s="5" t="inlineStr">
        <is>
          <t>THLCH</t>
        </is>
      </c>
      <c r="G9" s="5" t="inlineStr">
        <is>
          <t>CNSHK</t>
        </is>
      </c>
      <c r="H9" s="5" t="inlineStr">
        <is>
          <t xml:space="preserve">R40Hx1 </t>
        </is>
      </c>
      <c r="I9" s="5" t="inlineStr">
        <is>
          <t>20260907</t>
        </is>
      </c>
      <c r="J9" s="5" t="inlineStr">
        <is>
          <t>POSTMAN (THAILAND) CO.,LTD.</t>
        </is>
      </c>
      <c r="K9" s="5" t="inlineStr">
        <is>
          <t>FRESH COCONUT</t>
        </is>
      </c>
      <c r="L9" s="5" t="inlineStr">
        <is>
          <t>RF45REx1 (Temp +2.0℃ / Vent 10% Open)</t>
        </is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1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>
        <f>SUM(M9:U9)-V9</f>
        <v/>
      </c>
      <c r="Y9" s="5">
        <f>MAX(0,M9-MAX(0,V9))</f>
        <v/>
      </c>
      <c r="Z9" s="5">
        <f>MAX(0,N9-MAX(0,V9-SUM(M9:M9)))</f>
        <v/>
      </c>
      <c r="AA9" s="5">
        <f>MAX(0,O9-MAX(0,V9-SUM(M9:N9)))</f>
        <v/>
      </c>
      <c r="AB9" s="5">
        <f>MAX(0,P9-MAX(0,V9-SUM(M9:O9)))</f>
        <v/>
      </c>
      <c r="AC9" s="5">
        <f>MAX(0,Q9-MAX(0,V9-SUM(M9:P9)))</f>
        <v/>
      </c>
      <c r="AD9" s="5">
        <f>MAX(0,R9-MAX(0,V9-SUM(M9:Q9)))</f>
        <v/>
      </c>
      <c r="AE9" s="5">
        <f>MAX(0,S9-MAX(0,V9-SUM(M9:R9)))</f>
        <v/>
      </c>
      <c r="AF9" s="5">
        <f>MAX(0,T9-MAX(0,V9-SUM(M9:S9)))</f>
        <v/>
      </c>
      <c r="AG9" s="5">
        <f>MAX(0,U9-MAX(0,V9-SUM(M9:T9)))</f>
        <v/>
      </c>
    </row>
    <row r="10" ht="13" customHeight="1">
      <c r="A10" s="5" t="inlineStr">
        <is>
          <t>HASLS22260801681</t>
        </is>
      </c>
      <c r="B10" s="5" t="inlineStr">
        <is>
          <t>CMA</t>
        </is>
      </c>
      <c r="C10" s="5" t="inlineStr">
        <is>
          <t>2614N</t>
        </is>
      </c>
      <c r="D10" s="5" t="inlineStr">
        <is>
          <t>202609250500</t>
        </is>
      </c>
      <c r="E10" s="5" t="inlineStr"/>
      <c r="F10" s="5" t="inlineStr">
        <is>
          <t>THLCH</t>
        </is>
      </c>
      <c r="G10" s="5" t="inlineStr">
        <is>
          <t>CNSHK</t>
        </is>
      </c>
      <c r="H10" s="5" t="inlineStr">
        <is>
          <t xml:space="preserve">R40Hx1 </t>
        </is>
      </c>
      <c r="I10" s="5" t="inlineStr">
        <is>
          <t>20260907</t>
        </is>
      </c>
      <c r="J10" s="5" t="inlineStr">
        <is>
          <t>POSTMAN (THAILAND) CO.,LTD.</t>
        </is>
      </c>
      <c r="K10" s="5" t="inlineStr">
        <is>
          <t>FRESH COCONUT</t>
        </is>
      </c>
      <c r="L10" s="5" t="inlineStr">
        <is>
          <t>RF45REx1 (Temp +2.0℃ / Vent 10% Open)</t>
        </is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1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>
        <f>SUM(M10:U10)-V10</f>
        <v/>
      </c>
      <c r="Y10" s="5">
        <f>MAX(0,M10-MAX(0,V10))</f>
        <v/>
      </c>
      <c r="Z10" s="5">
        <f>MAX(0,N10-MAX(0,V10-SUM(M10:M10)))</f>
        <v/>
      </c>
      <c r="AA10" s="5">
        <f>MAX(0,O10-MAX(0,V10-SUM(M10:N10)))</f>
        <v/>
      </c>
      <c r="AB10" s="5">
        <f>MAX(0,P10-MAX(0,V10-SUM(M10:O10)))</f>
        <v/>
      </c>
      <c r="AC10" s="5">
        <f>MAX(0,Q10-MAX(0,V10-SUM(M10:P10)))</f>
        <v/>
      </c>
      <c r="AD10" s="5">
        <f>MAX(0,R10-MAX(0,V10-SUM(M10:Q10)))</f>
        <v/>
      </c>
      <c r="AE10" s="5">
        <f>MAX(0,S10-MAX(0,V10-SUM(M10:R10)))</f>
        <v/>
      </c>
      <c r="AF10" s="5">
        <f>MAX(0,T10-MAX(0,V10-SUM(M10:S10)))</f>
        <v/>
      </c>
      <c r="AG10" s="5">
        <f>MAX(0,U10-MAX(0,V10-SUM(M10:T10)))</f>
        <v/>
      </c>
    </row>
    <row r="11" ht="13" customHeight="1">
      <c r="A11" s="5" t="inlineStr">
        <is>
          <t>HASLS22260801684</t>
        </is>
      </c>
      <c r="B11" s="5" t="inlineStr">
        <is>
          <t>SWAT</t>
        </is>
      </c>
      <c r="C11" s="5" t="inlineStr">
        <is>
          <t>2610N</t>
        </is>
      </c>
      <c r="D11" s="5" t="inlineStr">
        <is>
          <t>202610041300</t>
        </is>
      </c>
      <c r="E11" s="5" t="inlineStr"/>
      <c r="F11" s="5" t="inlineStr">
        <is>
          <t>THLCH</t>
        </is>
      </c>
      <c r="G11" s="5" t="inlineStr">
        <is>
          <t>CNSHK</t>
        </is>
      </c>
      <c r="H11" s="5" t="inlineStr">
        <is>
          <t xml:space="preserve">R40Hx1 </t>
        </is>
      </c>
      <c r="I11" s="5" t="inlineStr">
        <is>
          <t>20260914</t>
        </is>
      </c>
      <c r="J11" s="5" t="inlineStr">
        <is>
          <t>POSTMAN (THAILAND) CO.,LTD.</t>
        </is>
      </c>
      <c r="K11" s="5" t="inlineStr">
        <is>
          <t>FRESH COCONUT</t>
        </is>
      </c>
      <c r="L11" s="5" t="inlineStr">
        <is>
          <t>RF45REx1 (Temp +2.0℃ / Vent 10% Open)</t>
        </is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>
        <f>SUM(M11:U11)-V11</f>
        <v/>
      </c>
      <c r="Y11" s="5">
        <f>MAX(0,M11-MAX(0,V11))</f>
        <v/>
      </c>
      <c r="Z11" s="5">
        <f>MAX(0,N11-MAX(0,V11-SUM(M11:M11)))</f>
        <v/>
      </c>
      <c r="AA11" s="5">
        <f>MAX(0,O11-MAX(0,V11-SUM(M11:N11)))</f>
        <v/>
      </c>
      <c r="AB11" s="5">
        <f>MAX(0,P11-MAX(0,V11-SUM(M11:O11)))</f>
        <v/>
      </c>
      <c r="AC11" s="5">
        <f>MAX(0,Q11-MAX(0,V11-SUM(M11:P11)))</f>
        <v/>
      </c>
      <c r="AD11" s="5">
        <f>MAX(0,R11-MAX(0,V11-SUM(M11:Q11)))</f>
        <v/>
      </c>
      <c r="AE11" s="5">
        <f>MAX(0,S11-MAX(0,V11-SUM(M11:R11)))</f>
        <v/>
      </c>
      <c r="AF11" s="5">
        <f>MAX(0,T11-MAX(0,V11-SUM(M11:S11)))</f>
        <v/>
      </c>
      <c r="AG11" s="5">
        <f>MAX(0,U11-MAX(0,V11-SUM(M11:T11)))</f>
        <v/>
      </c>
    </row>
    <row r="12" ht="13" customHeight="1">
      <c r="A12" s="5" t="inlineStr">
        <is>
          <t>HASLS22260801685</t>
        </is>
      </c>
      <c r="B12" s="5" t="inlineStr">
        <is>
          <t>SWAT</t>
        </is>
      </c>
      <c r="C12" s="5" t="inlineStr">
        <is>
          <t>2610N</t>
        </is>
      </c>
      <c r="D12" s="5" t="inlineStr">
        <is>
          <t>202610041300</t>
        </is>
      </c>
      <c r="E12" s="5" t="inlineStr"/>
      <c r="F12" s="5" t="inlineStr">
        <is>
          <t>THLCH</t>
        </is>
      </c>
      <c r="G12" s="5" t="inlineStr">
        <is>
          <t>CNSHK</t>
        </is>
      </c>
      <c r="H12" s="5" t="inlineStr">
        <is>
          <t xml:space="preserve">R40Hx1 </t>
        </is>
      </c>
      <c r="I12" s="5" t="inlineStr">
        <is>
          <t>20260914</t>
        </is>
      </c>
      <c r="J12" s="5" t="inlineStr">
        <is>
          <t>POSTMAN (THAILAND) CO.,LTD.</t>
        </is>
      </c>
      <c r="K12" s="5" t="inlineStr">
        <is>
          <t>FRESH COCONUT</t>
        </is>
      </c>
      <c r="L12" s="5" t="inlineStr">
        <is>
          <t>RF45REx1 (Temp +2.0℃ / Vent 10% Open)</t>
        </is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>
        <f>SUM(M12:U12)-V12</f>
        <v/>
      </c>
      <c r="Y12" s="5">
        <f>MAX(0,M12-MAX(0,V12))</f>
        <v/>
      </c>
      <c r="Z12" s="5">
        <f>MAX(0,N12-MAX(0,V12-SUM(M12:M12)))</f>
        <v/>
      </c>
      <c r="AA12" s="5">
        <f>MAX(0,O12-MAX(0,V12-SUM(M12:N12)))</f>
        <v/>
      </c>
      <c r="AB12" s="5">
        <f>MAX(0,P12-MAX(0,V12-SUM(M12:O12)))</f>
        <v/>
      </c>
      <c r="AC12" s="5">
        <f>MAX(0,Q12-MAX(0,V12-SUM(M12:P12)))</f>
        <v/>
      </c>
      <c r="AD12" s="5">
        <f>MAX(0,R12-MAX(0,V12-SUM(M12:Q12)))</f>
        <v/>
      </c>
      <c r="AE12" s="5">
        <f>MAX(0,S12-MAX(0,V12-SUM(M12:R12)))</f>
        <v/>
      </c>
      <c r="AF12" s="5">
        <f>MAX(0,T12-MAX(0,V12-SUM(M12:S12)))</f>
        <v/>
      </c>
      <c r="AG12" s="5">
        <f>MAX(0,U12-MAX(0,V12-SUM(M12:T12)))</f>
        <v/>
      </c>
    </row>
    <row r="13" ht="13" customHeight="1">
      <c r="A13" s="4" t="inlineStr">
        <is>
          <t>HASLS22260900107</t>
        </is>
      </c>
      <c r="B13" s="4" t="inlineStr">
        <is>
          <t>HAB</t>
        </is>
      </c>
      <c r="C13" s="4" t="inlineStr">
        <is>
          <t>2612N</t>
        </is>
      </c>
      <c r="D13" s="4" t="inlineStr">
        <is>
          <t>202610250630</t>
        </is>
      </c>
      <c r="E13" s="4" t="inlineStr"/>
      <c r="F13" s="4" t="inlineStr">
        <is>
          <t>THLCH</t>
        </is>
      </c>
      <c r="G13" s="4" t="inlineStr">
        <is>
          <t>CNSHA</t>
        </is>
      </c>
      <c r="H13" s="4" t="inlineStr">
        <is>
          <t xml:space="preserve">20'x10 </t>
        </is>
      </c>
      <c r="I13" s="4" t="inlineStr">
        <is>
          <t>20260914</t>
        </is>
      </c>
      <c r="J13" s="4" t="inlineStr">
        <is>
          <t>EIAM THONGCHAI INDUSTRY CO.,LTD.</t>
        </is>
      </c>
      <c r="K13" s="4" t="inlineStr">
        <is>
          <t>STARCH</t>
        </is>
      </c>
      <c r="L13" s="4" t="inlineStr">
        <is>
          <t>REQ : FOOD GRADE CONTAINER CLEAR &amp;DRY NO OIL NO RUSTY</t>
        </is>
      </c>
      <c r="M13" s="4" t="n">
        <v>10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>
        <f>SUM(M13:U13)-V13</f>
        <v/>
      </c>
      <c r="Y13" s="4">
        <f>MAX(0,M13-MAX(0,V13))</f>
        <v/>
      </c>
      <c r="Z13" s="4">
        <f>MAX(0,N13-MAX(0,V13-SUM(M13:M13)))</f>
        <v/>
      </c>
      <c r="AA13" s="4">
        <f>MAX(0,O13-MAX(0,V13-SUM(M13:N13)))</f>
        <v/>
      </c>
      <c r="AB13" s="4">
        <f>MAX(0,P13-MAX(0,V13-SUM(M13:O13)))</f>
        <v/>
      </c>
      <c r="AC13" s="4">
        <f>MAX(0,Q13-MAX(0,V13-SUM(M13:P13)))</f>
        <v/>
      </c>
      <c r="AD13" s="4">
        <f>MAX(0,R13-MAX(0,V13-SUM(M13:Q13)))</f>
        <v/>
      </c>
      <c r="AE13" s="4">
        <f>MAX(0,S13-MAX(0,V13-SUM(M13:R13)))</f>
        <v/>
      </c>
      <c r="AF13" s="4">
        <f>MAX(0,T13-MAX(0,V13-SUM(M13:S13)))</f>
        <v/>
      </c>
      <c r="AG13" s="4">
        <f>MAX(0,U13-MAX(0,V13-SUM(M13:T13)))</f>
        <v/>
      </c>
    </row>
    <row r="14" ht="13" customHeight="1">
      <c r="A14" s="4" t="inlineStr">
        <is>
          <t>HASLS22260900237</t>
        </is>
      </c>
      <c r="B14" s="4" t="inlineStr">
        <is>
          <t>NSSJ</t>
        </is>
      </c>
      <c r="C14" s="4" t="inlineStr">
        <is>
          <t>2607S</t>
        </is>
      </c>
      <c r="D14" s="4" t="inlineStr">
        <is>
          <t>202609220800</t>
        </is>
      </c>
      <c r="E14" s="4" t="inlineStr"/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40Hx1 </t>
        </is>
      </c>
      <c r="I14" s="4" t="inlineStr">
        <is>
          <t>20260914</t>
        </is>
      </c>
      <c r="J14" s="4" t="inlineStr">
        <is>
          <t>ECOLAB LIMITED</t>
        </is>
      </c>
      <c r="K14" s="4" t="inlineStr">
        <is>
          <t>QUATERNARY AMMONIUM COMPOUND DRM</t>
        </is>
      </c>
      <c r="L14" s="4" t="inlineStr">
        <is>
          <t>APPROVAL BY Mr.LEE MINHA DD.07/09/2026 (CLS 8 / UN 2920) Request good and clean container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>
        <f>SUM(M14:U14)-V14</f>
        <v/>
      </c>
      <c r="Y14" s="4">
        <f>MAX(0,M14-MAX(0,V14))</f>
        <v/>
      </c>
      <c r="Z14" s="4">
        <f>MAX(0,N14-MAX(0,V14-SUM(M14:M14)))</f>
        <v/>
      </c>
      <c r="AA14" s="4">
        <f>MAX(0,O14-MAX(0,V14-SUM(M14:N14)))</f>
        <v/>
      </c>
      <c r="AB14" s="4">
        <f>MAX(0,P14-MAX(0,V14-SUM(M14:O14)))</f>
        <v/>
      </c>
      <c r="AC14" s="4">
        <f>MAX(0,Q14-MAX(0,V14-SUM(M14:P14)))</f>
        <v/>
      </c>
      <c r="AD14" s="4">
        <f>MAX(0,R14-MAX(0,V14-SUM(M14:Q14)))</f>
        <v/>
      </c>
      <c r="AE14" s="4">
        <f>MAX(0,S14-MAX(0,V14-SUM(M14:R14)))</f>
        <v/>
      </c>
      <c r="AF14" s="4">
        <f>MAX(0,T14-MAX(0,V14-SUM(M14:S14)))</f>
        <v/>
      </c>
      <c r="AG14" s="4">
        <f>MAX(0,U14-MAX(0,V14-SUM(M14:T14)))</f>
        <v/>
      </c>
    </row>
    <row r="15" ht="13" customHeight="1">
      <c r="A15" s="4" t="inlineStr">
        <is>
          <t>HASLS22260900238</t>
        </is>
      </c>
      <c r="B15" s="4" t="inlineStr">
        <is>
          <t>NSSJ</t>
        </is>
      </c>
      <c r="C15" s="4" t="inlineStr">
        <is>
          <t>2607S</t>
        </is>
      </c>
      <c r="D15" s="4" t="inlineStr">
        <is>
          <t>202609220800</t>
        </is>
      </c>
      <c r="E15" s="4" t="inlineStr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40Hx1 </t>
        </is>
      </c>
      <c r="I15" s="4" t="inlineStr">
        <is>
          <t>20260914</t>
        </is>
      </c>
      <c r="J15" s="4" t="inlineStr">
        <is>
          <t>ECOLAB LIMITED</t>
        </is>
      </c>
      <c r="K15" s="4" t="inlineStr">
        <is>
          <t>FLOOR CLEANER</t>
        </is>
      </c>
      <c r="L15" s="4" t="inlineStr">
        <is>
          <t>Request good and clean container</t>
        </is>
      </c>
      <c r="M15" s="4" t="n">
        <v>0</v>
      </c>
      <c r="N15" s="4" t="n">
        <v>0</v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>
        <f>SUM(M15:U15)-V15</f>
        <v/>
      </c>
      <c r="Y15" s="4">
        <f>MAX(0,M15-MAX(0,V15))</f>
        <v/>
      </c>
      <c r="Z15" s="4">
        <f>MAX(0,N15-MAX(0,V15-SUM(M15:M15)))</f>
        <v/>
      </c>
      <c r="AA15" s="4">
        <f>MAX(0,O15-MAX(0,V15-SUM(M15:N15)))</f>
        <v/>
      </c>
      <c r="AB15" s="4">
        <f>MAX(0,P15-MAX(0,V15-SUM(M15:O15)))</f>
        <v/>
      </c>
      <c r="AC15" s="4">
        <f>MAX(0,Q15-MAX(0,V15-SUM(M15:P15)))</f>
        <v/>
      </c>
      <c r="AD15" s="4">
        <f>MAX(0,R15-MAX(0,V15-SUM(M15:Q15)))</f>
        <v/>
      </c>
      <c r="AE15" s="4">
        <f>MAX(0,S15-MAX(0,V15-SUM(M15:R15)))</f>
        <v/>
      </c>
      <c r="AF15" s="4">
        <f>MAX(0,T15-MAX(0,V15-SUM(M15:S15)))</f>
        <v/>
      </c>
      <c r="AG15" s="4">
        <f>MAX(0,U15-MAX(0,V15-SUM(M15:T15)))</f>
        <v/>
      </c>
    </row>
    <row r="16" ht="13" customHeight="1">
      <c r="A16" s="4" t="inlineStr">
        <is>
          <t>HASLS22260900623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202609231400</t>
        </is>
      </c>
      <c r="E16" s="4" t="inlineStr"/>
      <c r="F16" s="4" t="inlineStr">
        <is>
          <t>THLCH</t>
        </is>
      </c>
      <c r="G16" s="4" t="inlineStr">
        <is>
          <t>HKHKG</t>
        </is>
      </c>
      <c r="H16" s="4" t="inlineStr">
        <is>
          <t xml:space="preserve">20'x1 </t>
        </is>
      </c>
      <c r="I16" s="4" t="inlineStr">
        <is>
          <t>20260912</t>
        </is>
      </c>
      <c r="J16" s="4" t="inlineStr">
        <is>
          <t>WESTERN DIGITAL STORAGE TECHNOLOGIES (THAILAND) LTD.</t>
        </is>
      </c>
      <c r="K16" s="4" t="inlineStr">
        <is>
          <t>BOXBLUE BOX</t>
        </is>
      </c>
      <c r="L16" s="4" t="inlineStr">
        <is>
          <t>GOOD AND CLEAN CONTAINER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>
        <f>SUM(M16:U16)-V16</f>
        <v/>
      </c>
      <c r="Y16" s="4">
        <f>MAX(0,M16-MAX(0,V16))</f>
        <v/>
      </c>
      <c r="Z16" s="4">
        <f>MAX(0,N16-MAX(0,V16-SUM(M16:M16)))</f>
        <v/>
      </c>
      <c r="AA16" s="4">
        <f>MAX(0,O16-MAX(0,V16-SUM(M16:N16)))</f>
        <v/>
      </c>
      <c r="AB16" s="4">
        <f>MAX(0,P16-MAX(0,V16-SUM(M16:O16)))</f>
        <v/>
      </c>
      <c r="AC16" s="4">
        <f>MAX(0,Q16-MAX(0,V16-SUM(M16:P16)))</f>
        <v/>
      </c>
      <c r="AD16" s="4">
        <f>MAX(0,R16-MAX(0,V16-SUM(M16:Q16)))</f>
        <v/>
      </c>
      <c r="AE16" s="4">
        <f>MAX(0,S16-MAX(0,V16-SUM(M16:R16)))</f>
        <v/>
      </c>
      <c r="AF16" s="4">
        <f>MAX(0,T16-MAX(0,V16-SUM(M16:S16)))</f>
        <v/>
      </c>
      <c r="AG16" s="4">
        <f>MAX(0,U16-MAX(0,V16-SUM(M16:T16)))</f>
        <v/>
      </c>
    </row>
    <row r="17" ht="13" customHeight="1">
      <c r="A17" s="5" t="inlineStr">
        <is>
          <t>HASLS22260900952</t>
        </is>
      </c>
      <c r="B17" s="5" t="inlineStr">
        <is>
          <t>SKOR</t>
        </is>
      </c>
      <c r="C17" s="5" t="inlineStr">
        <is>
          <t>2611N</t>
        </is>
      </c>
      <c r="D17" s="5" t="inlineStr">
        <is>
          <t>202609271030</t>
        </is>
      </c>
      <c r="E17" s="5" t="inlineStr"/>
      <c r="F17" s="5" t="inlineStr">
        <is>
          <t>THLCH</t>
        </is>
      </c>
      <c r="G17" s="5" t="inlineStr">
        <is>
          <t>CNXMN</t>
        </is>
      </c>
      <c r="H17" s="5" t="inlineStr">
        <is>
          <t xml:space="preserve">R40Hx1 </t>
        </is>
      </c>
      <c r="I17" s="5" t="inlineStr">
        <is>
          <t>20260916</t>
        </is>
      </c>
      <c r="J17" s="5" t="inlineStr">
        <is>
          <t>POSTMAN (THAILAND) CO.,LTD.</t>
        </is>
      </c>
      <c r="K17" s="5" t="inlineStr">
        <is>
          <t>FRESH LONGAN</t>
        </is>
      </c>
      <c r="L17" s="5" t="inlineStr">
        <is>
          <t>RF45REx1 (Temp +2.0℃ / Vent 15% Open)</t>
        </is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1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>
        <f>SUM(M17:U17)-V17</f>
        <v/>
      </c>
      <c r="Y17" s="5">
        <f>MAX(0,M17-MAX(0,V17))</f>
        <v/>
      </c>
      <c r="Z17" s="5">
        <f>MAX(0,N17-MAX(0,V17-SUM(M17:M17)))</f>
        <v/>
      </c>
      <c r="AA17" s="5">
        <f>MAX(0,O17-MAX(0,V17-SUM(M17:N17)))</f>
        <v/>
      </c>
      <c r="AB17" s="5">
        <f>MAX(0,P17-MAX(0,V17-SUM(M17:O17)))</f>
        <v/>
      </c>
      <c r="AC17" s="5">
        <f>MAX(0,Q17-MAX(0,V17-SUM(M17:P17)))</f>
        <v/>
      </c>
      <c r="AD17" s="5">
        <f>MAX(0,R17-MAX(0,V17-SUM(M17:Q17)))</f>
        <v/>
      </c>
      <c r="AE17" s="5">
        <f>MAX(0,S17-MAX(0,V17-SUM(M17:R17)))</f>
        <v/>
      </c>
      <c r="AF17" s="5">
        <f>MAX(0,T17-MAX(0,V17-SUM(M17:S17)))</f>
        <v/>
      </c>
      <c r="AG17" s="5">
        <f>MAX(0,U17-MAX(0,V17-SUM(M17:T17)))</f>
        <v/>
      </c>
    </row>
    <row r="18" ht="13" customHeight="1">
      <c r="A18" s="5" t="inlineStr">
        <is>
          <t>HASLS22260901033</t>
        </is>
      </c>
      <c r="B18" s="5" t="inlineStr">
        <is>
          <t>KMSU</t>
        </is>
      </c>
      <c r="C18" s="5" t="inlineStr">
        <is>
          <t>2607S</t>
        </is>
      </c>
      <c r="D18" s="5" t="inlineStr">
        <is>
          <t>202609271100</t>
        </is>
      </c>
      <c r="E18" s="5" t="inlineStr"/>
      <c r="F18" s="5" t="inlineStr">
        <is>
          <t>THLCH</t>
        </is>
      </c>
      <c r="G18" s="5" t="inlineStr">
        <is>
          <t>IDJKT</t>
        </is>
      </c>
      <c r="H18" s="5" t="inlineStr">
        <is>
          <t xml:space="preserve">R40Hx1 </t>
        </is>
      </c>
      <c r="I18" s="5" t="inlineStr">
        <is>
          <t>20260915</t>
        </is>
      </c>
      <c r="J18" s="5" t="inlineStr">
        <is>
          <t>INTER FRESH CO., LTD.</t>
        </is>
      </c>
      <c r="K18" s="5" t="inlineStr">
        <is>
          <t xml:space="preserve">FRESH LONGAN (TEMP +2.0 / VENT 30%) </t>
        </is>
      </c>
      <c r="L18" s="5" t="inlineStr">
        <is>
          <t>(Temp +2.0℃ / Vent 30% Open) Request for new container and We don't accept STAR COOL brand reefer containers.</t>
        </is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1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>
        <f>SUM(M18:U18)-V18</f>
        <v/>
      </c>
      <c r="Y18" s="5">
        <f>MAX(0,M18-MAX(0,V18))</f>
        <v/>
      </c>
      <c r="Z18" s="5">
        <f>MAX(0,N18-MAX(0,V18-SUM(M18:M18)))</f>
        <v/>
      </c>
      <c r="AA18" s="5">
        <f>MAX(0,O18-MAX(0,V18-SUM(M18:N18)))</f>
        <v/>
      </c>
      <c r="AB18" s="5">
        <f>MAX(0,P18-MAX(0,V18-SUM(M18:O18)))</f>
        <v/>
      </c>
      <c r="AC18" s="5">
        <f>MAX(0,Q18-MAX(0,V18-SUM(M18:P18)))</f>
        <v/>
      </c>
      <c r="AD18" s="5">
        <f>MAX(0,R18-MAX(0,V18-SUM(M18:Q18)))</f>
        <v/>
      </c>
      <c r="AE18" s="5">
        <f>MAX(0,S18-MAX(0,V18-SUM(M18:R18)))</f>
        <v/>
      </c>
      <c r="AF18" s="5">
        <f>MAX(0,T18-MAX(0,V18-SUM(M18:S18)))</f>
        <v/>
      </c>
      <c r="AG18" s="5">
        <f>MAX(0,U18-MAX(0,V18-SUM(M18:T18)))</f>
        <v/>
      </c>
    </row>
    <row r="19" ht="13" customHeight="1">
      <c r="A19" s="5" t="inlineStr">
        <is>
          <t>HASLS22260901034</t>
        </is>
      </c>
      <c r="B19" s="5" t="inlineStr">
        <is>
          <t>KMSU</t>
        </is>
      </c>
      <c r="C19" s="5" t="inlineStr">
        <is>
          <t>2607S</t>
        </is>
      </c>
      <c r="D19" s="5" t="inlineStr">
        <is>
          <t>202609271100</t>
        </is>
      </c>
      <c r="E19" s="5" t="inlineStr"/>
      <c r="F19" s="5" t="inlineStr">
        <is>
          <t>THLCH</t>
        </is>
      </c>
      <c r="G19" s="5" t="inlineStr">
        <is>
          <t>IDJKT</t>
        </is>
      </c>
      <c r="H19" s="5" t="inlineStr">
        <is>
          <t xml:space="preserve">R40Hx1 </t>
        </is>
      </c>
      <c r="I19" s="5" t="inlineStr">
        <is>
          <t>20260915</t>
        </is>
      </c>
      <c r="J19" s="5" t="inlineStr">
        <is>
          <t>INTER FRESH CO., LTD.</t>
        </is>
      </c>
      <c r="K19" s="5" t="inlineStr">
        <is>
          <t xml:space="preserve">FRESH LONGAN (TEMP +2.0 / VENT 30%) </t>
        </is>
      </c>
      <c r="L19" s="5" t="inlineStr">
        <is>
          <t>(Temp+ 2.0℃ / Vent 30% Open) Request for new container and We don't accept STAR COOL brand reefer containers.</t>
        </is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>
        <f>SUM(M19:U19)-V19</f>
        <v/>
      </c>
      <c r="Y19" s="5">
        <f>MAX(0,M19-MAX(0,V19))</f>
        <v/>
      </c>
      <c r="Z19" s="5">
        <f>MAX(0,N19-MAX(0,V19-SUM(M19:M19)))</f>
        <v/>
      </c>
      <c r="AA19" s="5">
        <f>MAX(0,O19-MAX(0,V19-SUM(M19:N19)))</f>
        <v/>
      </c>
      <c r="AB19" s="5">
        <f>MAX(0,P19-MAX(0,V19-SUM(M19:O19)))</f>
        <v/>
      </c>
      <c r="AC19" s="5">
        <f>MAX(0,Q19-MAX(0,V19-SUM(M19:P19)))</f>
        <v/>
      </c>
      <c r="AD19" s="5">
        <f>MAX(0,R19-MAX(0,V19-SUM(M19:Q19)))</f>
        <v/>
      </c>
      <c r="AE19" s="5">
        <f>MAX(0,S19-MAX(0,V19-SUM(M19:R19)))</f>
        <v/>
      </c>
      <c r="AF19" s="5">
        <f>MAX(0,T19-MAX(0,V19-SUM(M19:S19)))</f>
        <v/>
      </c>
      <c r="AG19" s="5">
        <f>MAX(0,U19-MAX(0,V19-SUM(M19:T19)))</f>
        <v/>
      </c>
    </row>
    <row r="20" ht="13" customHeight="1">
      <c r="A20" s="6" t="inlineStr">
        <is>
          <t>TOTAL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>
        <f>SUM(M3:M19)</f>
        <v/>
      </c>
      <c r="N20" s="6">
        <f>SUM(N3:N19)</f>
        <v/>
      </c>
      <c r="O20" s="6">
        <f>SUM(O3:O19)</f>
        <v/>
      </c>
      <c r="P20" s="6">
        <f>SUM(P3:P19)</f>
        <v/>
      </c>
      <c r="Q20" s="6">
        <f>SUM(Q3:Q19)</f>
        <v/>
      </c>
      <c r="R20" s="6">
        <f>SUM(R3:R19)</f>
        <v/>
      </c>
      <c r="S20" s="6">
        <f>SUM(S3:S19)</f>
        <v/>
      </c>
      <c r="T20" s="6">
        <f>SUM(T3:T19)</f>
        <v/>
      </c>
      <c r="U20" s="6">
        <f>SUM(U3:U19)</f>
        <v/>
      </c>
      <c r="V20" s="6">
        <f>SUM(V3:V19)</f>
        <v/>
      </c>
      <c r="W20" s="6" t="n"/>
      <c r="X20" s="6">
        <f>SUM(X3:X19)</f>
        <v/>
      </c>
      <c r="Y20" s="6">
        <f>SUM(Y3:Y19)</f>
        <v/>
      </c>
      <c r="Z20" s="6">
        <f>SUM(Z3:Z19)</f>
        <v/>
      </c>
      <c r="AA20" s="6">
        <f>SUM(AA3:AA19)</f>
        <v/>
      </c>
      <c r="AB20" s="6">
        <f>SUM(AB3:AB19)</f>
        <v/>
      </c>
      <c r="AC20" s="6">
        <f>SUM(AC3:AC19)</f>
        <v/>
      </c>
      <c r="AD20" s="6">
        <f>SUM(AD3:AD19)</f>
        <v/>
      </c>
      <c r="AE20" s="6">
        <f>SUM(AE3:AE19)</f>
        <v/>
      </c>
      <c r="AF20" s="6">
        <f>SUM(AF3:AF19)</f>
        <v/>
      </c>
      <c r="AG20" s="6">
        <f>SUM(AG3:AG19)</f>
        <v/>
      </c>
    </row>
    <row r="23" ht="13" customHeight="1">
      <c r="A23" s="7" t="inlineStr">
        <is>
          <t>Pickup Name</t>
        </is>
      </c>
      <c r="B23" s="7" t="inlineStr">
        <is>
          <t>Number of Records</t>
        </is>
      </c>
      <c r="C23" s="7" t="inlineStr">
        <is>
          <t>Total Balance</t>
        </is>
      </c>
    </row>
    <row r="24" ht="13" customHeight="1">
      <c r="A24" s="4" t="inlineStr">
        <is>
          <t>HAST Logistics Co.,Ltd.</t>
        </is>
      </c>
      <c r="B24" s="4" t="n">
        <v>17</v>
      </c>
      <c r="C24" s="4" t="n">
        <v>29</v>
      </c>
    </row>
    <row r="25" ht="13" customHeight="1">
      <c r="A25" s="6" t="inlineStr">
        <is>
          <t>สรุปยอดบุ๊คทั้งหมด</t>
        </is>
      </c>
      <c r="B25" s="6" t="n">
        <v>17</v>
      </c>
      <c r="C25" s="6" t="n">
        <v>29</v>
      </c>
    </row>
  </sheetData>
  <autoFilter ref="A2:AG19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2026-09-16T10:35:33Z</dcterms:created>
  <dcterms:modified xmlns:dcterms="http://purl.org/dc/terms/" xmlns:xsi="http://www.w3.org/2001/XMLSchema-instance" xsi:type="dcterms:W3CDTF">2026-09-16T10:35:33Z</dcterms:modified>
</cp:coreProperties>
</file>