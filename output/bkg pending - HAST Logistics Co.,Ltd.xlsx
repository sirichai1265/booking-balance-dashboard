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L-USER\Desktop\PENDING BKG\output\"/>
    </mc:Choice>
  </mc:AlternateContent>
  <xr:revisionPtr revIDLastSave="0" documentId="13_ncr:1_{C4BAE0CA-4755-4CEA-BF5F-332AF53AC96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ending" sheetId="1" r:id="rId1"/>
  </sheets>
  <definedNames>
    <definedName name="_xlnm._FilterDatabase" localSheetId="0" hidden="1">Pending!$A$2:$AG$19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0" i="1" l="1"/>
  <c r="Y20" i="1"/>
  <c r="V20" i="1"/>
  <c r="U20" i="1"/>
  <c r="T20" i="1"/>
  <c r="S20" i="1"/>
  <c r="R20" i="1"/>
  <c r="Q20" i="1"/>
  <c r="P20" i="1"/>
  <c r="O20" i="1"/>
  <c r="N20" i="1"/>
  <c r="M20" i="1"/>
  <c r="AG19" i="1"/>
  <c r="AF19" i="1"/>
  <c r="AE19" i="1"/>
  <c r="AD19" i="1"/>
  <c r="AC19" i="1"/>
  <c r="AB19" i="1"/>
  <c r="AA19" i="1"/>
  <c r="Z19" i="1"/>
  <c r="Y19" i="1"/>
  <c r="X19" i="1"/>
  <c r="AG18" i="1"/>
  <c r="AF18" i="1"/>
  <c r="AE18" i="1"/>
  <c r="AD18" i="1"/>
  <c r="AC18" i="1"/>
  <c r="AB18" i="1"/>
  <c r="AA18" i="1"/>
  <c r="Z18" i="1"/>
  <c r="Y18" i="1"/>
  <c r="X18" i="1"/>
  <c r="AG17" i="1"/>
  <c r="AF17" i="1"/>
  <c r="AE17" i="1"/>
  <c r="AD17" i="1"/>
  <c r="AC17" i="1"/>
  <c r="AB17" i="1"/>
  <c r="AA17" i="1"/>
  <c r="Z17" i="1"/>
  <c r="Y17" i="1"/>
  <c r="X17" i="1"/>
  <c r="AG16" i="1"/>
  <c r="AF16" i="1"/>
  <c r="AE16" i="1"/>
  <c r="AD16" i="1"/>
  <c r="AC16" i="1"/>
  <c r="AB16" i="1"/>
  <c r="AA16" i="1"/>
  <c r="Z16" i="1"/>
  <c r="Y16" i="1"/>
  <c r="X16" i="1"/>
  <c r="AG15" i="1"/>
  <c r="AF15" i="1"/>
  <c r="AE15" i="1"/>
  <c r="AD15" i="1"/>
  <c r="AC15" i="1"/>
  <c r="AB15" i="1"/>
  <c r="AA15" i="1"/>
  <c r="Z15" i="1"/>
  <c r="Y15" i="1"/>
  <c r="X15" i="1"/>
  <c r="AG14" i="1"/>
  <c r="AF14" i="1"/>
  <c r="AE14" i="1"/>
  <c r="AD14" i="1"/>
  <c r="AC14" i="1"/>
  <c r="AB14" i="1"/>
  <c r="AA14" i="1"/>
  <c r="Z14" i="1"/>
  <c r="Y14" i="1"/>
  <c r="X14" i="1"/>
  <c r="AG13" i="1"/>
  <c r="AF13" i="1"/>
  <c r="AE13" i="1"/>
  <c r="AD13" i="1"/>
  <c r="AC13" i="1"/>
  <c r="AB13" i="1"/>
  <c r="AA13" i="1"/>
  <c r="Z13" i="1"/>
  <c r="Y13" i="1"/>
  <c r="X13" i="1"/>
  <c r="AG12" i="1"/>
  <c r="AF12" i="1"/>
  <c r="AE12" i="1"/>
  <c r="AD12" i="1"/>
  <c r="AC12" i="1"/>
  <c r="AB12" i="1"/>
  <c r="AA12" i="1"/>
  <c r="Z12" i="1"/>
  <c r="Y12" i="1"/>
  <c r="X12" i="1"/>
  <c r="AG11" i="1"/>
  <c r="AF11" i="1"/>
  <c r="AE11" i="1"/>
  <c r="AD11" i="1"/>
  <c r="AC11" i="1"/>
  <c r="AB11" i="1"/>
  <c r="AA11" i="1"/>
  <c r="Z11" i="1"/>
  <c r="Y11" i="1"/>
  <c r="X11" i="1"/>
  <c r="AG10" i="1"/>
  <c r="AF10" i="1"/>
  <c r="AE10" i="1"/>
  <c r="AD10" i="1"/>
  <c r="AC10" i="1"/>
  <c r="AB10" i="1"/>
  <c r="AA10" i="1"/>
  <c r="Z10" i="1"/>
  <c r="Y10" i="1"/>
  <c r="X10" i="1"/>
  <c r="AG9" i="1"/>
  <c r="AF9" i="1"/>
  <c r="AE9" i="1"/>
  <c r="AD9" i="1"/>
  <c r="AC9" i="1"/>
  <c r="AB9" i="1"/>
  <c r="AA9" i="1"/>
  <c r="Z9" i="1"/>
  <c r="Y9" i="1"/>
  <c r="X9" i="1"/>
  <c r="AG8" i="1"/>
  <c r="AF8" i="1"/>
  <c r="AE8" i="1"/>
  <c r="AD8" i="1"/>
  <c r="AC8" i="1"/>
  <c r="AB8" i="1"/>
  <c r="AA8" i="1"/>
  <c r="Z8" i="1"/>
  <c r="Y8" i="1"/>
  <c r="X8" i="1"/>
  <c r="AG7" i="1"/>
  <c r="AF7" i="1"/>
  <c r="AE7" i="1"/>
  <c r="AD7" i="1"/>
  <c r="AC7" i="1"/>
  <c r="AB7" i="1"/>
  <c r="AA7" i="1"/>
  <c r="Z7" i="1"/>
  <c r="Y7" i="1"/>
  <c r="X7" i="1"/>
  <c r="AG6" i="1"/>
  <c r="AF6" i="1"/>
  <c r="AE6" i="1"/>
  <c r="AD6" i="1"/>
  <c r="AC6" i="1"/>
  <c r="AB6" i="1"/>
  <c r="AA6" i="1"/>
  <c r="Z6" i="1"/>
  <c r="Y6" i="1"/>
  <c r="X6" i="1"/>
  <c r="AG5" i="1"/>
  <c r="AF5" i="1"/>
  <c r="AE5" i="1"/>
  <c r="AD5" i="1"/>
  <c r="AC5" i="1"/>
  <c r="AB5" i="1"/>
  <c r="AA5" i="1"/>
  <c r="Z5" i="1"/>
  <c r="Y5" i="1"/>
  <c r="X5" i="1"/>
  <c r="AG4" i="1"/>
  <c r="AF4" i="1"/>
  <c r="AE4" i="1"/>
  <c r="AD4" i="1"/>
  <c r="AC4" i="1"/>
  <c r="AB4" i="1"/>
  <c r="AA4" i="1"/>
  <c r="Z4" i="1"/>
  <c r="Y4" i="1"/>
  <c r="X4" i="1"/>
  <c r="AG3" i="1"/>
  <c r="AG20" i="1" s="1"/>
  <c r="AF3" i="1"/>
  <c r="AF20" i="1" s="1"/>
  <c r="AE3" i="1"/>
  <c r="AE20" i="1" s="1"/>
  <c r="AD3" i="1"/>
  <c r="AC3" i="1"/>
  <c r="AC20" i="1" s="1"/>
  <c r="AB3" i="1"/>
  <c r="AB20" i="1" s="1"/>
  <c r="AA3" i="1"/>
  <c r="AA20" i="1" s="1"/>
  <c r="Z3" i="1"/>
  <c r="Z20" i="1" s="1"/>
  <c r="Y3" i="1"/>
  <c r="X3" i="1"/>
  <c r="X20" i="1" s="1"/>
</calcChain>
</file>

<file path=xl/sharedStrings.xml><?xml version="1.0" encoding="utf-8"?>
<sst xmlns="http://schemas.openxmlformats.org/spreadsheetml/2006/main" count="227" uniqueCount="115">
  <si>
    <t>BKG PENDING — HAST Logistics Co.,Ltd.   (LCH27)</t>
  </si>
  <si>
    <t>BK No</t>
  </si>
  <si>
    <t>VSL</t>
  </si>
  <si>
    <t>VOY</t>
  </si>
  <si>
    <t>ETD</t>
  </si>
  <si>
    <t>POR</t>
  </si>
  <si>
    <t>LOD</t>
  </si>
  <si>
    <t>DIS</t>
  </si>
  <si>
    <t>TPSZ</t>
  </si>
  <si>
    <t>TRAN DT</t>
  </si>
  <si>
    <t>ORG CUST</t>
  </si>
  <si>
    <t>COMMODITY</t>
  </si>
  <si>
    <t>TRAFFIC ORDER</t>
  </si>
  <si>
    <t>GP22</t>
  </si>
  <si>
    <t>GP42</t>
  </si>
  <si>
    <t>GP45</t>
  </si>
  <si>
    <t>RE22</t>
  </si>
  <si>
    <t>RE45</t>
  </si>
  <si>
    <t>UT22</t>
  </si>
  <si>
    <t>UT42</t>
  </si>
  <si>
    <t>PC22</t>
  </si>
  <si>
    <t>PC42</t>
  </si>
  <si>
    <t>Pickup</t>
  </si>
  <si>
    <t>Return</t>
  </si>
  <si>
    <t>Balance (Booked - Pickup)</t>
  </si>
  <si>
    <t>HASLS22260701405</t>
  </si>
  <si>
    <t>SWIC</t>
  </si>
  <si>
    <t>2610N</t>
  </si>
  <si>
    <t>202609220400</t>
  </si>
  <si>
    <t>THLCH</t>
  </si>
  <si>
    <t>VNSGN</t>
  </si>
  <si>
    <t xml:space="preserve">40Hx4 </t>
  </si>
  <si>
    <t>20260909</t>
  </si>
  <si>
    <t>PTT GLOBAL CHEMICAL PUBLIC COMPANY LIMITED</t>
  </si>
  <si>
    <t>RESIN</t>
  </si>
  <si>
    <t>GOOD AND CLEAN CTNR</t>
  </si>
  <si>
    <t>HASLS22260801614</t>
  </si>
  <si>
    <t>ICVY</t>
  </si>
  <si>
    <t>2607S</t>
  </si>
  <si>
    <t>202609211900</t>
  </si>
  <si>
    <t>IDJKT</t>
  </si>
  <si>
    <t xml:space="preserve">20'x1 </t>
  </si>
  <si>
    <t>20260916</t>
  </si>
  <si>
    <t>INGREDION (THAILAND) CO., LTD.</t>
  </si>
  <si>
    <t>MODIFIED TAPIOCA STARCH (GRADE : PURITY 21T)</t>
  </si>
  <si>
    <t>GOOD AND CLEAN CONTAINER</t>
  </si>
  <si>
    <t>HASLS22260801673</t>
  </si>
  <si>
    <t>KJT</t>
  </si>
  <si>
    <t>202609231400</t>
  </si>
  <si>
    <t>CNSHK</t>
  </si>
  <si>
    <t xml:space="preserve">R40Hx1 </t>
  </si>
  <si>
    <t>20260905</t>
  </si>
  <si>
    <t>POSTMAN (THAILAND) CO.,LTD.</t>
  </si>
  <si>
    <t>FRESH COCONUT</t>
  </si>
  <si>
    <t>RF45REx1 (Temp +2.0℃ / Vent 10% Open)</t>
  </si>
  <si>
    <t>HASLS22260801674</t>
  </si>
  <si>
    <t>HASLS22260801675</t>
  </si>
  <si>
    <t>HASLS22260801677</t>
  </si>
  <si>
    <t>CMA</t>
  </si>
  <si>
    <t>2614N</t>
  </si>
  <si>
    <t>202609250500</t>
  </si>
  <si>
    <t>20260907</t>
  </si>
  <si>
    <t>HASLS22260801679</t>
  </si>
  <si>
    <t>HASLS22260801681</t>
  </si>
  <si>
    <t>HASLS22260801684</t>
  </si>
  <si>
    <t>SWAT</t>
  </si>
  <si>
    <t>202610041300</t>
  </si>
  <si>
    <t>20260914</t>
  </si>
  <si>
    <t>HASLS22260801685</t>
  </si>
  <si>
    <t>HASLS22260900107</t>
  </si>
  <si>
    <t>HAB</t>
  </si>
  <si>
    <t>2612N</t>
  </si>
  <si>
    <t>202610250630</t>
  </si>
  <si>
    <t>CNSHA</t>
  </si>
  <si>
    <t xml:space="preserve">20'x10 </t>
  </si>
  <si>
    <t>EIAM THONGCHAI INDUSTRY CO.,LTD.</t>
  </si>
  <si>
    <t>STARCH</t>
  </si>
  <si>
    <t>REQ : FOOD GRADE CONTAINER CLEAR &amp;DRY NO OIL NO RUSTY</t>
  </si>
  <si>
    <t>HASLS22260900237</t>
  </si>
  <si>
    <t>NSSJ</t>
  </si>
  <si>
    <t>202609220800</t>
  </si>
  <si>
    <t xml:space="preserve">40Hx1 </t>
  </si>
  <si>
    <t>ECOLAB LIMITED</t>
  </si>
  <si>
    <t>QUATERNARY AMMONIUM COMPOUND DRM</t>
  </si>
  <si>
    <t>APPROVAL BY Mr.LEE MINHA DD.07/09/2026 (CLS 8 / UN 2920) Request good and clean container</t>
  </si>
  <si>
    <t>HASLS22260900238</t>
  </si>
  <si>
    <t>FLOOR CLEANER</t>
  </si>
  <si>
    <t>Request good and clean container</t>
  </si>
  <si>
    <t>HASLS22260900623</t>
  </si>
  <si>
    <t>HKHKG</t>
  </si>
  <si>
    <t>20260912</t>
  </si>
  <si>
    <t>WESTERN DIGITAL STORAGE TECHNOLOGIES (THAILAND) LTD.</t>
  </si>
  <si>
    <t>BOXBLUE BOX</t>
  </si>
  <si>
    <t>HASLS22260900952</t>
  </si>
  <si>
    <t>SKOR</t>
  </si>
  <si>
    <t>2611N</t>
  </si>
  <si>
    <t>202609271030</t>
  </si>
  <si>
    <t>CNXMN</t>
  </si>
  <si>
    <t>FRESH LONGAN</t>
  </si>
  <si>
    <t>RF45REx1 (Temp +2.0℃ / Vent 15% Open)</t>
  </si>
  <si>
    <t>HASLS22260901033</t>
  </si>
  <si>
    <t>KMSU</t>
  </si>
  <si>
    <t>202609271100</t>
  </si>
  <si>
    <t>20260915</t>
  </si>
  <si>
    <t>INTER FRESH CO., LTD.</t>
  </si>
  <si>
    <t xml:space="preserve">FRESH LONGAN (TEMP +2.0 / VENT 30%) </t>
  </si>
  <si>
    <t>(Temp +2.0℃ / Vent 30% Open) Request for new container and We don't accept STAR COOL brand reefer containers.</t>
  </si>
  <si>
    <t>HASLS22260901034</t>
  </si>
  <si>
    <t>(Temp+ 2.0℃ / Vent 30% Open) Request for new container and We don't accept STAR COOL brand reefer containers.</t>
  </si>
  <si>
    <t>TOTAL</t>
  </si>
  <si>
    <t>Pickup Name</t>
  </si>
  <si>
    <t>Number of Records</t>
  </si>
  <si>
    <t>Total Balance</t>
  </si>
  <si>
    <t>HAST Logistics Co.,Ltd.</t>
  </si>
  <si>
    <t>สรุปยอดบุ๊คทั้งหมด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</si>
</sst>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Tahoma"/>
      <family val="2"/>
      <scheme val="minor"/>
    </font>
    <font>
      <b/>
      <sz val="13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FFFF00"/>
      </patternFill>
    </fill>
    <fill>
      <patternFill patternType="solid">
        <fgColor rgb="FFD9E1F2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5"/>
  <sheetViews>
    <sheetView tabSelected="1" workbookViewId="0">
      <pane ySplit="2" topLeftCell="A3" activePane="bottomLeft" state="frozen"/>
      <selection pane="bottomLeft" activeCell="K26" sqref="K25:K26"/>
    </sheetView>
  </sheetViews>
  <sheetFormatPr defaultRowHeight="14.25" x14ac:dyDescent="0.2"/>
  <cols>
    <col min="1" max="1" width="18" customWidth="1"/>
    <col min="2" max="2" width="8" customWidth="1"/>
    <col min="3" max="3" width="11.125" bestFit="1" customWidth="1"/>
    <col min="4" max="6" width="11" hidden="1" customWidth="1"/>
    <col min="7" max="8" width="6.875" bestFit="1" customWidth="1"/>
    <col min="9" max="9" width="7.875" bestFit="1" customWidth="1"/>
    <col min="10" max="10" width="26" customWidth="1"/>
    <col min="11" max="11" width="24" customWidth="1"/>
    <col min="12" max="12" width="28" customWidth="1"/>
    <col min="13" max="23" width="11" hidden="1" customWidth="1"/>
    <col min="24" max="24" width="22" hidden="1" customWidth="1"/>
    <col min="25" max="29" width="4.375" customWidth="1"/>
    <col min="30" max="33" width="4.375" hidden="1" customWidth="1"/>
  </cols>
  <sheetData>
    <row r="1" spans="1:33" ht="12.95" customHeight="1" x14ac:dyDescent="0.3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 spans="1:33" ht="12.95" customHeight="1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13</v>
      </c>
      <c r="Z2" s="1" t="s">
        <v>14</v>
      </c>
      <c r="AA2" s="1" t="s">
        <v>15</v>
      </c>
      <c r="AB2" s="1" t="s">
        <v>16</v>
      </c>
      <c r="AC2" s="1" t="s">
        <v>17</v>
      </c>
      <c r="AD2" s="1" t="s">
        <v>18</v>
      </c>
      <c r="AE2" s="1" t="s">
        <v>19</v>
      </c>
      <c r="AF2" s="1" t="s">
        <v>20</v>
      </c>
      <c r="AG2" s="1" t="s">
        <v>21</v>
      </c>
    </row>
    <row r="3" spans="1:33" ht="12.95" customHeight="1" x14ac:dyDescent="0.25">
      <c r="A3" s="2" t="s">
        <v>25</v>
      </c>
      <c r="B3" s="2" t="s">
        <v>26</v>
      </c>
      <c r="C3" s="2" t="s">
        <v>27</v>
      </c>
      <c r="D3" s="2" t="s">
        <v>28</v>
      </c>
      <c r="E3" s="2"/>
      <c r="F3" s="2" t="s">
        <v>29</v>
      </c>
      <c r="G3" s="2" t="s">
        <v>30</v>
      </c>
      <c r="H3" s="2" t="s">
        <v>31</v>
      </c>
      <c r="I3" s="2" t="s">
        <v>32</v>
      </c>
      <c r="J3" s="2" t="s">
        <v>33</v>
      </c>
      <c r="K3" s="2" t="s">
        <v>34</v>
      </c>
      <c r="L3" s="2" t="s">
        <v>35</v>
      </c>
      <c r="M3" s="2">
        <v>0</v>
      </c>
      <c r="N3" s="2">
        <v>0</v>
      </c>
      <c r="O3" s="2">
        <v>4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f t="shared" ref="X3:X19" si="0">SUM(M3:U3)-V3</f>
        <v>4</v>
      </c>
      <c r="Y3" s="2">
        <f t="shared" ref="Y3:Y19" si="1">MAX(0,M3-MAX(0,V3))</f>
        <v>0</v>
      </c>
      <c r="Z3" s="2">
        <f t="shared" ref="Z3:Z19" si="2">MAX(0,N3-MAX(0,V3-SUM(M3:M3)))</f>
        <v>0</v>
      </c>
      <c r="AA3" s="2">
        <f t="shared" ref="AA3:AA19" si="3">MAX(0,O3-MAX(0,V3-SUM(M3:N3)))</f>
        <v>4</v>
      </c>
      <c r="AB3" s="2">
        <f t="shared" ref="AB3:AB19" si="4">MAX(0,P3-MAX(0,V3-SUM(M3:O3)))</f>
        <v>0</v>
      </c>
      <c r="AC3" s="2">
        <f t="shared" ref="AC3:AC19" si="5">MAX(0,Q3-MAX(0,V3-SUM(M3:P3)))</f>
        <v>0</v>
      </c>
      <c r="AD3" s="2">
        <f t="shared" ref="AD3:AD19" si="6">MAX(0,R3-MAX(0,V3-SUM(M3:Q3)))</f>
        <v>0</v>
      </c>
      <c r="AE3" s="2">
        <f t="shared" ref="AE3:AE19" si="7">MAX(0,S3-MAX(0,V3-SUM(M3:R3)))</f>
        <v>0</v>
      </c>
      <c r="AF3" s="2">
        <f t="shared" ref="AF3:AF19" si="8">MAX(0,T3-MAX(0,V3-SUM(M3:S3)))</f>
        <v>0</v>
      </c>
      <c r="AG3" s="2">
        <f t="shared" ref="AG3:AG19" si="9">MAX(0,U3-MAX(0,V3-SUM(M3:T3)))</f>
        <v>0</v>
      </c>
    </row>
    <row r="4" spans="1:33" ht="12.95" customHeight="1" x14ac:dyDescent="0.25">
      <c r="A4" s="2" t="s">
        <v>36</v>
      </c>
      <c r="B4" s="2" t="s">
        <v>37</v>
      </c>
      <c r="C4" s="2" t="s">
        <v>38</v>
      </c>
      <c r="D4" s="2" t="s">
        <v>39</v>
      </c>
      <c r="E4" s="2"/>
      <c r="F4" s="2" t="s">
        <v>29</v>
      </c>
      <c r="G4" s="2" t="s">
        <v>40</v>
      </c>
      <c r="H4" s="2" t="s">
        <v>41</v>
      </c>
      <c r="I4" s="2" t="s">
        <v>42</v>
      </c>
      <c r="J4" s="2" t="s">
        <v>43</v>
      </c>
      <c r="K4" s="2" t="s">
        <v>44</v>
      </c>
      <c r="L4" s="2" t="s">
        <v>45</v>
      </c>
      <c r="M4" s="2">
        <v>1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f t="shared" si="0"/>
        <v>1</v>
      </c>
      <c r="Y4" s="2">
        <f t="shared" si="1"/>
        <v>1</v>
      </c>
      <c r="Z4" s="2">
        <f t="shared" si="2"/>
        <v>0</v>
      </c>
      <c r="AA4" s="2">
        <f t="shared" si="3"/>
        <v>0</v>
      </c>
      <c r="AB4" s="2">
        <f t="shared" si="4"/>
        <v>0</v>
      </c>
      <c r="AC4" s="2">
        <f t="shared" si="5"/>
        <v>0</v>
      </c>
      <c r="AD4" s="2">
        <f t="shared" si="6"/>
        <v>0</v>
      </c>
      <c r="AE4" s="2">
        <f t="shared" si="7"/>
        <v>0</v>
      </c>
      <c r="AF4" s="2">
        <f t="shared" si="8"/>
        <v>0</v>
      </c>
      <c r="AG4" s="2">
        <f t="shared" si="9"/>
        <v>0</v>
      </c>
    </row>
    <row r="5" spans="1:33" ht="12.95" customHeight="1" x14ac:dyDescent="0.25">
      <c r="A5" s="3" t="s">
        <v>46</v>
      </c>
      <c r="B5" s="3" t="s">
        <v>47</v>
      </c>
      <c r="C5" s="3" t="s">
        <v>27</v>
      </c>
      <c r="D5" s="3" t="s">
        <v>48</v>
      </c>
      <c r="E5" s="3"/>
      <c r="F5" s="3" t="s">
        <v>29</v>
      </c>
      <c r="G5" s="3" t="s">
        <v>49</v>
      </c>
      <c r="H5" s="3" t="s">
        <v>50</v>
      </c>
      <c r="I5" s="3" t="s">
        <v>51</v>
      </c>
      <c r="J5" s="3" t="s">
        <v>52</v>
      </c>
      <c r="K5" s="3" t="s">
        <v>53</v>
      </c>
      <c r="L5" s="3" t="s">
        <v>54</v>
      </c>
      <c r="M5" s="3">
        <v>0</v>
      </c>
      <c r="N5" s="3">
        <v>0</v>
      </c>
      <c r="O5" s="3">
        <v>0</v>
      </c>
      <c r="P5" s="3">
        <v>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f t="shared" si="0"/>
        <v>1</v>
      </c>
      <c r="Y5" s="3">
        <f t="shared" si="1"/>
        <v>0</v>
      </c>
      <c r="Z5" s="3">
        <f t="shared" si="2"/>
        <v>0</v>
      </c>
      <c r="AA5" s="3">
        <f t="shared" si="3"/>
        <v>0</v>
      </c>
      <c r="AB5" s="3">
        <f t="shared" si="4"/>
        <v>0</v>
      </c>
      <c r="AC5" s="3">
        <f t="shared" si="5"/>
        <v>1</v>
      </c>
      <c r="AD5" s="3">
        <f t="shared" si="6"/>
        <v>0</v>
      </c>
      <c r="AE5" s="3">
        <f t="shared" si="7"/>
        <v>0</v>
      </c>
      <c r="AF5" s="3">
        <f t="shared" si="8"/>
        <v>0</v>
      </c>
      <c r="AG5" s="3">
        <f t="shared" si="9"/>
        <v>0</v>
      </c>
    </row>
    <row r="6" spans="1:33" ht="12.95" customHeight="1" x14ac:dyDescent="0.25">
      <c r="A6" s="3" t="s">
        <v>55</v>
      </c>
      <c r="B6" s="3" t="s">
        <v>47</v>
      </c>
      <c r="C6" s="3" t="s">
        <v>27</v>
      </c>
      <c r="D6" s="3" t="s">
        <v>48</v>
      </c>
      <c r="E6" s="3"/>
      <c r="F6" s="3" t="s">
        <v>29</v>
      </c>
      <c r="G6" s="3" t="s">
        <v>49</v>
      </c>
      <c r="H6" s="3" t="s">
        <v>50</v>
      </c>
      <c r="I6" s="3" t="s">
        <v>51</v>
      </c>
      <c r="J6" s="3" t="s">
        <v>52</v>
      </c>
      <c r="K6" s="3" t="s">
        <v>53</v>
      </c>
      <c r="L6" s="3" t="s">
        <v>54</v>
      </c>
      <c r="M6" s="3">
        <v>0</v>
      </c>
      <c r="N6" s="3">
        <v>0</v>
      </c>
      <c r="O6" s="3">
        <v>0</v>
      </c>
      <c r="P6" s="3">
        <v>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f t="shared" si="0"/>
        <v>1</v>
      </c>
      <c r="Y6" s="3">
        <f t="shared" si="1"/>
        <v>0</v>
      </c>
      <c r="Z6" s="3">
        <f t="shared" si="2"/>
        <v>0</v>
      </c>
      <c r="AA6" s="3">
        <f t="shared" si="3"/>
        <v>0</v>
      </c>
      <c r="AB6" s="3">
        <f t="shared" si="4"/>
        <v>0</v>
      </c>
      <c r="AC6" s="3">
        <f t="shared" si="5"/>
        <v>1</v>
      </c>
      <c r="AD6" s="3">
        <f t="shared" si="6"/>
        <v>0</v>
      </c>
      <c r="AE6" s="3">
        <f t="shared" si="7"/>
        <v>0</v>
      </c>
      <c r="AF6" s="3">
        <f t="shared" si="8"/>
        <v>0</v>
      </c>
      <c r="AG6" s="3">
        <f t="shared" si="9"/>
        <v>0</v>
      </c>
    </row>
    <row r="7" spans="1:33" ht="12.95" customHeight="1" x14ac:dyDescent="0.25">
      <c r="A7" s="3" t="s">
        <v>56</v>
      </c>
      <c r="B7" s="3" t="s">
        <v>47</v>
      </c>
      <c r="C7" s="3" t="s">
        <v>27</v>
      </c>
      <c r="D7" s="3" t="s">
        <v>48</v>
      </c>
      <c r="E7" s="3"/>
      <c r="F7" s="3" t="s">
        <v>29</v>
      </c>
      <c r="G7" s="3" t="s">
        <v>49</v>
      </c>
      <c r="H7" s="3" t="s">
        <v>50</v>
      </c>
      <c r="I7" s="3" t="s">
        <v>51</v>
      </c>
      <c r="J7" s="3" t="s">
        <v>52</v>
      </c>
      <c r="K7" s="3" t="s">
        <v>53</v>
      </c>
      <c r="L7" s="3" t="s">
        <v>54</v>
      </c>
      <c r="M7" s="3">
        <v>0</v>
      </c>
      <c r="N7" s="3">
        <v>0</v>
      </c>
      <c r="O7" s="3">
        <v>0</v>
      </c>
      <c r="P7" s="3">
        <v>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f t="shared" si="0"/>
        <v>1</v>
      </c>
      <c r="Y7" s="3">
        <f t="shared" si="1"/>
        <v>0</v>
      </c>
      <c r="Z7" s="3">
        <f t="shared" si="2"/>
        <v>0</v>
      </c>
      <c r="AA7" s="3">
        <f t="shared" si="3"/>
        <v>0</v>
      </c>
      <c r="AB7" s="3">
        <f t="shared" si="4"/>
        <v>0</v>
      </c>
      <c r="AC7" s="3">
        <f t="shared" si="5"/>
        <v>1</v>
      </c>
      <c r="AD7" s="3">
        <f t="shared" si="6"/>
        <v>0</v>
      </c>
      <c r="AE7" s="3">
        <f t="shared" si="7"/>
        <v>0</v>
      </c>
      <c r="AF7" s="3">
        <f t="shared" si="8"/>
        <v>0</v>
      </c>
      <c r="AG7" s="3">
        <f t="shared" si="9"/>
        <v>0</v>
      </c>
    </row>
    <row r="8" spans="1:33" ht="12.95" customHeight="1" x14ac:dyDescent="0.25">
      <c r="A8" s="3" t="s">
        <v>57</v>
      </c>
      <c r="B8" s="3" t="s">
        <v>58</v>
      </c>
      <c r="C8" s="3" t="s">
        <v>59</v>
      </c>
      <c r="D8" s="3" t="s">
        <v>60</v>
      </c>
      <c r="E8" s="3"/>
      <c r="F8" s="3" t="s">
        <v>29</v>
      </c>
      <c r="G8" s="3" t="s">
        <v>49</v>
      </c>
      <c r="H8" s="3" t="s">
        <v>50</v>
      </c>
      <c r="I8" s="3" t="s">
        <v>61</v>
      </c>
      <c r="J8" s="3" t="s">
        <v>52</v>
      </c>
      <c r="K8" s="3" t="s">
        <v>53</v>
      </c>
      <c r="L8" s="3" t="s">
        <v>54</v>
      </c>
      <c r="M8" s="3">
        <v>0</v>
      </c>
      <c r="N8" s="3">
        <v>0</v>
      </c>
      <c r="O8" s="3">
        <v>0</v>
      </c>
      <c r="P8" s="3">
        <v>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f t="shared" si="0"/>
        <v>1</v>
      </c>
      <c r="Y8" s="3">
        <f t="shared" si="1"/>
        <v>0</v>
      </c>
      <c r="Z8" s="3">
        <f t="shared" si="2"/>
        <v>0</v>
      </c>
      <c r="AA8" s="3">
        <f t="shared" si="3"/>
        <v>0</v>
      </c>
      <c r="AB8" s="3">
        <f t="shared" si="4"/>
        <v>0</v>
      </c>
      <c r="AC8" s="3">
        <f t="shared" si="5"/>
        <v>1</v>
      </c>
      <c r="AD8" s="3">
        <f t="shared" si="6"/>
        <v>0</v>
      </c>
      <c r="AE8" s="3">
        <f t="shared" si="7"/>
        <v>0</v>
      </c>
      <c r="AF8" s="3">
        <f t="shared" si="8"/>
        <v>0</v>
      </c>
      <c r="AG8" s="3">
        <f t="shared" si="9"/>
        <v>0</v>
      </c>
    </row>
    <row r="9" spans="1:33" ht="12.95" customHeight="1" x14ac:dyDescent="0.25">
      <c r="A9" s="3" t="s">
        <v>62</v>
      </c>
      <c r="B9" s="3" t="s">
        <v>58</v>
      </c>
      <c r="C9" s="3" t="s">
        <v>59</v>
      </c>
      <c r="D9" s="3" t="s">
        <v>60</v>
      </c>
      <c r="E9" s="3"/>
      <c r="F9" s="3" t="s">
        <v>29</v>
      </c>
      <c r="G9" s="3" t="s">
        <v>49</v>
      </c>
      <c r="H9" s="3" t="s">
        <v>50</v>
      </c>
      <c r="I9" s="3" t="s">
        <v>61</v>
      </c>
      <c r="J9" s="3" t="s">
        <v>52</v>
      </c>
      <c r="K9" s="3" t="s">
        <v>53</v>
      </c>
      <c r="L9" s="3" t="s">
        <v>54</v>
      </c>
      <c r="M9" s="3">
        <v>0</v>
      </c>
      <c r="N9" s="3">
        <v>0</v>
      </c>
      <c r="O9" s="3">
        <v>0</v>
      </c>
      <c r="P9" s="3">
        <v>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f t="shared" si="0"/>
        <v>1</v>
      </c>
      <c r="Y9" s="3">
        <f t="shared" si="1"/>
        <v>0</v>
      </c>
      <c r="Z9" s="3">
        <f t="shared" si="2"/>
        <v>0</v>
      </c>
      <c r="AA9" s="3">
        <f t="shared" si="3"/>
        <v>0</v>
      </c>
      <c r="AB9" s="3">
        <f t="shared" si="4"/>
        <v>0</v>
      </c>
      <c r="AC9" s="3">
        <f t="shared" si="5"/>
        <v>1</v>
      </c>
      <c r="AD9" s="3">
        <f t="shared" si="6"/>
        <v>0</v>
      </c>
      <c r="AE9" s="3">
        <f t="shared" si="7"/>
        <v>0</v>
      </c>
      <c r="AF9" s="3">
        <f t="shared" si="8"/>
        <v>0</v>
      </c>
      <c r="AG9" s="3">
        <f t="shared" si="9"/>
        <v>0</v>
      </c>
    </row>
    <row r="10" spans="1:33" ht="12.95" customHeight="1" x14ac:dyDescent="0.25">
      <c r="A10" s="3" t="s">
        <v>63</v>
      </c>
      <c r="B10" s="3" t="s">
        <v>58</v>
      </c>
      <c r="C10" s="3" t="s">
        <v>59</v>
      </c>
      <c r="D10" s="3" t="s">
        <v>60</v>
      </c>
      <c r="E10" s="3"/>
      <c r="F10" s="3" t="s">
        <v>29</v>
      </c>
      <c r="G10" s="3" t="s">
        <v>49</v>
      </c>
      <c r="H10" s="3" t="s">
        <v>50</v>
      </c>
      <c r="I10" s="3" t="s">
        <v>61</v>
      </c>
      <c r="J10" s="3" t="s">
        <v>52</v>
      </c>
      <c r="K10" s="3" t="s">
        <v>53</v>
      </c>
      <c r="L10" s="3" t="s">
        <v>54</v>
      </c>
      <c r="M10" s="3">
        <v>0</v>
      </c>
      <c r="N10" s="3">
        <v>0</v>
      </c>
      <c r="O10" s="3">
        <v>0</v>
      </c>
      <c r="P10" s="3">
        <v>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f t="shared" si="0"/>
        <v>1</v>
      </c>
      <c r="Y10" s="3">
        <f t="shared" si="1"/>
        <v>0</v>
      </c>
      <c r="Z10" s="3">
        <f t="shared" si="2"/>
        <v>0</v>
      </c>
      <c r="AA10" s="3">
        <f t="shared" si="3"/>
        <v>0</v>
      </c>
      <c r="AB10" s="3">
        <f t="shared" si="4"/>
        <v>0</v>
      </c>
      <c r="AC10" s="3">
        <f t="shared" si="5"/>
        <v>1</v>
      </c>
      <c r="AD10" s="3">
        <f t="shared" si="6"/>
        <v>0</v>
      </c>
      <c r="AE10" s="3">
        <f t="shared" si="7"/>
        <v>0</v>
      </c>
      <c r="AF10" s="3">
        <f t="shared" si="8"/>
        <v>0</v>
      </c>
      <c r="AG10" s="3">
        <f t="shared" si="9"/>
        <v>0</v>
      </c>
    </row>
    <row r="11" spans="1:33" ht="12.95" customHeight="1" x14ac:dyDescent="0.25">
      <c r="A11" s="3" t="s">
        <v>64</v>
      </c>
      <c r="B11" s="3" t="s">
        <v>65</v>
      </c>
      <c r="C11" s="3" t="s">
        <v>27</v>
      </c>
      <c r="D11" s="3" t="s">
        <v>66</v>
      </c>
      <c r="E11" s="3"/>
      <c r="F11" s="3" t="s">
        <v>29</v>
      </c>
      <c r="G11" s="3" t="s">
        <v>49</v>
      </c>
      <c r="H11" s="3" t="s">
        <v>50</v>
      </c>
      <c r="I11" s="3" t="s">
        <v>67</v>
      </c>
      <c r="J11" s="3" t="s">
        <v>52</v>
      </c>
      <c r="K11" s="3" t="s">
        <v>53</v>
      </c>
      <c r="L11" s="3" t="s">
        <v>54</v>
      </c>
      <c r="M11" s="3">
        <v>0</v>
      </c>
      <c r="N11" s="3">
        <v>0</v>
      </c>
      <c r="O11" s="3">
        <v>0</v>
      </c>
      <c r="P11" s="3">
        <v>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f t="shared" si="0"/>
        <v>1</v>
      </c>
      <c r="Y11" s="3">
        <f t="shared" si="1"/>
        <v>0</v>
      </c>
      <c r="Z11" s="3">
        <f t="shared" si="2"/>
        <v>0</v>
      </c>
      <c r="AA11" s="3">
        <f t="shared" si="3"/>
        <v>0</v>
      </c>
      <c r="AB11" s="3">
        <f t="shared" si="4"/>
        <v>0</v>
      </c>
      <c r="AC11" s="3">
        <f t="shared" si="5"/>
        <v>1</v>
      </c>
      <c r="AD11" s="3">
        <f t="shared" si="6"/>
        <v>0</v>
      </c>
      <c r="AE11" s="3">
        <f t="shared" si="7"/>
        <v>0</v>
      </c>
      <c r="AF11" s="3">
        <f t="shared" si="8"/>
        <v>0</v>
      </c>
      <c r="AG11" s="3">
        <f t="shared" si="9"/>
        <v>0</v>
      </c>
    </row>
    <row r="12" spans="1:33" ht="12.95" customHeight="1" x14ac:dyDescent="0.25">
      <c r="A12" s="3" t="s">
        <v>68</v>
      </c>
      <c r="B12" s="3" t="s">
        <v>65</v>
      </c>
      <c r="C12" s="3" t="s">
        <v>27</v>
      </c>
      <c r="D12" s="3" t="s">
        <v>66</v>
      </c>
      <c r="E12" s="3"/>
      <c r="F12" s="3" t="s">
        <v>29</v>
      </c>
      <c r="G12" s="3" t="s">
        <v>49</v>
      </c>
      <c r="H12" s="3" t="s">
        <v>50</v>
      </c>
      <c r="I12" s="3" t="s">
        <v>67</v>
      </c>
      <c r="J12" s="3" t="s">
        <v>52</v>
      </c>
      <c r="K12" s="3" t="s">
        <v>53</v>
      </c>
      <c r="L12" s="3" t="s">
        <v>54</v>
      </c>
      <c r="M12" s="3">
        <v>0</v>
      </c>
      <c r="N12" s="3">
        <v>0</v>
      </c>
      <c r="O12" s="3">
        <v>0</v>
      </c>
      <c r="P12" s="3">
        <v>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f t="shared" si="0"/>
        <v>1</v>
      </c>
      <c r="Y12" s="3">
        <f t="shared" si="1"/>
        <v>0</v>
      </c>
      <c r="Z12" s="3">
        <f t="shared" si="2"/>
        <v>0</v>
      </c>
      <c r="AA12" s="3">
        <f t="shared" si="3"/>
        <v>0</v>
      </c>
      <c r="AB12" s="3">
        <f t="shared" si="4"/>
        <v>0</v>
      </c>
      <c r="AC12" s="3">
        <f t="shared" si="5"/>
        <v>1</v>
      </c>
      <c r="AD12" s="3">
        <f t="shared" si="6"/>
        <v>0</v>
      </c>
      <c r="AE12" s="3">
        <f t="shared" si="7"/>
        <v>0</v>
      </c>
      <c r="AF12" s="3">
        <f t="shared" si="8"/>
        <v>0</v>
      </c>
      <c r="AG12" s="3">
        <f t="shared" si="9"/>
        <v>0</v>
      </c>
    </row>
    <row r="13" spans="1:33" ht="12.95" customHeight="1" x14ac:dyDescent="0.25">
      <c r="A13" s="2" t="s">
        <v>69</v>
      </c>
      <c r="B13" s="2" t="s">
        <v>70</v>
      </c>
      <c r="C13" s="2" t="s">
        <v>71</v>
      </c>
      <c r="D13" s="2" t="s">
        <v>72</v>
      </c>
      <c r="E13" s="2"/>
      <c r="F13" s="2" t="s">
        <v>29</v>
      </c>
      <c r="G13" s="2" t="s">
        <v>73</v>
      </c>
      <c r="H13" s="2" t="s">
        <v>74</v>
      </c>
      <c r="I13" s="2" t="s">
        <v>67</v>
      </c>
      <c r="J13" s="2" t="s">
        <v>75</v>
      </c>
      <c r="K13" s="2" t="s">
        <v>76</v>
      </c>
      <c r="L13" s="2" t="s">
        <v>77</v>
      </c>
      <c r="M13" s="2">
        <v>10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f t="shared" si="0"/>
        <v>10</v>
      </c>
      <c r="Y13" s="2">
        <f t="shared" si="1"/>
        <v>10</v>
      </c>
      <c r="Z13" s="2">
        <f t="shared" si="2"/>
        <v>0</v>
      </c>
      <c r="AA13" s="2">
        <f t="shared" si="3"/>
        <v>0</v>
      </c>
      <c r="AB13" s="2">
        <f t="shared" si="4"/>
        <v>0</v>
      </c>
      <c r="AC13" s="2">
        <f t="shared" si="5"/>
        <v>0</v>
      </c>
      <c r="AD13" s="2">
        <f t="shared" si="6"/>
        <v>0</v>
      </c>
      <c r="AE13" s="2">
        <f t="shared" si="7"/>
        <v>0</v>
      </c>
      <c r="AF13" s="2">
        <f t="shared" si="8"/>
        <v>0</v>
      </c>
      <c r="AG13" s="2">
        <f t="shared" si="9"/>
        <v>0</v>
      </c>
    </row>
    <row r="14" spans="1:33" ht="12.95" customHeight="1" x14ac:dyDescent="0.25">
      <c r="A14" s="2" t="s">
        <v>78</v>
      </c>
      <c r="B14" s="2" t="s">
        <v>79</v>
      </c>
      <c r="C14" s="2" t="s">
        <v>38</v>
      </c>
      <c r="D14" s="2" t="s">
        <v>80</v>
      </c>
      <c r="E14" s="2"/>
      <c r="F14" s="2" t="s">
        <v>29</v>
      </c>
      <c r="G14" s="2" t="s">
        <v>40</v>
      </c>
      <c r="H14" s="2" t="s">
        <v>81</v>
      </c>
      <c r="I14" s="2" t="s">
        <v>67</v>
      </c>
      <c r="J14" s="2" t="s">
        <v>82</v>
      </c>
      <c r="K14" s="2" t="s">
        <v>83</v>
      </c>
      <c r="L14" s="2" t="s">
        <v>84</v>
      </c>
      <c r="M14" s="2">
        <v>0</v>
      </c>
      <c r="N14" s="2">
        <v>0</v>
      </c>
      <c r="O14" s="2">
        <v>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f t="shared" si="0"/>
        <v>1</v>
      </c>
      <c r="Y14" s="2">
        <f t="shared" si="1"/>
        <v>0</v>
      </c>
      <c r="Z14" s="2">
        <f t="shared" si="2"/>
        <v>0</v>
      </c>
      <c r="AA14" s="2">
        <f t="shared" si="3"/>
        <v>1</v>
      </c>
      <c r="AB14" s="2">
        <f t="shared" si="4"/>
        <v>0</v>
      </c>
      <c r="AC14" s="2">
        <f t="shared" si="5"/>
        <v>0</v>
      </c>
      <c r="AD14" s="2">
        <f t="shared" si="6"/>
        <v>0</v>
      </c>
      <c r="AE14" s="2">
        <f t="shared" si="7"/>
        <v>0</v>
      </c>
      <c r="AF14" s="2">
        <f t="shared" si="8"/>
        <v>0</v>
      </c>
      <c r="AG14" s="2">
        <f t="shared" si="9"/>
        <v>0</v>
      </c>
    </row>
    <row r="15" spans="1:33" ht="12.95" customHeight="1" x14ac:dyDescent="0.25">
      <c r="A15" s="2" t="s">
        <v>85</v>
      </c>
      <c r="B15" s="2" t="s">
        <v>79</v>
      </c>
      <c r="C15" s="2" t="s">
        <v>38</v>
      </c>
      <c r="D15" s="2" t="s">
        <v>80</v>
      </c>
      <c r="E15" s="2"/>
      <c r="F15" s="2" t="s">
        <v>29</v>
      </c>
      <c r="G15" s="2" t="s">
        <v>40</v>
      </c>
      <c r="H15" s="2" t="s">
        <v>81</v>
      </c>
      <c r="I15" s="2" t="s">
        <v>67</v>
      </c>
      <c r="J15" s="2" t="s">
        <v>82</v>
      </c>
      <c r="K15" s="2" t="s">
        <v>86</v>
      </c>
      <c r="L15" s="2" t="s">
        <v>87</v>
      </c>
      <c r="M15" s="2">
        <v>0</v>
      </c>
      <c r="N15" s="2">
        <v>0</v>
      </c>
      <c r="O15" s="2">
        <v>1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f t="shared" si="0"/>
        <v>1</v>
      </c>
      <c r="Y15" s="2">
        <f t="shared" si="1"/>
        <v>0</v>
      </c>
      <c r="Z15" s="2">
        <f t="shared" si="2"/>
        <v>0</v>
      </c>
      <c r="AA15" s="2">
        <f t="shared" si="3"/>
        <v>1</v>
      </c>
      <c r="AB15" s="2">
        <f t="shared" si="4"/>
        <v>0</v>
      </c>
      <c r="AC15" s="2">
        <f t="shared" si="5"/>
        <v>0</v>
      </c>
      <c r="AD15" s="2">
        <f t="shared" si="6"/>
        <v>0</v>
      </c>
      <c r="AE15" s="2">
        <f t="shared" si="7"/>
        <v>0</v>
      </c>
      <c r="AF15" s="2">
        <f t="shared" si="8"/>
        <v>0</v>
      </c>
      <c r="AG15" s="2">
        <f t="shared" si="9"/>
        <v>0</v>
      </c>
    </row>
    <row r="16" spans="1:33" ht="12.95" customHeight="1" x14ac:dyDescent="0.25">
      <c r="A16" s="2" t="s">
        <v>88</v>
      </c>
      <c r="B16" s="2" t="s">
        <v>47</v>
      </c>
      <c r="C16" s="2" t="s">
        <v>27</v>
      </c>
      <c r="D16" s="2" t="s">
        <v>48</v>
      </c>
      <c r="E16" s="2"/>
      <c r="F16" s="2" t="s">
        <v>29</v>
      </c>
      <c r="G16" s="2" t="s">
        <v>89</v>
      </c>
      <c r="H16" s="2" t="s">
        <v>41</v>
      </c>
      <c r="I16" s="2" t="s">
        <v>90</v>
      </c>
      <c r="J16" s="2" t="s">
        <v>91</v>
      </c>
      <c r="K16" s="2" t="s">
        <v>92</v>
      </c>
      <c r="L16" s="2" t="s">
        <v>45</v>
      </c>
      <c r="M16" s="2">
        <v>1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f t="shared" si="0"/>
        <v>1</v>
      </c>
      <c r="Y16" s="2">
        <f t="shared" si="1"/>
        <v>1</v>
      </c>
      <c r="Z16" s="2">
        <f t="shared" si="2"/>
        <v>0</v>
      </c>
      <c r="AA16" s="2">
        <f t="shared" si="3"/>
        <v>0</v>
      </c>
      <c r="AB16" s="2">
        <f t="shared" si="4"/>
        <v>0</v>
      </c>
      <c r="AC16" s="2">
        <f t="shared" si="5"/>
        <v>0</v>
      </c>
      <c r="AD16" s="2">
        <f t="shared" si="6"/>
        <v>0</v>
      </c>
      <c r="AE16" s="2">
        <f t="shared" si="7"/>
        <v>0</v>
      </c>
      <c r="AF16" s="2">
        <f t="shared" si="8"/>
        <v>0</v>
      </c>
      <c r="AG16" s="2">
        <f t="shared" si="9"/>
        <v>0</v>
      </c>
    </row>
    <row r="17" spans="1:33" ht="12.95" customHeight="1" x14ac:dyDescent="0.25">
      <c r="A17" s="3" t="s">
        <v>93</v>
      </c>
      <c r="B17" s="3" t="s">
        <v>94</v>
      </c>
      <c r="C17" s="3" t="s">
        <v>95</v>
      </c>
      <c r="D17" s="3" t="s">
        <v>96</v>
      </c>
      <c r="E17" s="3"/>
      <c r="F17" s="3" t="s">
        <v>29</v>
      </c>
      <c r="G17" s="3" t="s">
        <v>97</v>
      </c>
      <c r="H17" s="3" t="s">
        <v>50</v>
      </c>
      <c r="I17" s="3" t="s">
        <v>42</v>
      </c>
      <c r="J17" s="3" t="s">
        <v>52</v>
      </c>
      <c r="K17" s="3" t="s">
        <v>98</v>
      </c>
      <c r="L17" s="3" t="s">
        <v>99</v>
      </c>
      <c r="M17" s="3">
        <v>0</v>
      </c>
      <c r="N17" s="3">
        <v>0</v>
      </c>
      <c r="O17" s="3">
        <v>0</v>
      </c>
      <c r="P17" s="3">
        <v>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f t="shared" si="0"/>
        <v>1</v>
      </c>
      <c r="Y17" s="3">
        <f t="shared" si="1"/>
        <v>0</v>
      </c>
      <c r="Z17" s="3">
        <f t="shared" si="2"/>
        <v>0</v>
      </c>
      <c r="AA17" s="3">
        <f t="shared" si="3"/>
        <v>0</v>
      </c>
      <c r="AB17" s="3">
        <f t="shared" si="4"/>
        <v>0</v>
      </c>
      <c r="AC17" s="3">
        <f t="shared" si="5"/>
        <v>1</v>
      </c>
      <c r="AD17" s="3">
        <f t="shared" si="6"/>
        <v>0</v>
      </c>
      <c r="AE17" s="3">
        <f t="shared" si="7"/>
        <v>0</v>
      </c>
      <c r="AF17" s="3">
        <f t="shared" si="8"/>
        <v>0</v>
      </c>
      <c r="AG17" s="3">
        <f t="shared" si="9"/>
        <v>0</v>
      </c>
    </row>
    <row r="18" spans="1:33" ht="12.95" customHeight="1" x14ac:dyDescent="0.25">
      <c r="A18" s="3" t="s">
        <v>100</v>
      </c>
      <c r="B18" s="3" t="s">
        <v>101</v>
      </c>
      <c r="C18" s="3" t="s">
        <v>38</v>
      </c>
      <c r="D18" s="3" t="s">
        <v>102</v>
      </c>
      <c r="E18" s="3"/>
      <c r="F18" s="3" t="s">
        <v>29</v>
      </c>
      <c r="G18" s="3" t="s">
        <v>40</v>
      </c>
      <c r="H18" s="3" t="s">
        <v>50</v>
      </c>
      <c r="I18" s="3" t="s">
        <v>103</v>
      </c>
      <c r="J18" s="3" t="s">
        <v>104</v>
      </c>
      <c r="K18" s="3" t="s">
        <v>105</v>
      </c>
      <c r="L18" s="3" t="s">
        <v>106</v>
      </c>
      <c r="M18" s="3">
        <v>0</v>
      </c>
      <c r="N18" s="3">
        <v>0</v>
      </c>
      <c r="O18" s="3">
        <v>0</v>
      </c>
      <c r="P18" s="3">
        <v>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f t="shared" si="0"/>
        <v>1</v>
      </c>
      <c r="Y18" s="3">
        <f t="shared" si="1"/>
        <v>0</v>
      </c>
      <c r="Z18" s="3">
        <f t="shared" si="2"/>
        <v>0</v>
      </c>
      <c r="AA18" s="3">
        <f t="shared" si="3"/>
        <v>0</v>
      </c>
      <c r="AB18" s="3">
        <f t="shared" si="4"/>
        <v>0</v>
      </c>
      <c r="AC18" s="3">
        <f t="shared" si="5"/>
        <v>1</v>
      </c>
      <c r="AD18" s="3">
        <f t="shared" si="6"/>
        <v>0</v>
      </c>
      <c r="AE18" s="3">
        <f t="shared" si="7"/>
        <v>0</v>
      </c>
      <c r="AF18" s="3">
        <f t="shared" si="8"/>
        <v>0</v>
      </c>
      <c r="AG18" s="3">
        <f t="shared" si="9"/>
        <v>0</v>
      </c>
    </row>
    <row r="19" spans="1:33" ht="12.95" customHeight="1" x14ac:dyDescent="0.25">
      <c r="A19" s="3" t="s">
        <v>107</v>
      </c>
      <c r="B19" s="3" t="s">
        <v>101</v>
      </c>
      <c r="C19" s="3" t="s">
        <v>38</v>
      </c>
      <c r="D19" s="3" t="s">
        <v>102</v>
      </c>
      <c r="E19" s="3"/>
      <c r="F19" s="3" t="s">
        <v>29</v>
      </c>
      <c r="G19" s="3" t="s">
        <v>40</v>
      </c>
      <c r="H19" s="3" t="s">
        <v>50</v>
      </c>
      <c r="I19" s="3" t="s">
        <v>103</v>
      </c>
      <c r="J19" s="3" t="s">
        <v>104</v>
      </c>
      <c r="K19" s="3" t="s">
        <v>105</v>
      </c>
      <c r="L19" s="3" t="s">
        <v>108</v>
      </c>
      <c r="M19" s="3">
        <v>0</v>
      </c>
      <c r="N19" s="3">
        <v>0</v>
      </c>
      <c r="O19" s="3">
        <v>0</v>
      </c>
      <c r="P19" s="3">
        <v>0</v>
      </c>
      <c r="Q19" s="3">
        <v>1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f t="shared" si="0"/>
        <v>1</v>
      </c>
      <c r="Y19" s="3">
        <f t="shared" si="1"/>
        <v>0</v>
      </c>
      <c r="Z19" s="3">
        <f t="shared" si="2"/>
        <v>0</v>
      </c>
      <c r="AA19" s="3">
        <f t="shared" si="3"/>
        <v>0</v>
      </c>
      <c r="AB19" s="3">
        <f t="shared" si="4"/>
        <v>0</v>
      </c>
      <c r="AC19" s="3">
        <f t="shared" si="5"/>
        <v>1</v>
      </c>
      <c r="AD19" s="3">
        <f t="shared" si="6"/>
        <v>0</v>
      </c>
      <c r="AE19" s="3">
        <f t="shared" si="7"/>
        <v>0</v>
      </c>
      <c r="AF19" s="3">
        <f t="shared" si="8"/>
        <v>0</v>
      </c>
      <c r="AG19" s="3">
        <f t="shared" si="9"/>
        <v>0</v>
      </c>
    </row>
    <row r="20" spans="1:33" ht="12.95" customHeight="1" x14ac:dyDescent="0.25">
      <c r="A20" s="4" t="s">
        <v>109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>
        <f t="shared" ref="M20:V20" si="10">SUM(M3:M19)</f>
        <v>12</v>
      </c>
      <c r="N20" s="4">
        <f t="shared" si="10"/>
        <v>0</v>
      </c>
      <c r="O20" s="4">
        <f t="shared" si="10"/>
        <v>6</v>
      </c>
      <c r="P20" s="4">
        <f t="shared" si="10"/>
        <v>0</v>
      </c>
      <c r="Q20" s="4">
        <f t="shared" si="10"/>
        <v>11</v>
      </c>
      <c r="R20" s="4">
        <f t="shared" si="10"/>
        <v>0</v>
      </c>
      <c r="S20" s="4">
        <f t="shared" si="10"/>
        <v>0</v>
      </c>
      <c r="T20" s="4">
        <f t="shared" si="10"/>
        <v>0</v>
      </c>
      <c r="U20" s="4">
        <f t="shared" si="10"/>
        <v>0</v>
      </c>
      <c r="V20" s="4">
        <f t="shared" si="10"/>
        <v>0</v>
      </c>
      <c r="W20" s="4"/>
      <c r="X20" s="4">
        <f t="shared" ref="X20:AG20" si="11">SUM(X3:X19)</f>
        <v>29</v>
      </c>
      <c r="Y20" s="4">
        <f t="shared" si="11"/>
        <v>12</v>
      </c>
      <c r="Z20" s="4">
        <f t="shared" si="11"/>
        <v>0</v>
      </c>
      <c r="AA20" s="4">
        <f t="shared" si="11"/>
        <v>6</v>
      </c>
      <c r="AB20" s="4">
        <f t="shared" si="11"/>
        <v>0</v>
      </c>
      <c r="AC20" s="4">
        <f t="shared" si="11"/>
        <v>11</v>
      </c>
      <c r="AD20" s="4">
        <f t="shared" si="11"/>
        <v>0</v>
      </c>
      <c r="AE20" s="4">
        <f t="shared" si="11"/>
        <v>0</v>
      </c>
      <c r="AF20" s="4">
        <f t="shared" si="11"/>
        <v>0</v>
      </c>
      <c r="AG20" s="4">
        <f t="shared" si="11"/>
        <v>0</v>
      </c>
    </row>
    <row r="23" spans="1:33" ht="12.95" customHeight="1" x14ac:dyDescent="0.25">
      <c r="A23" s="5" t="s">
        <v>110</v>
      </c>
      <c r="B23" s="5" t="s">
        <v>111</v>
      </c>
      <c r="C23" s="5" t="s">
        <v>112</v>
      </c>
    </row>
    <row r="24" spans="1:33" ht="12.95" customHeight="1" x14ac:dyDescent="0.25">
      <c r="A24" s="2" t="s">
        <v>113</v>
      </c>
      <c r="B24" s="2">
        <v>17</v>
      </c>
      <c r="C24" s="2">
        <v>29</v>
      </c>
    </row>
    <row r="25" spans="1:33" ht="12.95" customHeight="1" x14ac:dyDescent="0.25">
      <c r="A25" s="4" t="s">
        <v>114</v>
      </c>
      <c r="B25" s="4">
        <v>17</v>
      </c>
      <c r="C25" s="4">
        <v>29</v>
      </c>
    </row>
  </sheetData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office4</cp:lastModifiedBy>
  <dcterms:created xsi:type="dcterms:W3CDTF">2026-09-16T10:35:33Z</dcterms:created>
  <dcterms:modified xsi:type="dcterms:W3CDTF">2026-09-16T10:50:03Z</dcterms:modified>
</cp:coreProperties>
</file>