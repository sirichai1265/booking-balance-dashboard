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HAST Logistics Co.,Ltd.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HASLS22260700701</t>
        </is>
      </c>
      <c r="B3" s="4" t="inlineStr">
        <is>
          <t>ICVY</t>
        </is>
      </c>
      <c r="C3" s="4" t="inlineStr">
        <is>
          <t>2607S</t>
        </is>
      </c>
      <c r="D3" s="4" t="inlineStr">
        <is>
          <t>202609210300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40Hx1 </t>
        </is>
      </c>
      <c r="I3" s="4" t="inlineStr">
        <is>
          <t>20260817</t>
        </is>
      </c>
      <c r="J3" s="4" t="inlineStr">
        <is>
          <t>L.A.1 CO.,LTD.</t>
        </is>
      </c>
      <c r="K3" s="4" t="inlineStr">
        <is>
          <t>TANATEX CHEMICALS (THAILAND) CO., LTD.</t>
        </is>
      </c>
      <c r="L3" s="4" t="inlineStr">
        <is>
          <t>CHEMICALS PRODUCT (NON DG)</t>
        </is>
      </c>
      <c r="M3" s="4" t="inlineStr">
        <is>
          <t>REQUEST :  CONTAINER MAX GROSS 32.50 TONS</t>
        </is>
      </c>
      <c r="N3" s="4" t="inlineStr">
        <is>
          <t>Pickup : 2026-08-17, Return : 2026-08-18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1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HASLS22260701405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202609220500</t>
        </is>
      </c>
      <c r="E4" s="4" t="inlineStr"/>
      <c r="F4" s="4" t="inlineStr">
        <is>
          <t>THLCH</t>
        </is>
      </c>
      <c r="G4" s="4" t="inlineStr">
        <is>
          <t>VNSGN</t>
        </is>
      </c>
      <c r="H4" s="4" t="inlineStr">
        <is>
          <t xml:space="preserve">40Hx4 </t>
        </is>
      </c>
      <c r="I4" s="4" t="inlineStr">
        <is>
          <t>20260909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: 09-13/09/2026
*PLS CHECK OPEN GATE BEFORE RETURN CTNR*
</t>
        </is>
      </c>
      <c r="O4" s="4" t="n">
        <v>0</v>
      </c>
      <c r="P4" s="4" t="n">
        <v>0</v>
      </c>
      <c r="Q4" s="4" t="n">
        <v>4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4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HASLS22260800573</t>
        </is>
      </c>
      <c r="B5" s="4" t="inlineStr">
        <is>
          <t>DJCF</t>
        </is>
      </c>
      <c r="C5" s="4" t="inlineStr">
        <is>
          <t>0151N</t>
        </is>
      </c>
      <c r="D5" s="4" t="inlineStr">
        <is>
          <t>202609200100</t>
        </is>
      </c>
      <c r="E5" s="4" t="inlineStr"/>
      <c r="F5" s="4" t="inlineStr">
        <is>
          <t>THLCH</t>
        </is>
      </c>
      <c r="G5" s="4" t="inlineStr">
        <is>
          <t>KRPUS</t>
        </is>
      </c>
      <c r="H5" s="4" t="inlineStr">
        <is>
          <t xml:space="preserve">40Hx1 </t>
        </is>
      </c>
      <c r="I5" s="4" t="inlineStr">
        <is>
          <t>20260905</t>
        </is>
      </c>
      <c r="J5" s="4" t="inlineStr">
        <is>
          <t>TRUE MARINE CO., LTD.</t>
        </is>
      </c>
      <c r="K5" s="4" t="inlineStr">
        <is>
          <t>INOAC (THAILAND) CO., LTD.</t>
        </is>
      </c>
      <c r="L5" s="4" t="inlineStr">
        <is>
          <t>POLYURETHANE FOAM</t>
        </is>
      </c>
      <c r="M5" s="4" t="inlineStr">
        <is>
          <t>**REQUEST GOOD AND CLEAN CONTAINER**</t>
        </is>
      </c>
      <c r="N5" s="4" t="inlineStr">
        <is>
          <t>Pickup : 2026-09-05, Return : 2026-09-07 // FM SWSR 2610N BY HAL DD.07/09
(1ST RETURN 14/09 W/O RENT)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1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HASLS22260800788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202610101400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20260928</t>
        </is>
      </c>
      <c r="J6" s="4" t="inlineStr">
        <is>
          <t>SEABRA TRANS INTERNATIONAL CO., LTD.</t>
        </is>
      </c>
      <c r="K6" s="4" t="inlineStr">
        <is>
          <t>WELLGROW GLASS INDUSTRY CO., LTD.</t>
        </is>
      </c>
      <c r="L6" s="4" t="inlineStr">
        <is>
          <t>ROLL ON</t>
        </is>
      </c>
      <c r="M6" s="4" t="inlineStr">
        <is>
          <t>CLEAN &amp; FOOD GRADE OR GRADE A CONTAINER</t>
        </is>
      </c>
      <c r="N6" s="4" t="inlineStr">
        <is>
          <t>Pickup : 2026-09-28, Return : 2026-09-29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HASLS22260801084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202609232100</t>
        </is>
      </c>
      <c r="E7" s="4" t="inlineStr"/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40Hx3 </t>
        </is>
      </c>
      <c r="I7" s="4" t="inlineStr">
        <is>
          <t>20260917</t>
        </is>
      </c>
      <c r="J7" s="4" t="inlineStr">
        <is>
          <t>CONNEXT LOG (THAILAND) CO.,LTD.</t>
        </is>
      </c>
      <c r="K7" s="4" t="inlineStr">
        <is>
          <t>SATIEN STAINLESS STEEL PUBLIC CO., LTD.</t>
        </is>
      </c>
      <c r="L7" s="4" t="inlineStr">
        <is>
          <t>STAINLESS STEEL KITCHENWARE</t>
        </is>
      </c>
      <c r="M7" s="4" t="inlineStr">
        <is>
          <t>REQ CNTR : GOOD, CLEAN AND NO HOLE</t>
        </is>
      </c>
      <c r="N7" s="4" t="inlineStr">
        <is>
          <t>Pickup : 2026-09-17, Return : 2026-09-18</t>
        </is>
      </c>
      <c r="O7" s="4" t="n">
        <v>0</v>
      </c>
      <c r="P7" s="4" t="n">
        <v>0</v>
      </c>
      <c r="Q7" s="4" t="n">
        <v>3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HASLS22260801154</t>
        </is>
      </c>
      <c r="B8" s="4" t="inlineStr">
        <is>
          <t>KMSU</t>
        </is>
      </c>
      <c r="C8" s="4" t="inlineStr">
        <is>
          <t>2607S</t>
        </is>
      </c>
      <c r="D8" s="4" t="inlineStr">
        <is>
          <t>202610011600</t>
        </is>
      </c>
      <c r="E8" s="4" t="inlineStr"/>
      <c r="F8" s="4" t="inlineStr">
        <is>
          <t>THLCH</t>
        </is>
      </c>
      <c r="G8" s="4" t="inlineStr">
        <is>
          <t>IDJKT</t>
        </is>
      </c>
      <c r="H8" s="4" t="inlineStr">
        <is>
          <t xml:space="preserve">40Hx1 </t>
        </is>
      </c>
      <c r="I8" s="4" t="inlineStr">
        <is>
          <t>20260918</t>
        </is>
      </c>
      <c r="J8" s="4" t="inlineStr">
        <is>
          <t>CMS LOGISTICS GROUP (THAILAND) CO., LTD.</t>
        </is>
      </c>
      <c r="K8" s="4" t="inlineStr">
        <is>
          <t>CAM PLAS (THAILAND) CO.,LTD.</t>
        </is>
      </c>
      <c r="L8" s="4" t="inlineStr">
        <is>
          <t>PLASTIC</t>
        </is>
      </c>
      <c r="M8" s="4" t="inlineStr">
        <is>
          <t>GOOD AND CLEAN CONTAINER</t>
        </is>
      </c>
      <c r="N8" s="4" t="inlineStr">
        <is>
          <t>Pickup : 2026-09-18, Return : 2026-09-18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HASLS22260801232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202609202300</t>
        </is>
      </c>
      <c r="E9" s="4" t="inlineStr"/>
      <c r="F9" s="4" t="inlineStr">
        <is>
          <t>THLCH</t>
        </is>
      </c>
      <c r="G9" s="4" t="inlineStr">
        <is>
          <t>HKHKG</t>
        </is>
      </c>
      <c r="H9" s="4" t="inlineStr">
        <is>
          <t xml:space="preserve">R40Hx1 </t>
        </is>
      </c>
      <c r="I9" s="4" t="inlineStr">
        <is>
          <t>20260917</t>
        </is>
      </c>
      <c r="J9" s="4" t="inlineStr">
        <is>
          <t>DYNAMIC INTERTRANSPORT CO., LTD.</t>
        </is>
      </c>
      <c r="K9" s="4" t="inlineStr">
        <is>
          <t>CP-MEIJI CO., LTD.</t>
        </is>
      </c>
      <c r="L9" s="4" t="inlineStr">
        <is>
          <t>FRESH MILK AND MILK PRODUCT</t>
        </is>
      </c>
      <c r="M9" s="4" t="inlineStr">
        <is>
          <t>(Temp +0.0℃ / Vent Close) REQUEST : CLEAN AND GOOD CONTAINER FOR MILK PRODUCT</t>
        </is>
      </c>
      <c r="N9" s="4" t="inlineStr">
        <is>
          <t>Pickup : 2026-09-17, Return : 2026-09-18 (Temp +0.0 / Vent Close) 
CLS TIME : 20/09/2026 @07.00 [1ST RTN 18/09/2026 W/O ELECTRIC]</t>
        </is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HASLS22260801233</t>
        </is>
      </c>
      <c r="B10" s="4" t="inlineStr">
        <is>
          <t>KMTP</t>
        </is>
      </c>
      <c r="C10" s="4" t="inlineStr">
        <is>
          <t>2611N</t>
        </is>
      </c>
      <c r="D10" s="4" t="inlineStr">
        <is>
          <t>202609202300</t>
        </is>
      </c>
      <c r="E10" s="4" t="inlineStr"/>
      <c r="F10" s="4" t="inlineStr">
        <is>
          <t>THLCH</t>
        </is>
      </c>
      <c r="G10" s="4" t="inlineStr">
        <is>
          <t>HKHKG</t>
        </is>
      </c>
      <c r="H10" s="4" t="inlineStr">
        <is>
          <t xml:space="preserve">R40Hx1 </t>
        </is>
      </c>
      <c r="I10" s="4" t="inlineStr">
        <is>
          <t>20260917</t>
        </is>
      </c>
      <c r="J10" s="4" t="inlineStr">
        <is>
          <t>DYNAMIC INTERTRANSPORT CO., LTD.</t>
        </is>
      </c>
      <c r="K10" s="4" t="inlineStr">
        <is>
          <t>CP-MEIJI CO., LTD.</t>
        </is>
      </c>
      <c r="L10" s="4" t="inlineStr">
        <is>
          <t>FRESH MILK AND MILK PRODUCT</t>
        </is>
      </c>
      <c r="M10" s="4" t="inlineStr">
        <is>
          <t>(Temp +0.0℃ / Vent Close)  
REQUEST : CLEAN AND GOOD CONTAINER FOR MILK PRODUCT</t>
        </is>
      </c>
      <c r="N10" s="4" t="inlineStr">
        <is>
          <t>Pickup : 2026-09-17, Return : 2026-09-18 (Temp +0.0 / Vent Close) 
CLS TIME : 20/09/2026 @07.00 [1ST RTN 18/09/2026 W/O ELECTRIC]</t>
        </is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1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HASLS22260801234</t>
        </is>
      </c>
      <c r="B11" s="4" t="inlineStr">
        <is>
          <t>KMGY</t>
        </is>
      </c>
      <c r="C11" s="4" t="inlineStr">
        <is>
          <t>2610N</t>
        </is>
      </c>
      <c r="D11" s="4" t="inlineStr">
        <is>
          <t>202609270800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R40Hx1 </t>
        </is>
      </c>
      <c r="I11" s="4" t="inlineStr">
        <is>
          <t>20260918</t>
        </is>
      </c>
      <c r="J11" s="4" t="inlineStr">
        <is>
          <t>DYNAMIC INTERTRANSPORT CO., LTD.</t>
        </is>
      </c>
      <c r="K11" s="4" t="inlineStr">
        <is>
          <t>CP-MEIJI CO., LTD.</t>
        </is>
      </c>
      <c r="L11" s="4" t="inlineStr">
        <is>
          <t>FRESH MILK AND MILK PRODUCT</t>
        </is>
      </c>
      <c r="M11" s="4" t="inlineStr">
        <is>
          <t>(Temp +0.0℃ / Vent Close) 
REQUEST : CLEAN AND GOOD CONTAINER FOR MILK PRODUCT</t>
        </is>
      </c>
      <c r="N11" s="4" t="inlineStr">
        <is>
          <t xml:space="preserve">Pickup : 2026-09-18, Return : 2026-09-19 (Temp +0.0 / Vent Close) 
CLS TIME 22/09/26 @23.59 [1ST RTN 21/09 W/O RENT &amp; ELECTRIC] </t>
        </is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1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HASLS22260801235</t>
        </is>
      </c>
      <c r="B12" s="4" t="inlineStr">
        <is>
          <t>KMGY</t>
        </is>
      </c>
      <c r="C12" s="4" t="inlineStr">
        <is>
          <t>2610N</t>
        </is>
      </c>
      <c r="D12" s="4" t="inlineStr">
        <is>
          <t>202609270800</t>
        </is>
      </c>
      <c r="E12" s="4" t="inlineStr"/>
      <c r="F12" s="4" t="inlineStr">
        <is>
          <t>THLCH</t>
        </is>
      </c>
      <c r="G12" s="4" t="inlineStr">
        <is>
          <t>HKHKG</t>
        </is>
      </c>
      <c r="H12" s="4" t="inlineStr">
        <is>
          <t xml:space="preserve">R40Hx1 </t>
        </is>
      </c>
      <c r="I12" s="4" t="inlineStr">
        <is>
          <t>20260918</t>
        </is>
      </c>
      <c r="J12" s="4" t="inlineStr">
        <is>
          <t>DYNAMIC INTERTRANSPORT CO., LTD.</t>
        </is>
      </c>
      <c r="K12" s="4" t="inlineStr">
        <is>
          <t>CP-MEIJI CO., LTD.</t>
        </is>
      </c>
      <c r="L12" s="4" t="inlineStr">
        <is>
          <t>FRESH MILK AND MILK PRODUCT</t>
        </is>
      </c>
      <c r="M12" s="4" t="inlineStr">
        <is>
          <t>(Temp +0.0℃ / Vent Close)  
REQUEST : CLEAN AND GOOD CONTAINER FOR MILK PRODUCT</t>
        </is>
      </c>
      <c r="N12" s="4" t="inlineStr">
        <is>
          <t xml:space="preserve">Pickup : 2026-09-18, Return : 2026-09-19 (Temp +0.0 / Vent Close) 
CLS TIME 22/09/26 @23.59 [1ST RTN 21/09 W/O RENT &amp; ELECTRIC] </t>
        </is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1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HASLS22260801240</t>
        </is>
      </c>
      <c r="B13" s="4" t="inlineStr">
        <is>
          <t>SWVG</t>
        </is>
      </c>
      <c r="C13" s="4" t="inlineStr">
        <is>
          <t>2612N</t>
        </is>
      </c>
      <c r="D13" s="4" t="inlineStr">
        <is>
          <t>202610030200</t>
        </is>
      </c>
      <c r="E13" s="4" t="inlineStr"/>
      <c r="F13" s="4" t="inlineStr">
        <is>
          <t>THLCH</t>
        </is>
      </c>
      <c r="G13" s="4" t="inlineStr">
        <is>
          <t>CNSHA</t>
        </is>
      </c>
      <c r="H13" s="4" t="inlineStr">
        <is>
          <t xml:space="preserve">40Hx9 </t>
        </is>
      </c>
      <c r="I13" s="4" t="inlineStr">
        <is>
          <t>20260922</t>
        </is>
      </c>
      <c r="J13" s="4" t="inlineStr">
        <is>
          <t>WHA GC LOGISTICS COMPANY LIMITED</t>
        </is>
      </c>
      <c r="K13" s="4" t="inlineStr">
        <is>
          <t>PTT GLOBAL CHEMICAL PUBLIC COMPANY LIMITED</t>
        </is>
      </c>
      <c r="L13" s="4" t="inlineStr">
        <is>
          <t>RESIN</t>
        </is>
      </c>
      <c r="M13" s="4" t="inlineStr">
        <is>
          <t>GOOD AND CLEAN CONTAINER</t>
        </is>
      </c>
      <c r="N13" s="4" t="inlineStr">
        <is>
          <t>CY-RTN : 22-25/09/2026</t>
        </is>
      </c>
      <c r="O13" s="4" t="n">
        <v>0</v>
      </c>
      <c r="P13" s="4" t="n">
        <v>0</v>
      </c>
      <c r="Q13" s="4" t="n">
        <v>9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HASLS22260801481</t>
        </is>
      </c>
      <c r="B14" s="4" t="inlineStr">
        <is>
          <t>NSSJ</t>
        </is>
      </c>
      <c r="C14" s="4" t="inlineStr">
        <is>
          <t>2607S</t>
        </is>
      </c>
      <c r="D14" s="4" t="inlineStr">
        <is>
          <t>202609232100</t>
        </is>
      </c>
      <c r="E14" s="4" t="inlineStr"/>
      <c r="F14" s="4" t="inlineStr">
        <is>
          <t>THLCH</t>
        </is>
      </c>
      <c r="G14" s="4" t="inlineStr">
        <is>
          <t>IDJKT</t>
        </is>
      </c>
      <c r="H14" s="4" t="inlineStr">
        <is>
          <t xml:space="preserve">20'x1 </t>
        </is>
      </c>
      <c r="I14" s="4" t="inlineStr">
        <is>
          <t>20260904</t>
        </is>
      </c>
      <c r="J14" s="4" t="inlineStr">
        <is>
          <t>UBE CHEMICALS (ASIA) PUBLIC COMPANY LIMITED</t>
        </is>
      </c>
      <c r="K14" s="4" t="inlineStr">
        <is>
          <t>UBE CHEMICALS (ASIA) PUBLIC COMPANY LIMITED</t>
        </is>
      </c>
      <c r="L14" s="4" t="inlineStr">
        <is>
          <t xml:space="preserve">POLYAMIDE RESIN </t>
        </is>
      </c>
      <c r="M14" s="4" t="inlineStr">
        <is>
          <t>GOOD AND CLEAN CONTAINER</t>
        </is>
      </c>
      <c r="N14" s="4" t="inlineStr">
        <is>
          <t>CY-RTN :04-05/09/2026
**CHANGED FM VSL."KMSU 2606S" BY K.HATAIPACH DD.20/8/26**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1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HASLS22260801511</t>
        </is>
      </c>
      <c r="B15" s="4" t="inlineStr">
        <is>
          <t>DJCF</t>
        </is>
      </c>
      <c r="C15" s="4" t="inlineStr">
        <is>
          <t>0151N</t>
        </is>
      </c>
      <c r="D15" s="4" t="inlineStr">
        <is>
          <t>202609200100</t>
        </is>
      </c>
      <c r="E15" s="4" t="inlineStr"/>
      <c r="F15" s="4" t="inlineStr">
        <is>
          <t>THLCH</t>
        </is>
      </c>
      <c r="G15" s="4" t="inlineStr">
        <is>
          <t>VNSGN</t>
        </is>
      </c>
      <c r="H15" s="4" t="inlineStr">
        <is>
          <t xml:space="preserve">R40Hx2 </t>
        </is>
      </c>
      <c r="I15" s="4" t="inlineStr">
        <is>
          <t>20260916</t>
        </is>
      </c>
      <c r="J15" s="4" t="inlineStr">
        <is>
          <t>FOCUS FREIGHT &amp; LOGISTICS CO., LTD.</t>
        </is>
      </c>
      <c r="K15" s="4" t="inlineStr">
        <is>
          <t>UNITED MUSHROOM CENTER CO., LTD.</t>
        </is>
      </c>
      <c r="L15" s="4" t="inlineStr">
        <is>
          <t>GOLDEN MUSHROOM</t>
        </is>
      </c>
      <c r="M15" s="4" t="inlineStr">
        <is>
          <t>(Temp +0.0℃ / Vent Close) REQUEST CLEAN &amp; GOOD CONTAINER FOR FOODS</t>
        </is>
      </c>
      <c r="N15" s="4" t="inlineStr">
        <is>
          <t xml:space="preserve">Pickup : 2026-09-16, Return : 2026-09-18 RF45REx2 (Temp +0.0 / Vent Close) 
CLS TIME : 19/09/26 @07.00 </t>
        </is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2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HASLS22260801527</t>
        </is>
      </c>
      <c r="B16" s="4" t="inlineStr">
        <is>
          <t>NSSJ</t>
        </is>
      </c>
      <c r="C16" s="4" t="inlineStr">
        <is>
          <t>2607S</t>
        </is>
      </c>
      <c r="D16" s="4" t="inlineStr">
        <is>
          <t>202609232100</t>
        </is>
      </c>
      <c r="E16" s="4" t="inlineStr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20'x1 </t>
        </is>
      </c>
      <c r="I16" s="4" t="inlineStr">
        <is>
          <t>20260917</t>
        </is>
      </c>
      <c r="J16" s="4" t="inlineStr">
        <is>
          <t>WISE GLOBAL LOGISTICS CO., LTD.</t>
        </is>
      </c>
      <c r="K16" s="4" t="inlineStr">
        <is>
          <t>ADVANCE ASIA FIBER CO., LTD.</t>
        </is>
      </c>
      <c r="L16" s="4" t="inlineStr">
        <is>
          <t>FIBREBOARD</t>
        </is>
      </c>
      <c r="M16" s="4" t="inlineStr">
        <is>
          <t>GOOD AND CLEAN CONTAINER</t>
        </is>
      </c>
      <c r="N16" s="4" t="inlineStr">
        <is>
          <t>Pickup : 2026-09-17, Return : 2026-09-18</t>
        </is>
      </c>
      <c r="O16" s="4" t="n">
        <v>1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HASLS22260801601</t>
        </is>
      </c>
      <c r="B17" s="4" t="inlineStr">
        <is>
          <t>KJT</t>
        </is>
      </c>
      <c r="C17" s="4" t="inlineStr">
        <is>
          <t>2610N</t>
        </is>
      </c>
      <c r="D17" s="4" t="inlineStr">
        <is>
          <t>202609212300</t>
        </is>
      </c>
      <c r="E17" s="4" t="inlineStr"/>
      <c r="F17" s="4" t="inlineStr">
        <is>
          <t>THLCH</t>
        </is>
      </c>
      <c r="G17" s="4" t="inlineStr">
        <is>
          <t>HKHKG</t>
        </is>
      </c>
      <c r="H17" s="4" t="inlineStr">
        <is>
          <t xml:space="preserve">R40Hx1 </t>
        </is>
      </c>
      <c r="I17" s="4" t="inlineStr">
        <is>
          <t>20260912</t>
        </is>
      </c>
      <c r="J17" s="4" t="inlineStr">
        <is>
          <t>DYNAMIC INTERTRANSPORT CO., LTD.</t>
        </is>
      </c>
      <c r="K17" s="4" t="inlineStr">
        <is>
          <t>CP-MEIJI CO., LTD.</t>
        </is>
      </c>
      <c r="L17" s="4" t="inlineStr">
        <is>
          <t>FRESH MILK AND MILK PRODUCT</t>
        </is>
      </c>
      <c r="M17" s="4" t="inlineStr">
        <is>
          <t>(Temp +0.0℃ / Vent Close) 
REQUEST : CLEAN AND GOOD CONTAINER FOR MILK PRODUCT</t>
        </is>
      </c>
      <c r="N17" s="4" t="inlineStr">
        <is>
          <t>Pickup : 2026-09-12, Return : 2026-09-13 (Temp +0.0 / Vent Close) 
CLS TIME 14/09/26 @18.00</t>
        </is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1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1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HASLS22260801603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202609212300</t>
        </is>
      </c>
      <c r="E18" s="4" t="inlineStr"/>
      <c r="F18" s="4" t="inlineStr">
        <is>
          <t>THLCH</t>
        </is>
      </c>
      <c r="G18" s="4" t="inlineStr">
        <is>
          <t>HKHKG</t>
        </is>
      </c>
      <c r="H18" s="4" t="inlineStr">
        <is>
          <t xml:space="preserve">R40Hx1 </t>
        </is>
      </c>
      <c r="I18" s="4" t="inlineStr">
        <is>
          <t>20260912</t>
        </is>
      </c>
      <c r="J18" s="4" t="inlineStr">
        <is>
          <t>DYNAMIC INTERTRANSPORT CO., LTD.</t>
        </is>
      </c>
      <c r="K18" s="4" t="inlineStr">
        <is>
          <t>CP-MEIJI CO., LTD.</t>
        </is>
      </c>
      <c r="L18" s="4" t="inlineStr">
        <is>
          <t>FRESH MILK AND MILK PRODUCT</t>
        </is>
      </c>
      <c r="M18" s="4" t="inlineStr">
        <is>
          <t>(Temp +0.0℃ / Vent Close)  
REQUEST : CLEAN AND GOOD CONTAINER FOR MILK PRODUCT</t>
        </is>
      </c>
      <c r="N18" s="4" t="inlineStr">
        <is>
          <t>Pickup : 2026-09-12, Return : 2026-09-13  (Temp +0.0 / Vent Close) 
CLS TIME 14/09/26 @18.00</t>
        </is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1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HASLS22260801614</t>
        </is>
      </c>
      <c r="B19" s="4" t="inlineStr">
        <is>
          <t>ICVY</t>
        </is>
      </c>
      <c r="C19" s="4" t="inlineStr">
        <is>
          <t>2607S</t>
        </is>
      </c>
      <c r="D19" s="4" t="inlineStr">
        <is>
          <t>202609210300</t>
        </is>
      </c>
      <c r="E19" s="4" t="inlineStr"/>
      <c r="F19" s="4" t="inlineStr">
        <is>
          <t>THLCH</t>
        </is>
      </c>
      <c r="G19" s="4" t="inlineStr">
        <is>
          <t>IDJKT</t>
        </is>
      </c>
      <c r="H19" s="4" t="inlineStr">
        <is>
          <t xml:space="preserve">20'x1 </t>
        </is>
      </c>
      <c r="I19" s="4" t="inlineStr">
        <is>
          <t>20260916</t>
        </is>
      </c>
      <c r="J19" s="4" t="inlineStr">
        <is>
          <t>CTI LOGISTICS CO., LTD.</t>
        </is>
      </c>
      <c r="K19" s="4" t="inlineStr">
        <is>
          <t>INGREDION (THAILAND) CO., LTD.</t>
        </is>
      </c>
      <c r="L19" s="4" t="inlineStr">
        <is>
          <t>MODIFIED TAPIOCA STARCH (GRADE : PURITY 21T)</t>
        </is>
      </c>
      <c r="M19" s="4" t="inlineStr">
        <is>
          <t>GOOD AND CLEAN CONTAINER</t>
        </is>
      </c>
      <c r="N19" s="4" t="inlineStr">
        <is>
          <t>Pickup : 2026-09-16, Return : 2026-09-16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HASLS22260801673</t>
        </is>
      </c>
      <c r="B20" s="4" t="inlineStr">
        <is>
          <t>KJT</t>
        </is>
      </c>
      <c r="C20" s="4" t="inlineStr">
        <is>
          <t>2610N</t>
        </is>
      </c>
      <c r="D20" s="4" t="inlineStr">
        <is>
          <t>202609212300</t>
        </is>
      </c>
      <c r="E20" s="4" t="inlineStr"/>
      <c r="F20" s="4" t="inlineStr">
        <is>
          <t>THLCH</t>
        </is>
      </c>
      <c r="G20" s="4" t="inlineStr">
        <is>
          <t>CNSHK</t>
        </is>
      </c>
      <c r="H20" s="4" t="inlineStr">
        <is>
          <t xml:space="preserve">R40Hx1 </t>
        </is>
      </c>
      <c r="I20" s="4" t="inlineStr">
        <is>
          <t>20260905</t>
        </is>
      </c>
      <c r="J20" s="4" t="inlineStr">
        <is>
          <t>POSTMAN (THAILAND) CO.,LTD.</t>
        </is>
      </c>
      <c r="K20" s="4" t="inlineStr">
        <is>
          <t>POSTMAN (THAILAND) CO.,LTD.</t>
        </is>
      </c>
      <c r="L20" s="4" t="inlineStr">
        <is>
          <t>FRESH COCONUT</t>
        </is>
      </c>
      <c r="M20" s="4" t="inlineStr">
        <is>
          <t>RF45REx1 (Temp +2.0℃ / Vent 10% Open)</t>
        </is>
      </c>
      <c r="N20" s="4" t="inlineStr">
        <is>
          <t>Pickup : 2026-09-05, Return : 2026-09-13 RF45REx1 (Temp +2.0 / Vent 10% Open) 
CLS TIME : 14/09/2026 @23.59</t>
        </is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1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1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HASLS22260801674</t>
        </is>
      </c>
      <c r="B21" s="4" t="inlineStr">
        <is>
          <t>KJT</t>
        </is>
      </c>
      <c r="C21" s="4" t="inlineStr">
        <is>
          <t>2610N</t>
        </is>
      </c>
      <c r="D21" s="4" t="inlineStr">
        <is>
          <t>202609212300</t>
        </is>
      </c>
      <c r="E21" s="4" t="inlineStr"/>
      <c r="F21" s="4" t="inlineStr">
        <is>
          <t>THLCH</t>
        </is>
      </c>
      <c r="G21" s="4" t="inlineStr">
        <is>
          <t>CNSHK</t>
        </is>
      </c>
      <c r="H21" s="4" t="inlineStr">
        <is>
          <t xml:space="preserve">R40Hx1 </t>
        </is>
      </c>
      <c r="I21" s="4" t="inlineStr">
        <is>
          <t>20260905</t>
        </is>
      </c>
      <c r="J21" s="4" t="inlineStr">
        <is>
          <t>POSTMAN (THAILAND) CO.,LTD.</t>
        </is>
      </c>
      <c r="K21" s="4" t="inlineStr">
        <is>
          <t>POSTMAN (THAILAND) CO.,LTD.</t>
        </is>
      </c>
      <c r="L21" s="4" t="inlineStr">
        <is>
          <t>FRESH COCONUT</t>
        </is>
      </c>
      <c r="M21" s="4" t="inlineStr">
        <is>
          <t>RF45REx1 (Temp +2.0℃ / Vent 10% Open)</t>
        </is>
      </c>
      <c r="N21" s="4" t="inlineStr">
        <is>
          <t>Pickup : 2026-09-05, Return : 2026-09-13 RF45REx1 (Temp +2.0 / Vent 10% Open) 
CLS TIME : 14/09/2026 @23.59</t>
        </is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1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1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HASLS22260801675</t>
        </is>
      </c>
      <c r="B22" s="4" t="inlineStr">
        <is>
          <t>KJT</t>
        </is>
      </c>
      <c r="C22" s="4" t="inlineStr">
        <is>
          <t>2610N</t>
        </is>
      </c>
      <c r="D22" s="4" t="inlineStr">
        <is>
          <t>202609212300</t>
        </is>
      </c>
      <c r="E22" s="4" t="inlineStr"/>
      <c r="F22" s="4" t="inlineStr">
        <is>
          <t>THLCH</t>
        </is>
      </c>
      <c r="G22" s="4" t="inlineStr">
        <is>
          <t>CNSHK</t>
        </is>
      </c>
      <c r="H22" s="4" t="inlineStr">
        <is>
          <t xml:space="preserve">R40Hx1 </t>
        </is>
      </c>
      <c r="I22" s="4" t="inlineStr">
        <is>
          <t>20260905</t>
        </is>
      </c>
      <c r="J22" s="4" t="inlineStr">
        <is>
          <t>POSTMAN (THAILAND) CO.,LTD.</t>
        </is>
      </c>
      <c r="K22" s="4" t="inlineStr">
        <is>
          <t>POSTMAN (THAILAND) CO.,LTD.</t>
        </is>
      </c>
      <c r="L22" s="4" t="inlineStr">
        <is>
          <t>FRESH COCONUT</t>
        </is>
      </c>
      <c r="M22" s="4" t="inlineStr">
        <is>
          <t>RF45REx1 (Temp +2.0℃ / Vent 10% Open)</t>
        </is>
      </c>
      <c r="N22" s="4" t="inlineStr">
        <is>
          <t>Pickup : 2026-09-05, Return : 2026-09-13 RF45REx1 (Temp +2.0 / Vent 10% Open) 
CLS TIME : 14/09/2026 @23.59</t>
        </is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1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1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HASLS22260801677</t>
        </is>
      </c>
      <c r="B23" s="4" t="inlineStr">
        <is>
          <t>CMA</t>
        </is>
      </c>
      <c r="C23" s="4" t="inlineStr">
        <is>
          <t>2614N</t>
        </is>
      </c>
      <c r="D23" s="4" t="inlineStr">
        <is>
          <t>202609250800</t>
        </is>
      </c>
      <c r="E23" s="4" t="inlineStr"/>
      <c r="F23" s="4" t="inlineStr">
        <is>
          <t>THLCH</t>
        </is>
      </c>
      <c r="G23" s="4" t="inlineStr">
        <is>
          <t>CNSHK</t>
        </is>
      </c>
      <c r="H23" s="4" t="inlineStr">
        <is>
          <t xml:space="preserve">R40Hx1 </t>
        </is>
      </c>
      <c r="I23" s="4" t="inlineStr">
        <is>
          <t>20260907</t>
        </is>
      </c>
      <c r="J23" s="4" t="inlineStr">
        <is>
          <t>POSTMAN (THAILAND) CO.,LTD.</t>
        </is>
      </c>
      <c r="K23" s="4" t="inlineStr">
        <is>
          <t>POSTMAN (THAILAND) CO.,LTD.</t>
        </is>
      </c>
      <c r="L23" s="4" t="inlineStr">
        <is>
          <t>FRESH COCONUT</t>
        </is>
      </c>
      <c r="M23" s="4" t="inlineStr">
        <is>
          <t>RF45REx1 (Temp +2.0℃ / Vent 10% Open)</t>
        </is>
      </c>
      <c r="N23" s="4" t="inlineStr">
        <is>
          <t xml:space="preserve">Pickup : 2026-09-07, Return : 2026-09-15 RF45REx1 (Temp +2.0 / Vent 10% Open) 
CLS TIME : 21/09/2026 @22.00 [1ST RTN 18/09/2026 W/O ELECTRIC] </t>
        </is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1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HASLS22260801679</t>
        </is>
      </c>
      <c r="B24" s="4" t="inlineStr">
        <is>
          <t>CMA</t>
        </is>
      </c>
      <c r="C24" s="4" t="inlineStr">
        <is>
          <t>2614N</t>
        </is>
      </c>
      <c r="D24" s="4" t="inlineStr">
        <is>
          <t>202609250800</t>
        </is>
      </c>
      <c r="E24" s="4" t="inlineStr"/>
      <c r="F24" s="4" t="inlineStr">
        <is>
          <t>THLCH</t>
        </is>
      </c>
      <c r="G24" s="4" t="inlineStr">
        <is>
          <t>CNSHK</t>
        </is>
      </c>
      <c r="H24" s="4" t="inlineStr">
        <is>
          <t xml:space="preserve">R40Hx1 </t>
        </is>
      </c>
      <c r="I24" s="4" t="inlineStr">
        <is>
          <t>20260907</t>
        </is>
      </c>
      <c r="J24" s="4" t="inlineStr">
        <is>
          <t>POSTMAN (THAILAND) CO.,LTD.</t>
        </is>
      </c>
      <c r="K24" s="4" t="inlineStr">
        <is>
          <t>POSTMAN (THAILAND) CO.,LTD.</t>
        </is>
      </c>
      <c r="L24" s="4" t="inlineStr">
        <is>
          <t>FRESH COCONUT</t>
        </is>
      </c>
      <c r="M24" s="4" t="inlineStr">
        <is>
          <t>RF45REx1 (Temp +2.0℃ / Vent 10% Open)</t>
        </is>
      </c>
      <c r="N24" s="4" t="inlineStr">
        <is>
          <t xml:space="preserve">Pickup : 2026-09-07, Return : 2026-09-15 RF45REx1 (Temp +2.0 / Vent 10% Open) 
CLS TIME : 21/09/2026 @22.00 [1ST RTN 18/09/2026 W/O ELECTRIC] </t>
        </is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1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1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HASLS22260801681</t>
        </is>
      </c>
      <c r="B25" s="4" t="inlineStr">
        <is>
          <t>CMA</t>
        </is>
      </c>
      <c r="C25" s="4" t="inlineStr">
        <is>
          <t>2614N</t>
        </is>
      </c>
      <c r="D25" s="4" t="inlineStr">
        <is>
          <t>202609250800</t>
        </is>
      </c>
      <c r="E25" s="4" t="inlineStr"/>
      <c r="F25" s="4" t="inlineStr">
        <is>
          <t>THLCH</t>
        </is>
      </c>
      <c r="G25" s="4" t="inlineStr">
        <is>
          <t>CNSHK</t>
        </is>
      </c>
      <c r="H25" s="4" t="inlineStr">
        <is>
          <t xml:space="preserve">R40Hx1 </t>
        </is>
      </c>
      <c r="I25" s="4" t="inlineStr">
        <is>
          <t>20260907</t>
        </is>
      </c>
      <c r="J25" s="4" t="inlineStr">
        <is>
          <t>POSTMAN (THAILAND) CO.,LTD.</t>
        </is>
      </c>
      <c r="K25" s="4" t="inlineStr">
        <is>
          <t>POSTMAN (THAILAND) CO.,LTD.</t>
        </is>
      </c>
      <c r="L25" s="4" t="inlineStr">
        <is>
          <t>FRESH COCONUT</t>
        </is>
      </c>
      <c r="M25" s="4" t="inlineStr">
        <is>
          <t>RF45REx1 (Temp +2.0℃ / Vent 10% Open)</t>
        </is>
      </c>
      <c r="N25" s="4" t="inlineStr">
        <is>
          <t xml:space="preserve">Pickup : 2026-09-07, Return : 2026-09-15 RF45REx1 (Temp +2.0 / Vent 10% Open) 
CLS TIME : 21/09/2026 @22.00 [1ST RTN 18/09/2026 W/O ELECTRIC]  </t>
        </is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1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1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HASLS22260801684</t>
        </is>
      </c>
      <c r="B26" s="4" t="inlineStr">
        <is>
          <t>SWAT</t>
        </is>
      </c>
      <c r="C26" s="4" t="inlineStr">
        <is>
          <t>2610N</t>
        </is>
      </c>
      <c r="D26" s="4" t="inlineStr">
        <is>
          <t>202610011100</t>
        </is>
      </c>
      <c r="E26" s="4" t="inlineStr"/>
      <c r="F26" s="4" t="inlineStr">
        <is>
          <t>THLCH</t>
        </is>
      </c>
      <c r="G26" s="4" t="inlineStr">
        <is>
          <t>CNSHK</t>
        </is>
      </c>
      <c r="H26" s="4" t="inlineStr">
        <is>
          <t xml:space="preserve">R40Hx1 </t>
        </is>
      </c>
      <c r="I26" s="4" t="inlineStr">
        <is>
          <t>20260914</t>
        </is>
      </c>
      <c r="J26" s="4" t="inlineStr">
        <is>
          <t>POSTMAN (THAILAND) CO.,LTD.</t>
        </is>
      </c>
      <c r="K26" s="4" t="inlineStr">
        <is>
          <t>POSTMAN (THAILAND) CO.,LTD.</t>
        </is>
      </c>
      <c r="L26" s="4" t="inlineStr">
        <is>
          <t>FRESH COCONUT</t>
        </is>
      </c>
      <c r="M26" s="4" t="inlineStr">
        <is>
          <t>RF45REx1 (Temp +2.0℃ / Vent 10% Open)</t>
        </is>
      </c>
      <c r="N26" s="4" t="inlineStr">
        <is>
          <t xml:space="preserve">Pickup : 2026-09-14, Return : 2026-09-23 RF45REx1 (Temp +2.0 / Vent 10% Open) 
CLS TIME : 24/09/2026 @23.59 </t>
        </is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HASLS22260801685</t>
        </is>
      </c>
      <c r="B27" s="4" t="inlineStr">
        <is>
          <t>SWAT</t>
        </is>
      </c>
      <c r="C27" s="4" t="inlineStr">
        <is>
          <t>2610N</t>
        </is>
      </c>
      <c r="D27" s="4" t="inlineStr">
        <is>
          <t>202610011100</t>
        </is>
      </c>
      <c r="E27" s="4" t="inlineStr"/>
      <c r="F27" s="4" t="inlineStr">
        <is>
          <t>THLCH</t>
        </is>
      </c>
      <c r="G27" s="4" t="inlineStr">
        <is>
          <t>CNSHK</t>
        </is>
      </c>
      <c r="H27" s="4" t="inlineStr">
        <is>
          <t xml:space="preserve">R40Hx1 </t>
        </is>
      </c>
      <c r="I27" s="4" t="inlineStr">
        <is>
          <t>20260914</t>
        </is>
      </c>
      <c r="J27" s="4" t="inlineStr">
        <is>
          <t>POSTMAN (THAILAND) CO.,LTD.</t>
        </is>
      </c>
      <c r="K27" s="4" t="inlineStr">
        <is>
          <t>POSTMAN (THAILAND) CO.,LTD.</t>
        </is>
      </c>
      <c r="L27" s="4" t="inlineStr">
        <is>
          <t>FRESH COCONUT</t>
        </is>
      </c>
      <c r="M27" s="4" t="inlineStr">
        <is>
          <t>RF45REx1 (Temp +2.0℃ / Vent 10% Open)</t>
        </is>
      </c>
      <c r="N27" s="4" t="inlineStr">
        <is>
          <t xml:space="preserve">Pickup : 2026-09-14, Return : 2026-09-23 RF45REx1 (Temp +2.0 / Vent 10% Open) 
CLS TIME : 24/09/2026 @23.59 </t>
        </is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1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HASLS22260801686</t>
        </is>
      </c>
      <c r="B28" s="4" t="inlineStr">
        <is>
          <t>SWAT</t>
        </is>
      </c>
      <c r="C28" s="4" t="inlineStr">
        <is>
          <t>2610N</t>
        </is>
      </c>
      <c r="D28" s="4" t="inlineStr">
        <is>
          <t>202610011100</t>
        </is>
      </c>
      <c r="E28" s="4" t="inlineStr"/>
      <c r="F28" s="4" t="inlineStr">
        <is>
          <t>THLCH</t>
        </is>
      </c>
      <c r="G28" s="4" t="inlineStr">
        <is>
          <t>CNSHK</t>
        </is>
      </c>
      <c r="H28" s="4" t="inlineStr">
        <is>
          <t xml:space="preserve">R40Hx1 </t>
        </is>
      </c>
      <c r="I28" s="4" t="inlineStr">
        <is>
          <t>20260914</t>
        </is>
      </c>
      <c r="J28" s="4" t="inlineStr">
        <is>
          <t>POSTMAN (THAILAND) CO.,LTD.</t>
        </is>
      </c>
      <c r="K28" s="4" t="inlineStr">
        <is>
          <t>POSTMAN (THAILAND) CO.,LTD.</t>
        </is>
      </c>
      <c r="L28" s="4" t="inlineStr">
        <is>
          <t>FRESH COCONUT</t>
        </is>
      </c>
      <c r="M28" s="4" t="inlineStr">
        <is>
          <t>RF45REx1 (Temp +2.0℃ / Vent 10% Open)</t>
        </is>
      </c>
      <c r="N28" s="4" t="inlineStr">
        <is>
          <t xml:space="preserve">Pickup : 2026-09-14, Return : 2026-09-23 RF45REx1 (Temp +2.0 / Vent 10% Open) 
CLS TIME : 24/09/2026 @23.59 </t>
        </is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1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HASLS22260801769</t>
        </is>
      </c>
      <c r="B29" s="4" t="inlineStr">
        <is>
          <t>SWAL</t>
        </is>
      </c>
      <c r="C29" s="4" t="inlineStr">
        <is>
          <t>2608N</t>
        </is>
      </c>
      <c r="D29" s="4" t="inlineStr">
        <is>
          <t>202609290800</t>
        </is>
      </c>
      <c r="E29" s="4" t="inlineStr"/>
      <c r="F29" s="4" t="inlineStr">
        <is>
          <t>THLCH</t>
        </is>
      </c>
      <c r="G29" s="4" t="inlineStr">
        <is>
          <t>VNSGN</t>
        </is>
      </c>
      <c r="H29" s="4" t="inlineStr">
        <is>
          <t xml:space="preserve">20'x1 </t>
        </is>
      </c>
      <c r="I29" s="4" t="inlineStr">
        <is>
          <t>20260917</t>
        </is>
      </c>
      <c r="J29" s="4" t="inlineStr">
        <is>
          <t>WHA GC LOGISTICS COMPANY LIMITED</t>
        </is>
      </c>
      <c r="K29" s="4" t="inlineStr">
        <is>
          <t>PTT GLOBAL CHEMICAL PUBLIC COMPANY LIMITED</t>
        </is>
      </c>
      <c r="L29" s="4" t="inlineStr">
        <is>
          <t>RESIN</t>
        </is>
      </c>
      <c r="M29" s="4" t="inlineStr">
        <is>
          <t>GOOD AND CLEAN CTNR</t>
        </is>
      </c>
      <c r="N29" s="4" t="inlineStr">
        <is>
          <t>CY-RTN : 17-25/09/26 [1ST RTN 25/09/2026 W/O RENT] 
*PLS CHECK OPEN GATE BEFORE RETURN CTNR*</t>
        </is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HASLS22260801770</t>
        </is>
      </c>
      <c r="B30" s="4" t="inlineStr">
        <is>
          <t>SWSP</t>
        </is>
      </c>
      <c r="C30" s="4" t="inlineStr">
        <is>
          <t>2609N</t>
        </is>
      </c>
      <c r="D30" s="4" t="inlineStr">
        <is>
          <t>202610020330</t>
        </is>
      </c>
      <c r="E30" s="4" t="inlineStr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20'x5 </t>
        </is>
      </c>
      <c r="I30" s="4" t="inlineStr">
        <is>
          <t>20260921</t>
        </is>
      </c>
      <c r="J30" s="4" t="inlineStr">
        <is>
          <t>WHA GC LOGISTICS COMPANY LIMITED</t>
        </is>
      </c>
      <c r="K30" s="4" t="inlineStr">
        <is>
          <t>PTT GLOBAL CHEMICAL PUBLIC COMPANY LIMITED</t>
        </is>
      </c>
      <c r="L30" s="4" t="inlineStr">
        <is>
          <t>RESIN</t>
        </is>
      </c>
      <c r="M30" s="4" t="inlineStr">
        <is>
          <t>GOOD AND CLEAN CTNR</t>
        </is>
      </c>
      <c r="N30" s="4" t="inlineStr">
        <is>
          <t>CY-RTN 21-26/09/26 [1ST RTN 26/09/2026 W/O RENT]
*PLS CHECK OPEN GATE BEFORE RETURN CTNR*</t>
        </is>
      </c>
      <c r="O30" s="4" t="n">
        <v>5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HASLS22260801771</t>
        </is>
      </c>
      <c r="B31" s="4" t="inlineStr">
        <is>
          <t>KMBK</t>
        </is>
      </c>
      <c r="C31" s="4" t="inlineStr">
        <is>
          <t>2611N</t>
        </is>
      </c>
      <c r="D31" s="4" t="inlineStr">
        <is>
          <t>202610030000</t>
        </is>
      </c>
      <c r="E31" s="4" t="inlineStr"/>
      <c r="F31" s="4" t="inlineStr">
        <is>
          <t>THLCH</t>
        </is>
      </c>
      <c r="G31" s="4" t="inlineStr">
        <is>
          <t>VNSGN</t>
        </is>
      </c>
      <c r="H31" s="4" t="inlineStr">
        <is>
          <t xml:space="preserve">40Hx10 </t>
        </is>
      </c>
      <c r="I31" s="4" t="inlineStr">
        <is>
          <t>20260918</t>
        </is>
      </c>
      <c r="J31" s="4" t="inlineStr">
        <is>
          <t>WHA GC LOGISTICS COMPANY LIMITED</t>
        </is>
      </c>
      <c r="K31" s="4" t="inlineStr">
        <is>
          <t>PTT GLOBAL CHEMICAL PUBLIC COMPANY LIMITED</t>
        </is>
      </c>
      <c r="L31" s="4" t="inlineStr">
        <is>
          <t>RESIN</t>
        </is>
      </c>
      <c r="M31" s="4" t="inlineStr">
        <is>
          <t>GOOD AND CLEAN CTNR</t>
        </is>
      </c>
      <c r="N31" s="4" t="inlineStr">
        <is>
          <t>CY-RTN 18-21/09/26 
*PLS CHECK OPEN GATE BEFORE RETURN CTNR*</t>
        </is>
      </c>
      <c r="O31" s="4" t="n">
        <v>0</v>
      </c>
      <c r="P31" s="4" t="n">
        <v>0</v>
      </c>
      <c r="Q31" s="4" t="n">
        <v>10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HASLS22260801772</t>
        </is>
      </c>
      <c r="B32" s="4" t="inlineStr">
        <is>
          <t>KMBK</t>
        </is>
      </c>
      <c r="C32" s="4" t="inlineStr">
        <is>
          <t>2611N</t>
        </is>
      </c>
      <c r="D32" s="4" t="inlineStr">
        <is>
          <t>202610030000</t>
        </is>
      </c>
      <c r="E32" s="4" t="inlineStr"/>
      <c r="F32" s="4" t="inlineStr">
        <is>
          <t>THLCH</t>
        </is>
      </c>
      <c r="G32" s="4" t="inlineStr">
        <is>
          <t>VNSGN</t>
        </is>
      </c>
      <c r="H32" s="4" t="inlineStr">
        <is>
          <t xml:space="preserve">20'x10 </t>
        </is>
      </c>
      <c r="I32" s="4" t="inlineStr">
        <is>
          <t>20260918</t>
        </is>
      </c>
      <c r="J32" s="4" t="inlineStr">
        <is>
          <t>WHA GC LOGISTICS COMPANY LIMITED</t>
        </is>
      </c>
      <c r="K32" s="4" t="inlineStr">
        <is>
          <t>PTT GLOBAL CHEMICAL PUBLIC COMPANY LIMITED</t>
        </is>
      </c>
      <c r="L32" s="4" t="inlineStr">
        <is>
          <t>RESIN</t>
        </is>
      </c>
      <c r="M32" s="4" t="inlineStr">
        <is>
          <t>GOOD AND CLEAN CTNR</t>
        </is>
      </c>
      <c r="N32" s="4" t="inlineStr">
        <is>
          <t>CY-RTN 18-21/09/26 
*PLS CHECK OPEN GATE BEFORE RETURN CTNR*</t>
        </is>
      </c>
      <c r="O32" s="4" t="n">
        <v>10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HASLS22260801826</t>
        </is>
      </c>
      <c r="B33" s="4" t="inlineStr">
        <is>
          <t>ICVY</t>
        </is>
      </c>
      <c r="C33" s="4" t="inlineStr">
        <is>
          <t>2607S</t>
        </is>
      </c>
      <c r="D33" s="4" t="inlineStr">
        <is>
          <t>202609210300</t>
        </is>
      </c>
      <c r="E33" s="4" t="inlineStr"/>
      <c r="F33" s="4" t="inlineStr">
        <is>
          <t>THLCH</t>
        </is>
      </c>
      <c r="G33" s="4" t="inlineStr">
        <is>
          <t>IDJKT</t>
        </is>
      </c>
      <c r="H33" s="4" t="inlineStr">
        <is>
          <t xml:space="preserve">40Hx1 </t>
        </is>
      </c>
      <c r="I33" s="4" t="inlineStr">
        <is>
          <t>20260915</t>
        </is>
      </c>
      <c r="J33" s="4" t="inlineStr">
        <is>
          <t>FLS 1993 (THAILAND) CO., LTD.</t>
        </is>
      </c>
      <c r="K33" s="4" t="inlineStr">
        <is>
          <t>BARBE (THAILAND) LTD.</t>
        </is>
      </c>
      <c r="L33" s="4" t="inlineStr">
        <is>
          <t>PROMOL(NON-DG)</t>
        </is>
      </c>
      <c r="M33" s="4" t="inlineStr">
        <is>
          <t>REQ good condition,clean,odor less and no transferable floor stains without holes, scratches,splinters,oil stains,nails or sharp objects,can forklift</t>
        </is>
      </c>
      <c r="N33" s="4" t="inlineStr">
        <is>
          <t>Pickup : 2026-09-15, Return : 2026-09-16</t>
        </is>
      </c>
      <c r="O33" s="4" t="n">
        <v>0</v>
      </c>
      <c r="P33" s="4" t="n">
        <v>0</v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HASLS22260802021</t>
        </is>
      </c>
      <c r="B34" s="4" t="inlineStr">
        <is>
          <t>KMGY</t>
        </is>
      </c>
      <c r="C34" s="4" t="inlineStr">
        <is>
          <t>2610N</t>
        </is>
      </c>
      <c r="D34" s="4" t="inlineStr">
        <is>
          <t>202609270800</t>
        </is>
      </c>
      <c r="E34" s="4" t="inlineStr"/>
      <c r="F34" s="4" t="inlineStr">
        <is>
          <t>THLCH</t>
        </is>
      </c>
      <c r="G34" s="4" t="inlineStr">
        <is>
          <t>HKHKG</t>
        </is>
      </c>
      <c r="H34" s="4" t="inlineStr">
        <is>
          <t xml:space="preserve">R40Hx1 </t>
        </is>
      </c>
      <c r="I34" s="4" t="inlineStr">
        <is>
          <t>20260919</t>
        </is>
      </c>
      <c r="J34" s="4" t="inlineStr">
        <is>
          <t>DYNAMIC INTERTRANSPORT CO., LTD.</t>
        </is>
      </c>
      <c r="K34" s="4" t="inlineStr">
        <is>
          <t>CP-MEIJI CO., LTD.</t>
        </is>
      </c>
      <c r="L34" s="4" t="inlineStr">
        <is>
          <t>FRESH MILK AND MILK PRODUCT</t>
        </is>
      </c>
      <c r="M34" s="4" t="inlineStr">
        <is>
          <t>(Temp +0.0℃ / Vent Close) REQUEST : CLEAN AND GOOD CONTAINER FOR MILK PRODUCT</t>
        </is>
      </c>
      <c r="N34" s="4" t="inlineStr">
        <is>
          <t>Pickup : 2026-09-19, Return : 2026-09-20  (Temp +0.0 / Vent Close) 
CLS TIME 21/09/26 @18.00</t>
        </is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1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HASLS22260802022</t>
        </is>
      </c>
      <c r="B35" s="4" t="inlineStr">
        <is>
          <t>KMGY</t>
        </is>
      </c>
      <c r="C35" s="4" t="inlineStr">
        <is>
          <t>2610N</t>
        </is>
      </c>
      <c r="D35" s="4" t="inlineStr">
        <is>
          <t>202609270800</t>
        </is>
      </c>
      <c r="E35" s="4" t="inlineStr"/>
      <c r="F35" s="4" t="inlineStr">
        <is>
          <t>THLCH</t>
        </is>
      </c>
      <c r="G35" s="4" t="inlineStr">
        <is>
          <t>HKHKG</t>
        </is>
      </c>
      <c r="H35" s="4" t="inlineStr">
        <is>
          <t xml:space="preserve">R40Hx1 </t>
        </is>
      </c>
      <c r="I35" s="4" t="inlineStr">
        <is>
          <t>20260919</t>
        </is>
      </c>
      <c r="J35" s="4" t="inlineStr">
        <is>
          <t>DYNAMIC INTERTRANSPORT CO., LTD.</t>
        </is>
      </c>
      <c r="K35" s="4" t="inlineStr">
        <is>
          <t>CP-MEIJI CO., LTD.</t>
        </is>
      </c>
      <c r="L35" s="4" t="inlineStr">
        <is>
          <t>FRESH MILK AND MILK PRODUCT</t>
        </is>
      </c>
      <c r="M35" s="4" t="inlineStr">
        <is>
          <t>(Temp +0.0℃ / Vent Close) REQUEST : CLEAN AND GOOD CONTAINER FOR MILK PRODUCT</t>
        </is>
      </c>
      <c r="N35" s="4" t="inlineStr">
        <is>
          <t xml:space="preserve">Pickup : 2026-09-19, Return : 2026-09-20  (Temp +0.0 / Vent Close) 
CLS TIME 21/09/26 @18.00p 0.0 / Vent Close) </t>
        </is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1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HASLS22260802023</t>
        </is>
      </c>
      <c r="B36" s="4" t="inlineStr">
        <is>
          <t>KMGY</t>
        </is>
      </c>
      <c r="C36" s="4" t="inlineStr">
        <is>
          <t>2610N</t>
        </is>
      </c>
      <c r="D36" s="4" t="inlineStr">
        <is>
          <t>202609270800</t>
        </is>
      </c>
      <c r="E36" s="4" t="inlineStr"/>
      <c r="F36" s="4" t="inlineStr">
        <is>
          <t>THLCH</t>
        </is>
      </c>
      <c r="G36" s="4" t="inlineStr">
        <is>
          <t>HKHKG</t>
        </is>
      </c>
      <c r="H36" s="4" t="inlineStr">
        <is>
          <t xml:space="preserve">R40Hx1 </t>
        </is>
      </c>
      <c r="I36" s="4" t="inlineStr">
        <is>
          <t>20260919</t>
        </is>
      </c>
      <c r="J36" s="4" t="inlineStr">
        <is>
          <t>DYNAMIC INTERTRANSPORT CO., LTD.</t>
        </is>
      </c>
      <c r="K36" s="4" t="inlineStr">
        <is>
          <t>CP-MEIJI CO., LTD.</t>
        </is>
      </c>
      <c r="L36" s="4" t="inlineStr">
        <is>
          <t>FRESH MILK AND MILK PRODUCT</t>
        </is>
      </c>
      <c r="M36" s="4" t="inlineStr">
        <is>
          <t>(Temp +0.0℃ / Vent Close) REQUEST : CLEAN AND GOOD CONTAINER FOR MILK PRODUCT</t>
        </is>
      </c>
      <c r="N36" s="4" t="inlineStr">
        <is>
          <t xml:space="preserve">Pickup : 2026-09-19, Return : 2026-09-20  (Temp +0.0 / Vent Close) 
CLS TIME 21/09/26 @18.00p 0.0 / Vent Close) </t>
        </is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1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HASLS22260802024</t>
        </is>
      </c>
      <c r="B37" s="4" t="inlineStr">
        <is>
          <t>CMA</t>
        </is>
      </c>
      <c r="C37" s="4" t="inlineStr">
        <is>
          <t>2614N</t>
        </is>
      </c>
      <c r="D37" s="4" t="inlineStr">
        <is>
          <t>202609250800</t>
        </is>
      </c>
      <c r="E37" s="4" t="inlineStr"/>
      <c r="F37" s="4" t="inlineStr">
        <is>
          <t>THLCH</t>
        </is>
      </c>
      <c r="G37" s="4" t="inlineStr">
        <is>
          <t>HKHKG</t>
        </is>
      </c>
      <c r="H37" s="4" t="inlineStr">
        <is>
          <t xml:space="preserve">R40Hx1 </t>
        </is>
      </c>
      <c r="I37" s="4" t="inlineStr">
        <is>
          <t>20260918</t>
        </is>
      </c>
      <c r="J37" s="4" t="inlineStr">
        <is>
          <t>DYNAMIC INTERTRANSPORT CO., LTD.</t>
        </is>
      </c>
      <c r="K37" s="4" t="inlineStr">
        <is>
          <t>CP-MEIJI CO., LTD.</t>
        </is>
      </c>
      <c r="L37" s="4" t="inlineStr">
        <is>
          <t>FRESH MILK AND MILK PRODUCT</t>
        </is>
      </c>
      <c r="M37" s="4" t="inlineStr">
        <is>
          <t>(Temp +0.0℃ / Vent Close) REQUEST : CLEAN AND GOOD CONTAINER FOR MILK PRODUCT</t>
        </is>
      </c>
      <c r="N37" s="4" t="inlineStr">
        <is>
          <t>Pickup : 2026-09-18, Return : 2026-09-19  (Temp +0.0 / Vent Close) 
CLS TIME 20/09/26 @12.00</t>
        </is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1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HASLS22260802025</t>
        </is>
      </c>
      <c r="B38" s="4" t="inlineStr">
        <is>
          <t>CMA</t>
        </is>
      </c>
      <c r="C38" s="4" t="inlineStr">
        <is>
          <t>2614N</t>
        </is>
      </c>
      <c r="D38" s="4" t="inlineStr">
        <is>
          <t>202609250800</t>
        </is>
      </c>
      <c r="E38" s="4" t="inlineStr"/>
      <c r="F38" s="4" t="inlineStr">
        <is>
          <t>THLCH</t>
        </is>
      </c>
      <c r="G38" s="4" t="inlineStr">
        <is>
          <t>HKHKG</t>
        </is>
      </c>
      <c r="H38" s="4" t="inlineStr">
        <is>
          <t xml:space="preserve">R40Hx1 </t>
        </is>
      </c>
      <c r="I38" s="4" t="inlineStr">
        <is>
          <t>20260918</t>
        </is>
      </c>
      <c r="J38" s="4" t="inlineStr">
        <is>
          <t>DYNAMIC INTERTRANSPORT CO., LTD.</t>
        </is>
      </c>
      <c r="K38" s="4" t="inlineStr">
        <is>
          <t>CP-MEIJI CO., LTD.</t>
        </is>
      </c>
      <c r="L38" s="4" t="inlineStr">
        <is>
          <t>FRESH MILK AND MILK PRODUCT</t>
        </is>
      </c>
      <c r="M38" s="4" t="inlineStr">
        <is>
          <t>(Temp +0.0℃ / Vent Close) REQUEST : CLEAN AND GOOD CONTAINER FOR MILK PRODUCT</t>
        </is>
      </c>
      <c r="N38" s="4" t="inlineStr">
        <is>
          <t>Pickup : 2026-09-18, Return : 2026-09-19 (Temp +0.0 / Vent Close) 
CLS TIME 20/09/26 @12.00</t>
        </is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1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HASLS22260802086</t>
        </is>
      </c>
      <c r="B39" s="4" t="inlineStr">
        <is>
          <t>SWIC</t>
        </is>
      </c>
      <c r="C39" s="4" t="inlineStr">
        <is>
          <t>2610N</t>
        </is>
      </c>
      <c r="D39" s="4" t="inlineStr">
        <is>
          <t>202609220500</t>
        </is>
      </c>
      <c r="E39" s="4" t="inlineStr"/>
      <c r="F39" s="4" t="inlineStr">
        <is>
          <t>THLCH</t>
        </is>
      </c>
      <c r="G39" s="4" t="inlineStr">
        <is>
          <t>KRUSN</t>
        </is>
      </c>
      <c r="H39" s="4" t="inlineStr">
        <is>
          <t xml:space="preserve">20'x3 </t>
        </is>
      </c>
      <c r="I39" s="4" t="inlineStr">
        <is>
          <t>20260917</t>
        </is>
      </c>
      <c r="J39" s="4" t="inlineStr">
        <is>
          <t>MJ LOGISTICS (THAILAND) CO., LTD.</t>
        </is>
      </c>
      <c r="K39" s="4" t="inlineStr">
        <is>
          <t>UNITEX RUBBER CO.,LTD</t>
        </is>
      </c>
      <c r="L39" s="4" t="inlineStr">
        <is>
          <t>LATEX 60%</t>
        </is>
      </c>
      <c r="M39" s="4" t="inlineStr">
        <is>
          <t>**DO NOT RELEASE CNTR WAIT APPROVE** *FLEXIBAG ONDECK*</t>
        </is>
      </c>
      <c r="N39" s="4" t="inlineStr">
        <is>
          <t>**DO NOT RELEASE CNTR WAIT APPROVE** *FLEXIBAG ONDECK*
Servey 2026-09-17 , Pickup : 2026-09-18, Return : 2026-09-19</t>
        </is>
      </c>
      <c r="O39" s="4" t="n">
        <v>3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HASLS22260802087</t>
        </is>
      </c>
      <c r="B40" s="4" t="inlineStr">
        <is>
          <t>SWBT</t>
        </is>
      </c>
      <c r="C40" s="4" t="inlineStr">
        <is>
          <t>2615N</t>
        </is>
      </c>
      <c r="D40" s="4" t="inlineStr">
        <is>
          <t>202609221100</t>
        </is>
      </c>
      <c r="E40" s="4" t="inlineStr"/>
      <c r="F40" s="4" t="inlineStr">
        <is>
          <t>THLCH</t>
        </is>
      </c>
      <c r="G40" s="4" t="inlineStr">
        <is>
          <t>KRPUS</t>
        </is>
      </c>
      <c r="H40" s="4" t="inlineStr">
        <is>
          <t xml:space="preserve">R40Hx1 </t>
        </is>
      </c>
      <c r="I40" s="4" t="inlineStr">
        <is>
          <t>20260917</t>
        </is>
      </c>
      <c r="J40" s="4" t="inlineStr">
        <is>
          <t>C.P. INTERTRADE CO., LTD.</t>
        </is>
      </c>
      <c r="K40" s="4" t="inlineStr">
        <is>
          <t>CPF FOOD NETWORK CO., LTD.</t>
        </is>
      </c>
      <c r="L40" s="4" t="inlineStr">
        <is>
          <t>FROZEN PREPARED CHICKEN MEAT</t>
        </is>
      </c>
      <c r="M40" s="4" t="inlineStr">
        <is>
          <t>*PRECOOL* (Temp -20.0℃ / Vent Close) 
REQUEST CLEAN &amp; GOOD CONTAINER</t>
        </is>
      </c>
      <c r="N40" s="4" t="inlineStr">
        <is>
          <t>Pickup : 2026-09-17, Return : 2026-09-18 (Temp -20.0 / Vent Close) *PRECOOL*
CLS TIME 20/09/26 @12.00  COST PRECOOL = 1,200 BAHT</t>
        </is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1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HASLS22260802121</t>
        </is>
      </c>
      <c r="B41" s="4" t="inlineStr">
        <is>
          <t>SWSP</t>
        </is>
      </c>
      <c r="C41" s="4" t="inlineStr">
        <is>
          <t>2609N</t>
        </is>
      </c>
      <c r="D41" s="4" t="inlineStr">
        <is>
          <t>202610020330</t>
        </is>
      </c>
      <c r="E41" s="4" t="inlineStr"/>
      <c r="F41" s="4" t="inlineStr">
        <is>
          <t>THLCH</t>
        </is>
      </c>
      <c r="G41" s="4" t="inlineStr">
        <is>
          <t>KRPUS</t>
        </is>
      </c>
      <c r="H41" s="4" t="inlineStr">
        <is>
          <t xml:space="preserve">R40Hx1 </t>
        </is>
      </c>
      <c r="I41" s="4" t="inlineStr">
        <is>
          <t>20260929</t>
        </is>
      </c>
      <c r="J41" s="4" t="inlineStr">
        <is>
          <t>MAXCORE LOGISTICS CO., LTD.</t>
        </is>
      </c>
      <c r="K41" s="4" t="inlineStr">
        <is>
          <t>KAONA POULTRY CO., LTD.</t>
        </is>
      </c>
      <c r="L41" s="4" t="inlineStr">
        <is>
          <t>FROZEN CHICKEN MEAT</t>
        </is>
      </c>
      <c r="M41" s="4" t="inlineStr">
        <is>
          <t>(Temp -19.0℃ / Vent Close) REQUEST CLEAN &amp; NEW CONTAINER
COMPRESSOR: REQUEST THERMO KING OR 
CARRIER (NO DAIKIN)</t>
        </is>
      </c>
      <c r="N41" s="4" t="inlineStr">
        <is>
          <t>Pickup : 2026-09-29, Return : 2026-09-30  (Temp -19.0 / Vent Close) 
CLS TIME 01/10/26 @15.00</t>
        </is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1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HASLS22260802143</t>
        </is>
      </c>
      <c r="B42" s="4" t="inlineStr">
        <is>
          <t>PGPO</t>
        </is>
      </c>
      <c r="C42" s="4" t="inlineStr">
        <is>
          <t>2611N</t>
        </is>
      </c>
      <c r="D42" s="4" t="inlineStr">
        <is>
          <t>202609230130</t>
        </is>
      </c>
      <c r="E42" s="4" t="inlineStr"/>
      <c r="F42" s="4" t="inlineStr">
        <is>
          <t>THLCH</t>
        </is>
      </c>
      <c r="G42" s="4" t="inlineStr">
        <is>
          <t>VNSGN</t>
        </is>
      </c>
      <c r="H42" s="4" t="inlineStr">
        <is>
          <t xml:space="preserve">40Hx2 </t>
        </is>
      </c>
      <c r="I42" s="4" t="inlineStr">
        <is>
          <t>20260917</t>
        </is>
      </c>
      <c r="J42" s="4" t="inlineStr">
        <is>
          <t>YUSEN LOGISTICS (THAILAND) CO., LTD.</t>
        </is>
      </c>
      <c r="K42" s="4" t="inlineStr">
        <is>
          <t>MAKITA MANUFACTURING (THAILAND) CO., LTD.</t>
        </is>
      </c>
      <c r="L42" s="4" t="inlineStr">
        <is>
          <t xml:space="preserve">ELECTRIC POWER TOOLS </t>
        </is>
      </c>
      <c r="M42" s="4" t="inlineStr">
        <is>
          <t>good, clean, dry, no leak, no hole, no smell, no oil container</t>
        </is>
      </c>
      <c r="N42" s="4" t="inlineStr">
        <is>
          <t>Pickup : 2026-09-17, Return : 2026-09-18
**CHECK OPENGATE BEFORE RETURN CNTR**</t>
        </is>
      </c>
      <c r="O42" s="4" t="n">
        <v>0</v>
      </c>
      <c r="P42" s="4" t="n">
        <v>0</v>
      </c>
      <c r="Q42" s="4" t="n">
        <v>2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HASLS22260802164</t>
        </is>
      </c>
      <c r="B43" s="4" t="inlineStr">
        <is>
          <t>KUS</t>
        </is>
      </c>
      <c r="C43" s="4" t="inlineStr">
        <is>
          <t>2615N</t>
        </is>
      </c>
      <c r="D43" s="4" t="inlineStr">
        <is>
          <t>202609231500</t>
        </is>
      </c>
      <c r="E43" s="4" t="inlineStr"/>
      <c r="F43" s="4" t="inlineStr">
        <is>
          <t>THLCH</t>
        </is>
      </c>
      <c r="G43" s="4" t="inlineStr">
        <is>
          <t>VNSGN</t>
        </is>
      </c>
      <c r="H43" s="4" t="inlineStr">
        <is>
          <t xml:space="preserve">20'x1 </t>
        </is>
      </c>
      <c r="I43" s="4" t="inlineStr">
        <is>
          <t>20260915</t>
        </is>
      </c>
      <c r="J43" s="4" t="inlineStr">
        <is>
          <t>WHA GC LOGISTICS COMPANY LIMITED</t>
        </is>
      </c>
      <c r="K43" s="4" t="inlineStr">
        <is>
          <t>PTT GLOBAL CHEMICAL PUBLIC COMPANY LIMITED</t>
        </is>
      </c>
      <c r="L43" s="4" t="inlineStr">
        <is>
          <t xml:space="preserve">TRI ETHANOLAMINE </t>
        </is>
      </c>
      <c r="M43" s="4" t="inlineStr">
        <is>
          <t>GOOD AND CLEAN CTNR</t>
        </is>
      </c>
      <c r="N43" s="4" t="inlineStr">
        <is>
          <t xml:space="preserve">CY-RTN : 15-16/09/26 (TEA99 - 11000007027) 
** PLEASE CHECK OPEN GATE BEFORE RETURN CONTAINER ** 
 </t>
        </is>
      </c>
      <c r="O43" s="4" t="n">
        <v>1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HASLS22260802260</t>
        </is>
      </c>
      <c r="B44" s="4" t="inlineStr">
        <is>
          <t>SWBT</t>
        </is>
      </c>
      <c r="C44" s="4" t="inlineStr">
        <is>
          <t>2615N</t>
        </is>
      </c>
      <c r="D44" s="4" t="inlineStr">
        <is>
          <t>202609221100</t>
        </is>
      </c>
      <c r="E44" s="4" t="inlineStr"/>
      <c r="F44" s="4" t="inlineStr">
        <is>
          <t>THLCH</t>
        </is>
      </c>
      <c r="G44" s="4" t="inlineStr">
        <is>
          <t>KRPUS</t>
        </is>
      </c>
      <c r="H44" s="4" t="inlineStr">
        <is>
          <t xml:space="preserve">R40Hx1 </t>
        </is>
      </c>
      <c r="I44" s="4" t="inlineStr">
        <is>
          <t>20260915</t>
        </is>
      </c>
      <c r="J44" s="4" t="inlineStr">
        <is>
          <t>CONNEXT LOG (THAILAND) CO.,LTD.</t>
        </is>
      </c>
      <c r="K44" s="4" t="inlineStr">
        <is>
          <t>LAEMTHONG POULTRY CO., LTD.</t>
        </is>
      </c>
      <c r="L44" s="4" t="inlineStr">
        <is>
          <t>FROZEN CHICKEN PRODUCTS</t>
        </is>
      </c>
      <c r="M44" s="4" t="inlineStr">
        <is>
          <t>(Temp -18.0℃ / Vent Close) 
REQUEST NO DAIKIN , NEW CONTAINER GRADE A</t>
        </is>
      </c>
      <c r="N44" s="4" t="inlineStr">
        <is>
          <t>Pickup : 2026-09-15, Return : 2026-09-16 (Temp -18.0 / Vent Close) 
CLS TIME 20/09/26 @12.00 (1ST DATE RTN 19/09/2026 W/O RENT,ELECTRIC)</t>
        </is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1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HASLS22260802264</t>
        </is>
      </c>
      <c r="B45" s="4" t="inlineStr">
        <is>
          <t>SWMM</t>
        </is>
      </c>
      <c r="C45" s="4" t="inlineStr">
        <is>
          <t>2609N</t>
        </is>
      </c>
      <c r="D45" s="4" t="inlineStr">
        <is>
          <t>202609240000</t>
        </is>
      </c>
      <c r="E45" s="4" t="inlineStr"/>
      <c r="F45" s="4" t="inlineStr">
        <is>
          <t>THLCH</t>
        </is>
      </c>
      <c r="G45" s="4" t="inlineStr">
        <is>
          <t>KRPTK</t>
        </is>
      </c>
      <c r="H45" s="4" t="inlineStr">
        <is>
          <t xml:space="preserve">40Hx4 </t>
        </is>
      </c>
      <c r="I45" s="4" t="inlineStr">
        <is>
          <t>20260921</t>
        </is>
      </c>
      <c r="J45" s="4" t="inlineStr">
        <is>
          <t>SDS-ACUTECH CO., LTD.</t>
        </is>
      </c>
      <c r="K45" s="4" t="inlineStr">
        <is>
          <t>TPV TECHNOLOGY (THAILAND) CO., LTD.</t>
        </is>
      </c>
      <c r="L45" s="4" t="inlineStr">
        <is>
          <t>MONITOR SCREEN</t>
        </is>
      </c>
      <c r="M45" s="4" t="inlineStr">
        <is>
          <t>GOOD AND CLEAN CONTAINER</t>
        </is>
      </c>
      <c r="N45" s="4" t="inlineStr">
        <is>
          <t>Pickup : 2026-09-21, Return : 2026-09-21</t>
        </is>
      </c>
      <c r="O45" s="4" t="n">
        <v>0</v>
      </c>
      <c r="P45" s="4" t="n">
        <v>0</v>
      </c>
      <c r="Q45" s="4" t="n">
        <v>4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HASLS22260802279</t>
        </is>
      </c>
      <c r="B46" s="4" t="inlineStr">
        <is>
          <t>PGPO</t>
        </is>
      </c>
      <c r="C46" s="4" t="inlineStr">
        <is>
          <t>2611N</t>
        </is>
      </c>
      <c r="D46" s="4" t="inlineStr">
        <is>
          <t>202609230130</t>
        </is>
      </c>
      <c r="E46" s="4" t="inlineStr"/>
      <c r="F46" s="4" t="inlineStr">
        <is>
          <t>THLCH</t>
        </is>
      </c>
      <c r="G46" s="4" t="inlineStr">
        <is>
          <t>VNSGN</t>
        </is>
      </c>
      <c r="H46" s="4" t="inlineStr">
        <is>
          <t xml:space="preserve">40Hx1 </t>
        </is>
      </c>
      <c r="I46" s="4" t="inlineStr">
        <is>
          <t>20260919</t>
        </is>
      </c>
      <c r="J46" s="4" t="inlineStr">
        <is>
          <t>OASIS LOGISTICS CO., LTD.</t>
        </is>
      </c>
      <c r="K46" s="4" t="inlineStr">
        <is>
          <t>MJ EX-IM COMPANY LIMITED</t>
        </is>
      </c>
      <c r="L46" s="4" t="inlineStr">
        <is>
          <t xml:space="preserve">NON- DAIRY CREAMER </t>
        </is>
      </c>
      <c r="M46" s="4" t="inlineStr">
        <is>
          <t>REQUEST GOOD AND CLEAN CONTAINER</t>
        </is>
      </c>
      <c r="N46" s="4" t="inlineStr">
        <is>
          <t xml:space="preserve">Pickup : 2026-09-19, Return : 2026-09-21 
** PLEASE CHECK OPEN GATE BEFORE RETURN CONTAINER ** </t>
        </is>
      </c>
      <c r="O46" s="4" t="n">
        <v>0</v>
      </c>
      <c r="P46" s="4" t="n">
        <v>0</v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HASLS22260802354</t>
        </is>
      </c>
      <c r="B47" s="4" t="inlineStr">
        <is>
          <t>ICVY</t>
        </is>
      </c>
      <c r="C47" s="4" t="inlineStr">
        <is>
          <t>2607S</t>
        </is>
      </c>
      <c r="D47" s="4" t="inlineStr">
        <is>
          <t>202609210300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20'x1 </t>
        </is>
      </c>
      <c r="I47" s="4" t="inlineStr">
        <is>
          <t>20260916</t>
        </is>
      </c>
      <c r="J47" s="4" t="inlineStr">
        <is>
          <t>CTI LOGISTICS CO., LTD.</t>
        </is>
      </c>
      <c r="K47" s="4" t="inlineStr">
        <is>
          <t>ARROW SYNDICATE PUBLIC COMPANY LIMITED</t>
        </is>
      </c>
      <c r="L47" s="4" t="inlineStr">
        <is>
          <t>FLEXIBLE TUBING (H.S.CODE:8307.90.00)</t>
        </is>
      </c>
      <c r="M47" s="4" t="inlineStr">
        <is>
          <t>GOOD AND CLEAN CONTAINER</t>
        </is>
      </c>
      <c r="N47" s="4" t="inlineStr">
        <is>
          <t>Pickup : 2026-09-16, Return : 2026-09-16</t>
        </is>
      </c>
      <c r="O47" s="4" t="n">
        <v>1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HASLS22260802383</t>
        </is>
      </c>
      <c r="B48" s="4" t="inlineStr">
        <is>
          <t>DJCF</t>
        </is>
      </c>
      <c r="C48" s="4" t="inlineStr">
        <is>
          <t>0151N</t>
        </is>
      </c>
      <c r="D48" s="4" t="inlineStr">
        <is>
          <t>202609200100</t>
        </is>
      </c>
      <c r="E48" s="4" t="inlineStr"/>
      <c r="F48" s="4" t="inlineStr">
        <is>
          <t>THLCH</t>
        </is>
      </c>
      <c r="G48" s="4" t="inlineStr">
        <is>
          <t>VNSGN</t>
        </is>
      </c>
      <c r="H48" s="4" t="inlineStr">
        <is>
          <t xml:space="preserve">20'x1 </t>
        </is>
      </c>
      <c r="I48" s="4" t="inlineStr">
        <is>
          <t>20260914</t>
        </is>
      </c>
      <c r="J48" s="4" t="inlineStr">
        <is>
          <t>EXPEDITORS (THAILAND) LTD.</t>
        </is>
      </c>
      <c r="K48" s="4" t="inlineStr">
        <is>
          <t>TTC (1989) CORPORATION CO., LTD</t>
        </is>
      </c>
      <c r="L48" s="4" t="inlineStr">
        <is>
          <t xml:space="preserve">FABRICS </t>
        </is>
      </c>
      <c r="M48" s="4" t="inlineStr">
        <is>
          <t>Special Remark : Request well clean and dry cntrs ,</t>
        </is>
      </c>
      <c r="N48" s="4" t="inlineStr">
        <is>
          <t xml:space="preserve">Pickup : 2026-09-14, Return : 2026-09-15 
** PLEASE CHECK OPEN GATE BEFORE RETURN CONTAINER ** </t>
        </is>
      </c>
      <c r="O48" s="4" t="n">
        <v>1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HASLS22260802396</t>
        </is>
      </c>
      <c r="B49" s="4" t="inlineStr">
        <is>
          <t>HAB</t>
        </is>
      </c>
      <c r="C49" s="4" t="inlineStr">
        <is>
          <t>2611N</t>
        </is>
      </c>
      <c r="D49" s="4" t="inlineStr">
        <is>
          <t>202609251600</t>
        </is>
      </c>
      <c r="E49" s="4" t="inlineStr"/>
      <c r="F49" s="4" t="inlineStr">
        <is>
          <t>THLCH</t>
        </is>
      </c>
      <c r="G49" s="4" t="inlineStr">
        <is>
          <t>CNSHA</t>
        </is>
      </c>
      <c r="H49" s="4" t="inlineStr">
        <is>
          <t xml:space="preserve">20'x2 </t>
        </is>
      </c>
      <c r="I49" s="4" t="inlineStr">
        <is>
          <t>20260921</t>
        </is>
      </c>
      <c r="J49" s="4" t="inlineStr">
        <is>
          <t>YUSEN LOGISTICS (THAILAND) CO., LTD.</t>
        </is>
      </c>
      <c r="K49" s="4" t="inlineStr">
        <is>
          <t>KUBOTA ENGINE ( THAILAND ) CO., LTD.</t>
        </is>
      </c>
      <c r="L49" s="4" t="inlineStr">
        <is>
          <t>DIESEL ENGINE</t>
        </is>
      </c>
      <c r="M49" s="4" t="inlineStr">
        <is>
          <t>GOOD AND CLEAN CONTAINER</t>
        </is>
      </c>
      <c r="N49" s="4" t="inlineStr">
        <is>
          <t xml:space="preserve">Pickup : 2026-09-21, Return : 2026-09-22 </t>
        </is>
      </c>
      <c r="O49" s="4" t="n">
        <v>2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HASLS22260802397</t>
        </is>
      </c>
      <c r="B50" s="4" t="inlineStr">
        <is>
          <t>HAB</t>
        </is>
      </c>
      <c r="C50" s="4" t="inlineStr">
        <is>
          <t>2611N</t>
        </is>
      </c>
      <c r="D50" s="4" t="inlineStr">
        <is>
          <t>202609251600</t>
        </is>
      </c>
      <c r="E50" s="4" t="inlineStr"/>
      <c r="F50" s="4" t="inlineStr">
        <is>
          <t>THLCH</t>
        </is>
      </c>
      <c r="G50" s="4" t="inlineStr">
        <is>
          <t>CNSHA</t>
        </is>
      </c>
      <c r="H50" s="4" t="inlineStr">
        <is>
          <t xml:space="preserve">20'x1 </t>
        </is>
      </c>
      <c r="I50" s="4" t="inlineStr">
        <is>
          <t>20260921</t>
        </is>
      </c>
      <c r="J50" s="4" t="inlineStr">
        <is>
          <t>YUSEN LOGISTICS (THAILAND) CO., LTD.</t>
        </is>
      </c>
      <c r="K50" s="4" t="inlineStr">
        <is>
          <t>KUBOTA ENGINE ( THAILAND ) CO., LTD.</t>
        </is>
      </c>
      <c r="L50" s="4" t="inlineStr">
        <is>
          <t>DIESEL ENGINE</t>
        </is>
      </c>
      <c r="M50" s="4" t="inlineStr">
        <is>
          <t>GOOD AND CLEAN CONTAINER</t>
        </is>
      </c>
      <c r="N50" s="4" t="inlineStr">
        <is>
          <t xml:space="preserve">Pickup : 2026-09-21, Return : 2026-09-22 </t>
        </is>
      </c>
      <c r="O50" s="4" t="n">
        <v>1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HASLS22260802443</t>
        </is>
      </c>
      <c r="B51" s="4" t="inlineStr">
        <is>
          <t>SWIC</t>
        </is>
      </c>
      <c r="C51" s="4" t="inlineStr">
        <is>
          <t>2610N</t>
        </is>
      </c>
      <c r="D51" s="4" t="inlineStr">
        <is>
          <t>202609220500</t>
        </is>
      </c>
      <c r="E51" s="4" t="inlineStr"/>
      <c r="F51" s="4" t="inlineStr">
        <is>
          <t>THLCH</t>
        </is>
      </c>
      <c r="G51" s="4" t="inlineStr">
        <is>
          <t>JPTMK</t>
        </is>
      </c>
      <c r="H51" s="4" t="inlineStr">
        <is>
          <t xml:space="preserve">R40Hx1 </t>
        </is>
      </c>
      <c r="I51" s="4" t="inlineStr">
        <is>
          <t>20260916</t>
        </is>
      </c>
      <c r="J51" s="4" t="inlineStr">
        <is>
          <t>LOGMAN INTERNATIONAL CO., LTD.</t>
        </is>
      </c>
      <c r="K51" s="4" t="inlineStr">
        <is>
          <t>THAI NIPPON FOODS CO. , LTD.</t>
        </is>
      </c>
      <c r="L51" s="4" t="inlineStr">
        <is>
          <t>FROZEN CHICKEN</t>
        </is>
      </c>
      <c r="M51" s="4" t="inlineStr">
        <is>
          <t>(Temp -20.0℃ / Vent Close) 
REQ: NEW AND CLEAN CONTAINER</t>
        </is>
      </c>
      <c r="N51" s="4" t="inlineStr">
        <is>
          <t>[FIX]Pickup : 2026-09-16, Return : 2026-08-17 (Temp -20.0 / Vent Close) 
CLS TIME 18/09/26 @18.00</t>
        </is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HASLS22260802453</t>
        </is>
      </c>
      <c r="B52" s="4" t="inlineStr">
        <is>
          <t>CMA</t>
        </is>
      </c>
      <c r="C52" s="4" t="inlineStr">
        <is>
          <t>2614N</t>
        </is>
      </c>
      <c r="D52" s="4" t="inlineStr">
        <is>
          <t>202609250800</t>
        </is>
      </c>
      <c r="E52" s="4" t="inlineStr"/>
      <c r="F52" s="4" t="inlineStr">
        <is>
          <t>THLCH</t>
        </is>
      </c>
      <c r="G52" s="4" t="inlineStr">
        <is>
          <t>TWKEL</t>
        </is>
      </c>
      <c r="H52" s="4" t="inlineStr">
        <is>
          <t xml:space="preserve">20'x1 </t>
        </is>
      </c>
      <c r="I52" s="4" t="inlineStr">
        <is>
          <t>20260916</t>
        </is>
      </c>
      <c r="J52" s="4" t="inlineStr">
        <is>
          <t>TTR FREIGHT AND SERVICE COMPANY LIMITED</t>
        </is>
      </c>
      <c r="K52" s="4" t="inlineStr">
        <is>
          <t>TONG THAI RUBBER CO., LTD.</t>
        </is>
      </c>
      <c r="L52" s="4" t="inlineStr">
        <is>
          <t>RUBBER BALE</t>
        </is>
      </c>
      <c r="M52" s="4" t="inlineStr">
        <is>
          <t>GOOD AND CLEAN CONTAINER</t>
        </is>
      </c>
      <c r="N52" s="4" t="inlineStr">
        <is>
          <t xml:space="preserve">Pickup : 2026-09-16, Return : 2026-09-18 
** PLEASE CHECK OPEN GATE BEFORE RETURN CONTAINER ** </t>
        </is>
      </c>
      <c r="O52" s="4" t="n">
        <v>1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HASLS22260802472</t>
        </is>
      </c>
      <c r="B53" s="4" t="inlineStr">
        <is>
          <t>KMBK</t>
        </is>
      </c>
      <c r="C53" s="4" t="inlineStr">
        <is>
          <t>2611N</t>
        </is>
      </c>
      <c r="D53" s="4" t="inlineStr">
        <is>
          <t>202610030000</t>
        </is>
      </c>
      <c r="E53" s="4" t="inlineStr"/>
      <c r="F53" s="4" t="inlineStr">
        <is>
          <t>THLCH</t>
        </is>
      </c>
      <c r="G53" s="4" t="inlineStr">
        <is>
          <t>VNSGN</t>
        </is>
      </c>
      <c r="H53" s="4" t="inlineStr">
        <is>
          <t xml:space="preserve">20'x1 </t>
        </is>
      </c>
      <c r="I53" s="4" t="inlineStr">
        <is>
          <t>20260923</t>
        </is>
      </c>
      <c r="J53" s="4" t="inlineStr">
        <is>
          <t>ICONS GLOBAL LOGISTICS CO., LTD.</t>
        </is>
      </c>
      <c r="K53" s="4" t="inlineStr">
        <is>
          <t>MINAMIDA (THAILAND) CO., LTD</t>
        </is>
      </c>
      <c r="L53" s="4" t="inlineStr">
        <is>
          <t>SPARE PARTS</t>
        </is>
      </c>
      <c r="M53" s="4" t="inlineStr">
        <is>
          <t>GOOD AND CLEAN CONTAINER</t>
        </is>
      </c>
      <c r="N53" s="4" t="inlineStr">
        <is>
          <t>Pickup : 2026-09-23, Return : 2026-08-24 (1ST RT DD: 27/09/26 WO/RENT)
**CHECK OPENGATE BEFORE RETURN CNTR**</t>
        </is>
      </c>
      <c r="O53" s="4" t="n">
        <v>1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HASLS22260802479</t>
        </is>
      </c>
      <c r="B54" s="4" t="inlineStr">
        <is>
          <t>SWMM</t>
        </is>
      </c>
      <c r="C54" s="4" t="inlineStr">
        <is>
          <t>2609N</t>
        </is>
      </c>
      <c r="D54" s="4" t="inlineStr">
        <is>
          <t>202609240000</t>
        </is>
      </c>
      <c r="E54" s="4" t="inlineStr"/>
      <c r="F54" s="4" t="inlineStr">
        <is>
          <t>THLCH</t>
        </is>
      </c>
      <c r="G54" s="4" t="inlineStr">
        <is>
          <t>VNSGN</t>
        </is>
      </c>
      <c r="H54" s="4" t="inlineStr">
        <is>
          <t xml:space="preserve">20'x1 </t>
        </is>
      </c>
      <c r="I54" s="4" t="inlineStr">
        <is>
          <t>20260918</t>
        </is>
      </c>
      <c r="J54" s="4" t="inlineStr">
        <is>
          <t>TOPOCEAN (THAILAND) LIMITED</t>
        </is>
      </c>
      <c r="K54" s="4" t="inlineStr">
        <is>
          <t>JONGKOL PRODUCTS CO., LTD</t>
        </is>
      </c>
      <c r="L54" s="4" t="inlineStr">
        <is>
          <t xml:space="preserve">JELLY GUMMY </t>
        </is>
      </c>
      <c r="M54" s="4" t="inlineStr">
        <is>
          <t>REQ : CLEAN,DRY CONTAINER AND UNDER DECK ONLY</t>
        </is>
      </c>
      <c r="N54" s="4" t="inlineStr">
        <is>
          <t>Pickup : 2026-09-18, Return : 2026-09-21</t>
        </is>
      </c>
      <c r="O54" s="4" t="n">
        <v>1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HASLS22260802480</t>
        </is>
      </c>
      <c r="B55" s="4" t="inlineStr">
        <is>
          <t>SWSP</t>
        </is>
      </c>
      <c r="C55" s="4" t="inlineStr">
        <is>
          <t>2609N</t>
        </is>
      </c>
      <c r="D55" s="4" t="inlineStr">
        <is>
          <t>202610020330</t>
        </is>
      </c>
      <c r="E55" s="4" t="inlineStr"/>
      <c r="F55" s="4" t="inlineStr">
        <is>
          <t>THLCH</t>
        </is>
      </c>
      <c r="G55" s="4" t="inlineStr">
        <is>
          <t>VNSGN</t>
        </is>
      </c>
      <c r="H55" s="4" t="inlineStr">
        <is>
          <t xml:space="preserve">20'x1 </t>
        </is>
      </c>
      <c r="I55" s="4" t="inlineStr">
        <is>
          <t>20260926</t>
        </is>
      </c>
      <c r="J55" s="4" t="inlineStr">
        <is>
          <t>TOPOCEAN (THAILAND) LIMITED</t>
        </is>
      </c>
      <c r="K55" s="4" t="inlineStr">
        <is>
          <t>JONGKOL PRODUCTS CO., LTD</t>
        </is>
      </c>
      <c r="L55" s="4" t="inlineStr">
        <is>
          <t xml:space="preserve">JELLY GUMMY </t>
        </is>
      </c>
      <c r="M55" s="4" t="inlineStr">
        <is>
          <t>REQ : CLEAN, DRY CONTAINER AND UNDER DECK ONLY</t>
        </is>
      </c>
      <c r="N55" s="4" t="inlineStr">
        <is>
          <t xml:space="preserve">Pickup : 2026-09-26, Return : 2026-09-28 
 ** PLEASE CHECK OPEN GATE BEFORE RETURN CNTR **
</t>
        </is>
      </c>
      <c r="O55" s="4" t="n">
        <v>1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HASLS22260802560</t>
        </is>
      </c>
      <c r="B56" s="4" t="inlineStr">
        <is>
          <t>SWSP</t>
        </is>
      </c>
      <c r="C56" s="4" t="inlineStr">
        <is>
          <t>2609N</t>
        </is>
      </c>
      <c r="D56" s="4" t="inlineStr">
        <is>
          <t>202610020330</t>
        </is>
      </c>
      <c r="E56" s="4" t="inlineStr"/>
      <c r="F56" s="4" t="inlineStr">
        <is>
          <t>THLCH</t>
        </is>
      </c>
      <c r="G56" s="4" t="inlineStr">
        <is>
          <t>KRPTK</t>
        </is>
      </c>
      <c r="H56" s="4" t="inlineStr">
        <is>
          <t xml:space="preserve">20'x2 </t>
        </is>
      </c>
      <c r="I56" s="4" t="inlineStr">
        <is>
          <t>20260921</t>
        </is>
      </c>
      <c r="J56" s="4" t="inlineStr">
        <is>
          <t>LOGEM LOGISTICS CO., LTD.</t>
        </is>
      </c>
      <c r="K56" s="4" t="inlineStr">
        <is>
          <t>SHINJIN SM (THAILAND) CO.,LTD.</t>
        </is>
      </c>
      <c r="L56" s="4" t="inlineStr">
        <is>
          <t>MATERIAL STEEL FINISHING PLATE</t>
        </is>
      </c>
      <c r="M56" s="4" t="inlineStr">
        <is>
          <t>GOOD AND CLEAN CONTAINER</t>
        </is>
      </c>
      <c r="N56" s="4" t="inlineStr">
        <is>
          <t xml:space="preserve">Pickup : 2026-09-21, Return : 2026-09-21  [1ST RTN 26/09/2026 W/O RENT]
** PLEASE CHECK OPEN GATE BEFORE RETURN CONTAINER ** </t>
        </is>
      </c>
      <c r="O56" s="4" t="n">
        <v>2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HASLS22260802565</t>
        </is>
      </c>
      <c r="B57" s="4" t="inlineStr">
        <is>
          <t>NSSJ</t>
        </is>
      </c>
      <c r="C57" s="4" t="inlineStr">
        <is>
          <t>2607S</t>
        </is>
      </c>
      <c r="D57" s="4" t="inlineStr">
        <is>
          <t>202609232100</t>
        </is>
      </c>
      <c r="E57" s="4" t="inlineStr"/>
      <c r="F57" s="4" t="inlineStr">
        <is>
          <t>THLCH</t>
        </is>
      </c>
      <c r="G57" s="4" t="inlineStr">
        <is>
          <t>IDJKT</t>
        </is>
      </c>
      <c r="H57" s="4" t="inlineStr">
        <is>
          <t xml:space="preserve">20'x6 </t>
        </is>
      </c>
      <c r="I57" s="4" t="inlineStr">
        <is>
          <t>20260909</t>
        </is>
      </c>
      <c r="J57" s="4" t="inlineStr">
        <is>
          <t>IRPC PUBLIC COMPANY LIMITED</t>
        </is>
      </c>
      <c r="K57" s="4" t="inlineStr">
        <is>
          <t>IRPC PUBLIC COMPANY LIMITED</t>
        </is>
      </c>
      <c r="L57" s="4" t="inlineStr">
        <is>
          <t>RESIN</t>
        </is>
      </c>
      <c r="M57" s="4" t="inlineStr">
        <is>
          <t>GOOD AND CLEAN CONTAINER</t>
        </is>
      </c>
      <c r="N57" s="4" t="inlineStr">
        <is>
          <t>CY - RTN : 09-11/09/2026
*PLEASE CHECK OPEN GATE BEFORE RETURN CONTAINER*</t>
        </is>
      </c>
      <c r="O57" s="4" t="n">
        <v>6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6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HASLS22260802568</t>
        </is>
      </c>
      <c r="B58" s="4" t="inlineStr">
        <is>
          <t>SWMM</t>
        </is>
      </c>
      <c r="C58" s="4" t="inlineStr">
        <is>
          <t>2609N</t>
        </is>
      </c>
      <c r="D58" s="4" t="inlineStr">
        <is>
          <t>202609240000</t>
        </is>
      </c>
      <c r="E58" s="4" t="inlineStr"/>
      <c r="F58" s="4" t="inlineStr">
        <is>
          <t>THLCH</t>
        </is>
      </c>
      <c r="G58" s="4" t="inlineStr">
        <is>
          <t>KRPTK</t>
        </is>
      </c>
      <c r="H58" s="4" t="inlineStr">
        <is>
          <t xml:space="preserve">40Hx2 </t>
        </is>
      </c>
      <c r="I58" s="4" t="inlineStr">
        <is>
          <t>20260917</t>
        </is>
      </c>
      <c r="J58" s="4" t="inlineStr">
        <is>
          <t>DACHSER (THAILAND) CO., LTD.</t>
        </is>
      </c>
      <c r="K58" s="4" t="inlineStr">
        <is>
          <t>SRF INDUSTRIES (THAILAND) LIMITED (112)</t>
        </is>
      </c>
      <c r="L58" s="4" t="inlineStr">
        <is>
          <t>POLYESTER FILM</t>
        </is>
      </c>
      <c r="M58" s="4" t="inlineStr">
        <is>
          <t>REQ GOOD DRY AND CLEAN CONTAINER ONLY / RQST CNTR 32.5 TONS // 40'HQ</t>
        </is>
      </c>
      <c r="N58" s="4" t="inlineStr">
        <is>
          <t>Pickup : 2026-09-17, Return : 2026-09-18</t>
        </is>
      </c>
      <c r="O58" s="4" t="n">
        <v>0</v>
      </c>
      <c r="P58" s="4" t="n">
        <v>0</v>
      </c>
      <c r="Q58" s="4" t="n">
        <v>2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HASLS22260802571</t>
        </is>
      </c>
      <c r="B59" s="4" t="inlineStr">
        <is>
          <t>SWMM</t>
        </is>
      </c>
      <c r="C59" s="4" t="inlineStr">
        <is>
          <t>2609N</t>
        </is>
      </c>
      <c r="D59" s="4" t="inlineStr">
        <is>
          <t>202609240000</t>
        </is>
      </c>
      <c r="E59" s="4" t="inlineStr"/>
      <c r="F59" s="4" t="inlineStr">
        <is>
          <t>THLCH</t>
        </is>
      </c>
      <c r="G59" s="4" t="inlineStr">
        <is>
          <t>KRPTK</t>
        </is>
      </c>
      <c r="H59" s="4" t="inlineStr">
        <is>
          <t xml:space="preserve">40Hx1 </t>
        </is>
      </c>
      <c r="I59" s="4" t="inlineStr">
        <is>
          <t>20260917</t>
        </is>
      </c>
      <c r="J59" s="4" t="inlineStr">
        <is>
          <t>DACHSER (THAILAND) CO., LTD.</t>
        </is>
      </c>
      <c r="K59" s="4" t="inlineStr">
        <is>
          <t>SRF INDUSTRIES (THAILAND) LIMITED (112)</t>
        </is>
      </c>
      <c r="L59" s="4" t="inlineStr">
        <is>
          <t>POLYESTER FILM</t>
        </is>
      </c>
      <c r="M59" s="4" t="inlineStr">
        <is>
          <t>REQ GOOD DRY AND CLEAN CONTAINER ONLY. / RQST CNTR 32.5 TONS // 40'HQ</t>
        </is>
      </c>
      <c r="N59" s="4" t="inlineStr">
        <is>
          <t>Pickup : 2026-09-17, Return : 2026-09-18</t>
        </is>
      </c>
      <c r="O59" s="4" t="n">
        <v>0</v>
      </c>
      <c r="P59" s="4" t="n">
        <v>0</v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HASLS22260802573</t>
        </is>
      </c>
      <c r="B60" s="4" t="inlineStr">
        <is>
          <t>SWMM</t>
        </is>
      </c>
      <c r="C60" s="4" t="inlineStr">
        <is>
          <t>2609N</t>
        </is>
      </c>
      <c r="D60" s="4" t="inlineStr">
        <is>
          <t>202609240000</t>
        </is>
      </c>
      <c r="E60" s="4" t="inlineStr"/>
      <c r="F60" s="4" t="inlineStr">
        <is>
          <t>THLCH</t>
        </is>
      </c>
      <c r="G60" s="4" t="inlineStr">
        <is>
          <t>KRPTK</t>
        </is>
      </c>
      <c r="H60" s="4" t="inlineStr">
        <is>
          <t xml:space="preserve">40Hx2 </t>
        </is>
      </c>
      <c r="I60" s="4" t="inlineStr">
        <is>
          <t>20260917</t>
        </is>
      </c>
      <c r="J60" s="4" t="inlineStr">
        <is>
          <t>DACHSER (THAILAND) CO., LTD.</t>
        </is>
      </c>
      <c r="K60" s="4" t="inlineStr">
        <is>
          <t>SRF INDUSTRIES (THAILAND) LIMITED (112)</t>
        </is>
      </c>
      <c r="L60" s="4" t="inlineStr">
        <is>
          <t>POLYESTER FILM</t>
        </is>
      </c>
      <c r="M60" s="4" t="inlineStr">
        <is>
          <t>REQ GOOD DRY AND CLEAN CONTAINER ONLY. / RQST CNTR 32.5 TONS // 40'HQ</t>
        </is>
      </c>
      <c r="N60" s="4" t="inlineStr">
        <is>
          <t>Pickup : 2026-09-17, Return : 2026-09-18</t>
        </is>
      </c>
      <c r="O60" s="4" t="n">
        <v>0</v>
      </c>
      <c r="P60" s="4" t="n">
        <v>0</v>
      </c>
      <c r="Q60" s="4" t="n">
        <v>2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HASLS22260802574</t>
        </is>
      </c>
      <c r="B61" s="4" t="inlineStr">
        <is>
          <t>SWSP</t>
        </is>
      </c>
      <c r="C61" s="4" t="inlineStr">
        <is>
          <t>2609N</t>
        </is>
      </c>
      <c r="D61" s="4" t="inlineStr">
        <is>
          <t>202610020330</t>
        </is>
      </c>
      <c r="E61" s="4" t="inlineStr"/>
      <c r="F61" s="4" t="inlineStr">
        <is>
          <t>THLCH</t>
        </is>
      </c>
      <c r="G61" s="4" t="inlineStr">
        <is>
          <t>KRPTK</t>
        </is>
      </c>
      <c r="H61" s="4" t="inlineStr">
        <is>
          <t xml:space="preserve">40Hx2 </t>
        </is>
      </c>
      <c r="I61" s="4" t="inlineStr">
        <is>
          <t>20260924</t>
        </is>
      </c>
      <c r="J61" s="4" t="inlineStr">
        <is>
          <t>DACHSER (THAILAND) CO., LTD.</t>
        </is>
      </c>
      <c r="K61" s="4" t="inlineStr">
        <is>
          <t>SRF INDUSTRIES (THAILAND) LIMITED (112)</t>
        </is>
      </c>
      <c r="L61" s="4" t="inlineStr">
        <is>
          <t>POLYESTER FILM</t>
        </is>
      </c>
      <c r="M61" s="4" t="inlineStr">
        <is>
          <t>REQ GOOD DRY AND CLEAN CONTAINER ONLY/ RQST CNTR 32.5 TONS // 40'HQ</t>
        </is>
      </c>
      <c r="N61" s="4" t="inlineStr">
        <is>
          <t>Pickup : 2026-09-24, Return : 2026-09-25
**CHECK OPENGATE BEFORE RETURN CNTR**</t>
        </is>
      </c>
      <c r="O61" s="4" t="n">
        <v>0</v>
      </c>
      <c r="P61" s="4" t="n">
        <v>0</v>
      </c>
      <c r="Q61" s="4" t="n">
        <v>2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HASLS22260802612</t>
        </is>
      </c>
      <c r="B62" s="4" t="inlineStr">
        <is>
          <t>SKOR</t>
        </is>
      </c>
      <c r="C62" s="4" t="inlineStr">
        <is>
          <t>2611N</t>
        </is>
      </c>
      <c r="D62" s="4" t="inlineStr">
        <is>
          <t>202609260900</t>
        </is>
      </c>
      <c r="E62" s="4" t="inlineStr"/>
      <c r="F62" s="4" t="inlineStr">
        <is>
          <t>THLCH</t>
        </is>
      </c>
      <c r="G62" s="4" t="inlineStr">
        <is>
          <t>CNXMN</t>
        </is>
      </c>
      <c r="H62" s="4" t="inlineStr">
        <is>
          <t xml:space="preserve">20'x3 </t>
        </is>
      </c>
      <c r="I62" s="4" t="inlineStr">
        <is>
          <t>20260921</t>
        </is>
      </c>
      <c r="J62" s="4" t="inlineStr">
        <is>
          <t>THAI POLYCARBONATE CO., LTD.</t>
        </is>
      </c>
      <c r="K62" s="4" t="inlineStr">
        <is>
          <t>THAI POLYCARBONATE CO., LTD.</t>
        </is>
      </c>
      <c r="L62" s="4" t="inlineStr">
        <is>
          <t>POLYCARBONATE RESIN (HS CODE. 3907.40)</t>
        </is>
      </c>
      <c r="M62" s="4" t="inlineStr">
        <is>
          <t>Loading with pallet-by forklift, required good container with strong floorboard and bullet seal to this shipment***</t>
        </is>
      </c>
      <c r="N62" s="4" t="inlineStr">
        <is>
          <t>Pickup : 2026-09-21, Return : 2026-09-23</t>
        </is>
      </c>
      <c r="O62" s="4" t="n">
        <v>3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HASLS22260900006</t>
        </is>
      </c>
      <c r="B63" s="4" t="inlineStr">
        <is>
          <t>SWIC</t>
        </is>
      </c>
      <c r="C63" s="4" t="inlineStr">
        <is>
          <t>2610N</t>
        </is>
      </c>
      <c r="D63" s="4" t="inlineStr">
        <is>
          <t>202609220500</t>
        </is>
      </c>
      <c r="E63" s="4" t="inlineStr"/>
      <c r="F63" s="4" t="inlineStr">
        <is>
          <t>THLCH</t>
        </is>
      </c>
      <c r="G63" s="4" t="inlineStr">
        <is>
          <t>JPHSM</t>
        </is>
      </c>
      <c r="H63" s="4" t="inlineStr">
        <is>
          <t xml:space="preserve">40Hx1 </t>
        </is>
      </c>
      <c r="I63" s="4" t="inlineStr">
        <is>
          <t>20260909</t>
        </is>
      </c>
      <c r="J63" s="4" t="inlineStr">
        <is>
          <t>WHA GC LOGISTICS COMPANY LIMITED</t>
        </is>
      </c>
      <c r="K63" s="4" t="inlineStr">
        <is>
          <t>PTT GLOBAL CHEMICAL PUBLIC COMPANY LIMITED</t>
        </is>
      </c>
      <c r="L63" s="4" t="inlineStr">
        <is>
          <t>RESIN</t>
        </is>
      </c>
      <c r="M63" s="4" t="inlineStr">
        <is>
          <t>GOOD AND CLEAN CTNR</t>
        </is>
      </c>
      <c r="N63" s="4" t="inlineStr">
        <is>
          <t>CY-RTN 09-13/09/26 
*PLS CHECK OPEN GATE BEFORE RETURN CTNR*</t>
        </is>
      </c>
      <c r="O63" s="4" t="n">
        <v>0</v>
      </c>
      <c r="P63" s="4" t="n">
        <v>0</v>
      </c>
      <c r="Q63" s="4" t="n">
        <v>1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1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HASLS22260900026</t>
        </is>
      </c>
      <c r="B64" s="4" t="inlineStr">
        <is>
          <t>SWIC</t>
        </is>
      </c>
      <c r="C64" s="4" t="inlineStr">
        <is>
          <t>2610N</t>
        </is>
      </c>
      <c r="D64" s="4" t="inlineStr">
        <is>
          <t>202609220500</t>
        </is>
      </c>
      <c r="E64" s="4" t="inlineStr"/>
      <c r="F64" s="4" t="inlineStr">
        <is>
          <t>THLCH</t>
        </is>
      </c>
      <c r="G64" s="4" t="inlineStr">
        <is>
          <t>VNSGN</t>
        </is>
      </c>
      <c r="H64" s="4" t="inlineStr">
        <is>
          <t xml:space="preserve">20'x4 </t>
        </is>
      </c>
      <c r="I64" s="4" t="inlineStr">
        <is>
          <t>20260909</t>
        </is>
      </c>
      <c r="J64" s="4" t="inlineStr">
        <is>
          <t>WHA GC LOGISTICS COMPANY LIMITED</t>
        </is>
      </c>
      <c r="K64" s="4" t="inlineStr">
        <is>
          <t>PTT GLOBAL CHEMICAL PUBLIC COMPANY LIMITED</t>
        </is>
      </c>
      <c r="L64" s="4" t="inlineStr">
        <is>
          <t>RESIN</t>
        </is>
      </c>
      <c r="M64" s="4" t="inlineStr">
        <is>
          <t>GOOD AND CLEAN CTNR</t>
        </is>
      </c>
      <c r="N64" s="4" t="inlineStr">
        <is>
          <t>CY-RTN : 09-13/09/2026 (PR2610002068)
** PLEASE CHECK OPEN GATE BEFORE RETURN CONTAINER **</t>
        </is>
      </c>
      <c r="O64" s="4" t="n">
        <v>4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4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HASLS22260900029</t>
        </is>
      </c>
      <c r="B65" s="4" t="inlineStr">
        <is>
          <t>KMTP</t>
        </is>
      </c>
      <c r="C65" s="4" t="inlineStr">
        <is>
          <t>2611N</t>
        </is>
      </c>
      <c r="D65" s="4" t="inlineStr">
        <is>
          <t>202609202300</t>
        </is>
      </c>
      <c r="E65" s="4" t="inlineStr"/>
      <c r="F65" s="4" t="inlineStr">
        <is>
          <t>THLCH</t>
        </is>
      </c>
      <c r="G65" s="4" t="inlineStr">
        <is>
          <t>HKHKG</t>
        </is>
      </c>
      <c r="H65" s="4" t="inlineStr">
        <is>
          <t xml:space="preserve">20'x1 </t>
        </is>
      </c>
      <c r="I65" s="4" t="inlineStr">
        <is>
          <t>20260914</t>
        </is>
      </c>
      <c r="J65" s="4" t="inlineStr">
        <is>
          <t>THAI POLYCARBONATE CO., LTD.</t>
        </is>
      </c>
      <c r="K65" s="4" t="inlineStr">
        <is>
          <t>THAI POLYACETAL CO., LTD.</t>
        </is>
      </c>
      <c r="L65" s="4" t="inlineStr">
        <is>
          <t>RESIN</t>
        </is>
      </c>
      <c r="M65" s="4" t="inlineStr">
        <is>
          <t>GOOD AND CLEAN CONTAINER, NO RUST, NO HOLE, NO SMELL WITH STRONG FLOORBOARD (LOAD BY FORKLIFT) AND BULLET SEAL TO THIS SHIPMENT</t>
        </is>
      </c>
      <c r="N65" s="4" t="inlineStr">
        <is>
          <t xml:space="preserve">Pickup : 2026-09-14, Return : 2026-09-15 
 ** PLEASE CHECK OPEN GATE BEFORE RETURN CNTR **
</t>
        </is>
      </c>
      <c r="O65" s="4" t="n">
        <v>1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HASLS22260900040</t>
        </is>
      </c>
      <c r="B66" s="4" t="inlineStr">
        <is>
          <t>KMBK</t>
        </is>
      </c>
      <c r="C66" s="4" t="inlineStr">
        <is>
          <t>2611N</t>
        </is>
      </c>
      <c r="D66" s="4" t="inlineStr">
        <is>
          <t>202610030000</t>
        </is>
      </c>
      <c r="E66" s="4" t="inlineStr"/>
      <c r="F66" s="4" t="inlineStr">
        <is>
          <t>THLCH</t>
        </is>
      </c>
      <c r="G66" s="4" t="inlineStr">
        <is>
          <t>VNSGN</t>
        </is>
      </c>
      <c r="H66" s="4" t="inlineStr">
        <is>
          <t xml:space="preserve">20'x4 </t>
        </is>
      </c>
      <c r="I66" s="4" t="inlineStr">
        <is>
          <t>20260928</t>
        </is>
      </c>
      <c r="J66" s="4" t="inlineStr">
        <is>
          <t>UNITED MARINE LOGISTIC CO., LTD.</t>
        </is>
      </c>
      <c r="K66" s="4" t="inlineStr">
        <is>
          <t>WELLGROW GLASS INDUSTRY CO., LTD.</t>
        </is>
      </c>
      <c r="L66" s="4" t="inlineStr">
        <is>
          <t xml:space="preserve">GLASS BOTTLE </t>
        </is>
      </c>
      <c r="M66" s="4" t="inlineStr">
        <is>
          <t>GOOD AND CLEAN CONTAINER</t>
        </is>
      </c>
      <c r="N66" s="4" t="inlineStr">
        <is>
          <t>Pickup : 2026-09-28, Return : 2026-09-29</t>
        </is>
      </c>
      <c r="O66" s="4" t="n">
        <v>4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HASLS22260900058</t>
        </is>
      </c>
      <c r="B67" s="4" t="inlineStr">
        <is>
          <t>SWSR</t>
        </is>
      </c>
      <c r="C67" s="4" t="inlineStr">
        <is>
          <t>2610N</t>
        </is>
      </c>
      <c r="D67" s="4" t="inlineStr">
        <is>
          <t>202609182100</t>
        </is>
      </c>
      <c r="E67" s="4" t="inlineStr"/>
      <c r="F67" s="4" t="inlineStr">
        <is>
          <t>THLCH</t>
        </is>
      </c>
      <c r="G67" s="4" t="inlineStr">
        <is>
          <t>CNXMN</t>
        </is>
      </c>
      <c r="H67" s="4" t="inlineStr">
        <is>
          <t xml:space="preserve">20'x1 </t>
        </is>
      </c>
      <c r="I67" s="4" t="inlineStr">
        <is>
          <t>20260914</t>
        </is>
      </c>
      <c r="J67" s="4" t="inlineStr">
        <is>
          <t>KARGOSMART GLOBAL CO., LTD.</t>
        </is>
      </c>
      <c r="K67" s="4" t="inlineStr">
        <is>
          <t>SADESA (THAILAND) CO., LTD.</t>
        </is>
      </c>
      <c r="L67" s="4" t="inlineStr">
        <is>
          <t>COW LEATHER (DRY SKIN)</t>
        </is>
      </c>
      <c r="M67" s="4" t="inlineStr">
        <is>
          <t>NO LEAK , NO HOLE , CLEAN</t>
        </is>
      </c>
      <c r="N67" s="4" t="inlineStr">
        <is>
          <t xml:space="preserve">CY-RTN : 14-15/09/2026 
 ** PLEASE CHECK OPEN GATE BEFORE RETURN CNTR **
</t>
        </is>
      </c>
      <c r="O67" s="4" t="n">
        <v>1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HASLS22260900091</t>
        </is>
      </c>
      <c r="B68" s="4" t="inlineStr">
        <is>
          <t>KJT</t>
        </is>
      </c>
      <c r="C68" s="4" t="inlineStr">
        <is>
          <t>2610N</t>
        </is>
      </c>
      <c r="D68" s="4" t="inlineStr">
        <is>
          <t>202609212300</t>
        </is>
      </c>
      <c r="E68" s="4" t="inlineStr"/>
      <c r="F68" s="4" t="inlineStr">
        <is>
          <t>THLCH</t>
        </is>
      </c>
      <c r="G68" s="4" t="inlineStr">
        <is>
          <t>TWKEL</t>
        </is>
      </c>
      <c r="H68" s="4" t="inlineStr">
        <is>
          <t xml:space="preserve">20'x3 </t>
        </is>
      </c>
      <c r="I68" s="4" t="inlineStr">
        <is>
          <t>20260917</t>
        </is>
      </c>
      <c r="J68" s="4" t="inlineStr">
        <is>
          <t>LEO GLOBAL LOGISTICS PUBLIC COMPANY LIMITED</t>
        </is>
      </c>
      <c r="K68" s="4" t="inlineStr">
        <is>
          <t>DIA RESIBON (THAILAND) CO., LTD.</t>
        </is>
      </c>
      <c r="L68" s="4" t="inlineStr">
        <is>
          <t xml:space="preserve">CUT OFF WHEELS </t>
        </is>
      </c>
      <c r="M68" s="4" t="inlineStr">
        <is>
          <t>REQ. GOOD AND CLEAN CONTAINER</t>
        </is>
      </c>
      <c r="N68" s="4" t="inlineStr">
        <is>
          <t>Pickup : 2026-09-17, Return : 2026-09-17</t>
        </is>
      </c>
      <c r="O68" s="4" t="n">
        <v>3</v>
      </c>
      <c r="P68" s="4" t="n">
        <v>0</v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HASLS22260900092</t>
        </is>
      </c>
      <c r="B69" s="4" t="inlineStr">
        <is>
          <t>SWRG</t>
        </is>
      </c>
      <c r="C69" s="4" t="inlineStr">
        <is>
          <t>2609N</t>
        </is>
      </c>
      <c r="D69" s="4" t="inlineStr">
        <is>
          <t>202610072000</t>
        </is>
      </c>
      <c r="E69" s="4" t="inlineStr"/>
      <c r="F69" s="4" t="inlineStr">
        <is>
          <t>THLCH</t>
        </is>
      </c>
      <c r="G69" s="4" t="inlineStr">
        <is>
          <t>CNSHA</t>
        </is>
      </c>
      <c r="H69" s="4" t="inlineStr">
        <is>
          <t xml:space="preserve">40Hx1 </t>
        </is>
      </c>
      <c r="I69" s="4" t="inlineStr">
        <is>
          <t>20260926</t>
        </is>
      </c>
      <c r="J69" s="4" t="inlineStr">
        <is>
          <t>S.N.P. LOGISTICS CO., LTD.</t>
        </is>
      </c>
      <c r="K69" s="4" t="inlineStr">
        <is>
          <t>PRECISION CASTING SYSTEMS (THAILAND) CO., LTD.</t>
        </is>
      </c>
      <c r="L69" s="4" t="inlineStr">
        <is>
          <t>INDUSTRIAL FOR WAX</t>
        </is>
      </c>
      <c r="M69" s="4" t="inlineStr">
        <is>
          <t>REQUEST GOOD THE CONTAINER</t>
        </is>
      </c>
      <c r="N69" s="4" t="inlineStr">
        <is>
          <t>Pickup : 2026-09-26, Return : 2026-09-28</t>
        </is>
      </c>
      <c r="O69" s="4" t="n">
        <v>0</v>
      </c>
      <c r="P69" s="4" t="n">
        <v>0</v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HASLS22260900095</t>
        </is>
      </c>
      <c r="B70" s="4" t="inlineStr">
        <is>
          <t>SWVG</t>
        </is>
      </c>
      <c r="C70" s="4" t="inlineStr">
        <is>
          <t>2612N</t>
        </is>
      </c>
      <c r="D70" s="4" t="inlineStr">
        <is>
          <t>202610030200</t>
        </is>
      </c>
      <c r="E70" s="4" t="inlineStr"/>
      <c r="F70" s="4" t="inlineStr">
        <is>
          <t>THLCH</t>
        </is>
      </c>
      <c r="G70" s="4" t="inlineStr">
        <is>
          <t>JPTMK</t>
        </is>
      </c>
      <c r="H70" s="4" t="inlineStr">
        <is>
          <t xml:space="preserve">R40Hx1 </t>
        </is>
      </c>
      <c r="I70" s="4" t="inlineStr">
        <is>
          <t>20260923</t>
        </is>
      </c>
      <c r="J70" s="4" t="inlineStr">
        <is>
          <t>LOGMAN INTERNATIONAL CO., LTD.</t>
        </is>
      </c>
      <c r="K70" s="4" t="inlineStr">
        <is>
          <t>THAI NIPPON FOODS CO. , LTD.</t>
        </is>
      </c>
      <c r="L70" s="4" t="inlineStr">
        <is>
          <t>FROZEN CHICKEN</t>
        </is>
      </c>
      <c r="M70" s="4" t="inlineStr">
        <is>
          <t>RF45REx1 (Temp -20.0℃ / Vent Close) 
REQ: NEW AND CLEAN CONTAINER NO SEAFOOD AND GARLIC</t>
        </is>
      </c>
      <c r="N70" s="4" t="inlineStr">
        <is>
          <t xml:space="preserve">Pickup : 2026-09-23, Return : 2026-09-24 RF45REx1 (Temp -20.0 / Vent Close) 
CLS TIME : 26/09/2026 @15.00 </t>
        </is>
      </c>
      <c r="O70" s="4" t="n">
        <v>0</v>
      </c>
      <c r="P70" s="4" t="n">
        <v>0</v>
      </c>
      <c r="Q70" s="4" t="n">
        <v>0</v>
      </c>
      <c r="R70" s="4" t="n">
        <v>0</v>
      </c>
      <c r="S70" s="4" t="n">
        <v>1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HASLS22260900101</t>
        </is>
      </c>
      <c r="B71" s="4" t="inlineStr">
        <is>
          <t>PGPO</t>
        </is>
      </c>
      <c r="C71" s="4" t="inlineStr">
        <is>
          <t>2611N</t>
        </is>
      </c>
      <c r="D71" s="4" t="inlineStr">
        <is>
          <t>202609230130</t>
        </is>
      </c>
      <c r="E71" s="4" t="inlineStr"/>
      <c r="F71" s="4" t="inlineStr">
        <is>
          <t>THLCH</t>
        </is>
      </c>
      <c r="G71" s="4" t="inlineStr">
        <is>
          <t>VNSGN</t>
        </is>
      </c>
      <c r="H71" s="4" t="inlineStr">
        <is>
          <t xml:space="preserve">R40Hx2 </t>
        </is>
      </c>
      <c r="I71" s="4" t="inlineStr">
        <is>
          <t>20260917</t>
        </is>
      </c>
      <c r="J71" s="4" t="inlineStr">
        <is>
          <t>FOCUS FREIGHT &amp; LOGISTICS CO., LTD.</t>
        </is>
      </c>
      <c r="K71" s="4" t="inlineStr">
        <is>
          <t>UNITED MUSHROOM CENTER CO., LTD.</t>
        </is>
      </c>
      <c r="L71" s="4" t="inlineStr">
        <is>
          <t>GOLDEN MUSHROOM</t>
        </is>
      </c>
      <c r="M71" s="4" t="inlineStr">
        <is>
          <t>(Temp +0.0℃ / Vent Close) REQ CLEAN &amp; GOOD CONTAINER FOR FOODS</t>
        </is>
      </c>
      <c r="N71" s="4" t="inlineStr">
        <is>
          <t xml:space="preserve">Pickup : 2026-09-17, Return : 2026-09-19 (Temp +0.0 / Vent Close)
 CLS TIME 21/09 @07.00 [1ST RTN 20/06 W/O RENT &amp; ELECTRIC] 
 </t>
        </is>
      </c>
      <c r="O71" s="4" t="n">
        <v>0</v>
      </c>
      <c r="P71" s="4" t="n">
        <v>0</v>
      </c>
      <c r="Q71" s="4" t="n">
        <v>0</v>
      </c>
      <c r="R71" s="4" t="n">
        <v>0</v>
      </c>
      <c r="S71" s="4" t="n">
        <v>2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HASLS22260900107</t>
        </is>
      </c>
      <c r="B72" s="4" t="inlineStr">
        <is>
          <t>HAB</t>
        </is>
      </c>
      <c r="C72" s="4" t="inlineStr">
        <is>
          <t>2612N</t>
        </is>
      </c>
      <c r="D72" s="4" t="inlineStr">
        <is>
          <t>202610231630</t>
        </is>
      </c>
      <c r="E72" s="4" t="inlineStr"/>
      <c r="F72" s="4" t="inlineStr">
        <is>
          <t>THLCH</t>
        </is>
      </c>
      <c r="G72" s="4" t="inlineStr">
        <is>
          <t>CNSHA</t>
        </is>
      </c>
      <c r="H72" s="4" t="inlineStr">
        <is>
          <t xml:space="preserve">20'x10 </t>
        </is>
      </c>
      <c r="I72" s="4" t="inlineStr">
        <is>
          <t>20260914</t>
        </is>
      </c>
      <c r="J72" s="4" t="inlineStr">
        <is>
          <t>INTENTION FREIGHT CO., LTD.</t>
        </is>
      </c>
      <c r="K72" s="4" t="inlineStr">
        <is>
          <t>EIAM THONGCHAI INDUSTRY CO.,LTD.</t>
        </is>
      </c>
      <c r="L72" s="4" t="inlineStr">
        <is>
          <t>STARCH</t>
        </is>
      </c>
      <c r="M72" s="4" t="inlineStr">
        <is>
          <t>REQ : FOOD GRADE CONTAINER CLEAR &amp;DRY NO OIL NO RUSTY</t>
        </is>
      </c>
      <c r="N72" s="4" t="inlineStr">
        <is>
          <t>Pickup : 2026-09-14, Return : 2026-09-16</t>
        </is>
      </c>
      <c r="O72" s="4" t="n">
        <v>10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HASLS22260900115</t>
        </is>
      </c>
      <c r="B73" s="4" t="inlineStr">
        <is>
          <t>SWMM</t>
        </is>
      </c>
      <c r="C73" s="4" t="inlineStr">
        <is>
          <t>2609N</t>
        </is>
      </c>
      <c r="D73" s="4" t="inlineStr">
        <is>
          <t>202609240000</t>
        </is>
      </c>
      <c r="E73" s="4" t="inlineStr"/>
      <c r="F73" s="4" t="inlineStr">
        <is>
          <t>THLCH</t>
        </is>
      </c>
      <c r="G73" s="4" t="inlineStr">
        <is>
          <t>VNSGN</t>
        </is>
      </c>
      <c r="H73" s="4" t="inlineStr">
        <is>
          <t xml:space="preserve">20'x3 </t>
        </is>
      </c>
      <c r="I73" s="4" t="inlineStr">
        <is>
          <t>20260919</t>
        </is>
      </c>
      <c r="J73" s="4" t="inlineStr">
        <is>
          <t>ACCORD PILOT LOGISTICS (THAILAND) CO., LTD.</t>
        </is>
      </c>
      <c r="K73" s="4" t="inlineStr">
        <is>
          <t>UNITED ALUMINIUM INDUSTRY CO., LTD.</t>
        </is>
      </c>
      <c r="L73" s="4" t="inlineStr">
        <is>
          <t xml:space="preserve">NEW ALUMINIUM </t>
        </is>
      </c>
      <c r="M73" s="4" t="inlineStr">
        <is>
          <t>REQUEST CLEAN CONTAINER</t>
        </is>
      </c>
      <c r="N73" s="4" t="inlineStr">
        <is>
          <t xml:space="preserve">Pickup : 2026-09-19, Return : 2026-09-21
** PLEASE CHECK OPEN GATE BEFORE RETURN CONTAINER ** </t>
        </is>
      </c>
      <c r="O73" s="4" t="n">
        <v>3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HASLS22260900118</t>
        </is>
      </c>
      <c r="B74" s="4" t="inlineStr">
        <is>
          <t>NSSJ</t>
        </is>
      </c>
      <c r="C74" s="4" t="inlineStr">
        <is>
          <t>2607S</t>
        </is>
      </c>
      <c r="D74" s="4" t="inlineStr">
        <is>
          <t>202609232100</t>
        </is>
      </c>
      <c r="E74" s="4" t="inlineStr"/>
      <c r="F74" s="4" t="inlineStr">
        <is>
          <t>THLCH</t>
        </is>
      </c>
      <c r="G74" s="4" t="inlineStr">
        <is>
          <t>IDJKT</t>
        </is>
      </c>
      <c r="H74" s="4" t="inlineStr">
        <is>
          <t xml:space="preserve">20RFx1 </t>
        </is>
      </c>
      <c r="I74" s="4" t="inlineStr">
        <is>
          <t>20260910</t>
        </is>
      </c>
      <c r="J74" s="4" t="inlineStr">
        <is>
          <t>FM GLOBAL LOGISTICS CO., LTD.</t>
        </is>
      </c>
      <c r="K74" s="4" t="inlineStr">
        <is>
          <t>CCL LABEL (THAI) LTD.</t>
        </is>
      </c>
      <c r="L74" s="4" t="inlineStr">
        <is>
          <t>PRINTED LABEL</t>
        </is>
      </c>
      <c r="M74" s="4" t="inlineStr">
        <is>
          <t>(Temp +20.0℃ / Vent 20% Open): We require a container of this shipment that is dry, clean, and free from any water.</t>
        </is>
      </c>
      <c r="N74" s="4" t="inlineStr">
        <is>
          <t xml:space="preserve">Pickup : 2026-09-10, Return : 2026-09-10 RF22REx1 (Temp +20.0 / Vent 20% Open) </t>
        </is>
      </c>
      <c r="O74" s="4" t="n">
        <v>0</v>
      </c>
      <c r="P74" s="4" t="n">
        <v>0</v>
      </c>
      <c r="Q74" s="4" t="n">
        <v>0</v>
      </c>
      <c r="R74" s="4" t="n">
        <v>1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1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HASLS22260900126</t>
        </is>
      </c>
      <c r="B75" s="4" t="inlineStr">
        <is>
          <t>SWIC</t>
        </is>
      </c>
      <c r="C75" s="4" t="inlineStr">
        <is>
          <t>2610N</t>
        </is>
      </c>
      <c r="D75" s="4" t="inlineStr">
        <is>
          <t>202609220500</t>
        </is>
      </c>
      <c r="E75" s="4" t="inlineStr"/>
      <c r="F75" s="4" t="inlineStr">
        <is>
          <t>THLCH</t>
        </is>
      </c>
      <c r="G75" s="4" t="inlineStr">
        <is>
          <t>JPMAI</t>
        </is>
      </c>
      <c r="H75" s="4" t="inlineStr">
        <is>
          <t xml:space="preserve">40Hx1 </t>
        </is>
      </c>
      <c r="I75" s="4" t="inlineStr">
        <is>
          <t>20260917</t>
        </is>
      </c>
      <c r="J75" s="4" t="inlineStr">
        <is>
          <t>NIPPON EXPRESS LOGISTICS (THAILAND) CO., LTD.</t>
        </is>
      </c>
      <c r="K75" s="4" t="inlineStr">
        <is>
          <t>HOYA LAOS CO.,LTD.</t>
        </is>
      </c>
      <c r="L75" s="4" t="inlineStr">
        <is>
          <t xml:space="preserve">GLASS CULLET  </t>
        </is>
      </c>
      <c r="M75" s="4" t="inlineStr">
        <is>
          <t>GOOD AND CLEAN CONTAINER</t>
        </is>
      </c>
      <c r="N75" s="4" t="inlineStr">
        <is>
          <t>Pickup : 2026-09-17, Return : 2026-09-19 *HV CDI + LOI DD.03/09/2026*
** PLEASE CHECK OPEN GATE BEFORE RETURN CONTAINER **</t>
        </is>
      </c>
      <c r="O75" s="4" t="n">
        <v>0</v>
      </c>
      <c r="P75" s="4" t="n">
        <v>0</v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HASLS22260900177</t>
        </is>
      </c>
      <c r="B76" s="4" t="inlineStr">
        <is>
          <t>SWMM</t>
        </is>
      </c>
      <c r="C76" s="4" t="inlineStr">
        <is>
          <t>2609N</t>
        </is>
      </c>
      <c r="D76" s="4" t="inlineStr">
        <is>
          <t>202609240000</t>
        </is>
      </c>
      <c r="E76" s="4" t="inlineStr"/>
      <c r="F76" s="4" t="inlineStr">
        <is>
          <t>THLCH</t>
        </is>
      </c>
      <c r="G76" s="4" t="inlineStr">
        <is>
          <t>VNSGN</t>
        </is>
      </c>
      <c r="H76" s="4" t="inlineStr">
        <is>
          <t xml:space="preserve">40Hx4 </t>
        </is>
      </c>
      <c r="I76" s="4" t="inlineStr">
        <is>
          <t>20260919</t>
        </is>
      </c>
      <c r="J76" s="4" t="inlineStr">
        <is>
          <t>TOSHIBA LOGISTICS (THAILAND) CO., LTD.</t>
        </is>
      </c>
      <c r="K76" s="4" t="inlineStr">
        <is>
          <t>TOSHIBA CONSUMER PRODUCTS (THAILAND) CO., LTD.</t>
        </is>
      </c>
      <c r="L76" s="4" t="inlineStr">
        <is>
          <t>WASHING MACHINE</t>
        </is>
      </c>
      <c r="M76" s="4" t="inlineStr">
        <is>
          <t>GOOD AND CLEAN CONTAINER</t>
        </is>
      </c>
      <c r="N76" s="4" t="inlineStr">
        <is>
          <t>Pickup : 2026-09-19, Return : 2026-09-21</t>
        </is>
      </c>
      <c r="O76" s="4" t="n">
        <v>0</v>
      </c>
      <c r="P76" s="4" t="n">
        <v>0</v>
      </c>
      <c r="Q76" s="4" t="n">
        <v>4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HASLS22260900208</t>
        </is>
      </c>
      <c r="B77" s="4" t="inlineStr">
        <is>
          <t>SWVG</t>
        </is>
      </c>
      <c r="C77" s="4" t="inlineStr">
        <is>
          <t>2612N</t>
        </is>
      </c>
      <c r="D77" s="4" t="inlineStr">
        <is>
          <t>202610030200</t>
        </is>
      </c>
      <c r="E77" s="4" t="inlineStr"/>
      <c r="F77" s="4" t="inlineStr">
        <is>
          <t>THLCH</t>
        </is>
      </c>
      <c r="G77" s="4" t="inlineStr">
        <is>
          <t>CNSHA</t>
        </is>
      </c>
      <c r="H77" s="4" t="inlineStr">
        <is>
          <t xml:space="preserve">20'x1 </t>
        </is>
      </c>
      <c r="I77" s="4" t="inlineStr">
        <is>
          <t>20260925</t>
        </is>
      </c>
      <c r="J77" s="4" t="inlineStr">
        <is>
          <t>EXPEDITORS (THAILAND) LTD.</t>
        </is>
      </c>
      <c r="K77" s="4" t="inlineStr">
        <is>
          <t>COPELAND (THAILAND) LIMITED</t>
        </is>
      </c>
      <c r="L77" s="4" t="inlineStr">
        <is>
          <t>SCROLL COMPRESSOR</t>
        </is>
      </c>
      <c r="M77" s="4" t="inlineStr">
        <is>
          <t>Special Remark : Request well clean and dry cntrs ,</t>
        </is>
      </c>
      <c r="N77" s="4" t="inlineStr">
        <is>
          <t>Pickup : 2026-09-25, Return : 2026-09-25</t>
        </is>
      </c>
      <c r="O77" s="4" t="n">
        <v>1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HASLS22260900214</t>
        </is>
      </c>
      <c r="B78" s="4" t="inlineStr">
        <is>
          <t>HAB</t>
        </is>
      </c>
      <c r="C78" s="4" t="inlineStr">
        <is>
          <t>2611N</t>
        </is>
      </c>
      <c r="D78" s="4" t="inlineStr">
        <is>
          <t>202609251600</t>
        </is>
      </c>
      <c r="E78" s="4" t="inlineStr"/>
      <c r="F78" s="4" t="inlineStr">
        <is>
          <t>THLCH</t>
        </is>
      </c>
      <c r="G78" s="4" t="inlineStr">
        <is>
          <t>CNSHA</t>
        </is>
      </c>
      <c r="H78" s="4" t="inlineStr">
        <is>
          <t xml:space="preserve">20'x6 </t>
        </is>
      </c>
      <c r="I78" s="4" t="inlineStr">
        <is>
          <t>20260917</t>
        </is>
      </c>
      <c r="J78" s="4" t="inlineStr">
        <is>
          <t>RAINBOW MARITIME (THAILAND) CO., LTD.</t>
        </is>
      </c>
      <c r="K78" s="4" t="inlineStr">
        <is>
          <t>CHAICHAROEN EXPRODUCE CO., LTD</t>
        </is>
      </c>
      <c r="L78" s="4" t="inlineStr">
        <is>
          <t>CASSAVA PELLETS</t>
        </is>
      </c>
      <c r="M78" s="4" t="inlineStr">
        <is>
          <t>GOOD AND CLEAN CONTAINER</t>
        </is>
      </c>
      <c r="N78" s="4" t="inlineStr">
        <is>
          <t xml:space="preserve">Pickup : 2026-09-17, Return : 2026-09-18 </t>
        </is>
      </c>
      <c r="O78" s="4" t="n">
        <v>6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HASLS22260900220</t>
        </is>
      </c>
      <c r="B79" s="4" t="inlineStr">
        <is>
          <t>SWAT</t>
        </is>
      </c>
      <c r="C79" s="4" t="inlineStr">
        <is>
          <t>2610N</t>
        </is>
      </c>
      <c r="D79" s="4" t="inlineStr">
        <is>
          <t>202610011100</t>
        </is>
      </c>
      <c r="E79" s="4" t="inlineStr"/>
      <c r="F79" s="4" t="inlineStr">
        <is>
          <t>THLCH</t>
        </is>
      </c>
      <c r="G79" s="4" t="inlineStr">
        <is>
          <t>TWKEL</t>
        </is>
      </c>
      <c r="H79" s="4" t="inlineStr">
        <is>
          <t xml:space="preserve">40Hx1 </t>
        </is>
      </c>
      <c r="I79" s="4" t="inlineStr">
        <is>
          <t>20260923</t>
        </is>
      </c>
      <c r="J79" s="4" t="inlineStr">
        <is>
          <t>BDP ASIA-PACIFIC LTD.</t>
        </is>
      </c>
      <c r="K79" s="4" t="inlineStr">
        <is>
          <t>GATES UNITTA (THAILAND) CO.,LTD.</t>
        </is>
      </c>
      <c r="L79" s="4" t="inlineStr">
        <is>
          <t>RUBBUR BELT</t>
        </is>
      </c>
      <c r="M79" s="4" t="inlineStr">
        <is>
          <t>GOOD AND CLEAN CONTAINER</t>
        </is>
      </c>
      <c r="N79" s="4" t="inlineStr">
        <is>
          <t xml:space="preserve">Pickup : 2026-09-23, Return : 2026-09-23 [1ST RTN 25/09/2026 W/O RENT] </t>
        </is>
      </c>
      <c r="O79" s="4" t="n">
        <v>0</v>
      </c>
      <c r="P79" s="4" t="n">
        <v>0</v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HASLS22260900230</t>
        </is>
      </c>
      <c r="B80" s="4" t="inlineStr">
        <is>
          <t>SWIC</t>
        </is>
      </c>
      <c r="C80" s="4" t="inlineStr">
        <is>
          <t>2610N</t>
        </is>
      </c>
      <c r="D80" s="4" t="inlineStr">
        <is>
          <t>202609220500</t>
        </is>
      </c>
      <c r="E80" s="4" t="inlineStr"/>
      <c r="F80" s="4" t="inlineStr">
        <is>
          <t>THLCH</t>
        </is>
      </c>
      <c r="G80" s="4" t="inlineStr">
        <is>
          <t>VNSGN</t>
        </is>
      </c>
      <c r="H80" s="4" t="inlineStr">
        <is>
          <t xml:space="preserve">20RFx1 </t>
        </is>
      </c>
      <c r="I80" s="4" t="inlineStr">
        <is>
          <t>20260921</t>
        </is>
      </c>
      <c r="J80" s="4" t="inlineStr">
        <is>
          <t>INITIAL FREIGHT CO., LTD.</t>
        </is>
      </c>
      <c r="K80" s="4" t="inlineStr">
        <is>
          <t>THAI LOTTE CO., LTD.</t>
        </is>
      </c>
      <c r="L80" s="4" t="inlineStr">
        <is>
          <t>GUM</t>
        </is>
      </c>
      <c r="M80" s="4" t="inlineStr">
        <is>
          <t>(Temp +20.0℃ / Vent Close)  REQUEST CONTAINER GOOD GRADE &amp; CLEAN (Grade A)</t>
        </is>
      </c>
      <c r="N80" s="4" t="inlineStr">
        <is>
          <t>Pickup : 2026-09-21, Return : 2026-09-21 (Temp +20.0 / Vent Close) 
CLS TIME 22/09/26 @18.00</t>
        </is>
      </c>
      <c r="O80" s="4" t="n">
        <v>0</v>
      </c>
      <c r="P80" s="4" t="n">
        <v>0</v>
      </c>
      <c r="Q80" s="4" t="n">
        <v>0</v>
      </c>
      <c r="R80" s="4" t="n">
        <v>1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HASLS22260900237</t>
        </is>
      </c>
      <c r="B81" s="4" t="inlineStr">
        <is>
          <t>NSSJ</t>
        </is>
      </c>
      <c r="C81" s="4" t="inlineStr">
        <is>
          <t>2607S</t>
        </is>
      </c>
      <c r="D81" s="4" t="inlineStr">
        <is>
          <t>202609232100</t>
        </is>
      </c>
      <c r="E81" s="4" t="inlineStr"/>
      <c r="F81" s="4" t="inlineStr">
        <is>
          <t>THLCH</t>
        </is>
      </c>
      <c r="G81" s="4" t="inlineStr">
        <is>
          <t>IDJKT</t>
        </is>
      </c>
      <c r="H81" s="4" t="inlineStr">
        <is>
          <t xml:space="preserve">40Hx1 </t>
        </is>
      </c>
      <c r="I81" s="4" t="inlineStr">
        <is>
          <t>20260914</t>
        </is>
      </c>
      <c r="J81" s="4" t="inlineStr">
        <is>
          <t>MAINFREIGHT LOGISTICS (THAILAND) CO., LTD.</t>
        </is>
      </c>
      <c r="K81" s="4" t="inlineStr">
        <is>
          <t>ECOLAB LIMITED</t>
        </is>
      </c>
      <c r="L81" s="4" t="inlineStr">
        <is>
          <t>QUATERNARY AMMONIUM COMPOUND DRM</t>
        </is>
      </c>
      <c r="M81" s="4" t="inlineStr">
        <is>
          <t>APPROVAL BY Mr.LEE MINHA DD.07/09/2026 (CLS 8 / UN 2920) Request good and clean container</t>
        </is>
      </c>
      <c r="N81" s="4" t="inlineStr">
        <is>
          <t xml:space="preserve">APPROVAL BY Mr.LEE MINHA DD.07/09/2026 (CLS 8 / UN 2920) 
Pickup : 2026-09-14, Return : 2026-09-15 DG45GPx1 (CLS 8 / UN 2920) </t>
        </is>
      </c>
      <c r="O81" s="4" t="n">
        <v>0</v>
      </c>
      <c r="P81" s="4" t="n">
        <v>0</v>
      </c>
      <c r="Q81" s="4" t="n">
        <v>1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HASLS22260900238</t>
        </is>
      </c>
      <c r="B82" s="4" t="inlineStr">
        <is>
          <t>NSSJ</t>
        </is>
      </c>
      <c r="C82" s="4" t="inlineStr">
        <is>
          <t>2607S</t>
        </is>
      </c>
      <c r="D82" s="4" t="inlineStr">
        <is>
          <t>202609232100</t>
        </is>
      </c>
      <c r="E82" s="4" t="inlineStr"/>
      <c r="F82" s="4" t="inlineStr">
        <is>
          <t>THLCH</t>
        </is>
      </c>
      <c r="G82" s="4" t="inlineStr">
        <is>
          <t>IDJKT</t>
        </is>
      </c>
      <c r="H82" s="4" t="inlineStr">
        <is>
          <t xml:space="preserve">40Hx1 </t>
        </is>
      </c>
      <c r="I82" s="4" t="inlineStr">
        <is>
          <t>20260914</t>
        </is>
      </c>
      <c r="J82" s="4" t="inlineStr">
        <is>
          <t>MAINFREIGHT LOGISTICS (THAILAND) CO., LTD.</t>
        </is>
      </c>
      <c r="K82" s="4" t="inlineStr">
        <is>
          <t>ECOLAB LIMITED</t>
        </is>
      </c>
      <c r="L82" s="4" t="inlineStr">
        <is>
          <t>FLOOR CLEANER</t>
        </is>
      </c>
      <c r="M82" s="4" t="inlineStr">
        <is>
          <t>Request good and clean container</t>
        </is>
      </c>
      <c r="N82" s="4" t="inlineStr">
        <is>
          <t>Pickup : 2026-09-14, Return : 2026-09-15</t>
        </is>
      </c>
      <c r="O82" s="4" t="n">
        <v>0</v>
      </c>
      <c r="P82" s="4" t="n">
        <v>0</v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HASLS22260900250</t>
        </is>
      </c>
      <c r="B83" s="4" t="inlineStr">
        <is>
          <t>KMBK</t>
        </is>
      </c>
      <c r="C83" s="4" t="inlineStr">
        <is>
          <t>2611N</t>
        </is>
      </c>
      <c r="D83" s="4" t="inlineStr">
        <is>
          <t>202610030000</t>
        </is>
      </c>
      <c r="E83" s="4" t="inlineStr"/>
      <c r="F83" s="4" t="inlineStr">
        <is>
          <t>THLCH</t>
        </is>
      </c>
      <c r="G83" s="4" t="inlineStr">
        <is>
          <t>JPHSM</t>
        </is>
      </c>
      <c r="H83" s="4" t="inlineStr">
        <is>
          <t xml:space="preserve">40Hx1 </t>
        </is>
      </c>
      <c r="I83" s="4" t="inlineStr">
        <is>
          <t>20260922</t>
        </is>
      </c>
      <c r="J83" s="4" t="inlineStr">
        <is>
          <t>WHA GC LOGISTICS COMPANY LIMITED</t>
        </is>
      </c>
      <c r="K83" s="4" t="inlineStr">
        <is>
          <t>PTT GLOBAL CHEMICAL PUBLIC COMPANY LIMITED</t>
        </is>
      </c>
      <c r="L83" s="4" t="inlineStr">
        <is>
          <t>RESIN</t>
        </is>
      </c>
      <c r="M83" s="4" t="inlineStr">
        <is>
          <t>GOOD AND CLEAN CTNR</t>
        </is>
      </c>
      <c r="N83" s="4" t="inlineStr">
        <is>
          <t>CY-RTN 22-27/09/26 
*PLS CHECK OPEN GATE BEFORE RETURN CTNR*</t>
        </is>
      </c>
      <c r="O83" s="4" t="n">
        <v>0</v>
      </c>
      <c r="P83" s="4" t="n">
        <v>0</v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HASLS22260900254</t>
        </is>
      </c>
      <c r="B84" s="4" t="inlineStr">
        <is>
          <t>KMBK</t>
        </is>
      </c>
      <c r="C84" s="4" t="inlineStr">
        <is>
          <t>2611N</t>
        </is>
      </c>
      <c r="D84" s="4" t="inlineStr">
        <is>
          <t>202610030000</t>
        </is>
      </c>
      <c r="E84" s="4" t="inlineStr"/>
      <c r="F84" s="4" t="inlineStr">
        <is>
          <t>THLCH</t>
        </is>
      </c>
      <c r="G84" s="4" t="inlineStr">
        <is>
          <t>JPHSM</t>
        </is>
      </c>
      <c r="H84" s="4" t="inlineStr">
        <is>
          <t xml:space="preserve">40Hx1 </t>
        </is>
      </c>
      <c r="I84" s="4" t="inlineStr">
        <is>
          <t>20260922</t>
        </is>
      </c>
      <c r="J84" s="4" t="inlineStr">
        <is>
          <t>WHA GC LOGISTICS COMPANY LIMITED</t>
        </is>
      </c>
      <c r="K84" s="4" t="inlineStr">
        <is>
          <t>PTT GLOBAL CHEMICAL PUBLIC COMPANY LIMITED</t>
        </is>
      </c>
      <c r="L84" s="4" t="inlineStr">
        <is>
          <t>RESIN</t>
        </is>
      </c>
      <c r="M84" s="4" t="inlineStr">
        <is>
          <t>GOOD AND CLEAN CTNR</t>
        </is>
      </c>
      <c r="N84" s="4" t="inlineStr">
        <is>
          <t>CY-RTN 22-27/09/26 
*PLS CHECK OPEN GATE BEFORE RETURN CTNR*</t>
        </is>
      </c>
      <c r="O84" s="4" t="n">
        <v>0</v>
      </c>
      <c r="P84" s="4" t="n">
        <v>0</v>
      </c>
      <c r="Q84" s="4" t="n">
        <v>1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HASLS22260900255</t>
        </is>
      </c>
      <c r="B85" s="4" t="inlineStr">
        <is>
          <t>KUS</t>
        </is>
      </c>
      <c r="C85" s="4" t="inlineStr">
        <is>
          <t>2615N</t>
        </is>
      </c>
      <c r="D85" s="4" t="inlineStr">
        <is>
          <t>202609231500</t>
        </is>
      </c>
      <c r="E85" s="4" t="inlineStr"/>
      <c r="F85" s="4" t="inlineStr">
        <is>
          <t>THLCH</t>
        </is>
      </c>
      <c r="G85" s="4" t="inlineStr">
        <is>
          <t>KRINC</t>
        </is>
      </c>
      <c r="H85" s="4" t="inlineStr">
        <is>
          <t xml:space="preserve">R40Hx4 </t>
        </is>
      </c>
      <c r="I85" s="4" t="inlineStr">
        <is>
          <t>20260916</t>
        </is>
      </c>
      <c r="J85" s="4" t="inlineStr">
        <is>
          <t>MJ LOGISTICS (THAILAND) CO., LTD.</t>
        </is>
      </c>
      <c r="K85" s="4" t="inlineStr">
        <is>
          <t>JELLY BELLY CANDY COMPANY ( THAILAND ) LTD.</t>
        </is>
      </c>
      <c r="L85" s="4" t="inlineStr">
        <is>
          <t>CANDIES, CHOCOLETES</t>
        </is>
      </c>
      <c r="M85" s="4" t="inlineStr">
        <is>
          <t>(Temp +18.0℃ / Vent Close) HUMIDITY 60%</t>
        </is>
      </c>
      <c r="N85" s="4" t="inlineStr">
        <is>
          <t>Pickup : 2026-09-16, Return : 2026-09-16  (Temp +18.0 / Vent Close) HUMIDITY 60%
CLS TIME 21/09/26 @18.00 (1ST DATE RTN 20/09/2026 W/O RENT,ELECTRIC)</t>
        </is>
      </c>
      <c r="O85" s="4" t="n">
        <v>0</v>
      </c>
      <c r="P85" s="4" t="n">
        <v>0</v>
      </c>
      <c r="Q85" s="4" t="n">
        <v>0</v>
      </c>
      <c r="R85" s="4" t="n">
        <v>0</v>
      </c>
      <c r="S85" s="4" t="n">
        <v>4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HASLS22260900259</t>
        </is>
      </c>
      <c r="B86" s="4" t="inlineStr">
        <is>
          <t>SWMM</t>
        </is>
      </c>
      <c r="C86" s="4" t="inlineStr">
        <is>
          <t>2609N</t>
        </is>
      </c>
      <c r="D86" s="4" t="inlineStr">
        <is>
          <t>202609240000</t>
        </is>
      </c>
      <c r="E86" s="4" t="inlineStr"/>
      <c r="F86" s="4" t="inlineStr">
        <is>
          <t>THLCH</t>
        </is>
      </c>
      <c r="G86" s="4" t="inlineStr">
        <is>
          <t>VNSGN</t>
        </is>
      </c>
      <c r="H86" s="4" t="inlineStr">
        <is>
          <t xml:space="preserve">40Hx2 </t>
        </is>
      </c>
      <c r="I86" s="4" t="inlineStr">
        <is>
          <t>20260918</t>
        </is>
      </c>
      <c r="J86" s="4" t="inlineStr">
        <is>
          <t>ACCORD PILOT LOGISTICS (THAILAND) CO., LTD.</t>
        </is>
      </c>
      <c r="K86" s="4" t="inlineStr">
        <is>
          <t>HMC POLYMERS CO., LTD.</t>
        </is>
      </c>
      <c r="L86" s="4" t="inlineStr">
        <is>
          <t>POLYPROPYLENE</t>
        </is>
      </c>
      <c r="M86" s="4" t="inlineStr">
        <is>
          <t>GOOD AND CLEAN CONTAINER</t>
        </is>
      </c>
      <c r="N86" s="4" t="inlineStr">
        <is>
          <t>Pickup : 2026-09-18, Return : 2026-09-19
** PLEASE CHECK OPEN GATE BEFORE RETURN CONTAINER **</t>
        </is>
      </c>
      <c r="O86" s="4" t="n">
        <v>0</v>
      </c>
      <c r="P86" s="4" t="n">
        <v>0</v>
      </c>
      <c r="Q86" s="4" t="n">
        <v>2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HASLS22260900292</t>
        </is>
      </c>
      <c r="B87" s="4" t="inlineStr">
        <is>
          <t>SWMM</t>
        </is>
      </c>
      <c r="C87" s="4" t="inlineStr">
        <is>
          <t>2609N</t>
        </is>
      </c>
      <c r="D87" s="4" t="inlineStr">
        <is>
          <t>202609240000</t>
        </is>
      </c>
      <c r="E87" s="4" t="inlineStr"/>
      <c r="F87" s="4" t="inlineStr">
        <is>
          <t>THLCH</t>
        </is>
      </c>
      <c r="G87" s="4" t="inlineStr">
        <is>
          <t>VNSGN</t>
        </is>
      </c>
      <c r="H87" s="4" t="inlineStr">
        <is>
          <t xml:space="preserve">40Hx3 </t>
        </is>
      </c>
      <c r="I87" s="4" t="inlineStr">
        <is>
          <t>20260921</t>
        </is>
      </c>
      <c r="J87" s="4" t="inlineStr">
        <is>
          <t>ALL CARGO SOLUTIONS CO., LTD.</t>
        </is>
      </c>
      <c r="K87" s="4" t="inlineStr">
        <is>
          <t>SHEICO (THAILAND) CO., LTD.</t>
        </is>
      </c>
      <c r="L87" s="4" t="inlineStr">
        <is>
          <t>GARMENTS ACCESSORIES</t>
        </is>
      </c>
      <c r="M87" s="4" t="inlineStr">
        <is>
          <t>RQST GOOD CLEAN &amp; DRY CONT.</t>
        </is>
      </c>
      <c r="N87" s="4" t="inlineStr">
        <is>
          <t>Pickup : 2026-09-21, Return : 2026-09-22 *EXTEND CLS TIME : 22/09/2026 @23.59* 
** PLEASE CHECK OPEN GATE BEFORE RETURN CONTAINER **</t>
        </is>
      </c>
      <c r="O87" s="4" t="n">
        <v>0</v>
      </c>
      <c r="P87" s="4" t="n">
        <v>0</v>
      </c>
      <c r="Q87" s="4" t="n">
        <v>3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HASLS22260900296</t>
        </is>
      </c>
      <c r="B88" s="4" t="inlineStr">
        <is>
          <t>SWMM</t>
        </is>
      </c>
      <c r="C88" s="4" t="inlineStr">
        <is>
          <t>2609N</t>
        </is>
      </c>
      <c r="D88" s="4" t="inlineStr">
        <is>
          <t>202609240000</t>
        </is>
      </c>
      <c r="E88" s="4" t="inlineStr"/>
      <c r="F88" s="4" t="inlineStr">
        <is>
          <t>THLCH</t>
        </is>
      </c>
      <c r="G88" s="4" t="inlineStr">
        <is>
          <t>VNSGN</t>
        </is>
      </c>
      <c r="H88" s="4" t="inlineStr">
        <is>
          <t xml:space="preserve">40Hx1 </t>
        </is>
      </c>
      <c r="I88" s="4" t="inlineStr">
        <is>
          <t>20260919</t>
        </is>
      </c>
      <c r="J88" s="4" t="inlineStr">
        <is>
          <t>ACCORD PILOT LOGISTICS (THAILAND) CO., LTD.</t>
        </is>
      </c>
      <c r="K88" s="4" t="inlineStr">
        <is>
          <t>TOA PERFORMANCE COATING CORPORATION CO., LTD.</t>
        </is>
      </c>
      <c r="L88" s="4" t="inlineStr">
        <is>
          <t>ABRASIVE PAPER / H.S CODE ; 6805.20</t>
        </is>
      </c>
      <c r="M88" s="4" t="inlineStr">
        <is>
          <t>GOOD AND CLEAN</t>
        </is>
      </c>
      <c r="N88" s="4" t="inlineStr">
        <is>
          <t xml:space="preserve">Pickup : 2026-09-19, Return : 2026-09-21 
 ** PLEASE CHECK OPEN GATE BEFORE RETURN CNTR **
</t>
        </is>
      </c>
      <c r="O88" s="4" t="n">
        <v>0</v>
      </c>
      <c r="P88" s="4" t="n">
        <v>0</v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HASLS22260900308</t>
        </is>
      </c>
      <c r="B89" s="4" t="inlineStr">
        <is>
          <t>NSSJ</t>
        </is>
      </c>
      <c r="C89" s="4" t="inlineStr">
        <is>
          <t>2607S</t>
        </is>
      </c>
      <c r="D89" s="4" t="inlineStr">
        <is>
          <t>202609232100</t>
        </is>
      </c>
      <c r="E89" s="4" t="inlineStr"/>
      <c r="F89" s="4" t="inlineStr">
        <is>
          <t>THLCH</t>
        </is>
      </c>
      <c r="G89" s="4" t="inlineStr">
        <is>
          <t>IDJKT</t>
        </is>
      </c>
      <c r="H89" s="4" t="inlineStr">
        <is>
          <t xml:space="preserve">40Hx3 </t>
        </is>
      </c>
      <c r="I89" s="4" t="inlineStr">
        <is>
          <t>20260916</t>
        </is>
      </c>
      <c r="J89" s="4" t="inlineStr">
        <is>
          <t>MAJOR FREIGHT INTERNATIONAL CO., LTD.</t>
        </is>
      </c>
      <c r="K89" s="4" t="inlineStr">
        <is>
          <t>THAI RAYON PUBLIC COMPANY LIMITED</t>
        </is>
      </c>
      <c r="L89" s="4" t="inlineStr">
        <is>
          <t>TEXTILES</t>
        </is>
      </c>
      <c r="M89" s="4" t="inlineStr">
        <is>
          <t>GOOD AND CLEAN CONTAINER</t>
        </is>
      </c>
      <c r="N89" s="4" t="inlineStr">
        <is>
          <t>Pickup : 2026-09-16, Return : 2026-09-17
**please check open gate before return container**</t>
        </is>
      </c>
      <c r="O89" s="4" t="n">
        <v>0</v>
      </c>
      <c r="P89" s="4" t="n">
        <v>0</v>
      </c>
      <c r="Q89" s="4" t="n">
        <v>3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HASLS22260900354</t>
        </is>
      </c>
      <c r="B90" s="4" t="inlineStr">
        <is>
          <t>NSSJ</t>
        </is>
      </c>
      <c r="C90" s="4" t="inlineStr">
        <is>
          <t>2607S</t>
        </is>
      </c>
      <c r="D90" s="4" t="inlineStr">
        <is>
          <t>202609232100</t>
        </is>
      </c>
      <c r="E90" s="4" t="inlineStr"/>
      <c r="F90" s="4" t="inlineStr">
        <is>
          <t>THLCH</t>
        </is>
      </c>
      <c r="G90" s="4" t="inlineStr">
        <is>
          <t>IDJKT</t>
        </is>
      </c>
      <c r="H90" s="4" t="inlineStr">
        <is>
          <t xml:space="preserve">20'x1 </t>
        </is>
      </c>
      <c r="I90" s="4" t="inlineStr">
        <is>
          <t>20260916</t>
        </is>
      </c>
      <c r="J90" s="4" t="inlineStr">
        <is>
          <t>HARBOUR NAVIGATION CO., LTD.</t>
        </is>
      </c>
      <c r="K90" s="4" t="inlineStr">
        <is>
          <t>NIPPON PAINT ( THAILAND ) CO., LTD.</t>
        </is>
      </c>
      <c r="L90" s="4" t="inlineStr">
        <is>
          <t>PAINT</t>
        </is>
      </c>
      <c r="M90" s="4" t="inlineStr">
        <is>
          <t>APPROVAL BY Mr.LEE MINHA DD.07/09/2026 (CLS 3 / UN 1263) REQUEST CLEAN AND GOOD CONTAINER</t>
        </is>
      </c>
      <c r="N90" s="4" t="inlineStr">
        <is>
          <t>APPROVAL BY Mr.LEE MINHA DD.07/09/2026 (CLS 3 / UN 1263)
Pickup : 2026-09-16, Return @ JWD : 2026-09-17</t>
        </is>
      </c>
      <c r="O90" s="4" t="n">
        <v>1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HASLS22260900358</t>
        </is>
      </c>
      <c r="B91" s="4" t="inlineStr">
        <is>
          <t>SWIC</t>
        </is>
      </c>
      <c r="C91" s="4" t="inlineStr">
        <is>
          <t>2610N</t>
        </is>
      </c>
      <c r="D91" s="4" t="inlineStr">
        <is>
          <t>202609220500</t>
        </is>
      </c>
      <c r="E91" s="4" t="inlineStr"/>
      <c r="F91" s="4" t="inlineStr">
        <is>
          <t>THLCH</t>
        </is>
      </c>
      <c r="G91" s="4" t="inlineStr">
        <is>
          <t>VNSGN</t>
        </is>
      </c>
      <c r="H91" s="4" t="inlineStr">
        <is>
          <t xml:space="preserve">20'x1 </t>
        </is>
      </c>
      <c r="I91" s="4" t="inlineStr">
        <is>
          <t>20260909</t>
        </is>
      </c>
      <c r="J91" s="4" t="inlineStr">
        <is>
          <t>WORLDLINK SHIPPING CO., LTD.</t>
        </is>
      </c>
      <c r="K91" s="4" t="inlineStr">
        <is>
          <t>QUAKER HOUGHTON (THAILAND) CO., LTD.</t>
        </is>
      </c>
      <c r="L91" s="4" t="inlineStr">
        <is>
          <t>LUBRICANT</t>
        </is>
      </c>
      <c r="M91" s="4" t="inlineStr">
        <is>
          <t>REQUEST CONTAINER GRADE  A OR B</t>
        </is>
      </c>
      <c r="N91" s="4" t="inlineStr">
        <is>
          <t>Pickup : 2026-09-09, Return : 2026-09-10 (1ST RTN DD: 19/09/26 WO/RENT)
**CHECK OPENGATE BEFORE RETURN CNTR**</t>
        </is>
      </c>
      <c r="O91" s="4" t="n">
        <v>1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1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HASLS22260900359</t>
        </is>
      </c>
      <c r="B92" s="4" t="inlineStr">
        <is>
          <t>SWAL</t>
        </is>
      </c>
      <c r="C92" s="4" t="inlineStr">
        <is>
          <t>2608N</t>
        </is>
      </c>
      <c r="D92" s="4" t="inlineStr">
        <is>
          <t>202609290800</t>
        </is>
      </c>
      <c r="E92" s="4" t="inlineStr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40Hx1 </t>
        </is>
      </c>
      <c r="I92" s="4" t="inlineStr">
        <is>
          <t>20260924</t>
        </is>
      </c>
      <c r="J92" s="4" t="inlineStr">
        <is>
          <t>DSV AIR &amp; SEA LTD.</t>
        </is>
      </c>
      <c r="K92" s="4" t="inlineStr">
        <is>
          <t>GEMPACK ASIA LIMITED</t>
        </is>
      </c>
      <c r="L92" s="4" t="inlineStr">
        <is>
          <t>PLASTIC CLOSURES</t>
        </is>
      </c>
      <c r="M92" s="4" t="inlineStr">
        <is>
          <t>Good and clean</t>
        </is>
      </c>
      <c r="N92" s="4" t="inlineStr">
        <is>
          <t xml:space="preserve">Pickup : 2026-09-24, Return : 2026-09-25 
 ** PLEASE CHECK OPEN GATE BEFORE RETURN CNTR **
</t>
        </is>
      </c>
      <c r="O92" s="4" t="n">
        <v>0</v>
      </c>
      <c r="P92" s="4" t="n">
        <v>0</v>
      </c>
      <c r="Q92" s="4" t="n">
        <v>1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HASLS22260900381</t>
        </is>
      </c>
      <c r="B93" s="4" t="inlineStr">
        <is>
          <t>KMSU</t>
        </is>
      </c>
      <c r="C93" s="4" t="inlineStr">
        <is>
          <t>2607S</t>
        </is>
      </c>
      <c r="D93" s="4" t="inlineStr">
        <is>
          <t>202610011600</t>
        </is>
      </c>
      <c r="E93" s="4" t="inlineStr"/>
      <c r="F93" s="4" t="inlineStr">
        <is>
          <t>THLCH</t>
        </is>
      </c>
      <c r="G93" s="4" t="inlineStr">
        <is>
          <t>IDJKT</t>
        </is>
      </c>
      <c r="H93" s="4" t="inlineStr">
        <is>
          <t xml:space="preserve">20'x1 </t>
        </is>
      </c>
      <c r="I93" s="4" t="inlineStr">
        <is>
          <t>20260922</t>
        </is>
      </c>
      <c r="J93" s="4" t="inlineStr">
        <is>
          <t>EUROFREIGHT INTERNATIONAL CO.,LTD.</t>
        </is>
      </c>
      <c r="K93" s="4" t="inlineStr">
        <is>
          <t>GRIPM ADVANCED MATERIALS (THAILAND) CO., LTD.</t>
        </is>
      </c>
      <c r="L93" s="4" t="inlineStr">
        <is>
          <t>ELECTROLYTIC COPPER POWDER</t>
        </is>
      </c>
      <c r="M93" s="4" t="inlineStr">
        <is>
          <t>REQUEST GOOD AND CLEAN CONTAINER</t>
        </is>
      </c>
      <c r="N93" s="4" t="inlineStr">
        <is>
          <t>Pickup : 2026-09-22, Return : 2026-09-23</t>
        </is>
      </c>
      <c r="O93" s="4" t="n">
        <v>1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HASLS22260900394</t>
        </is>
      </c>
      <c r="B94" s="4" t="inlineStr">
        <is>
          <t>CMA</t>
        </is>
      </c>
      <c r="C94" s="4" t="inlineStr">
        <is>
          <t>2614N</t>
        </is>
      </c>
      <c r="D94" s="4" t="inlineStr">
        <is>
          <t>202609250800</t>
        </is>
      </c>
      <c r="E94" s="4" t="inlineStr"/>
      <c r="F94" s="4" t="inlineStr">
        <is>
          <t>THLCH</t>
        </is>
      </c>
      <c r="G94" s="4" t="inlineStr">
        <is>
          <t>CNSHK</t>
        </is>
      </c>
      <c r="H94" s="4" t="inlineStr">
        <is>
          <t xml:space="preserve">20'x4 </t>
        </is>
      </c>
      <c r="I94" s="4" t="inlineStr">
        <is>
          <t>20260921</t>
        </is>
      </c>
      <c r="J94" s="4" t="inlineStr">
        <is>
          <t>THAI POLYCARBONATE CO., LTD.</t>
        </is>
      </c>
      <c r="K94" s="4" t="inlineStr">
        <is>
          <t>THAI POLYCARBONATE CO., LTD.</t>
        </is>
      </c>
      <c r="L94" s="4" t="inlineStr">
        <is>
          <t>POLYCARBONATE RESIN , HS CODEIS 3907.40</t>
        </is>
      </c>
      <c r="M94" s="4" t="inlineStr">
        <is>
          <t>PLEASE PROVIDE GOOD AND CLEAN CONTAINER, NO RUST, NO HOLE, NO SMELL WITH STRONG FLOORBOARD (LOAD BY FORKLIFT) AND BULLET SEAL TO THIS SHIPMENT</t>
        </is>
      </c>
      <c r="N94" s="4" t="inlineStr">
        <is>
          <t xml:space="preserve">Pickup : 2026-09-21, Return : 2026-09-22 
** PLEASE CHECK OPEN GATE BEFORE RETURN CONTAINER **  </t>
        </is>
      </c>
      <c r="O94" s="4" t="n">
        <v>4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HASLS22260900407</t>
        </is>
      </c>
      <c r="B95" s="4" t="inlineStr">
        <is>
          <t>KMSU</t>
        </is>
      </c>
      <c r="C95" s="4" t="inlineStr">
        <is>
          <t>2607S</t>
        </is>
      </c>
      <c r="D95" s="4" t="inlineStr">
        <is>
          <t>202610011600</t>
        </is>
      </c>
      <c r="E95" s="4" t="inlineStr"/>
      <c r="F95" s="4" t="inlineStr">
        <is>
          <t>THLCH</t>
        </is>
      </c>
      <c r="G95" s="4" t="inlineStr">
        <is>
          <t>IDJKT</t>
        </is>
      </c>
      <c r="H95" s="4" t="inlineStr">
        <is>
          <t xml:space="preserve">40Hx2 </t>
        </is>
      </c>
      <c r="I95" s="4" t="inlineStr">
        <is>
          <t>20260921</t>
        </is>
      </c>
      <c r="J95" s="4" t="inlineStr">
        <is>
          <t>CONNEXT LOG (THAILAND) CO.,LTD.</t>
        </is>
      </c>
      <c r="K95" s="4" t="inlineStr">
        <is>
          <t>SATIEN STAINLESS STEEL PUBLIC CO., LTD.</t>
        </is>
      </c>
      <c r="L95" s="4" t="inlineStr">
        <is>
          <t>STAINLESS STEEL KITCHENWARE</t>
        </is>
      </c>
      <c r="M95" s="4" t="inlineStr">
        <is>
          <t>REQ CNTR : GOOD, CLEAN AND NO HOLE</t>
        </is>
      </c>
      <c r="N95" s="4" t="inlineStr">
        <is>
          <t>Pickup : 2026-09-21, Return : 2026-09-22</t>
        </is>
      </c>
      <c r="O95" s="4" t="n">
        <v>0</v>
      </c>
      <c r="P95" s="4" t="n">
        <v>0</v>
      </c>
      <c r="Q95" s="4" t="n">
        <v>2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HASLS22260900408</t>
        </is>
      </c>
      <c r="B96" s="4" t="inlineStr">
        <is>
          <t>SWVG</t>
        </is>
      </c>
      <c r="C96" s="4" t="inlineStr">
        <is>
          <t>2612N</t>
        </is>
      </c>
      <c r="D96" s="4" t="inlineStr">
        <is>
          <t>202610030200</t>
        </is>
      </c>
      <c r="E96" s="4" t="inlineStr"/>
      <c r="F96" s="4" t="inlineStr">
        <is>
          <t>THLCH</t>
        </is>
      </c>
      <c r="G96" s="4" t="inlineStr">
        <is>
          <t>CNSHA</t>
        </is>
      </c>
      <c r="H96" s="4" t="inlineStr">
        <is>
          <t xml:space="preserve">20'x1 </t>
        </is>
      </c>
      <c r="I96" s="4" t="inlineStr">
        <is>
          <t>20260924</t>
        </is>
      </c>
      <c r="J96" s="4" t="inlineStr">
        <is>
          <t>RHENUS LOGISTICS CO., LTD.</t>
        </is>
      </c>
      <c r="K96" s="4" t="inlineStr">
        <is>
          <t>DYNAMIC TECHNOLOGY MANUFACTURING (THAILAND) CO.,LTD.</t>
        </is>
      </c>
      <c r="L96" s="4" t="inlineStr">
        <is>
          <t>PRINTED CIRCUIT BOARD</t>
        </is>
      </c>
      <c r="M96" s="4" t="inlineStr">
        <is>
          <t>Request dry, good and clean container condition (Container grade A)</t>
        </is>
      </c>
      <c r="N96" s="4" t="inlineStr">
        <is>
          <t xml:space="preserve">Pickup : 2026-09-24, Return : 2026-09-25 
 ** PLEASE CHECK OPEN GATE BEFORE RETURN CNTR **
</t>
        </is>
      </c>
      <c r="O96" s="4" t="n">
        <v>1</v>
      </c>
      <c r="P96" s="4" t="n">
        <v>0</v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HASLS22260900413</t>
        </is>
      </c>
      <c r="B97" s="4" t="inlineStr">
        <is>
          <t>KXM</t>
        </is>
      </c>
      <c r="C97" s="4" t="inlineStr">
        <is>
          <t>2608S</t>
        </is>
      </c>
      <c r="D97" s="4" t="inlineStr">
        <is>
          <t>202610101400</t>
        </is>
      </c>
      <c r="E97" s="4" t="inlineStr"/>
      <c r="F97" s="4" t="inlineStr">
        <is>
          <t>THLCH</t>
        </is>
      </c>
      <c r="G97" s="4" t="inlineStr">
        <is>
          <t>IDJKT</t>
        </is>
      </c>
      <c r="H97" s="4" t="inlineStr">
        <is>
          <t xml:space="preserve">40Hx1 </t>
        </is>
      </c>
      <c r="I97" s="4" t="inlineStr">
        <is>
          <t>20260925</t>
        </is>
      </c>
      <c r="J97" s="4" t="inlineStr">
        <is>
          <t>ILOGS GLOBAL CO.,LTD.</t>
        </is>
      </c>
      <c r="K97" s="4" t="inlineStr">
        <is>
          <t>MAJESTY HOLDINGS (ASIA) CO.,LTD.</t>
        </is>
      </c>
      <c r="L97" s="4" t="inlineStr">
        <is>
          <t>PIPE</t>
        </is>
      </c>
      <c r="M97" s="4" t="inlineStr">
        <is>
          <t>goog and clean</t>
        </is>
      </c>
      <c r="N97" s="4" t="inlineStr">
        <is>
          <t>Pickup : 2026-09-25, Return : 2026-09-25</t>
        </is>
      </c>
      <c r="O97" s="4" t="n">
        <v>0</v>
      </c>
      <c r="P97" s="4" t="n">
        <v>0</v>
      </c>
      <c r="Q97" s="4" t="n">
        <v>1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HASLS22260900415</t>
        </is>
      </c>
      <c r="B98" s="4" t="inlineStr">
        <is>
          <t>KMBK</t>
        </is>
      </c>
      <c r="C98" s="4" t="inlineStr">
        <is>
          <t>2611N</t>
        </is>
      </c>
      <c r="D98" s="4" t="inlineStr">
        <is>
          <t>202610030000</t>
        </is>
      </c>
      <c r="E98" s="4" t="inlineStr"/>
      <c r="F98" s="4" t="inlineStr">
        <is>
          <t>THLCH</t>
        </is>
      </c>
      <c r="G98" s="4" t="inlineStr">
        <is>
          <t>VNSGN</t>
        </is>
      </c>
      <c r="H98" s="4" t="inlineStr">
        <is>
          <t xml:space="preserve">20'x1 </t>
        </is>
      </c>
      <c r="I98" s="4" t="inlineStr">
        <is>
          <t>20260928</t>
        </is>
      </c>
      <c r="J98" s="4" t="inlineStr">
        <is>
          <t>STAR CONCORD (THAILAND) CO., LTD.</t>
        </is>
      </c>
      <c r="K98" s="4" t="inlineStr">
        <is>
          <t>SIAM COATED ABRASIVE CO., LTD.</t>
        </is>
      </c>
      <c r="L98" s="4" t="inlineStr">
        <is>
          <t>ABRASIVE CLOTH ROLL</t>
        </is>
      </c>
      <c r="M98" s="4" t="inlineStr">
        <is>
          <t>REQ GOOD CLEAN CONTAINER, NO RUST, NO SMELL, NO DENTS.</t>
        </is>
      </c>
      <c r="N98" s="4" t="inlineStr">
        <is>
          <t>Pickup : 2026-09-28, Return : 2026-09-29</t>
        </is>
      </c>
      <c r="O98" s="4" t="n">
        <v>1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HASLS22260900423</t>
        </is>
      </c>
      <c r="B99" s="4" t="inlineStr">
        <is>
          <t>SWMM</t>
        </is>
      </c>
      <c r="C99" s="4" t="inlineStr">
        <is>
          <t>2609N</t>
        </is>
      </c>
      <c r="D99" s="4" t="inlineStr">
        <is>
          <t>202609240000</t>
        </is>
      </c>
      <c r="E99" s="4" t="inlineStr"/>
      <c r="F99" s="4" t="inlineStr">
        <is>
          <t>THLCH</t>
        </is>
      </c>
      <c r="G99" s="4" t="inlineStr">
        <is>
          <t>VNSGN</t>
        </is>
      </c>
      <c r="H99" s="4" t="inlineStr">
        <is>
          <t xml:space="preserve">40Hx7 </t>
        </is>
      </c>
      <c r="I99" s="4" t="inlineStr">
        <is>
          <t>20260919</t>
        </is>
      </c>
      <c r="J99" s="4" t="inlineStr">
        <is>
          <t>GGS LINES (THAILAND) CO., LTD.</t>
        </is>
      </c>
      <c r="K99" s="4" t="inlineStr">
        <is>
          <t>BERLI JUCKER CELLOX LIMITED</t>
        </is>
      </c>
      <c r="L99" s="4" t="inlineStr">
        <is>
          <t>TISSUE</t>
        </is>
      </c>
      <c r="M99" s="4" t="inlineStr">
        <is>
          <t>Request good container</t>
        </is>
      </c>
      <c r="N99" s="4" t="inlineStr">
        <is>
          <t xml:space="preserve">Pickup : 2026-09-19, Return : 2026-09-21 
 ** PLEASE CHECK OPEN GATE BEFORE RETURN CNTR **
</t>
        </is>
      </c>
      <c r="O99" s="4" t="n">
        <v>0</v>
      </c>
      <c r="P99" s="4" t="n">
        <v>0</v>
      </c>
      <c r="Q99" s="4" t="n">
        <v>7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HASLS22260900424</t>
        </is>
      </c>
      <c r="B100" s="4" t="inlineStr">
        <is>
          <t>SWAL</t>
        </is>
      </c>
      <c r="C100" s="4" t="inlineStr">
        <is>
          <t>2608N</t>
        </is>
      </c>
      <c r="D100" s="4" t="inlineStr">
        <is>
          <t>202609290800</t>
        </is>
      </c>
      <c r="E100" s="4" t="inlineStr"/>
      <c r="F100" s="4" t="inlineStr">
        <is>
          <t>THLCH</t>
        </is>
      </c>
      <c r="G100" s="4" t="inlineStr">
        <is>
          <t>VNSGN</t>
        </is>
      </c>
      <c r="H100" s="4" t="inlineStr">
        <is>
          <t xml:space="preserve">20'x1 </t>
        </is>
      </c>
      <c r="I100" s="4" t="inlineStr">
        <is>
          <t>20260925</t>
        </is>
      </c>
      <c r="J100" s="4" t="inlineStr">
        <is>
          <t>FM GLOBAL LOGISTICS CO., LTD.</t>
        </is>
      </c>
      <c r="K100" s="4" t="inlineStr">
        <is>
          <t>AI-CHA FOOD TG CO., LTD.</t>
        </is>
      </c>
      <c r="L100" s="4" t="inlineStr">
        <is>
          <t xml:space="preserve">CANNED OAT </t>
        </is>
      </c>
      <c r="M100" s="4" t="inlineStr">
        <is>
          <t>Request Good and clean container</t>
        </is>
      </c>
      <c r="N100" s="4" t="inlineStr">
        <is>
          <t xml:space="preserve">Pickup : 2026-09-25, Return : 2026-09-25 
 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HASLS22260900446</t>
        </is>
      </c>
      <c r="B101" s="4" t="inlineStr">
        <is>
          <t>SWMM</t>
        </is>
      </c>
      <c r="C101" s="4" t="inlineStr">
        <is>
          <t>2609N</t>
        </is>
      </c>
      <c r="D101" s="4" t="inlineStr">
        <is>
          <t>202609240000</t>
        </is>
      </c>
      <c r="E101" s="4" t="inlineStr"/>
      <c r="F101" s="4" t="inlineStr">
        <is>
          <t>THLCH</t>
        </is>
      </c>
      <c r="G101" s="4" t="inlineStr">
        <is>
          <t>KRPUS</t>
        </is>
      </c>
      <c r="H101" s="4" t="inlineStr">
        <is>
          <t xml:space="preserve">20'x3 </t>
        </is>
      </c>
      <c r="I101" s="4" t="inlineStr">
        <is>
          <t>20260917</t>
        </is>
      </c>
      <c r="J101" s="4" t="inlineStr">
        <is>
          <t>IMEX PRO LOGISTICS CO., LTD.</t>
        </is>
      </c>
      <c r="K101" s="4" t="inlineStr">
        <is>
          <t>AEKKACHAI CHOMCHOEI</t>
        </is>
      </c>
      <c r="L101" s="4" t="inlineStr">
        <is>
          <t xml:space="preserve">CUTS STAINLESS STEEL </t>
        </is>
      </c>
      <c r="M101" s="4" t="inlineStr">
        <is>
          <t>GOOD AND CLEAN CONTAINER</t>
        </is>
      </c>
      <c r="N101" s="4" t="inlineStr">
        <is>
          <t>Pickup : 2026-09-17, Return : 2026-09-18 (1ST RTN DD: 20/09/26 WO/RENT)
**CHECK OPENGATE BEFORE RETURN CNTR**</t>
        </is>
      </c>
      <c r="O101" s="4" t="n">
        <v>3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HASLS22260900449</t>
        </is>
      </c>
      <c r="B102" s="4" t="inlineStr">
        <is>
          <t>KMSU</t>
        </is>
      </c>
      <c r="C102" s="4" t="inlineStr">
        <is>
          <t>2607S</t>
        </is>
      </c>
      <c r="D102" s="4" t="inlineStr">
        <is>
          <t>202610011600</t>
        </is>
      </c>
      <c r="E102" s="4" t="inlineStr"/>
      <c r="F102" s="4" t="inlineStr">
        <is>
          <t>THLCH</t>
        </is>
      </c>
      <c r="G102" s="4" t="inlineStr">
        <is>
          <t>IDJKT</t>
        </is>
      </c>
      <c r="H102" s="4" t="inlineStr">
        <is>
          <t xml:space="preserve">40Hx1 </t>
        </is>
      </c>
      <c r="I102" s="4" t="inlineStr">
        <is>
          <t>20260922</t>
        </is>
      </c>
      <c r="J102" s="4" t="inlineStr">
        <is>
          <t>CONNEXT LOG (THAILAND) CO.,LTD.</t>
        </is>
      </c>
      <c r="K102" s="4" t="inlineStr">
        <is>
          <t>SATIEN STAINLESS STEEL PUBLIC CO., LTD.</t>
        </is>
      </c>
      <c r="L102" s="4" t="inlineStr">
        <is>
          <t>STAINLESS STEEL KITCHENWARE</t>
        </is>
      </c>
      <c r="M102" s="4" t="inlineStr">
        <is>
          <t>REQ CNTR : GOOD, CLEAN AND NO HOLE</t>
        </is>
      </c>
      <c r="N102" s="4" t="inlineStr">
        <is>
          <t>Pickup : 2026-09-22, Return : 2026-09-23</t>
        </is>
      </c>
      <c r="O102" s="4" t="n">
        <v>0</v>
      </c>
      <c r="P102" s="4" t="n">
        <v>0</v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HASLS22260900450</t>
        </is>
      </c>
      <c r="B103" s="4" t="inlineStr">
        <is>
          <t>KMGY</t>
        </is>
      </c>
      <c r="C103" s="4" t="inlineStr">
        <is>
          <t>2610N</t>
        </is>
      </c>
      <c r="D103" s="4" t="inlineStr">
        <is>
          <t>202609270800</t>
        </is>
      </c>
      <c r="E103" s="4" t="inlineStr"/>
      <c r="F103" s="4" t="inlineStr">
        <is>
          <t>THLCH</t>
        </is>
      </c>
      <c r="G103" s="4" t="inlineStr">
        <is>
          <t>HKHKG</t>
        </is>
      </c>
      <c r="H103" s="4" t="inlineStr">
        <is>
          <t xml:space="preserve">20'x1 </t>
        </is>
      </c>
      <c r="I103" s="4" t="inlineStr">
        <is>
          <t>20260921</t>
        </is>
      </c>
      <c r="J103" s="4" t="inlineStr">
        <is>
          <t>YUSEN LOGISTICS (THAILAND) CO., LTD.</t>
        </is>
      </c>
      <c r="K103" s="4" t="inlineStr">
        <is>
          <t>SANKO ELECTRONICS (THAILAND) CO., LTD.</t>
        </is>
      </c>
      <c r="L103" s="4" t="inlineStr">
        <is>
          <t>LEAD WIRE ASSEMBLY</t>
        </is>
      </c>
      <c r="M103" s="4" t="inlineStr">
        <is>
          <t>RQST GOOD CLEAN AND DRY CONTAINER GRADE 'A'</t>
        </is>
      </c>
      <c r="N103" s="4" t="inlineStr">
        <is>
          <t>Pickup : 2026-09-21, Return : 2026-09-22 
 ** PLEASE CHECK OPEN GATE BEFORE RETURN CNTR **</t>
        </is>
      </c>
      <c r="O103" s="4" t="n">
        <v>1</v>
      </c>
      <c r="P103" s="4" t="n">
        <v>0</v>
      </c>
      <c r="Q103" s="4" t="n">
        <v>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HASLS22260900460</t>
        </is>
      </c>
      <c r="B104" s="4" t="inlineStr">
        <is>
          <t>SWSP</t>
        </is>
      </c>
      <c r="C104" s="4" t="inlineStr">
        <is>
          <t>2609N</t>
        </is>
      </c>
      <c r="D104" s="4" t="inlineStr">
        <is>
          <t>202610020330</t>
        </is>
      </c>
      <c r="E104" s="4" t="inlineStr"/>
      <c r="F104" s="4" t="inlineStr">
        <is>
          <t>THLCH</t>
        </is>
      </c>
      <c r="G104" s="4" t="inlineStr">
        <is>
          <t>VNSGN</t>
        </is>
      </c>
      <c r="H104" s="4" t="inlineStr">
        <is>
          <t xml:space="preserve">40Hx10 </t>
        </is>
      </c>
      <c r="I104" s="4" t="inlineStr">
        <is>
          <t>20260923</t>
        </is>
      </c>
      <c r="J104" s="4" t="inlineStr">
        <is>
          <t>WHA GC LOGISTICS COMPANY LIMITED</t>
        </is>
      </c>
      <c r="K104" s="4" t="inlineStr">
        <is>
          <t>PTT GLOBAL CHEMICAL PUBLIC COMPANY LIMITED</t>
        </is>
      </c>
      <c r="L104" s="4" t="inlineStr">
        <is>
          <t>RESIN</t>
        </is>
      </c>
      <c r="M104" s="4" t="inlineStr">
        <is>
          <t>GOOD AND CLEAN CTNR</t>
        </is>
      </c>
      <c r="N104" s="4" t="inlineStr">
        <is>
          <t xml:space="preserve">CY-RTN 23-26/09/26
</t>
        </is>
      </c>
      <c r="O104" s="4" t="n">
        <v>0</v>
      </c>
      <c r="P104" s="4" t="n">
        <v>0</v>
      </c>
      <c r="Q104" s="4" t="n">
        <v>10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HASLS22260900461</t>
        </is>
      </c>
      <c r="B105" s="4" t="inlineStr">
        <is>
          <t>SWSP</t>
        </is>
      </c>
      <c r="C105" s="4" t="inlineStr">
        <is>
          <t>2609N</t>
        </is>
      </c>
      <c r="D105" s="4" t="inlineStr">
        <is>
          <t>202610020330</t>
        </is>
      </c>
      <c r="E105" s="4" t="inlineStr"/>
      <c r="F105" s="4" t="inlineStr">
        <is>
          <t>THLCH</t>
        </is>
      </c>
      <c r="G105" s="4" t="inlineStr">
        <is>
          <t>VNSGN</t>
        </is>
      </c>
      <c r="H105" s="4" t="inlineStr">
        <is>
          <t xml:space="preserve">20'x20 </t>
        </is>
      </c>
      <c r="I105" s="4" t="inlineStr">
        <is>
          <t>20260923</t>
        </is>
      </c>
      <c r="J105" s="4" t="inlineStr">
        <is>
          <t>WHA GC LOGISTICS COMPANY LIMITED</t>
        </is>
      </c>
      <c r="K105" s="4" t="inlineStr">
        <is>
          <t>PTT GLOBAL CHEMICAL PUBLIC COMPANY LIMITED</t>
        </is>
      </c>
      <c r="L105" s="4" t="inlineStr">
        <is>
          <t>RESIN</t>
        </is>
      </c>
      <c r="M105" s="4" t="inlineStr">
        <is>
          <t>GOOD AND CLEAN CTNR</t>
        </is>
      </c>
      <c r="N105" s="4" t="inlineStr">
        <is>
          <t xml:space="preserve">CY-RTN 23-26/09/26
</t>
        </is>
      </c>
      <c r="O105" s="4" t="n">
        <v>20</v>
      </c>
      <c r="P105" s="4" t="n">
        <v>0</v>
      </c>
      <c r="Q105" s="4" t="n">
        <v>0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HASLS22260900462</t>
        </is>
      </c>
      <c r="B106" s="4" t="inlineStr">
        <is>
          <t>SWIC</t>
        </is>
      </c>
      <c r="C106" s="4" t="inlineStr">
        <is>
          <t>2611N</t>
        </is>
      </c>
      <c r="D106" s="4" t="inlineStr">
        <is>
          <t>202610132100</t>
        </is>
      </c>
      <c r="E106" s="4" t="inlineStr"/>
      <c r="F106" s="4" t="inlineStr">
        <is>
          <t>THLCH</t>
        </is>
      </c>
      <c r="G106" s="4" t="inlineStr">
        <is>
          <t>VNSGN</t>
        </is>
      </c>
      <c r="H106" s="4" t="inlineStr">
        <is>
          <t xml:space="preserve">40Hx10 </t>
        </is>
      </c>
      <c r="I106" s="4" t="inlineStr">
        <is>
          <t>20261001</t>
        </is>
      </c>
      <c r="J106" s="4" t="inlineStr">
        <is>
          <t>WHA GC LOGISTICS COMPANY LIMITED</t>
        </is>
      </c>
      <c r="K106" s="4" t="inlineStr">
        <is>
          <t>PTT GLOBAL CHEMICAL PUBLIC COMPANY LIMITED</t>
        </is>
      </c>
      <c r="L106" s="4" t="inlineStr">
        <is>
          <t>RESIN</t>
        </is>
      </c>
      <c r="M106" s="4" t="inlineStr">
        <is>
          <t>GOOD AND CLEAN CTNR</t>
        </is>
      </c>
      <c r="N106" s="4" t="inlineStr">
        <is>
          <t xml:space="preserve">CY-RTN 01-06/10/26
</t>
        </is>
      </c>
      <c r="O106" s="4" t="n">
        <v>0</v>
      </c>
      <c r="P106" s="4" t="n">
        <v>0</v>
      </c>
      <c r="Q106" s="4" t="n">
        <v>10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HASLS22260900464</t>
        </is>
      </c>
      <c r="B107" s="4" t="inlineStr">
        <is>
          <t>SWIC</t>
        </is>
      </c>
      <c r="C107" s="4" t="inlineStr">
        <is>
          <t>2611N</t>
        </is>
      </c>
      <c r="D107" s="4" t="inlineStr">
        <is>
          <t>202610132100</t>
        </is>
      </c>
      <c r="E107" s="4" t="inlineStr"/>
      <c r="F107" s="4" t="inlineStr">
        <is>
          <t>THLCH</t>
        </is>
      </c>
      <c r="G107" s="4" t="inlineStr">
        <is>
          <t>VNSGN</t>
        </is>
      </c>
      <c r="H107" s="4" t="inlineStr">
        <is>
          <t xml:space="preserve">20'x20 </t>
        </is>
      </c>
      <c r="I107" s="4" t="inlineStr">
        <is>
          <t>20261001</t>
        </is>
      </c>
      <c r="J107" s="4" t="inlineStr">
        <is>
          <t>WHA GC LOGISTICS COMPANY LIMITED</t>
        </is>
      </c>
      <c r="K107" s="4" t="inlineStr">
        <is>
          <t>PTT GLOBAL CHEMICAL PUBLIC COMPANY LIMITED</t>
        </is>
      </c>
      <c r="L107" s="4" t="inlineStr">
        <is>
          <t>RESIN</t>
        </is>
      </c>
      <c r="M107" s="4" t="inlineStr">
        <is>
          <t>GOOD AND CLEAN CTNR</t>
        </is>
      </c>
      <c r="N107" s="4" t="inlineStr">
        <is>
          <t xml:space="preserve">CY-RTN 01-06/10/26
</t>
        </is>
      </c>
      <c r="O107" s="4" t="n">
        <v>20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HASLS22260900472</t>
        </is>
      </c>
      <c r="B108" s="4" t="inlineStr">
        <is>
          <t>PGPO</t>
        </is>
      </c>
      <c r="C108" s="4" t="inlineStr">
        <is>
          <t>2611N</t>
        </is>
      </c>
      <c r="D108" s="4" t="inlineStr">
        <is>
          <t>202609230130</t>
        </is>
      </c>
      <c r="E108" s="4" t="inlineStr"/>
      <c r="F108" s="4" t="inlineStr">
        <is>
          <t>THLCH</t>
        </is>
      </c>
      <c r="G108" s="4" t="inlineStr">
        <is>
          <t>VNSGN</t>
        </is>
      </c>
      <c r="H108" s="4" t="inlineStr">
        <is>
          <t xml:space="preserve">40Hx1 </t>
        </is>
      </c>
      <c r="I108" s="4" t="inlineStr">
        <is>
          <t>20260916</t>
        </is>
      </c>
      <c r="J108" s="4" t="inlineStr">
        <is>
          <t>ACCORD PILOT LOGISTICS (THAILAND) CO., LTD.</t>
        </is>
      </c>
      <c r="K108" s="4" t="inlineStr">
        <is>
          <t>TOA PERFORMANCE COATING CORPORATION CO., LTD.</t>
        </is>
      </c>
      <c r="L108" s="4" t="inlineStr">
        <is>
          <t>ABRASIVE PAPER / H.S CODE ; 6805.20</t>
        </is>
      </c>
      <c r="M108" s="4" t="inlineStr">
        <is>
          <t>GOOD AND CLEAN</t>
        </is>
      </c>
      <c r="N108" s="4" t="inlineStr">
        <is>
          <t>Pickup : 2026-09-16, Return : 2026-09-17</t>
        </is>
      </c>
      <c r="O108" s="4" t="n">
        <v>0</v>
      </c>
      <c r="P108" s="4" t="n">
        <v>0</v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HASLS22260900473</t>
        </is>
      </c>
      <c r="B109" s="4" t="inlineStr">
        <is>
          <t>PGPO</t>
        </is>
      </c>
      <c r="C109" s="4" t="inlineStr">
        <is>
          <t>2611N</t>
        </is>
      </c>
      <c r="D109" s="4" t="inlineStr">
        <is>
          <t>202609230130</t>
        </is>
      </c>
      <c r="E109" s="4" t="inlineStr"/>
      <c r="F109" s="4" t="inlineStr">
        <is>
          <t>THLCH</t>
        </is>
      </c>
      <c r="G109" s="4" t="inlineStr">
        <is>
          <t>VNSGN</t>
        </is>
      </c>
      <c r="H109" s="4" t="inlineStr">
        <is>
          <t xml:space="preserve">40Hx1 </t>
        </is>
      </c>
      <c r="I109" s="4" t="inlineStr">
        <is>
          <t>20260917</t>
        </is>
      </c>
      <c r="J109" s="4" t="inlineStr">
        <is>
          <t>KORCHINA FREIGHT (THAILAND) CO., LTD.</t>
        </is>
      </c>
      <c r="K109" s="4" t="inlineStr">
        <is>
          <t>CONTINENTAL TYRES (THAILAND) CO., LTD.</t>
        </is>
      </c>
      <c r="L109" s="4" t="inlineStr">
        <is>
          <t>STEEL BOBBINS / PALLET</t>
        </is>
      </c>
      <c r="M109" s="4" t="inlineStr">
        <is>
          <t>GOOD AND CLEAN CONTAINER</t>
        </is>
      </c>
      <c r="N109" s="4" t="inlineStr">
        <is>
          <t>Pickup : 2026-09-17, Return : 2026-09-17
** PLEASE CHECK OPEN GATE BEFORE RETURN CONTAINER **</t>
        </is>
      </c>
      <c r="O109" s="4" t="n">
        <v>0</v>
      </c>
      <c r="P109" s="4" t="n">
        <v>0</v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HASLS22260900477</t>
        </is>
      </c>
      <c r="B110" s="4" t="inlineStr">
        <is>
          <t>SWIC</t>
        </is>
      </c>
      <c r="C110" s="4" t="inlineStr">
        <is>
          <t>2610N</t>
        </is>
      </c>
      <c r="D110" s="4" t="inlineStr">
        <is>
          <t>202609220500</t>
        </is>
      </c>
      <c r="E110" s="4" t="inlineStr"/>
      <c r="F110" s="4" t="inlineStr">
        <is>
          <t>THLCH</t>
        </is>
      </c>
      <c r="G110" s="4" t="inlineStr">
        <is>
          <t>VNSGN</t>
        </is>
      </c>
      <c r="H110" s="4" t="inlineStr">
        <is>
          <t xml:space="preserve">40Hx2 </t>
        </is>
      </c>
      <c r="I110" s="4" t="inlineStr">
        <is>
          <t>20260917</t>
        </is>
      </c>
      <c r="J110" s="4" t="inlineStr">
        <is>
          <t>LOGMAN INTERNATIONAL CO., LTD.</t>
        </is>
      </c>
      <c r="K110" s="4" t="inlineStr">
        <is>
          <t>MAXXIS INTERNATIONAL (THAILAND) CO., LTD.</t>
        </is>
      </c>
      <c r="L110" s="4" t="inlineStr">
        <is>
          <t>NEW TIRE</t>
        </is>
      </c>
      <c r="M110" s="4" t="inlineStr">
        <is>
          <t>REQUEST GOOD AND CLEAN CONTAINER</t>
        </is>
      </c>
      <c r="N110" s="4" t="inlineStr">
        <is>
          <t>Pickup : 2026-09-17, Return : 2026-09-18 [1ST RTN 18/09/2026 W/O RENT]
** PLEASE CHECK OPEN GATE BEFORE RETURN CONTAINER **</t>
        </is>
      </c>
      <c r="O110" s="4" t="n">
        <v>0</v>
      </c>
      <c r="P110" s="4" t="n">
        <v>0</v>
      </c>
      <c r="Q110" s="4" t="n">
        <v>2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HASLS22260900478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202609240000</t>
        </is>
      </c>
      <c r="E111" s="4" t="inlineStr"/>
      <c r="F111" s="4" t="inlineStr">
        <is>
          <t>THLCH</t>
        </is>
      </c>
      <c r="G111" s="4" t="inlineStr">
        <is>
          <t>VNSGN</t>
        </is>
      </c>
      <c r="H111" s="4" t="inlineStr">
        <is>
          <t xml:space="preserve">40Hx4 </t>
        </is>
      </c>
      <c r="I111" s="4" t="inlineStr">
        <is>
          <t>20260919</t>
        </is>
      </c>
      <c r="J111" s="4" t="inlineStr">
        <is>
          <t>LOGMAN INTERNATIONAL CO., LTD.</t>
        </is>
      </c>
      <c r="K111" s="4" t="inlineStr">
        <is>
          <t>MAXXIS INTERNATIONAL (THAILAND) CO., LTD.</t>
        </is>
      </c>
      <c r="L111" s="4" t="inlineStr">
        <is>
          <t>NEW TIRE</t>
        </is>
      </c>
      <c r="M111" s="4" t="inlineStr">
        <is>
          <t>REQUEST GOOD AND CLEAN CONTAINER</t>
        </is>
      </c>
      <c r="N111" s="4" t="inlineStr">
        <is>
          <t xml:space="preserve">Pickup : 2026-09-19, Return : 2026-09-20 [1ST RTN 20/09/2026 W/O RENT]
** PLEASE CHECK OPEN GATE BEFORE RETURN CONTAINER ** </t>
        </is>
      </c>
      <c r="O111" s="4" t="n">
        <v>0</v>
      </c>
      <c r="P111" s="4" t="n">
        <v>0</v>
      </c>
      <c r="Q111" s="4" t="n">
        <v>4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HASLS22260900490</t>
        </is>
      </c>
      <c r="B112" s="4" t="inlineStr">
        <is>
          <t>DJCF</t>
        </is>
      </c>
      <c r="C112" s="4" t="inlineStr">
        <is>
          <t>0151N</t>
        </is>
      </c>
      <c r="D112" s="4" t="inlineStr">
        <is>
          <t>202609200100</t>
        </is>
      </c>
      <c r="E112" s="4" t="inlineStr"/>
      <c r="F112" s="4" t="inlineStr">
        <is>
          <t>THLCH</t>
        </is>
      </c>
      <c r="G112" s="4" t="inlineStr">
        <is>
          <t>VNSGN</t>
        </is>
      </c>
      <c r="H112" s="4" t="inlineStr">
        <is>
          <t xml:space="preserve">20'x1 </t>
        </is>
      </c>
      <c r="I112" s="4" t="inlineStr">
        <is>
          <t>20260914</t>
        </is>
      </c>
      <c r="J112" s="4" t="inlineStr">
        <is>
          <t>PHOENIX TRANS LOGISTICS CO., LTD.</t>
        </is>
      </c>
      <c r="K112" s="4" t="inlineStr">
        <is>
          <t>GROWELL ABRASIVES (THAILAND) CO., LTD.</t>
        </is>
      </c>
      <c r="L112" s="4" t="inlineStr">
        <is>
          <t>STEEL SHOT</t>
        </is>
      </c>
      <c r="M112" s="4" t="inlineStr">
        <is>
          <t>GOOD AND CLEAN CONTAINER</t>
        </is>
      </c>
      <c r="N112" s="4" t="inlineStr">
        <is>
          <t>Pickup : 2026-09-14, Return : 2026-09-15</t>
        </is>
      </c>
      <c r="O112" s="4" t="n">
        <v>1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HASLS22260900494</t>
        </is>
      </c>
      <c r="B113" s="4" t="inlineStr">
        <is>
          <t>SKOR</t>
        </is>
      </c>
      <c r="C113" s="4" t="inlineStr">
        <is>
          <t>2611N</t>
        </is>
      </c>
      <c r="D113" s="4" t="inlineStr">
        <is>
          <t>202609260900</t>
        </is>
      </c>
      <c r="E113" s="4" t="inlineStr"/>
      <c r="F113" s="4" t="inlineStr">
        <is>
          <t>THLCH</t>
        </is>
      </c>
      <c r="G113" s="4" t="inlineStr">
        <is>
          <t>HKHKG</t>
        </is>
      </c>
      <c r="H113" s="4" t="inlineStr">
        <is>
          <t xml:space="preserve">40Hx1 </t>
        </is>
      </c>
      <c r="I113" s="4" t="inlineStr">
        <is>
          <t>20260922</t>
        </is>
      </c>
      <c r="J113" s="4" t="inlineStr">
        <is>
          <t>KWE-KINTETSU WORLD EXPRESS (THAILAND) CO., LTD.</t>
        </is>
      </c>
      <c r="K113" s="4" t="inlineStr">
        <is>
          <t>ELNA (THAILAND) CO.,LTD.</t>
        </is>
      </c>
      <c r="L113" s="4" t="inlineStr">
        <is>
          <t>ELECTROLYTIC CONDENSER SOLUTION</t>
        </is>
      </c>
      <c r="M113" s="4" t="inlineStr">
        <is>
          <t>REQ GOOD, CLEAN, NO LEAK AND GRADE A CONTAINER</t>
        </is>
      </c>
      <c r="N113" s="4" t="inlineStr">
        <is>
          <t xml:space="preserve">Pickup : 2026-09-22, Return : 2026-09-24 
** PLEASE CHECK OPEN GATE BEFORE RETURN CONTAINER ** </t>
        </is>
      </c>
      <c r="O113" s="4" t="n">
        <v>0</v>
      </c>
      <c r="P113" s="4" t="n">
        <v>0</v>
      </c>
      <c r="Q113" s="4" t="n">
        <v>1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HASLS22260900495</t>
        </is>
      </c>
      <c r="B114" s="4" t="inlineStr">
        <is>
          <t>SWSR</t>
        </is>
      </c>
      <c r="C114" s="4" t="inlineStr">
        <is>
          <t>2611N</t>
        </is>
      </c>
      <c r="D114" s="4" t="inlineStr">
        <is>
          <t>202610081000</t>
        </is>
      </c>
      <c r="E114" s="4" t="inlineStr"/>
      <c r="F114" s="4" t="inlineStr">
        <is>
          <t>THLCH</t>
        </is>
      </c>
      <c r="G114" s="4" t="inlineStr">
        <is>
          <t>HKHKG</t>
        </is>
      </c>
      <c r="H114" s="4" t="inlineStr">
        <is>
          <t xml:space="preserve">40Hx1 </t>
        </is>
      </c>
      <c r="I114" s="4" t="inlineStr">
        <is>
          <t>20260929</t>
        </is>
      </c>
      <c r="J114" s="4" t="inlineStr">
        <is>
          <t>KWE-KINTETSU WORLD EXPRESS (THAILAND) CO., LTD.</t>
        </is>
      </c>
      <c r="K114" s="4" t="inlineStr">
        <is>
          <t>ELNA (THAILAND) CO.,LTD.</t>
        </is>
      </c>
      <c r="L114" s="4" t="inlineStr">
        <is>
          <t>ELECTROLYTIC CONDENSER SOLUTION</t>
        </is>
      </c>
      <c r="M114" s="4" t="inlineStr">
        <is>
          <t>**REQ GOOD, CLEAN, NO LEAK AND GRADE A CONTAINER*</t>
        </is>
      </c>
      <c r="N114" s="4" t="inlineStr">
        <is>
          <t>Pickup : 2026-09-29, Return : 2026-10-01 [1ST RTN 03/10/2026 W/O RENT]</t>
        </is>
      </c>
      <c r="O114" s="4" t="n">
        <v>0</v>
      </c>
      <c r="P114" s="4" t="n">
        <v>0</v>
      </c>
      <c r="Q114" s="4" t="n">
        <v>1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HASLS22260900500</t>
        </is>
      </c>
      <c r="B115" s="4" t="inlineStr">
        <is>
          <t>KUS</t>
        </is>
      </c>
      <c r="C115" s="4" t="inlineStr">
        <is>
          <t>2615N</t>
        </is>
      </c>
      <c r="D115" s="4" t="inlineStr">
        <is>
          <t>202609231500</t>
        </is>
      </c>
      <c r="E115" s="4" t="inlineStr"/>
      <c r="F115" s="4" t="inlineStr">
        <is>
          <t>THLCH</t>
        </is>
      </c>
      <c r="G115" s="4" t="inlineStr">
        <is>
          <t>VNSGN</t>
        </is>
      </c>
      <c r="H115" s="4" t="inlineStr">
        <is>
          <t xml:space="preserve">40Hx2 </t>
        </is>
      </c>
      <c r="I115" s="4" t="inlineStr">
        <is>
          <t>20260917</t>
        </is>
      </c>
      <c r="J115" s="4" t="inlineStr">
        <is>
          <t>EAST-LINK CORPORATION CO., LTD.</t>
        </is>
      </c>
      <c r="K115" s="4" t="inlineStr">
        <is>
          <t>TRI-WALL PACKAGING (THAI) LTD.</t>
        </is>
      </c>
      <c r="L115" s="4" t="inlineStr">
        <is>
          <t>CORRUGATED PAPER BOARD</t>
        </is>
      </c>
      <c r="M115" s="4" t="inlineStr">
        <is>
          <t>RQS CLEAN &amp; GOOD CONTAINER CONDITION.</t>
        </is>
      </c>
      <c r="N115" s="4" t="inlineStr">
        <is>
          <t xml:space="preserve">Pickup : 2026-09-17, Return : 2026-09-18
** PLEASE CHECK OPEN GATE BEFORE RETURN CONTAINER ** </t>
        </is>
      </c>
      <c r="O115" s="4" t="n">
        <v>0</v>
      </c>
      <c r="P115" s="4" t="n">
        <v>0</v>
      </c>
      <c r="Q115" s="4" t="n">
        <v>2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HASLS22260900519</t>
        </is>
      </c>
      <c r="B116" s="4" t="inlineStr">
        <is>
          <t>NSSJ</t>
        </is>
      </c>
      <c r="C116" s="4" t="inlineStr">
        <is>
          <t>2607S</t>
        </is>
      </c>
      <c r="D116" s="4" t="inlineStr">
        <is>
          <t>202609232100</t>
        </is>
      </c>
      <c r="E116" s="4" t="inlineStr"/>
      <c r="F116" s="4" t="inlineStr">
        <is>
          <t>THLCH</t>
        </is>
      </c>
      <c r="G116" s="4" t="inlineStr">
        <is>
          <t>IDJKT</t>
        </is>
      </c>
      <c r="H116" s="4" t="inlineStr">
        <is>
          <t xml:space="preserve">20'x1 </t>
        </is>
      </c>
      <c r="I116" s="4" t="inlineStr">
        <is>
          <t>20260915</t>
        </is>
      </c>
      <c r="J116" s="4" t="inlineStr">
        <is>
          <t>TRANS UNITED LOGISTICS CO., LTD.</t>
        </is>
      </c>
      <c r="K116" s="4" t="inlineStr">
        <is>
          <t>GE MAO RUBBER INTERNATIONAL (THAILAND) CO., LTD.</t>
        </is>
      </c>
      <c r="L116" s="4" t="inlineStr">
        <is>
          <t xml:space="preserve">RUBBER O-RING  </t>
        </is>
      </c>
      <c r="M116" s="4" t="inlineStr">
        <is>
          <t>GOOD AND CLEAN CONTAINER</t>
        </is>
      </c>
      <c r="N116" s="4" t="inlineStr">
        <is>
          <t>Pickup : 2026-09-15, Return : 2026-09-16</t>
        </is>
      </c>
      <c r="O116" s="4" t="n">
        <v>1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HASLS22260900529</t>
        </is>
      </c>
      <c r="B117" s="4" t="inlineStr">
        <is>
          <t>HAB</t>
        </is>
      </c>
      <c r="C117" s="4" t="inlineStr">
        <is>
          <t>2611N</t>
        </is>
      </c>
      <c r="D117" s="4" t="inlineStr">
        <is>
          <t>202609251600</t>
        </is>
      </c>
      <c r="E117" s="4" t="inlineStr"/>
      <c r="F117" s="4" t="inlineStr">
        <is>
          <t>THLCH</t>
        </is>
      </c>
      <c r="G117" s="4" t="inlineStr">
        <is>
          <t>CNSHA</t>
        </is>
      </c>
      <c r="H117" s="4" t="inlineStr">
        <is>
          <t xml:space="preserve">40Hx1 </t>
        </is>
      </c>
      <c r="I117" s="4" t="inlineStr">
        <is>
          <t>20260917</t>
        </is>
      </c>
      <c r="J117" s="4" t="inlineStr">
        <is>
          <t>PRIME LOGISTICS INTERNATIONAL CO., LTD.</t>
        </is>
      </c>
      <c r="K117" s="4" t="inlineStr">
        <is>
          <t>SIAM TOHCELLO COMPANY LIMITED</t>
        </is>
      </c>
      <c r="L117" s="4" t="inlineStr">
        <is>
          <t>PLASTIC WRAP FOR FOOD</t>
        </is>
      </c>
      <c r="M117" s="4" t="inlineStr">
        <is>
          <t>REQ FOOD GRADE CONTAINER</t>
        </is>
      </c>
      <c r="N117" s="4" t="inlineStr">
        <is>
          <t xml:space="preserve">Pickup : 2026-09-17, Return : 2026-09-18 </t>
        </is>
      </c>
      <c r="O117" s="4" t="n">
        <v>0</v>
      </c>
      <c r="P117" s="4" t="n">
        <v>0</v>
      </c>
      <c r="Q117" s="4" t="n">
        <v>1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HASLS22260900536</t>
        </is>
      </c>
      <c r="B118" s="4" t="inlineStr">
        <is>
          <t>SWVG</t>
        </is>
      </c>
      <c r="C118" s="4" t="inlineStr">
        <is>
          <t>2612N</t>
        </is>
      </c>
      <c r="D118" s="4" t="inlineStr">
        <is>
          <t>202610030200</t>
        </is>
      </c>
      <c r="E118" s="4" t="inlineStr"/>
      <c r="F118" s="4" t="inlineStr">
        <is>
          <t>THLCH</t>
        </is>
      </c>
      <c r="G118" s="4" t="inlineStr">
        <is>
          <t>CNSHA</t>
        </is>
      </c>
      <c r="H118" s="4" t="inlineStr">
        <is>
          <t xml:space="preserve">20'x1 </t>
        </is>
      </c>
      <c r="I118" s="4" t="inlineStr">
        <is>
          <t>20260924</t>
        </is>
      </c>
      <c r="J118" s="4" t="inlineStr">
        <is>
          <t>YUSEN LOGISTICS (THAILAND) CO., LTD.</t>
        </is>
      </c>
      <c r="K118" s="4" t="inlineStr">
        <is>
          <t>BRIDGESTONE INDUSTRIAL PRODUCTS (THAILAND) CO., LTD.</t>
        </is>
      </c>
      <c r="L118" s="4" t="inlineStr">
        <is>
          <t>AIR CONDITIONING HOSE</t>
        </is>
      </c>
      <c r="M118" s="4" t="inlineStr">
        <is>
          <t>GOOD DRY AND CLEAN CONTAINER</t>
        </is>
      </c>
      <c r="N118" s="4" t="inlineStr">
        <is>
          <t xml:space="preserve">Pickup : 2026-09-24, Return : 2026-09-25 (1ST RTN 26/09 W/O RENT)  
 ** PLEASE CHECK OPEN GATE BEFORE RETURN CNTR **
 </t>
        </is>
      </c>
      <c r="O118" s="4" t="n">
        <v>1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HASLS22260900563</t>
        </is>
      </c>
      <c r="B119" s="4" t="inlineStr">
        <is>
          <t>SWDN</t>
        </is>
      </c>
      <c r="C119" s="4" t="inlineStr">
        <is>
          <t>2610N</t>
        </is>
      </c>
      <c r="D119" s="4" t="inlineStr">
        <is>
          <t>202609300600</t>
        </is>
      </c>
      <c r="E119" s="4" t="inlineStr"/>
      <c r="F119" s="4" t="inlineStr">
        <is>
          <t>THLCH</t>
        </is>
      </c>
      <c r="G119" s="4" t="inlineStr">
        <is>
          <t>HKHKG</t>
        </is>
      </c>
      <c r="H119" s="4" t="inlineStr">
        <is>
          <t xml:space="preserve">20'x8 </t>
        </is>
      </c>
      <c r="I119" s="4" t="inlineStr">
        <is>
          <t>20260921</t>
        </is>
      </c>
      <c r="J119" s="4" t="inlineStr">
        <is>
          <t>WHA GC LOGISTICS COMPANY LIMITED</t>
        </is>
      </c>
      <c r="K119" s="4" t="inlineStr">
        <is>
          <t>PTT GLOBAL CHEMICAL PUBLIC COMPANY LIMITED</t>
        </is>
      </c>
      <c r="L119" s="4" t="inlineStr">
        <is>
          <t>RESIN</t>
        </is>
      </c>
      <c r="M119" s="4" t="inlineStr">
        <is>
          <t>GOOD AND CLEAN CTNR</t>
        </is>
      </c>
      <c r="N119" s="4" t="inlineStr">
        <is>
          <t>CY-RTN 21-25/09/26 (CIVET TERMINAL)
*PLS CHECK OPEN GATE BEFORE RETURN CTNR*</t>
        </is>
      </c>
      <c r="O119" s="4" t="n">
        <v>8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HASLS22260900579</t>
        </is>
      </c>
      <c r="B120" s="4" t="inlineStr">
        <is>
          <t>KMBK</t>
        </is>
      </c>
      <c r="C120" s="4" t="inlineStr">
        <is>
          <t>2611N</t>
        </is>
      </c>
      <c r="D120" s="4" t="inlineStr">
        <is>
          <t>202610030000</t>
        </is>
      </c>
      <c r="E120" s="4" t="inlineStr"/>
      <c r="F120" s="4" t="inlineStr">
        <is>
          <t>THLCH</t>
        </is>
      </c>
      <c r="G120" s="4" t="inlineStr">
        <is>
          <t>KRUSN</t>
        </is>
      </c>
      <c r="H120" s="4" t="inlineStr">
        <is>
          <t xml:space="preserve">20'x3 </t>
        </is>
      </c>
      <c r="I120" s="4" t="inlineStr">
        <is>
          <t>20260929</t>
        </is>
      </c>
      <c r="J120" s="4" t="inlineStr">
        <is>
          <t>MJ LOGISTICS (THAILAND) CO., LTD.</t>
        </is>
      </c>
      <c r="K120" s="4" t="inlineStr">
        <is>
          <t>UNITEX RUBBER CO.,LTD</t>
        </is>
      </c>
      <c r="L120" s="4" t="inlineStr">
        <is>
          <t>LATEX 60%</t>
        </is>
      </c>
      <c r="M120" s="4" t="inlineStr">
        <is>
          <t>** APPROVED BY Jeong-Yong UM DD.09/09/2026 ** *FLEXIBAG ONDECK*
Survey : 2026-09-28, Pickup : 2026-09-29</t>
        </is>
      </c>
      <c r="N120" s="4" t="inlineStr">
        <is>
          <t>** APPROVED BY Jeong-Yong UM DD.09/09/2026 ** *FLEXIBAG ONDECK*
Survey : 2026-09-28, Pickup : 2026-09-29, Return : 2026-09-30</t>
        </is>
      </c>
      <c r="O120" s="4" t="n">
        <v>3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HASLS22260900583</t>
        </is>
      </c>
      <c r="B121" s="4" t="inlineStr">
        <is>
          <t>KMBK</t>
        </is>
      </c>
      <c r="C121" s="4" t="inlineStr">
        <is>
          <t>2611N</t>
        </is>
      </c>
      <c r="D121" s="4" t="inlineStr">
        <is>
          <t>202610030000</t>
        </is>
      </c>
      <c r="E121" s="4" t="inlineStr"/>
      <c r="F121" s="4" t="inlineStr">
        <is>
          <t>THLCH</t>
        </is>
      </c>
      <c r="G121" s="4" t="inlineStr">
        <is>
          <t>KRPUS</t>
        </is>
      </c>
      <c r="H121" s="4" t="inlineStr">
        <is>
          <t xml:space="preserve">20'x12 </t>
        </is>
      </c>
      <c r="I121" s="4" t="inlineStr">
        <is>
          <t>20260923</t>
        </is>
      </c>
      <c r="J121" s="4" t="inlineStr">
        <is>
          <t>WHA GC LOGISTICS COMPANY LIMITED</t>
        </is>
      </c>
      <c r="K121" s="4" t="inlineStr">
        <is>
          <t>PTT GLOBAL CHEMICAL PUBLIC COMPANY LIMITED</t>
        </is>
      </c>
      <c r="L121" s="4" t="inlineStr">
        <is>
          <t>RESIN</t>
        </is>
      </c>
      <c r="M121" s="4" t="inlineStr">
        <is>
          <t>GOOD &amp; CLEAN CONT.</t>
        </is>
      </c>
      <c r="N121" s="4" t="inlineStr">
        <is>
          <t>CY-RTN 23-27/09/26 (PR2610002151)
*PLS CHECK OPEN GATE BEFORE RETURN CTNR*</t>
        </is>
      </c>
      <c r="O121" s="4" t="n">
        <v>12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HASLS22260900602</t>
        </is>
      </c>
      <c r="B122" s="4" t="inlineStr">
        <is>
          <t>KMSU</t>
        </is>
      </c>
      <c r="C122" s="4" t="inlineStr">
        <is>
          <t>2607S</t>
        </is>
      </c>
      <c r="D122" s="4" t="inlineStr">
        <is>
          <t>202610011600</t>
        </is>
      </c>
      <c r="E122" s="4" t="inlineStr"/>
      <c r="F122" s="4" t="inlineStr">
        <is>
          <t>THLCH</t>
        </is>
      </c>
      <c r="G122" s="4" t="inlineStr">
        <is>
          <t>IDJKT</t>
        </is>
      </c>
      <c r="H122" s="4" t="inlineStr">
        <is>
          <t xml:space="preserve">20'x1 </t>
        </is>
      </c>
      <c r="I122" s="4" t="inlineStr">
        <is>
          <t>20260924</t>
        </is>
      </c>
      <c r="J122" s="4" t="inlineStr">
        <is>
          <t>CNK LINE &amp; LOGISTICS CO., LTD.</t>
        </is>
      </c>
      <c r="K122" s="4" t="inlineStr">
        <is>
          <t>GATES UNITTA (THAILAND) CO.,LTD.</t>
        </is>
      </c>
      <c r="L122" s="4" t="inlineStr">
        <is>
          <t>RUBBER BELTS, TCK KIT</t>
        </is>
      </c>
      <c r="M122" s="4" t="inlineStr">
        <is>
          <t>GOOD AND CLEAN CONTAINER</t>
        </is>
      </c>
      <c r="N122" s="4" t="inlineStr">
        <is>
          <t>Pickup : 2026-09-24, Return : 2026-09-24</t>
        </is>
      </c>
      <c r="O122" s="4" t="n">
        <v>1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HASLS22260900606</t>
        </is>
      </c>
      <c r="B123" s="4" t="inlineStr">
        <is>
          <t>SWAL</t>
        </is>
      </c>
      <c r="C123" s="4" t="inlineStr">
        <is>
          <t>2608N</t>
        </is>
      </c>
      <c r="D123" s="4" t="inlineStr">
        <is>
          <t>202609290800</t>
        </is>
      </c>
      <c r="E123" s="4" t="inlineStr"/>
      <c r="F123" s="4" t="inlineStr">
        <is>
          <t>THLCH</t>
        </is>
      </c>
      <c r="G123" s="4" t="inlineStr">
        <is>
          <t>VNSGN</t>
        </is>
      </c>
      <c r="H123" s="4" t="inlineStr">
        <is>
          <t xml:space="preserve">40Hx1 </t>
        </is>
      </c>
      <c r="I123" s="4" t="inlineStr">
        <is>
          <t>20260923</t>
        </is>
      </c>
      <c r="J123" s="4" t="inlineStr">
        <is>
          <t>BEE LOGISTICS (THAILAND) CO., LTD.</t>
        </is>
      </c>
      <c r="K123" s="4" t="inlineStr">
        <is>
          <t>MAXXIS INTERNATIONAL (THAILAND) CO., LTD.</t>
        </is>
      </c>
      <c r="L123" s="4" t="inlineStr">
        <is>
          <t xml:space="preserve">TYPES </t>
        </is>
      </c>
      <c r="M123" s="4" t="inlineStr">
        <is>
          <t>GOOD AND CLEAN CONTAINER</t>
        </is>
      </c>
      <c r="N123" s="4" t="inlineStr">
        <is>
          <t xml:space="preserve">Pickup : 2026-09-23, Return : 2026-09-26 
 ** PLEASE CHECK OPEN GATE BEFORE RETURN CNTR **
 </t>
        </is>
      </c>
      <c r="O123" s="4" t="n">
        <v>0</v>
      </c>
      <c r="P123" s="4" t="n">
        <v>0</v>
      </c>
      <c r="Q123" s="4" t="n">
        <v>1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HASLS22260900607</t>
        </is>
      </c>
      <c r="B124" s="4" t="inlineStr">
        <is>
          <t>SWSP</t>
        </is>
      </c>
      <c r="C124" s="4" t="inlineStr">
        <is>
          <t>2609N</t>
        </is>
      </c>
      <c r="D124" s="4" t="inlineStr">
        <is>
          <t>202610020330</t>
        </is>
      </c>
      <c r="E124" s="4" t="inlineStr"/>
      <c r="F124" s="4" t="inlineStr">
        <is>
          <t>THLCH</t>
        </is>
      </c>
      <c r="G124" s="4" t="inlineStr">
        <is>
          <t>VNSGN</t>
        </is>
      </c>
      <c r="H124" s="4" t="inlineStr">
        <is>
          <t xml:space="preserve">40Hx2 </t>
        </is>
      </c>
      <c r="I124" s="4" t="inlineStr">
        <is>
          <t>20260928</t>
        </is>
      </c>
      <c r="J124" s="4" t="inlineStr">
        <is>
          <t>BEE LOGISTICS (THAILAND) CO., LTD.</t>
        </is>
      </c>
      <c r="K124" s="4" t="inlineStr">
        <is>
          <t>MAXXIS INTERNATIONAL (THAILAND) CO., LTD.</t>
        </is>
      </c>
      <c r="L124" s="4" t="inlineStr">
        <is>
          <t xml:space="preserve">TYPES </t>
        </is>
      </c>
      <c r="M124" s="4" t="inlineStr">
        <is>
          <t>GOOD AND CLEAN CONTAINER</t>
        </is>
      </c>
      <c r="N124" s="4" t="inlineStr">
        <is>
          <t xml:space="preserve">Pickup : 2026-09-28, Return : 2026-09-30 
 ** PLEASE CHECK OPEN GATE BEFORE RETURN CNTR **
</t>
        </is>
      </c>
      <c r="O124" s="4" t="n">
        <v>0</v>
      </c>
      <c r="P124" s="4" t="n">
        <v>0</v>
      </c>
      <c r="Q124" s="4" t="n">
        <v>2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HASLS22260900616</t>
        </is>
      </c>
      <c r="B125" s="4" t="inlineStr">
        <is>
          <t>KMGY</t>
        </is>
      </c>
      <c r="C125" s="4" t="inlineStr">
        <is>
          <t>2610N</t>
        </is>
      </c>
      <c r="D125" s="4" t="inlineStr">
        <is>
          <t>202609270800</t>
        </is>
      </c>
      <c r="E125" s="4" t="inlineStr"/>
      <c r="F125" s="4" t="inlineStr">
        <is>
          <t>THLCH</t>
        </is>
      </c>
      <c r="G125" s="4" t="inlineStr">
        <is>
          <t>KRINC</t>
        </is>
      </c>
      <c r="H125" s="4" t="inlineStr">
        <is>
          <t xml:space="preserve">40Hx1 </t>
        </is>
      </c>
      <c r="I125" s="4" t="inlineStr">
        <is>
          <t>20260918</t>
        </is>
      </c>
      <c r="J125" s="4" t="inlineStr">
        <is>
          <t>HAST LOGISTICS CO., LTD.</t>
        </is>
      </c>
      <c r="K125" s="4" t="inlineStr">
        <is>
          <t>AJ PLAST PUBLIC COMPANY LIMITED</t>
        </is>
      </c>
      <c r="L125" s="4" t="inlineStr">
        <is>
          <t>BOPP FILM</t>
        </is>
      </c>
      <c r="M125" s="4" t="inlineStr">
        <is>
          <t>Dry ,clean and good condition containers (grade A for food grade)</t>
        </is>
      </c>
      <c r="N125" s="4" t="inlineStr">
        <is>
          <t xml:space="preserve">Pickup : 2026-09-18, Return : 2026-09-19 
 ** PLEASE CHECK OPEN GATE BEFORE RETURN CNTR **
</t>
        </is>
      </c>
      <c r="O125" s="4" t="n">
        <v>0</v>
      </c>
      <c r="P125" s="4" t="n">
        <v>0</v>
      </c>
      <c r="Q125" s="4" t="n">
        <v>1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HASLS22260900621</t>
        </is>
      </c>
      <c r="B126" s="4" t="inlineStr">
        <is>
          <t>SWMM</t>
        </is>
      </c>
      <c r="C126" s="4" t="inlineStr">
        <is>
          <t>2609N</t>
        </is>
      </c>
      <c r="D126" s="4" t="inlineStr">
        <is>
          <t>202609240000</t>
        </is>
      </c>
      <c r="E126" s="4" t="inlineStr"/>
      <c r="F126" s="4" t="inlineStr">
        <is>
          <t>THLCH</t>
        </is>
      </c>
      <c r="G126" s="4" t="inlineStr">
        <is>
          <t>VNSGN</t>
        </is>
      </c>
      <c r="H126" s="4" t="inlineStr">
        <is>
          <t xml:space="preserve">20'x1 </t>
        </is>
      </c>
      <c r="I126" s="4" t="inlineStr">
        <is>
          <t>20260921</t>
        </is>
      </c>
      <c r="J126" s="4" t="inlineStr">
        <is>
          <t>EAST-LINK CORPORATION CO., LTD.</t>
        </is>
      </c>
      <c r="K126" s="4" t="inlineStr">
        <is>
          <t>THAILON TECHNO FIBER LIMITED</t>
        </is>
      </c>
      <c r="L126" s="4" t="inlineStr">
        <is>
          <t xml:space="preserve">POLYAMIDE 66 TEXTURED YARN </t>
        </is>
      </c>
      <c r="M126" s="4" t="inlineStr">
        <is>
          <t>RQS CLEAN &amp; GOOD CONTAINER CONDITION.</t>
        </is>
      </c>
      <c r="N126" s="4" t="inlineStr">
        <is>
          <t xml:space="preserve">Pickup : 2026-09-21, Return : 2026-09-22 // EXTEND CLS TIME 22/09 @23.59 
  ** PLEASE CHECK OPEN GATE BEFORE RETURN CNTR **
</t>
        </is>
      </c>
      <c r="O126" s="4" t="n">
        <v>1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HASLS22260900623</t>
        </is>
      </c>
      <c r="B127" s="4" t="inlineStr">
        <is>
          <t>KJT</t>
        </is>
      </c>
      <c r="C127" s="4" t="inlineStr">
        <is>
          <t>2610N</t>
        </is>
      </c>
      <c r="D127" s="4" t="inlineStr">
        <is>
          <t>202609212300</t>
        </is>
      </c>
      <c r="E127" s="4" t="inlineStr"/>
      <c r="F127" s="4" t="inlineStr">
        <is>
          <t>THLCH</t>
        </is>
      </c>
      <c r="G127" s="4" t="inlineStr">
        <is>
          <t>HKHKG</t>
        </is>
      </c>
      <c r="H127" s="4" t="inlineStr">
        <is>
          <t xml:space="preserve">20'x1 </t>
        </is>
      </c>
      <c r="I127" s="4" t="inlineStr">
        <is>
          <t>20260912</t>
        </is>
      </c>
      <c r="J127" s="4" t="inlineStr">
        <is>
          <t>MORRISON EXPRESS CORP (THAILAND)LTD.</t>
        </is>
      </c>
      <c r="K127" s="4" t="inlineStr">
        <is>
          <t>WESTERN DIGITAL STORAGE TECHNOLOGIES (THAILAND) LTD.</t>
        </is>
      </c>
      <c r="L127" s="4" t="inlineStr">
        <is>
          <t>BOXBLUE BOX</t>
        </is>
      </c>
      <c r="M127" s="4" t="inlineStr">
        <is>
          <t>GOOD AND CLEAN CONTAINER</t>
        </is>
      </c>
      <c r="N127" s="4" t="inlineStr">
        <is>
          <t xml:space="preserve">Pickup : 2026-09-12, Return : 2026-09-14 (1ST RTN 15/09 W/O RENT) 
 </t>
        </is>
      </c>
      <c r="O127" s="4" t="n">
        <v>1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1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HASLS22260900646</t>
        </is>
      </c>
      <c r="B128" s="4" t="inlineStr">
        <is>
          <t>SWVG</t>
        </is>
      </c>
      <c r="C128" s="4" t="inlineStr">
        <is>
          <t>2612N</t>
        </is>
      </c>
      <c r="D128" s="4" t="inlineStr">
        <is>
          <t>202610030200</t>
        </is>
      </c>
      <c r="E128" s="4" t="inlineStr"/>
      <c r="F128" s="4" t="inlineStr">
        <is>
          <t>THLCH</t>
        </is>
      </c>
      <c r="G128" s="4" t="inlineStr">
        <is>
          <t>CNSHA</t>
        </is>
      </c>
      <c r="H128" s="4" t="inlineStr">
        <is>
          <t xml:space="preserve">40Hx1 </t>
        </is>
      </c>
      <c r="I128" s="4" t="inlineStr">
        <is>
          <t>20260923</t>
        </is>
      </c>
      <c r="J128" s="4" t="inlineStr">
        <is>
          <t>RHENUS LOGISTICS CO., LTD.</t>
        </is>
      </c>
      <c r="K128" s="4" t="inlineStr">
        <is>
          <t>GROHE SIAM LIMITED</t>
        </is>
      </c>
      <c r="L128" s="4" t="inlineStr">
        <is>
          <t>SANITARY WARE</t>
        </is>
      </c>
      <c r="M128" s="4" t="inlineStr">
        <is>
          <t>Request dry, Strong floor and good container condition</t>
        </is>
      </c>
      <c r="N128" s="4" t="inlineStr">
        <is>
          <t>Pickup : 2026-09-23, Return : 2026-09-25  [1ST RTN 28/09/2026 W/O RENT]</t>
        </is>
      </c>
      <c r="O128" s="4" t="n">
        <v>0</v>
      </c>
      <c r="P128" s="4" t="n">
        <v>0</v>
      </c>
      <c r="Q128" s="4" t="n">
        <v>1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HASLS22260900647</t>
        </is>
      </c>
      <c r="B129" s="4" t="inlineStr">
        <is>
          <t>SWRG</t>
        </is>
      </c>
      <c r="C129" s="4" t="inlineStr">
        <is>
          <t>2609N</t>
        </is>
      </c>
      <c r="D129" s="4" t="inlineStr">
        <is>
          <t>202610072000</t>
        </is>
      </c>
      <c r="E129" s="4" t="inlineStr"/>
      <c r="F129" s="4" t="inlineStr">
        <is>
          <t>THLCH</t>
        </is>
      </c>
      <c r="G129" s="4" t="inlineStr">
        <is>
          <t>CNSHA</t>
        </is>
      </c>
      <c r="H129" s="4" t="inlineStr">
        <is>
          <t xml:space="preserve">40Hx1 </t>
        </is>
      </c>
      <c r="I129" s="4" t="inlineStr">
        <is>
          <t>20260928</t>
        </is>
      </c>
      <c r="J129" s="4" t="inlineStr">
        <is>
          <t>RHENUS LOGISTICS CO., LTD.</t>
        </is>
      </c>
      <c r="K129" s="4" t="inlineStr">
        <is>
          <t>GROHE SIAM LIMITED</t>
        </is>
      </c>
      <c r="L129" s="4" t="inlineStr">
        <is>
          <t>SANITARY WARE</t>
        </is>
      </c>
      <c r="M129" s="4" t="inlineStr">
        <is>
          <t>Request dry, Strong floor and good container condition</t>
        </is>
      </c>
      <c r="N129" s="4" t="inlineStr">
        <is>
          <t xml:space="preserve">Pickup : 2026-09-28, Return : 2026-10-02 </t>
        </is>
      </c>
      <c r="O129" s="4" t="n">
        <v>0</v>
      </c>
      <c r="P129" s="4" t="n">
        <v>0</v>
      </c>
      <c r="Q129" s="4" t="n">
        <v>1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HASLS22260900663</t>
        </is>
      </c>
      <c r="B130" s="4" t="inlineStr">
        <is>
          <t>KMGY</t>
        </is>
      </c>
      <c r="C130" s="4" t="inlineStr">
        <is>
          <t>2610N</t>
        </is>
      </c>
      <c r="D130" s="4" t="inlineStr">
        <is>
          <t>202609270800</t>
        </is>
      </c>
      <c r="E130" s="4" t="inlineStr"/>
      <c r="F130" s="4" t="inlineStr">
        <is>
          <t>THLCH</t>
        </is>
      </c>
      <c r="G130" s="4" t="inlineStr">
        <is>
          <t>HKHKG</t>
        </is>
      </c>
      <c r="H130" s="4" t="inlineStr">
        <is>
          <t xml:space="preserve">40Hx1 </t>
        </is>
      </c>
      <c r="I130" s="4" t="inlineStr">
        <is>
          <t>20260916</t>
        </is>
      </c>
      <c r="J130" s="4" t="inlineStr">
        <is>
          <t>ELIJAH INTER FREIGHT CO., LTD.</t>
        </is>
      </c>
      <c r="K130" s="4" t="inlineStr">
        <is>
          <t>THAI LOTTE CO., LTD.</t>
        </is>
      </c>
      <c r="L130" s="4" t="inlineStr">
        <is>
          <t>BISCUIT</t>
        </is>
      </c>
      <c r="M130" s="4" t="inlineStr">
        <is>
          <t>REQUEST CONTAINER GRADE A</t>
        </is>
      </c>
      <c r="N130" s="4" t="inlineStr">
        <is>
          <t>Pickup : 2026-09-16, Return : 2026-09-17 [1ST RTN 19/09/2026 W/O RENT]</t>
        </is>
      </c>
      <c r="O130" s="4" t="n">
        <v>0</v>
      </c>
      <c r="P130" s="4" t="n">
        <v>0</v>
      </c>
      <c r="Q130" s="4" t="n">
        <v>1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HASLS22260900667</t>
        </is>
      </c>
      <c r="B131" s="4" t="inlineStr">
        <is>
          <t>HAB</t>
        </is>
      </c>
      <c r="C131" s="4" t="inlineStr">
        <is>
          <t>2611N</t>
        </is>
      </c>
      <c r="D131" s="4" t="inlineStr">
        <is>
          <t>202609251600</t>
        </is>
      </c>
      <c r="E131" s="4" t="inlineStr"/>
      <c r="F131" s="4" t="inlineStr">
        <is>
          <t>THLCH</t>
        </is>
      </c>
      <c r="G131" s="4" t="inlineStr">
        <is>
          <t>CNSHA</t>
        </is>
      </c>
      <c r="H131" s="4" t="inlineStr">
        <is>
          <t xml:space="preserve">40Hx1 </t>
        </is>
      </c>
      <c r="I131" s="4" t="inlineStr">
        <is>
          <t>20260921</t>
        </is>
      </c>
      <c r="J131" s="4" t="inlineStr">
        <is>
          <t>WORLD NET LOGISTICS (THAILAND) CO.,LTD.</t>
        </is>
      </c>
      <c r="K131" s="4" t="inlineStr">
        <is>
          <t>DYNACHISSO THAI CO., LTD.</t>
        </is>
      </c>
      <c r="L131" s="4" t="inlineStr">
        <is>
          <t>POLYPROPYLENE COMPOUNDED</t>
        </is>
      </c>
      <c r="M131" s="4" t="inlineStr">
        <is>
          <t>GOOD N CLEAN CONTAINER</t>
        </is>
      </c>
      <c r="N131" s="4" t="inlineStr">
        <is>
          <t xml:space="preserve">Pickup : 2026-09-21, Return : 2026-09-22 </t>
        </is>
      </c>
      <c r="O131" s="4" t="n">
        <v>0</v>
      </c>
      <c r="P131" s="4" t="n">
        <v>0</v>
      </c>
      <c r="Q131" s="4" t="n">
        <v>1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HASLS22260900668</t>
        </is>
      </c>
      <c r="B132" s="4" t="inlineStr">
        <is>
          <t>KMSU</t>
        </is>
      </c>
      <c r="C132" s="4" t="inlineStr">
        <is>
          <t>2607S</t>
        </is>
      </c>
      <c r="D132" s="4" t="inlineStr">
        <is>
          <t>202610011600</t>
        </is>
      </c>
      <c r="E132" s="4" t="inlineStr"/>
      <c r="F132" s="4" t="inlineStr">
        <is>
          <t>THLCH</t>
        </is>
      </c>
      <c r="G132" s="4" t="inlineStr">
        <is>
          <t>IDJKT</t>
        </is>
      </c>
      <c r="H132" s="4" t="inlineStr">
        <is>
          <t xml:space="preserve">40Hx3 </t>
        </is>
      </c>
      <c r="I132" s="4" t="inlineStr">
        <is>
          <t>20260924</t>
        </is>
      </c>
      <c r="J132" s="4" t="inlineStr">
        <is>
          <t>WORLD NET LOGISTICS (THAILAND) CO.,LTD.</t>
        </is>
      </c>
      <c r="K132" s="4" t="inlineStr">
        <is>
          <t>KIM PACK CO., LTD.</t>
        </is>
      </c>
      <c r="L132" s="4" t="inlineStr">
        <is>
          <t>PLASTIC TUBE</t>
        </is>
      </c>
      <c r="M132" s="4" t="inlineStr">
        <is>
          <t>GOOD AND CLEAN CONTAINER</t>
        </is>
      </c>
      <c r="N132" s="4" t="inlineStr">
        <is>
          <t>Pickup : 2026-09-24, Return : 2026-09-25</t>
        </is>
      </c>
      <c r="O132" s="4" t="n">
        <v>0</v>
      </c>
      <c r="P132" s="4" t="n">
        <v>0</v>
      </c>
      <c r="Q132" s="4" t="n">
        <v>3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HASLS22260900685</t>
        </is>
      </c>
      <c r="B133" s="4" t="inlineStr">
        <is>
          <t>KMSU</t>
        </is>
      </c>
      <c r="C133" s="4" t="inlineStr">
        <is>
          <t>2607S</t>
        </is>
      </c>
      <c r="D133" s="4" t="inlineStr">
        <is>
          <t>202610011600</t>
        </is>
      </c>
      <c r="E133" s="4" t="inlineStr"/>
      <c r="F133" s="4" t="inlineStr">
        <is>
          <t>THLCH</t>
        </is>
      </c>
      <c r="G133" s="4" t="inlineStr">
        <is>
          <t>IDJKT</t>
        </is>
      </c>
      <c r="H133" s="4" t="inlineStr">
        <is>
          <t xml:space="preserve">20'x1 </t>
        </is>
      </c>
      <c r="I133" s="4" t="inlineStr">
        <is>
          <t>20260925</t>
        </is>
      </c>
      <c r="J133" s="4" t="inlineStr">
        <is>
          <t>MAINFREIGHT LOGISTICS (THAILAND) CO., LTD.</t>
        </is>
      </c>
      <c r="K133" s="4" t="inlineStr">
        <is>
          <t>ECOLAB LIMITED</t>
        </is>
      </c>
      <c r="L133" s="4" t="inlineStr">
        <is>
          <t>OC 30 HD ALKALINE FLOOR CLEANER 2X2LT</t>
        </is>
      </c>
      <c r="M133" s="4" t="inlineStr">
        <is>
          <t>DO NOT PICKUP CONTAINERS, STILL ON PROCESS OF GETTING APPROVAL.//DG (CLS 8 / UN 1814)</t>
        </is>
      </c>
      <c r="N133" s="4" t="inlineStr">
        <is>
          <t>DO NOT PICKUP CONTAINERS, STILL ON PROCESS OF GETTING APPROVAL.//DG (CLS 8 / UN 1814) 
Pickup : 2026-09-25, Return : 2026-09-26</t>
        </is>
      </c>
      <c r="O133" s="4" t="n">
        <v>1</v>
      </c>
      <c r="P133" s="4" t="n">
        <v>0</v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HASLS22260900690</t>
        </is>
      </c>
      <c r="B134" s="4" t="inlineStr">
        <is>
          <t>SWDN</t>
        </is>
      </c>
      <c r="C134" s="4" t="inlineStr">
        <is>
          <t>2610N</t>
        </is>
      </c>
      <c r="D134" s="4" t="inlineStr">
        <is>
          <t>202609300600</t>
        </is>
      </c>
      <c r="E134" s="4" t="inlineStr"/>
      <c r="F134" s="4" t="inlineStr">
        <is>
          <t>THLCH</t>
        </is>
      </c>
      <c r="G134" s="4" t="inlineStr">
        <is>
          <t>HKHKG</t>
        </is>
      </c>
      <c r="H134" s="4" t="inlineStr">
        <is>
          <t xml:space="preserve">20'x1 </t>
        </is>
      </c>
      <c r="I134" s="4" t="inlineStr">
        <is>
          <t>20260925</t>
        </is>
      </c>
      <c r="J134" s="4" t="inlineStr">
        <is>
          <t>CARGO CARE LOGISTICS CO., LTD.</t>
        </is>
      </c>
      <c r="K134" s="4" t="inlineStr">
        <is>
          <t>SIAM DEL MONTE CO., LTD.</t>
        </is>
      </c>
      <c r="L134" s="4" t="inlineStr">
        <is>
          <t>SWEET CORN</t>
        </is>
      </c>
      <c r="M134" s="4" t="inlineStr">
        <is>
          <t>Good and Clean Container (Food Grade)
(No leaks, no odors, and no oil stains.)</t>
        </is>
      </c>
      <c r="N134" s="4" t="inlineStr">
        <is>
          <t xml:space="preserve">Pickup : 2026-09-25, Return : 2026-09-26 
 ** PLEASE CHECK OPEN GATE BEFORE RETURN CNTR **
</t>
        </is>
      </c>
      <c r="O134" s="4" t="n">
        <v>1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HASLS22260900701</t>
        </is>
      </c>
      <c r="B135" s="4" t="inlineStr">
        <is>
          <t>SWSR</t>
        </is>
      </c>
      <c r="C135" s="4" t="inlineStr">
        <is>
          <t>2611N</t>
        </is>
      </c>
      <c r="D135" s="4" t="inlineStr">
        <is>
          <t>202610081000</t>
        </is>
      </c>
      <c r="E135" s="4" t="inlineStr"/>
      <c r="F135" s="4" t="inlineStr">
        <is>
          <t>THLCH</t>
        </is>
      </c>
      <c r="G135" s="4" t="inlineStr">
        <is>
          <t>HKHKG</t>
        </is>
      </c>
      <c r="H135" s="4" t="inlineStr">
        <is>
          <t xml:space="preserve">40Hx7 </t>
        </is>
      </c>
      <c r="I135" s="4" t="inlineStr">
        <is>
          <t>20261002</t>
        </is>
      </c>
      <c r="J135" s="4" t="inlineStr">
        <is>
          <t>YUSEN LOGISTICS (THAILAND) CO., LTD.</t>
        </is>
      </c>
      <c r="K135" s="4" t="inlineStr">
        <is>
          <t>KURARAY GC ADVANCED MATERIALS CO.,LTD.</t>
        </is>
      </c>
      <c r="L135" s="4" t="inlineStr">
        <is>
          <t>GENESTAR</t>
        </is>
      </c>
      <c r="M135" s="4" t="inlineStr">
        <is>
          <t>Good dry and clean container</t>
        </is>
      </c>
      <c r="N135" s="4" t="inlineStr">
        <is>
          <t>Pickup : 2026-10-02, Return : 2026-10-02 (1ST RTN 03/10  W/O RENT) 
 ** PLEASE CHECK OPEN GATE BEFORE RETURN CNTR **</t>
        </is>
      </c>
      <c r="O135" s="4" t="n">
        <v>0</v>
      </c>
      <c r="P135" s="4" t="n">
        <v>0</v>
      </c>
      <c r="Q135" s="4" t="n">
        <v>7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HASLS22260900719</t>
        </is>
      </c>
      <c r="B136" s="4" t="inlineStr">
        <is>
          <t>SWSP</t>
        </is>
      </c>
      <c r="C136" s="4" t="inlineStr">
        <is>
          <t>2609N</t>
        </is>
      </c>
      <c r="D136" s="4" t="inlineStr">
        <is>
          <t>202610020330</t>
        </is>
      </c>
      <c r="E136" s="4" t="inlineStr"/>
      <c r="F136" s="4" t="inlineStr">
        <is>
          <t>THLCH</t>
        </is>
      </c>
      <c r="G136" s="4" t="inlineStr">
        <is>
          <t>VNSGN</t>
        </is>
      </c>
      <c r="H136" s="4" t="inlineStr">
        <is>
          <t xml:space="preserve">20'x3 </t>
        </is>
      </c>
      <c r="I136" s="4" t="inlineStr">
        <is>
          <t>20260928</t>
        </is>
      </c>
      <c r="J136" s="4" t="inlineStr">
        <is>
          <t>FAIR AND FAST COMPANY LIMITED</t>
        </is>
      </c>
      <c r="K136" s="4" t="inlineStr">
        <is>
          <t>PACIFIC SUGAR CORPORATION LIMITED</t>
        </is>
      </c>
      <c r="L136" s="4" t="inlineStr">
        <is>
          <t>Sugar</t>
        </is>
      </c>
      <c r="M136" s="4" t="inlineStr">
        <is>
          <t>REQUEST GOOD AND CLEAN CONTAINER FOR FOOD</t>
        </is>
      </c>
      <c r="N136" s="4" t="inlineStr">
        <is>
          <t>Pickup : 2026-09-28, Return : 2026-09-29 
** PLEASE CHECK OPEN GATE BEFORE RETURN CONTAINER **</t>
        </is>
      </c>
      <c r="O136" s="4" t="n">
        <v>3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HASLS22260900724</t>
        </is>
      </c>
      <c r="B137" s="4" t="inlineStr">
        <is>
          <t>KMSU</t>
        </is>
      </c>
      <c r="C137" s="4" t="inlineStr">
        <is>
          <t>2607S</t>
        </is>
      </c>
      <c r="D137" s="4" t="inlineStr">
        <is>
          <t>202610011600</t>
        </is>
      </c>
      <c r="E137" s="4" t="inlineStr"/>
      <c r="F137" s="4" t="inlineStr">
        <is>
          <t>THLCH</t>
        </is>
      </c>
      <c r="G137" s="4" t="inlineStr">
        <is>
          <t>IDJKT</t>
        </is>
      </c>
      <c r="H137" s="4" t="inlineStr">
        <is>
          <t xml:space="preserve">40Hx3 </t>
        </is>
      </c>
      <c r="I137" s="4" t="inlineStr">
        <is>
          <t>20260925</t>
        </is>
      </c>
      <c r="J137" s="4" t="inlineStr">
        <is>
          <t>ORIENTAL LOGISTICS GROUP (THAILAND) CO., LTD.</t>
        </is>
      </c>
      <c r="K137" s="4" t="inlineStr">
        <is>
          <t>SUNWILL (THAILAND) CO.,LTD</t>
        </is>
      </c>
      <c r="L137" s="4" t="inlineStr">
        <is>
          <t>PROPELLER FAN</t>
        </is>
      </c>
      <c r="M137" s="4" t="inlineStr">
        <is>
          <t>GOOD AND CLEAN CONTAINER</t>
        </is>
      </c>
      <c r="N137" s="4" t="inlineStr">
        <is>
          <t>Pickup : 2026-09-25, Return : 2026-09-26</t>
        </is>
      </c>
      <c r="O137" s="4" t="n">
        <v>0</v>
      </c>
      <c r="P137" s="4" t="n">
        <v>0</v>
      </c>
      <c r="Q137" s="4" t="n">
        <v>3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HASLS22260900726</t>
        </is>
      </c>
      <c r="B138" s="4" t="inlineStr">
        <is>
          <t>KMGY</t>
        </is>
      </c>
      <c r="C138" s="4" t="inlineStr">
        <is>
          <t>2610N</t>
        </is>
      </c>
      <c r="D138" s="4" t="inlineStr">
        <is>
          <t>202609270800</t>
        </is>
      </c>
      <c r="E138" s="4" t="inlineStr"/>
      <c r="F138" s="4" t="inlineStr">
        <is>
          <t>THLCH</t>
        </is>
      </c>
      <c r="G138" s="4" t="inlineStr">
        <is>
          <t>HKHKG</t>
        </is>
      </c>
      <c r="H138" s="4" t="inlineStr">
        <is>
          <t xml:space="preserve">40Hx1 </t>
        </is>
      </c>
      <c r="I138" s="4" t="inlineStr">
        <is>
          <t>20260916</t>
        </is>
      </c>
      <c r="J138" s="4" t="inlineStr">
        <is>
          <t>ELIJAH INTER FREIGHT CO., LTD.</t>
        </is>
      </c>
      <c r="K138" s="4" t="inlineStr">
        <is>
          <t>THAI LOTTE CO., LTD.</t>
        </is>
      </c>
      <c r="L138" s="4" t="inlineStr">
        <is>
          <t>BISCUIT</t>
        </is>
      </c>
      <c r="M138" s="4" t="inlineStr">
        <is>
          <t>REQUEST CONTAINER GRADE A</t>
        </is>
      </c>
      <c r="N138" s="4" t="inlineStr">
        <is>
          <t>Pickup : 2026-09-16, Return : 2026-09-17 [1ST RTN 19/09/2026 W/O RENT]</t>
        </is>
      </c>
      <c r="O138" s="4" t="n">
        <v>0</v>
      </c>
      <c r="P138" s="4" t="n">
        <v>0</v>
      </c>
      <c r="Q138" s="4" t="n">
        <v>1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HASLS22260900727</t>
        </is>
      </c>
      <c r="B139" s="4" t="inlineStr">
        <is>
          <t>KMGY</t>
        </is>
      </c>
      <c r="C139" s="4" t="inlineStr">
        <is>
          <t>2610N</t>
        </is>
      </c>
      <c r="D139" s="4" t="inlineStr">
        <is>
          <t>202609270800</t>
        </is>
      </c>
      <c r="E139" s="4" t="inlineStr"/>
      <c r="F139" s="4" t="inlineStr">
        <is>
          <t>THLCH</t>
        </is>
      </c>
      <c r="G139" s="4" t="inlineStr">
        <is>
          <t>HKHKG</t>
        </is>
      </c>
      <c r="H139" s="4" t="inlineStr">
        <is>
          <t xml:space="preserve">40Hx1 </t>
        </is>
      </c>
      <c r="I139" s="4" t="inlineStr">
        <is>
          <t>20260916</t>
        </is>
      </c>
      <c r="J139" s="4" t="inlineStr">
        <is>
          <t>ELIJAH INTER FREIGHT CO., LTD.</t>
        </is>
      </c>
      <c r="K139" s="4" t="inlineStr">
        <is>
          <t>THAI LOTTE CO., LTD.</t>
        </is>
      </c>
      <c r="L139" s="4" t="inlineStr">
        <is>
          <t>BISCUIT</t>
        </is>
      </c>
      <c r="M139" s="4" t="inlineStr">
        <is>
          <t>REQUEST CONTAINER GRADE A</t>
        </is>
      </c>
      <c r="N139" s="4" t="inlineStr">
        <is>
          <t>Pickup : 2026-09-16, Return : 2026-09-17 [1ST RTN 19/09/2026 W/O RENT]</t>
        </is>
      </c>
      <c r="O139" s="4" t="n">
        <v>0</v>
      </c>
      <c r="P139" s="4" t="n">
        <v>0</v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HASLS22260900733</t>
        </is>
      </c>
      <c r="B140" s="4" t="inlineStr">
        <is>
          <t>SWMM</t>
        </is>
      </c>
      <c r="C140" s="4" t="inlineStr">
        <is>
          <t>2609N</t>
        </is>
      </c>
      <c r="D140" s="4" t="inlineStr">
        <is>
          <t>202609240000</t>
        </is>
      </c>
      <c r="E140" s="4" t="inlineStr"/>
      <c r="F140" s="4" t="inlineStr">
        <is>
          <t>THLCH</t>
        </is>
      </c>
      <c r="G140" s="4" t="inlineStr">
        <is>
          <t>VNSGN</t>
        </is>
      </c>
      <c r="H140" s="4" t="inlineStr">
        <is>
          <t xml:space="preserve">R40Hx1 </t>
        </is>
      </c>
      <c r="I140" s="4" t="inlineStr">
        <is>
          <t>20260917</t>
        </is>
      </c>
      <c r="J140" s="4" t="inlineStr">
        <is>
          <t>GOLDEN SEA FROZEN FOODS CO.,LTD</t>
        </is>
      </c>
      <c r="K140" s="4" t="inlineStr">
        <is>
          <t>GOLDEN SEA FROZEN FOODS CO.,LTD</t>
        </is>
      </c>
      <c r="L140" s="4" t="inlineStr">
        <is>
          <t>FROZEN FISH</t>
        </is>
      </c>
      <c r="M140" s="4" t="inlineStr">
        <is>
          <t>RF45REx1 (Temp -18.0℃ / Vent Close)</t>
        </is>
      </c>
      <c r="N140" s="4" t="inlineStr">
        <is>
          <t xml:space="preserve">Pickup : 2026-09-17, Return : 2026-09-22 RF45REx1 (Temp -18.0 / Vent Close) 
CLS TIME : 23/09/2026 @08.00   </t>
        </is>
      </c>
      <c r="O140" s="4" t="n">
        <v>0</v>
      </c>
      <c r="P140" s="4" t="n">
        <v>0</v>
      </c>
      <c r="Q140" s="4" t="n">
        <v>0</v>
      </c>
      <c r="R140" s="4" t="n">
        <v>0</v>
      </c>
      <c r="S140" s="4" t="n">
        <v>1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HASLS22260900735</t>
        </is>
      </c>
      <c r="B141" s="4" t="inlineStr">
        <is>
          <t>SWMM</t>
        </is>
      </c>
      <c r="C141" s="4" t="inlineStr">
        <is>
          <t>2609N</t>
        </is>
      </c>
      <c r="D141" s="4" t="inlineStr">
        <is>
          <t>202609240000</t>
        </is>
      </c>
      <c r="E141" s="4" t="inlineStr"/>
      <c r="F141" s="4" t="inlineStr">
        <is>
          <t>THLCH</t>
        </is>
      </c>
      <c r="G141" s="4" t="inlineStr">
        <is>
          <t>VNSGN</t>
        </is>
      </c>
      <c r="H141" s="4" t="inlineStr">
        <is>
          <t xml:space="preserve">R40Hx1 </t>
        </is>
      </c>
      <c r="I141" s="4" t="inlineStr">
        <is>
          <t>20260917</t>
        </is>
      </c>
      <c r="J141" s="4" t="inlineStr">
        <is>
          <t>GOLDEN SEA FROZEN FOODS CO.,LTD</t>
        </is>
      </c>
      <c r="K141" s="4" t="inlineStr">
        <is>
          <t>GOLDEN SEA FROZEN FOODS CO.,LTD</t>
        </is>
      </c>
      <c r="L141" s="4" t="inlineStr">
        <is>
          <t>FROZEN FISH</t>
        </is>
      </c>
      <c r="M141" s="4" t="inlineStr">
        <is>
          <t>RF45REx1 (Temp -18.0℃ / Vent Close)</t>
        </is>
      </c>
      <c r="N141" s="4" t="inlineStr">
        <is>
          <t xml:space="preserve">Pickup : 2026-09-17, Return : 2026-09-22 RF45REx1 (Temp -18.0 / Vent Close) 
CLS TIME : 23/09/2026 @08.00    </t>
        </is>
      </c>
      <c r="O141" s="4" t="n">
        <v>0</v>
      </c>
      <c r="P141" s="4" t="n">
        <v>0</v>
      </c>
      <c r="Q141" s="4" t="n">
        <v>0</v>
      </c>
      <c r="R141" s="4" t="n">
        <v>0</v>
      </c>
      <c r="S141" s="4" t="n">
        <v>1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HASLS22260900737</t>
        </is>
      </c>
      <c r="B142" s="4" t="inlineStr">
        <is>
          <t>KMSU</t>
        </is>
      </c>
      <c r="C142" s="4" t="inlineStr">
        <is>
          <t>2607S</t>
        </is>
      </c>
      <c r="D142" s="4" t="inlineStr">
        <is>
          <t>202610011600</t>
        </is>
      </c>
      <c r="E142" s="4" t="inlineStr"/>
      <c r="F142" s="4" t="inlineStr">
        <is>
          <t>THLCH</t>
        </is>
      </c>
      <c r="G142" s="4" t="inlineStr">
        <is>
          <t>IDJKT</t>
        </is>
      </c>
      <c r="H142" s="4" t="inlineStr">
        <is>
          <t xml:space="preserve">40Hx1 </t>
        </is>
      </c>
      <c r="I142" s="4" t="inlineStr">
        <is>
          <t>20260924</t>
        </is>
      </c>
      <c r="J142" s="4" t="inlineStr">
        <is>
          <t>EMO TRANS (THAILAND) CO., LTD.</t>
        </is>
      </c>
      <c r="K142" s="4" t="inlineStr">
        <is>
          <t>ZIEHL-ABEGG (THAILAND) LTD.</t>
        </is>
      </c>
      <c r="L142" s="4" t="inlineStr">
        <is>
          <t>AXIAL FAN</t>
        </is>
      </c>
      <c r="M142" s="4" t="inlineStr">
        <is>
          <t>CLEAN &amp; GOOD CONTAINER</t>
        </is>
      </c>
      <c r="N142" s="4" t="inlineStr">
        <is>
          <t>Pickup : 2026-09-24, Return : 2026-09-25</t>
        </is>
      </c>
      <c r="O142" s="4" t="n">
        <v>0</v>
      </c>
      <c r="P142" s="4" t="n">
        <v>0</v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4" t="inlineStr">
        <is>
          <t>HASLS22260900739</t>
        </is>
      </c>
      <c r="B143" s="4" t="inlineStr">
        <is>
          <t>KMSU</t>
        </is>
      </c>
      <c r="C143" s="4" t="inlineStr">
        <is>
          <t>2607S</t>
        </is>
      </c>
      <c r="D143" s="4" t="inlineStr">
        <is>
          <t>202610011600</t>
        </is>
      </c>
      <c r="E143" s="4" t="inlineStr"/>
      <c r="F143" s="4" t="inlineStr">
        <is>
          <t>THLCH</t>
        </is>
      </c>
      <c r="G143" s="4" t="inlineStr">
        <is>
          <t>IDJKT</t>
        </is>
      </c>
      <c r="H143" s="4" t="inlineStr">
        <is>
          <t xml:space="preserve">20'x1 </t>
        </is>
      </c>
      <c r="I143" s="4" t="inlineStr">
        <is>
          <t>20260926</t>
        </is>
      </c>
      <c r="J143" s="4" t="inlineStr">
        <is>
          <t>HAST LOGISTICS CO., LTD.</t>
        </is>
      </c>
      <c r="K143" s="4" t="inlineStr">
        <is>
          <t>EXCEL MATERIALS COMPANY LIMITED</t>
        </is>
      </c>
      <c r="L143" s="4" t="inlineStr">
        <is>
          <t>LINING COMPOUND, LACQUER AND SOLVENT</t>
        </is>
      </c>
      <c r="M143" s="4" t="inlineStr">
        <is>
          <t>DO NOT PICKUP CONTAINERS, STILL ON PROCESS OF GETTING APPROVAL.//DG (CLS 3 / UN 1263) CLEAN CNTR. &amp; NO SMELL</t>
        </is>
      </c>
      <c r="N143" s="4" t="inlineStr">
        <is>
          <t xml:space="preserve">DO NOT PICKUP CONTAINERS, STILL ON PROCESS OF GETTING APPROVAL.//DG (CLS 3 / UN 1263) 
Pickup : 2026-09-26, Return : 2026-09-28 </t>
        </is>
      </c>
      <c r="O143" s="4" t="n">
        <v>1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>
        <f>SUM(O143:W143)-X143</f>
        <v/>
      </c>
      <c r="AA143" s="4">
        <f>MAX(0,O143-MAX(0,X143))</f>
        <v/>
      </c>
      <c r="AB143" s="4">
        <f>MAX(0,P143-MAX(0,X143-SUM(O143:O143)))</f>
        <v/>
      </c>
      <c r="AC143" s="4">
        <f>MAX(0,Q143-MAX(0,X143-SUM(O143:P143)))</f>
        <v/>
      </c>
      <c r="AD143" s="4">
        <f>MAX(0,R143-MAX(0,X143-SUM(O143:Q143)))</f>
        <v/>
      </c>
      <c r="AE143" s="4">
        <f>MAX(0,S143-MAX(0,X143-SUM(O143:R143)))</f>
        <v/>
      </c>
      <c r="AF143" s="4">
        <f>MAX(0,T143-MAX(0,X143-SUM(O143:S143)))</f>
        <v/>
      </c>
      <c r="AG143" s="4">
        <f>MAX(0,U143-MAX(0,X143-SUM(O143:T143)))</f>
        <v/>
      </c>
      <c r="AH143" s="4">
        <f>MAX(0,V143-MAX(0,X143-SUM(O143:U143)))</f>
        <v/>
      </c>
      <c r="AI143" s="4">
        <f>MAX(0,W143-MAX(0,X143-SUM(O143:V143)))</f>
        <v/>
      </c>
    </row>
    <row r="144">
      <c r="A144" s="4" t="inlineStr">
        <is>
          <t>HASLS22260900741</t>
        </is>
      </c>
      <c r="B144" s="4" t="inlineStr">
        <is>
          <t>SWMM</t>
        </is>
      </c>
      <c r="C144" s="4" t="inlineStr">
        <is>
          <t>2609N</t>
        </is>
      </c>
      <c r="D144" s="4" t="inlineStr">
        <is>
          <t>202609240000</t>
        </is>
      </c>
      <c r="E144" s="4" t="inlineStr"/>
      <c r="F144" s="4" t="inlineStr">
        <is>
          <t>THLCH</t>
        </is>
      </c>
      <c r="G144" s="4" t="inlineStr">
        <is>
          <t>VNSGN</t>
        </is>
      </c>
      <c r="H144" s="4" t="inlineStr">
        <is>
          <t xml:space="preserve">20'x1 </t>
        </is>
      </c>
      <c r="I144" s="4" t="inlineStr">
        <is>
          <t>20260921</t>
        </is>
      </c>
      <c r="J144" s="4" t="inlineStr">
        <is>
          <t>BNE GLOBAL CO.,LTD.</t>
        </is>
      </c>
      <c r="K144" s="4" t="inlineStr">
        <is>
          <t>ROBATHERM CO.,LTD.</t>
        </is>
      </c>
      <c r="L144" s="4" t="inlineStr">
        <is>
          <t>AIR HANDLING</t>
        </is>
      </c>
      <c r="M144" s="4" t="inlineStr">
        <is>
          <t>CONTAINER GOOD CONDITION</t>
        </is>
      </c>
      <c r="N144" s="4" t="inlineStr">
        <is>
          <t>Pickup : 2026-09-21, Return : 2026-09-21 
 ** PLEASE CHECK OPEN GATE BEFORE RETURN CNTR **</t>
        </is>
      </c>
      <c r="O144" s="4" t="n">
        <v>1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>
        <f>SUM(O144:W144)-X144</f>
        <v/>
      </c>
      <c r="AA144" s="4">
        <f>MAX(0,O144-MAX(0,X144))</f>
        <v/>
      </c>
      <c r="AB144" s="4">
        <f>MAX(0,P144-MAX(0,X144-SUM(O144:O144)))</f>
        <v/>
      </c>
      <c r="AC144" s="4">
        <f>MAX(0,Q144-MAX(0,X144-SUM(O144:P144)))</f>
        <v/>
      </c>
      <c r="AD144" s="4">
        <f>MAX(0,R144-MAX(0,X144-SUM(O144:Q144)))</f>
        <v/>
      </c>
      <c r="AE144" s="4">
        <f>MAX(0,S144-MAX(0,X144-SUM(O144:R144)))</f>
        <v/>
      </c>
      <c r="AF144" s="4">
        <f>MAX(0,T144-MAX(0,X144-SUM(O144:S144)))</f>
        <v/>
      </c>
      <c r="AG144" s="4">
        <f>MAX(0,U144-MAX(0,X144-SUM(O144:T144)))</f>
        <v/>
      </c>
      <c r="AH144" s="4">
        <f>MAX(0,V144-MAX(0,X144-SUM(O144:U144)))</f>
        <v/>
      </c>
      <c r="AI144" s="4">
        <f>MAX(0,W144-MAX(0,X144-SUM(O144:V144)))</f>
        <v/>
      </c>
    </row>
    <row r="145">
      <c r="A145" s="4" t="inlineStr">
        <is>
          <t>HASLS22260900750</t>
        </is>
      </c>
      <c r="B145" s="4" t="inlineStr">
        <is>
          <t>SWMM</t>
        </is>
      </c>
      <c r="C145" s="4" t="inlineStr">
        <is>
          <t>2609N</t>
        </is>
      </c>
      <c r="D145" s="4" t="inlineStr">
        <is>
          <t>202609240000</t>
        </is>
      </c>
      <c r="E145" s="4" t="inlineStr"/>
      <c r="F145" s="4" t="inlineStr">
        <is>
          <t>THLCH</t>
        </is>
      </c>
      <c r="G145" s="4" t="inlineStr">
        <is>
          <t>VNSGN</t>
        </is>
      </c>
      <c r="H145" s="4" t="inlineStr">
        <is>
          <t xml:space="preserve">R40Hx1 </t>
        </is>
      </c>
      <c r="I145" s="4" t="inlineStr">
        <is>
          <t>20260917</t>
        </is>
      </c>
      <c r="J145" s="4" t="inlineStr">
        <is>
          <t>GOLDEN SEA FROZEN FOODS CO.,LTD</t>
        </is>
      </c>
      <c r="K145" s="4" t="inlineStr">
        <is>
          <t>GOLDEN SEA FROZEN FOODS CO.,LTD</t>
        </is>
      </c>
      <c r="L145" s="4" t="inlineStr">
        <is>
          <t>FROZEN FISH</t>
        </is>
      </c>
      <c r="M145" s="4" t="inlineStr">
        <is>
          <t>RF45REx1 (Temp -18.0℃ / Vent Close)</t>
        </is>
      </c>
      <c r="N145" s="4" t="inlineStr">
        <is>
          <t xml:space="preserve">Pickup : 2026-09-17, Return : 2026-09-22 RF45REx1 (Temp -18.0 / Vent Close) 
CLS TIME : 23/09/2026 @08.00  </t>
        </is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1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>
        <f>SUM(O145:W145)-X145</f>
        <v/>
      </c>
      <c r="AA145" s="4">
        <f>MAX(0,O145-MAX(0,X145))</f>
        <v/>
      </c>
      <c r="AB145" s="4">
        <f>MAX(0,P145-MAX(0,X145-SUM(O145:O145)))</f>
        <v/>
      </c>
      <c r="AC145" s="4">
        <f>MAX(0,Q145-MAX(0,X145-SUM(O145:P145)))</f>
        <v/>
      </c>
      <c r="AD145" s="4">
        <f>MAX(0,R145-MAX(0,X145-SUM(O145:Q145)))</f>
        <v/>
      </c>
      <c r="AE145" s="4">
        <f>MAX(0,S145-MAX(0,X145-SUM(O145:R145)))</f>
        <v/>
      </c>
      <c r="AF145" s="4">
        <f>MAX(0,T145-MAX(0,X145-SUM(O145:S145)))</f>
        <v/>
      </c>
      <c r="AG145" s="4">
        <f>MAX(0,U145-MAX(0,X145-SUM(O145:T145)))</f>
        <v/>
      </c>
      <c r="AH145" s="4">
        <f>MAX(0,V145-MAX(0,X145-SUM(O145:U145)))</f>
        <v/>
      </c>
      <c r="AI145" s="4">
        <f>MAX(0,W145-MAX(0,X145-SUM(O145:V145)))</f>
        <v/>
      </c>
    </row>
    <row r="146">
      <c r="A146" s="4" t="inlineStr">
        <is>
          <t>HASLS22260900751</t>
        </is>
      </c>
      <c r="B146" s="4" t="inlineStr">
        <is>
          <t>KMSU</t>
        </is>
      </c>
      <c r="C146" s="4" t="inlineStr">
        <is>
          <t>2607S</t>
        </is>
      </c>
      <c r="D146" s="4" t="inlineStr">
        <is>
          <t>202610011600</t>
        </is>
      </c>
      <c r="E146" s="4" t="inlineStr"/>
      <c r="F146" s="4" t="inlineStr">
        <is>
          <t>THLCH</t>
        </is>
      </c>
      <c r="G146" s="4" t="inlineStr">
        <is>
          <t>IDJKT</t>
        </is>
      </c>
      <c r="H146" s="4" t="inlineStr">
        <is>
          <t xml:space="preserve">20'x1 </t>
        </is>
      </c>
      <c r="I146" s="4" t="inlineStr">
        <is>
          <t>20260926</t>
        </is>
      </c>
      <c r="J146" s="4" t="inlineStr">
        <is>
          <t>HAST LOGISTICS CO., LTD.</t>
        </is>
      </c>
      <c r="K146" s="4" t="inlineStr">
        <is>
          <t>EXCEL MATERIALS COMPANY LIMITED</t>
        </is>
      </c>
      <c r="L146" s="4" t="inlineStr">
        <is>
          <t>LACQUER/VARNISH</t>
        </is>
      </c>
      <c r="M146" s="4" t="inlineStr">
        <is>
          <t>DO NOT PICKUP CONTAINERS, STILL ON PROCESS OF GETTING APPROVAL.//DG (CLS 3 / UN 1263) CLEAN CNTR. &amp; NO SMELL</t>
        </is>
      </c>
      <c r="N146" s="4" t="inlineStr">
        <is>
          <t xml:space="preserve">DO NOT PICKUP CONTAINERS, STILL ON PROCESS OF GETTING APPROVAL.//DG (CLS 3 / UN 1263) 
Pickup : 2026-09-26, Return : 2026-09-28 
</t>
        </is>
      </c>
      <c r="O146" s="4" t="n">
        <v>1</v>
      </c>
      <c r="P146" s="4" t="n">
        <v>0</v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0</v>
      </c>
      <c r="V146" s="4" t="n">
        <v>0</v>
      </c>
      <c r="W146" s="4" t="n">
        <v>0</v>
      </c>
      <c r="X146" s="4" t="n">
        <v>0</v>
      </c>
      <c r="Y146" s="4" t="n">
        <v>0</v>
      </c>
      <c r="Z146" s="4">
        <f>SUM(O146:W146)-X146</f>
        <v/>
      </c>
      <c r="AA146" s="4">
        <f>MAX(0,O146-MAX(0,X146))</f>
        <v/>
      </c>
      <c r="AB146" s="4">
        <f>MAX(0,P146-MAX(0,X146-SUM(O146:O146)))</f>
        <v/>
      </c>
      <c r="AC146" s="4">
        <f>MAX(0,Q146-MAX(0,X146-SUM(O146:P146)))</f>
        <v/>
      </c>
      <c r="AD146" s="4">
        <f>MAX(0,R146-MAX(0,X146-SUM(O146:Q146)))</f>
        <v/>
      </c>
      <c r="AE146" s="4">
        <f>MAX(0,S146-MAX(0,X146-SUM(O146:R146)))</f>
        <v/>
      </c>
      <c r="AF146" s="4">
        <f>MAX(0,T146-MAX(0,X146-SUM(O146:S146)))</f>
        <v/>
      </c>
      <c r="AG146" s="4">
        <f>MAX(0,U146-MAX(0,X146-SUM(O146:T146)))</f>
        <v/>
      </c>
      <c r="AH146" s="4">
        <f>MAX(0,V146-MAX(0,X146-SUM(O146:U146)))</f>
        <v/>
      </c>
      <c r="AI146" s="4">
        <f>MAX(0,W146-MAX(0,X146-SUM(O146:V146)))</f>
        <v/>
      </c>
    </row>
    <row r="147">
      <c r="A147" s="4" t="inlineStr">
        <is>
          <t>HASLS22260900765</t>
        </is>
      </c>
      <c r="B147" s="4" t="inlineStr">
        <is>
          <t>SWDN</t>
        </is>
      </c>
      <c r="C147" s="4" t="inlineStr">
        <is>
          <t>2610N</t>
        </is>
      </c>
      <c r="D147" s="4" t="inlineStr">
        <is>
          <t>202609300600</t>
        </is>
      </c>
      <c r="E147" s="4" t="inlineStr"/>
      <c r="F147" s="4" t="inlineStr">
        <is>
          <t>THLCH</t>
        </is>
      </c>
      <c r="G147" s="4" t="inlineStr">
        <is>
          <t>CNXMN</t>
        </is>
      </c>
      <c r="H147" s="4" t="inlineStr">
        <is>
          <t xml:space="preserve">R40Hx1 </t>
        </is>
      </c>
      <c r="I147" s="4" t="inlineStr">
        <is>
          <t>20260925</t>
        </is>
      </c>
      <c r="J147" s="4" t="inlineStr">
        <is>
          <t>HAPPY SHIPPING SERVICE CO.,LTD.</t>
        </is>
      </c>
      <c r="K147" s="4" t="inlineStr">
        <is>
          <t>HI HAPPY TRADING CO.,LTD.</t>
        </is>
      </c>
      <c r="L147" s="4" t="inlineStr">
        <is>
          <t>FRESH LONGAN</t>
        </is>
      </c>
      <c r="M147" s="4" t="inlineStr">
        <is>
          <t>RF45REx1 (Temp +2.0℃ / Vent 15% Open)  
ON DECK</t>
        </is>
      </c>
      <c r="N147" s="4" t="inlineStr">
        <is>
          <t xml:space="preserve">Pickup : 2026-09-25, Return : 2026-09-28 (Temp +2.0 / Vent 15% Open)  ON DECK
 CLS TIME 29/09 @12.00 [1ST RTN 28/09 W/O RENT &amp; ELECTRIC] </t>
        </is>
      </c>
      <c r="O147" s="4" t="n">
        <v>0</v>
      </c>
      <c r="P147" s="4" t="n">
        <v>0</v>
      </c>
      <c r="Q147" s="4" t="n">
        <v>0</v>
      </c>
      <c r="R147" s="4" t="n">
        <v>0</v>
      </c>
      <c r="S147" s="4" t="n">
        <v>1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>
        <f>SUM(O147:W147)-X147</f>
        <v/>
      </c>
      <c r="AA147" s="4">
        <f>MAX(0,O147-MAX(0,X147))</f>
        <v/>
      </c>
      <c r="AB147" s="4">
        <f>MAX(0,P147-MAX(0,X147-SUM(O147:O147)))</f>
        <v/>
      </c>
      <c r="AC147" s="4">
        <f>MAX(0,Q147-MAX(0,X147-SUM(O147:P147)))</f>
        <v/>
      </c>
      <c r="AD147" s="4">
        <f>MAX(0,R147-MAX(0,X147-SUM(O147:Q147)))</f>
        <v/>
      </c>
      <c r="AE147" s="4">
        <f>MAX(0,S147-MAX(0,X147-SUM(O147:R147)))</f>
        <v/>
      </c>
      <c r="AF147" s="4">
        <f>MAX(0,T147-MAX(0,X147-SUM(O147:S147)))</f>
        <v/>
      </c>
      <c r="AG147" s="4">
        <f>MAX(0,U147-MAX(0,X147-SUM(O147:T147)))</f>
        <v/>
      </c>
      <c r="AH147" s="4">
        <f>MAX(0,V147-MAX(0,X147-SUM(O147:U147)))</f>
        <v/>
      </c>
      <c r="AI147" s="4">
        <f>MAX(0,W147-MAX(0,X147-SUM(O147:V147)))</f>
        <v/>
      </c>
    </row>
    <row r="148">
      <c r="A148" s="4" t="inlineStr">
        <is>
          <t>HASLS22260900766</t>
        </is>
      </c>
      <c r="B148" s="4" t="inlineStr">
        <is>
          <t>SWDN</t>
        </is>
      </c>
      <c r="C148" s="4" t="inlineStr">
        <is>
          <t>2610N</t>
        </is>
      </c>
      <c r="D148" s="4" t="inlineStr">
        <is>
          <t>202609300600</t>
        </is>
      </c>
      <c r="E148" s="4" t="inlineStr"/>
      <c r="F148" s="4" t="inlineStr">
        <is>
          <t>THLCH</t>
        </is>
      </c>
      <c r="G148" s="4" t="inlineStr">
        <is>
          <t>CNXMN</t>
        </is>
      </c>
      <c r="H148" s="4" t="inlineStr">
        <is>
          <t xml:space="preserve">R40Hx1 </t>
        </is>
      </c>
      <c r="I148" s="4" t="inlineStr">
        <is>
          <t>20260925</t>
        </is>
      </c>
      <c r="J148" s="4" t="inlineStr">
        <is>
          <t>HAPPY SHIPPING SERVICE CO.,LTD.</t>
        </is>
      </c>
      <c r="K148" s="4" t="inlineStr">
        <is>
          <t>HI HAPPY TRADING CO.,LTD.</t>
        </is>
      </c>
      <c r="L148" s="4" t="inlineStr">
        <is>
          <t>FRESH LONGAN</t>
        </is>
      </c>
      <c r="M148" s="4" t="inlineStr">
        <is>
          <t>RF45REx1 (Temp +2.0℃ / Vent 15% Open)</t>
        </is>
      </c>
      <c r="N148" s="4" t="inlineStr">
        <is>
          <t xml:space="preserve">Pickup : 2026-09-25, Return : 2026-09-28 (Temp +2.0 / Vent 15% Open)  ON DECK
 CLS TIME 29/09 @12.00 [1ST RTN 28/09 W/O RENT &amp; ELECTRIC] </t>
        </is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1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>
        <f>SUM(O148:W148)-X148</f>
        <v/>
      </c>
      <c r="AA148" s="4">
        <f>MAX(0,O148-MAX(0,X148))</f>
        <v/>
      </c>
      <c r="AB148" s="4">
        <f>MAX(0,P148-MAX(0,X148-SUM(O148:O148)))</f>
        <v/>
      </c>
      <c r="AC148" s="4">
        <f>MAX(0,Q148-MAX(0,X148-SUM(O148:P148)))</f>
        <v/>
      </c>
      <c r="AD148" s="4">
        <f>MAX(0,R148-MAX(0,X148-SUM(O148:Q148)))</f>
        <v/>
      </c>
      <c r="AE148" s="4">
        <f>MAX(0,S148-MAX(0,X148-SUM(O148:R148)))</f>
        <v/>
      </c>
      <c r="AF148" s="4">
        <f>MAX(0,T148-MAX(0,X148-SUM(O148:S148)))</f>
        <v/>
      </c>
      <c r="AG148" s="4">
        <f>MAX(0,U148-MAX(0,X148-SUM(O148:T148)))</f>
        <v/>
      </c>
      <c r="AH148" s="4">
        <f>MAX(0,V148-MAX(0,X148-SUM(O148:U148)))</f>
        <v/>
      </c>
      <c r="AI148" s="4">
        <f>MAX(0,W148-MAX(0,X148-SUM(O148:V148)))</f>
        <v/>
      </c>
    </row>
    <row r="149">
      <c r="A149" s="4" t="inlineStr">
        <is>
          <t>HASLS22260900776</t>
        </is>
      </c>
      <c r="B149" s="4" t="inlineStr">
        <is>
          <t>SWMM</t>
        </is>
      </c>
      <c r="C149" s="4" t="inlineStr">
        <is>
          <t>2609N</t>
        </is>
      </c>
      <c r="D149" s="4" t="inlineStr">
        <is>
          <t>202609240000</t>
        </is>
      </c>
      <c r="E149" s="4" t="inlineStr"/>
      <c r="F149" s="4" t="inlineStr">
        <is>
          <t>THLCH</t>
        </is>
      </c>
      <c r="G149" s="4" t="inlineStr">
        <is>
          <t>VNSGN</t>
        </is>
      </c>
      <c r="H149" s="4" t="inlineStr">
        <is>
          <t xml:space="preserve">R40Hx2 </t>
        </is>
      </c>
      <c r="I149" s="4" t="inlineStr">
        <is>
          <t>20260919</t>
        </is>
      </c>
      <c r="J149" s="4" t="inlineStr">
        <is>
          <t>FOCUS FREIGHT &amp; LOGISTICS CO., LTD.</t>
        </is>
      </c>
      <c r="K149" s="4" t="inlineStr">
        <is>
          <t>UNITED MUSHROOM CENTER CO., LTD.</t>
        </is>
      </c>
      <c r="L149" s="4" t="inlineStr">
        <is>
          <t>GOLDEN MUSHROOM</t>
        </is>
      </c>
      <c r="M149" s="4" t="inlineStr">
        <is>
          <t>RF45REx2 (Temp +0.0℃ / Vent Close) REQ CLEAN &amp; GOOD CONTAINER FOR FOODS.</t>
        </is>
      </c>
      <c r="N149" s="4" t="inlineStr">
        <is>
          <t xml:space="preserve">Pickup : 2026-09-19, Return : 2026-09-22 RF45REx2 (Temp +0.0 / Vent Close) 
CLS TIME : 23/09/2026 @08.00 </t>
        </is>
      </c>
      <c r="O149" s="4" t="n">
        <v>0</v>
      </c>
      <c r="P149" s="4" t="n">
        <v>0</v>
      </c>
      <c r="Q149" s="4" t="n">
        <v>0</v>
      </c>
      <c r="R149" s="4" t="n">
        <v>0</v>
      </c>
      <c r="S149" s="4" t="n">
        <v>2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>
        <f>SUM(O149:W149)-X149</f>
        <v/>
      </c>
      <c r="AA149" s="4">
        <f>MAX(0,O149-MAX(0,X149))</f>
        <v/>
      </c>
      <c r="AB149" s="4">
        <f>MAX(0,P149-MAX(0,X149-SUM(O149:O149)))</f>
        <v/>
      </c>
      <c r="AC149" s="4">
        <f>MAX(0,Q149-MAX(0,X149-SUM(O149:P149)))</f>
        <v/>
      </c>
      <c r="AD149" s="4">
        <f>MAX(0,R149-MAX(0,X149-SUM(O149:Q149)))</f>
        <v/>
      </c>
      <c r="AE149" s="4">
        <f>MAX(0,S149-MAX(0,X149-SUM(O149:R149)))</f>
        <v/>
      </c>
      <c r="AF149" s="4">
        <f>MAX(0,T149-MAX(0,X149-SUM(O149:S149)))</f>
        <v/>
      </c>
      <c r="AG149" s="4">
        <f>MAX(0,U149-MAX(0,X149-SUM(O149:T149)))</f>
        <v/>
      </c>
      <c r="AH149" s="4">
        <f>MAX(0,V149-MAX(0,X149-SUM(O149:U149)))</f>
        <v/>
      </c>
      <c r="AI149" s="4">
        <f>MAX(0,W149-MAX(0,X149-SUM(O149:V149)))</f>
        <v/>
      </c>
    </row>
    <row r="150">
      <c r="A150" s="4" t="inlineStr">
        <is>
          <t>HASLS22260900778</t>
        </is>
      </c>
      <c r="B150" s="4" t="inlineStr">
        <is>
          <t>SWAL</t>
        </is>
      </c>
      <c r="C150" s="4" t="inlineStr">
        <is>
          <t>2608N</t>
        </is>
      </c>
      <c r="D150" s="4" t="inlineStr">
        <is>
          <t>202609290800</t>
        </is>
      </c>
      <c r="E150" s="4" t="inlineStr"/>
      <c r="F150" s="4" t="inlineStr">
        <is>
          <t>THLCH</t>
        </is>
      </c>
      <c r="G150" s="4" t="inlineStr">
        <is>
          <t>VNSGN</t>
        </is>
      </c>
      <c r="H150" s="4" t="inlineStr">
        <is>
          <t xml:space="preserve">R40Hx2 </t>
        </is>
      </c>
      <c r="I150" s="4" t="inlineStr">
        <is>
          <t>20260924</t>
        </is>
      </c>
      <c r="J150" s="4" t="inlineStr">
        <is>
          <t>FOCUS FREIGHT &amp; LOGISTICS CO., LTD.</t>
        </is>
      </c>
      <c r="K150" s="4" t="inlineStr">
        <is>
          <t>UNITED MUSHROOM CENTER CO., LTD.</t>
        </is>
      </c>
      <c r="L150" s="4" t="inlineStr">
        <is>
          <t>GOLDEN MUSHROOM</t>
        </is>
      </c>
      <c r="M150" s="4" t="inlineStr">
        <is>
          <t>(Temp +0.0℃ / Vent Close) REQ CLEAN &amp; GOOD CONTAINER FOR FOODS</t>
        </is>
      </c>
      <c r="N150" s="4" t="inlineStr">
        <is>
          <t>Pickup : 2026-09-24, Return : 2026-09-26 (Temp +0.0 / Vent Close) 
CLS TIME 28/09/26 @18.00 (1ST DATE RTN 27/09/2026 W/O RENT,ELECTRIC)</t>
        </is>
      </c>
      <c r="O150" s="4" t="n">
        <v>0</v>
      </c>
      <c r="P150" s="4" t="n">
        <v>0</v>
      </c>
      <c r="Q150" s="4" t="n">
        <v>0</v>
      </c>
      <c r="R150" s="4" t="n">
        <v>0</v>
      </c>
      <c r="S150" s="4" t="n">
        <v>2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>
        <f>SUM(O150:W150)-X150</f>
        <v/>
      </c>
      <c r="AA150" s="4">
        <f>MAX(0,O150-MAX(0,X150))</f>
        <v/>
      </c>
      <c r="AB150" s="4">
        <f>MAX(0,P150-MAX(0,X150-SUM(O150:O150)))</f>
        <v/>
      </c>
      <c r="AC150" s="4">
        <f>MAX(0,Q150-MAX(0,X150-SUM(O150:P150)))</f>
        <v/>
      </c>
      <c r="AD150" s="4">
        <f>MAX(0,R150-MAX(0,X150-SUM(O150:Q150)))</f>
        <v/>
      </c>
      <c r="AE150" s="4">
        <f>MAX(0,S150-MAX(0,X150-SUM(O150:R150)))</f>
        <v/>
      </c>
      <c r="AF150" s="4">
        <f>MAX(0,T150-MAX(0,X150-SUM(O150:S150)))</f>
        <v/>
      </c>
      <c r="AG150" s="4">
        <f>MAX(0,U150-MAX(0,X150-SUM(O150:T150)))</f>
        <v/>
      </c>
      <c r="AH150" s="4">
        <f>MAX(0,V150-MAX(0,X150-SUM(O150:U150)))</f>
        <v/>
      </c>
      <c r="AI150" s="4">
        <f>MAX(0,W150-MAX(0,X150-SUM(O150:V150)))</f>
        <v/>
      </c>
    </row>
    <row r="151">
      <c r="A151" s="4" t="inlineStr">
        <is>
          <t>HASLS22260900785</t>
        </is>
      </c>
      <c r="B151" s="4" t="inlineStr">
        <is>
          <t>SKOR</t>
        </is>
      </c>
      <c r="C151" s="4" t="inlineStr">
        <is>
          <t>2611N</t>
        </is>
      </c>
      <c r="D151" s="4" t="inlineStr">
        <is>
          <t>202609260900</t>
        </is>
      </c>
      <c r="E151" s="4" t="inlineStr"/>
      <c r="F151" s="4" t="inlineStr">
        <is>
          <t>THLCH</t>
        </is>
      </c>
      <c r="G151" s="4" t="inlineStr">
        <is>
          <t>HKHKG</t>
        </is>
      </c>
      <c r="H151" s="4" t="inlineStr">
        <is>
          <t xml:space="preserve">20'x1 </t>
        </is>
      </c>
      <c r="I151" s="4" t="inlineStr">
        <is>
          <t>20260921</t>
        </is>
      </c>
      <c r="J151" s="4" t="inlineStr">
        <is>
          <t>SAI GLOBAL EXPRESS CO., LTD.</t>
        </is>
      </c>
      <c r="K151" s="4" t="inlineStr">
        <is>
          <t>HMC POLYMERS CO., LTD.</t>
        </is>
      </c>
      <c r="L151" s="4" t="inlineStr">
        <is>
          <t>PP RESIN</t>
        </is>
      </c>
      <c r="M151" s="4" t="inlineStr">
        <is>
          <t>RQST GOOD AND CLEAN CONTAINER, NO RUST , NO HOLE</t>
        </is>
      </c>
      <c r="N151" s="4" t="inlineStr">
        <is>
          <t xml:space="preserve">Pickup : 2026-09-21, Return : 2026-09-22 (1ST RTN 22/09 W/O RENT) 
 ** PLEASE CHECK OPEN GATE BEFORE RETURN CNTR **
</t>
        </is>
      </c>
      <c r="O151" s="4" t="n">
        <v>1</v>
      </c>
      <c r="P151" s="4" t="n">
        <v>0</v>
      </c>
      <c r="Q151" s="4" t="n">
        <v>0</v>
      </c>
      <c r="R151" s="4" t="n">
        <v>0</v>
      </c>
      <c r="S151" s="4" t="n">
        <v>0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>
        <f>SUM(O151:W151)-X151</f>
        <v/>
      </c>
      <c r="AA151" s="4">
        <f>MAX(0,O151-MAX(0,X151))</f>
        <v/>
      </c>
      <c r="AB151" s="4">
        <f>MAX(0,P151-MAX(0,X151-SUM(O151:O151)))</f>
        <v/>
      </c>
      <c r="AC151" s="4">
        <f>MAX(0,Q151-MAX(0,X151-SUM(O151:P151)))</f>
        <v/>
      </c>
      <c r="AD151" s="4">
        <f>MAX(0,R151-MAX(0,X151-SUM(O151:Q151)))</f>
        <v/>
      </c>
      <c r="AE151" s="4">
        <f>MAX(0,S151-MAX(0,X151-SUM(O151:R151)))</f>
        <v/>
      </c>
      <c r="AF151" s="4">
        <f>MAX(0,T151-MAX(0,X151-SUM(O151:S151)))</f>
        <v/>
      </c>
      <c r="AG151" s="4">
        <f>MAX(0,U151-MAX(0,X151-SUM(O151:T151)))</f>
        <v/>
      </c>
      <c r="AH151" s="4">
        <f>MAX(0,V151-MAX(0,X151-SUM(O151:U151)))</f>
        <v/>
      </c>
      <c r="AI151" s="4">
        <f>MAX(0,W151-MAX(0,X151-SUM(O151:V151)))</f>
        <v/>
      </c>
    </row>
    <row r="152">
      <c r="A152" s="4" t="inlineStr">
        <is>
          <t>HASLS22260900790</t>
        </is>
      </c>
      <c r="B152" s="4" t="inlineStr">
        <is>
          <t>SWMM</t>
        </is>
      </c>
      <c r="C152" s="4" t="inlineStr">
        <is>
          <t>2609N</t>
        </is>
      </c>
      <c r="D152" s="4" t="inlineStr">
        <is>
          <t>202609240000</t>
        </is>
      </c>
      <c r="E152" s="4" t="inlineStr"/>
      <c r="F152" s="4" t="inlineStr">
        <is>
          <t>THLCH</t>
        </is>
      </c>
      <c r="G152" s="4" t="inlineStr">
        <is>
          <t>VNSGN</t>
        </is>
      </c>
      <c r="H152" s="4" t="inlineStr">
        <is>
          <t xml:space="preserve">40Hx1 </t>
        </is>
      </c>
      <c r="I152" s="4" t="inlineStr">
        <is>
          <t>20260921</t>
        </is>
      </c>
      <c r="J152" s="4" t="inlineStr">
        <is>
          <t>EAST-LINK CORPORATION CO., LTD.</t>
        </is>
      </c>
      <c r="K152" s="4" t="inlineStr">
        <is>
          <t>IVICT (THAILAND) CO., LTD.</t>
        </is>
      </c>
      <c r="L152" s="4" t="inlineStr">
        <is>
          <t>STABILIZERS FOR PVC</t>
        </is>
      </c>
      <c r="M152" s="4" t="inlineStr">
        <is>
          <t>RQS CLEAN &amp; GOOD CONTAINER CONDITION.</t>
        </is>
      </c>
      <c r="N152" s="4" t="inlineStr">
        <is>
          <t xml:space="preserve">Pickup : 2026-09-21, Return : 2026-09-21
** PLEASE CHECK OPEN GATE BEFORE RETURN CONTAINER ** </t>
        </is>
      </c>
      <c r="O152" s="4" t="n">
        <v>0</v>
      </c>
      <c r="P152" s="4" t="n">
        <v>0</v>
      </c>
      <c r="Q152" s="4" t="n">
        <v>1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>
        <f>SUM(O152:W152)-X152</f>
        <v/>
      </c>
      <c r="AA152" s="4">
        <f>MAX(0,O152-MAX(0,X152))</f>
        <v/>
      </c>
      <c r="AB152" s="4">
        <f>MAX(0,P152-MAX(0,X152-SUM(O152:O152)))</f>
        <v/>
      </c>
      <c r="AC152" s="4">
        <f>MAX(0,Q152-MAX(0,X152-SUM(O152:P152)))</f>
        <v/>
      </c>
      <c r="AD152" s="4">
        <f>MAX(0,R152-MAX(0,X152-SUM(O152:Q152)))</f>
        <v/>
      </c>
      <c r="AE152" s="4">
        <f>MAX(0,S152-MAX(0,X152-SUM(O152:R152)))</f>
        <v/>
      </c>
      <c r="AF152" s="4">
        <f>MAX(0,T152-MAX(0,X152-SUM(O152:S152)))</f>
        <v/>
      </c>
      <c r="AG152" s="4">
        <f>MAX(0,U152-MAX(0,X152-SUM(O152:T152)))</f>
        <v/>
      </c>
      <c r="AH152" s="4">
        <f>MAX(0,V152-MAX(0,X152-SUM(O152:U152)))</f>
        <v/>
      </c>
      <c r="AI152" s="4">
        <f>MAX(0,W152-MAX(0,X152-SUM(O152:V152)))</f>
        <v/>
      </c>
    </row>
    <row r="153">
      <c r="A153" s="4" t="inlineStr">
        <is>
          <t>HASLS22260900791</t>
        </is>
      </c>
      <c r="B153" s="4" t="inlineStr">
        <is>
          <t>KMGY</t>
        </is>
      </c>
      <c r="C153" s="4" t="inlineStr">
        <is>
          <t>2610N</t>
        </is>
      </c>
      <c r="D153" s="4" t="inlineStr">
        <is>
          <t>202609270800</t>
        </is>
      </c>
      <c r="E153" s="4" t="inlineStr"/>
      <c r="F153" s="4" t="inlineStr">
        <is>
          <t>THLCH</t>
        </is>
      </c>
      <c r="G153" s="4" t="inlineStr">
        <is>
          <t>KRINC</t>
        </is>
      </c>
      <c r="H153" s="4" t="inlineStr">
        <is>
          <t xml:space="preserve">R40Hx2 </t>
        </is>
      </c>
      <c r="I153" s="4" t="inlineStr">
        <is>
          <t>20260921</t>
        </is>
      </c>
      <c r="J153" s="4" t="inlineStr">
        <is>
          <t>MJ LOGISTICS (THAILAND) CO., LTD.</t>
        </is>
      </c>
      <c r="K153" s="4" t="inlineStr">
        <is>
          <t>JELLY BELLY CANDY COMPANY ( THAILAND ) LTD.</t>
        </is>
      </c>
      <c r="L153" s="4" t="inlineStr">
        <is>
          <t>CANDIES, CHOCOLETES</t>
        </is>
      </c>
      <c r="M153" s="4" t="inlineStr">
        <is>
          <t>RF45REx2 (Temp +18.0℃ / Vent Close)  HUMIDITY 60% CLEAN NO SMELL AND DRY CNTR.</t>
        </is>
      </c>
      <c r="N153" s="4" t="inlineStr">
        <is>
          <t xml:space="preserve">Pickup : 2026-09-21, Return : 2026-09-21 (Temp +18.0 / Vent Close) HUMIDITY 60%
 CLS TIME 22/09 @23.59 [1ST RTN 21/09 W/O RENT &amp; ELECTRIC] 
 </t>
        </is>
      </c>
      <c r="O153" s="4" t="n">
        <v>0</v>
      </c>
      <c r="P153" s="4" t="n">
        <v>0</v>
      </c>
      <c r="Q153" s="4" t="n">
        <v>0</v>
      </c>
      <c r="R153" s="4" t="n">
        <v>0</v>
      </c>
      <c r="S153" s="4" t="n">
        <v>2</v>
      </c>
      <c r="T153" s="4" t="n">
        <v>0</v>
      </c>
      <c r="U153" s="4" t="n">
        <v>0</v>
      </c>
      <c r="V153" s="4" t="n">
        <v>0</v>
      </c>
      <c r="W153" s="4" t="n">
        <v>0</v>
      </c>
      <c r="X153" s="4" t="n">
        <v>0</v>
      </c>
      <c r="Y153" s="4" t="n">
        <v>0</v>
      </c>
      <c r="Z153" s="4">
        <f>SUM(O153:W153)-X153</f>
        <v/>
      </c>
      <c r="AA153" s="4">
        <f>MAX(0,O153-MAX(0,X153))</f>
        <v/>
      </c>
      <c r="AB153" s="4">
        <f>MAX(0,P153-MAX(0,X153-SUM(O153:O153)))</f>
        <v/>
      </c>
      <c r="AC153" s="4">
        <f>MAX(0,Q153-MAX(0,X153-SUM(O153:P153)))</f>
        <v/>
      </c>
      <c r="AD153" s="4">
        <f>MAX(0,R153-MAX(0,X153-SUM(O153:Q153)))</f>
        <v/>
      </c>
      <c r="AE153" s="4">
        <f>MAX(0,S153-MAX(0,X153-SUM(O153:R153)))</f>
        <v/>
      </c>
      <c r="AF153" s="4">
        <f>MAX(0,T153-MAX(0,X153-SUM(O153:S153)))</f>
        <v/>
      </c>
      <c r="AG153" s="4">
        <f>MAX(0,U153-MAX(0,X153-SUM(O153:T153)))</f>
        <v/>
      </c>
      <c r="AH153" s="4">
        <f>MAX(0,V153-MAX(0,X153-SUM(O153:U153)))</f>
        <v/>
      </c>
      <c r="AI153" s="4">
        <f>MAX(0,W153-MAX(0,X153-SUM(O153:V153)))</f>
        <v/>
      </c>
    </row>
    <row r="154">
      <c r="A154" s="4" t="inlineStr">
        <is>
          <t>HASLS22260900805</t>
        </is>
      </c>
      <c r="B154" s="4" t="inlineStr">
        <is>
          <t>SWVG</t>
        </is>
      </c>
      <c r="C154" s="4" t="inlineStr">
        <is>
          <t>2612N</t>
        </is>
      </c>
      <c r="D154" s="4" t="inlineStr">
        <is>
          <t>202610030200</t>
        </is>
      </c>
      <c r="E154" s="4" t="inlineStr"/>
      <c r="F154" s="4" t="inlineStr">
        <is>
          <t>THLCH</t>
        </is>
      </c>
      <c r="G154" s="4" t="inlineStr">
        <is>
          <t>CNSHA</t>
        </is>
      </c>
      <c r="H154" s="4" t="inlineStr">
        <is>
          <t xml:space="preserve">20'x5 </t>
        </is>
      </c>
      <c r="I154" s="4" t="inlineStr">
        <is>
          <t>20260928</t>
        </is>
      </c>
      <c r="J154" s="4" t="inlineStr">
        <is>
          <t>THAI POLYCARBONATE CO., LTD.</t>
        </is>
      </c>
      <c r="K154" s="4" t="inlineStr">
        <is>
          <t>THAI POLYCARBONATE CO., LTD.</t>
        </is>
      </c>
      <c r="L154" s="4" t="inlineStr">
        <is>
          <t>POLYCARBONATE RESIN</t>
        </is>
      </c>
      <c r="M154" s="4" t="inlineStr">
        <is>
          <t>This shipment will be loaded with pallet, loading by forklift, so we required good condition container with strong floorboard for this shipment</t>
        </is>
      </c>
      <c r="N154" s="4" t="inlineStr">
        <is>
          <t xml:space="preserve">Pickup : 2026-09-28, Return : 2026-09-30
</t>
        </is>
      </c>
      <c r="O154" s="4" t="n">
        <v>5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>
        <f>SUM(O154:W154)-X154</f>
        <v/>
      </c>
      <c r="AA154" s="4">
        <f>MAX(0,O154-MAX(0,X154))</f>
        <v/>
      </c>
      <c r="AB154" s="4">
        <f>MAX(0,P154-MAX(0,X154-SUM(O154:O154)))</f>
        <v/>
      </c>
      <c r="AC154" s="4">
        <f>MAX(0,Q154-MAX(0,X154-SUM(O154:P154)))</f>
        <v/>
      </c>
      <c r="AD154" s="4">
        <f>MAX(0,R154-MAX(0,X154-SUM(O154:Q154)))</f>
        <v/>
      </c>
      <c r="AE154" s="4">
        <f>MAX(0,S154-MAX(0,X154-SUM(O154:R154)))</f>
        <v/>
      </c>
      <c r="AF154" s="4">
        <f>MAX(0,T154-MAX(0,X154-SUM(O154:S154)))</f>
        <v/>
      </c>
      <c r="AG154" s="4">
        <f>MAX(0,U154-MAX(0,X154-SUM(O154:T154)))</f>
        <v/>
      </c>
      <c r="AH154" s="4">
        <f>MAX(0,V154-MAX(0,X154-SUM(O154:U154)))</f>
        <v/>
      </c>
      <c r="AI154" s="4">
        <f>MAX(0,W154-MAX(0,X154-SUM(O154:V154)))</f>
        <v/>
      </c>
    </row>
    <row r="155">
      <c r="A155" s="4" t="inlineStr">
        <is>
          <t>HASLS22260900820</t>
        </is>
      </c>
      <c r="B155" s="4" t="inlineStr">
        <is>
          <t>SWSP</t>
        </is>
      </c>
      <c r="C155" s="4" t="inlineStr">
        <is>
          <t>2609N</t>
        </is>
      </c>
      <c r="D155" s="4" t="inlineStr">
        <is>
          <t>202610020330</t>
        </is>
      </c>
      <c r="E155" s="4" t="inlineStr"/>
      <c r="F155" s="4" t="inlineStr">
        <is>
          <t>THLCH</t>
        </is>
      </c>
      <c r="G155" s="4" t="inlineStr">
        <is>
          <t>VNSGN</t>
        </is>
      </c>
      <c r="H155" s="4" t="inlineStr">
        <is>
          <t xml:space="preserve">40Hx5 </t>
        </is>
      </c>
      <c r="I155" s="4" t="inlineStr">
        <is>
          <t>20260926</t>
        </is>
      </c>
      <c r="J155" s="4" t="inlineStr">
        <is>
          <t>LOGMAN INTERNATIONAL CO., LTD.</t>
        </is>
      </c>
      <c r="K155" s="4" t="inlineStr">
        <is>
          <t>MAXXIS INTERNATIONAL (THAILAND) CO., LTD.</t>
        </is>
      </c>
      <c r="L155" s="4" t="inlineStr">
        <is>
          <t>NEW TIRE</t>
        </is>
      </c>
      <c r="M155" s="4" t="inlineStr">
        <is>
          <t>REQUEST GOOD AND CLEAN CONTAINER</t>
        </is>
      </c>
      <c r="N155" s="4" t="inlineStr">
        <is>
          <t>Pickup : 2026-09-26, Return : 2026-09-28</t>
        </is>
      </c>
      <c r="O155" s="4" t="n">
        <v>0</v>
      </c>
      <c r="P155" s="4" t="n">
        <v>0</v>
      </c>
      <c r="Q155" s="4" t="n">
        <v>5</v>
      </c>
      <c r="R155" s="4" t="n">
        <v>0</v>
      </c>
      <c r="S155" s="4" t="n">
        <v>0</v>
      </c>
      <c r="T155" s="4" t="n">
        <v>0</v>
      </c>
      <c r="U155" s="4" t="n">
        <v>0</v>
      </c>
      <c r="V155" s="4" t="n">
        <v>0</v>
      </c>
      <c r="W155" s="4" t="n">
        <v>0</v>
      </c>
      <c r="X155" s="4" t="n">
        <v>0</v>
      </c>
      <c r="Y155" s="4" t="n">
        <v>0</v>
      </c>
      <c r="Z155" s="4">
        <f>SUM(O155:W155)-X155</f>
        <v/>
      </c>
      <c r="AA155" s="4">
        <f>MAX(0,O155-MAX(0,X155))</f>
        <v/>
      </c>
      <c r="AB155" s="4">
        <f>MAX(0,P155-MAX(0,X155-SUM(O155:O155)))</f>
        <v/>
      </c>
      <c r="AC155" s="4">
        <f>MAX(0,Q155-MAX(0,X155-SUM(O155:P155)))</f>
        <v/>
      </c>
      <c r="AD155" s="4">
        <f>MAX(0,R155-MAX(0,X155-SUM(O155:Q155)))</f>
        <v/>
      </c>
      <c r="AE155" s="4">
        <f>MAX(0,S155-MAX(0,X155-SUM(O155:R155)))</f>
        <v/>
      </c>
      <c r="AF155" s="4">
        <f>MAX(0,T155-MAX(0,X155-SUM(O155:S155)))</f>
        <v/>
      </c>
      <c r="AG155" s="4">
        <f>MAX(0,U155-MAX(0,X155-SUM(O155:T155)))</f>
        <v/>
      </c>
      <c r="AH155" s="4">
        <f>MAX(0,V155-MAX(0,X155-SUM(O155:U155)))</f>
        <v/>
      </c>
      <c r="AI155" s="4">
        <f>MAX(0,W155-MAX(0,X155-SUM(O155:V155)))</f>
        <v/>
      </c>
    </row>
    <row r="156">
      <c r="A156" s="4" t="inlineStr">
        <is>
          <t>HASLS22260900824</t>
        </is>
      </c>
      <c r="B156" s="4" t="inlineStr">
        <is>
          <t>SWMM</t>
        </is>
      </c>
      <c r="C156" s="4" t="inlineStr">
        <is>
          <t>2609N</t>
        </is>
      </c>
      <c r="D156" s="4" t="inlineStr">
        <is>
          <t>202609240000</t>
        </is>
      </c>
      <c r="E156" s="4" t="inlineStr"/>
      <c r="F156" s="4" t="inlineStr">
        <is>
          <t>THLCH</t>
        </is>
      </c>
      <c r="G156" s="4" t="inlineStr">
        <is>
          <t>VNSGN</t>
        </is>
      </c>
      <c r="H156" s="4" t="inlineStr">
        <is>
          <t xml:space="preserve">40Hx1 </t>
        </is>
      </c>
      <c r="I156" s="4" t="inlineStr">
        <is>
          <t>20260917</t>
        </is>
      </c>
      <c r="J156" s="4" t="inlineStr">
        <is>
          <t>ACCORD PILOT LOGISTICS (THAILAND) CO., LTD.</t>
        </is>
      </c>
      <c r="K156" s="4" t="inlineStr">
        <is>
          <t>LLIT (THAILAND) CO., LTD.</t>
        </is>
      </c>
      <c r="L156" s="4" t="inlineStr">
        <is>
          <t>TYRES</t>
        </is>
      </c>
      <c r="M156" s="4" t="inlineStr">
        <is>
          <t>GOOD AND CLEAN CONTAINER</t>
        </is>
      </c>
      <c r="N156" s="4" t="inlineStr">
        <is>
          <t xml:space="preserve">Pickup : 2026-09-17, Return : 2026-09-18 [1ST RTN 20/09/2026 W/O RENT] 
** PLEASE CHECK OPEN GATE BEFORE RETURN CONTAINER ** </t>
        </is>
      </c>
      <c r="O156" s="4" t="n">
        <v>0</v>
      </c>
      <c r="P156" s="4" t="n">
        <v>0</v>
      </c>
      <c r="Q156" s="4" t="n">
        <v>1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>
        <f>SUM(O156:W156)-X156</f>
        <v/>
      </c>
      <c r="AA156" s="4">
        <f>MAX(0,O156-MAX(0,X156))</f>
        <v/>
      </c>
      <c r="AB156" s="4">
        <f>MAX(0,P156-MAX(0,X156-SUM(O156:O156)))</f>
        <v/>
      </c>
      <c r="AC156" s="4">
        <f>MAX(0,Q156-MAX(0,X156-SUM(O156:P156)))</f>
        <v/>
      </c>
      <c r="AD156" s="4">
        <f>MAX(0,R156-MAX(0,X156-SUM(O156:Q156)))</f>
        <v/>
      </c>
      <c r="AE156" s="4">
        <f>MAX(0,S156-MAX(0,X156-SUM(O156:R156)))</f>
        <v/>
      </c>
      <c r="AF156" s="4">
        <f>MAX(0,T156-MAX(0,X156-SUM(O156:S156)))</f>
        <v/>
      </c>
      <c r="AG156" s="4">
        <f>MAX(0,U156-MAX(0,X156-SUM(O156:T156)))</f>
        <v/>
      </c>
      <c r="AH156" s="4">
        <f>MAX(0,V156-MAX(0,X156-SUM(O156:U156)))</f>
        <v/>
      </c>
      <c r="AI156" s="4">
        <f>MAX(0,W156-MAX(0,X156-SUM(O156:V156)))</f>
        <v/>
      </c>
    </row>
    <row r="157">
      <c r="A157" s="4" t="inlineStr">
        <is>
          <t>HASLS22260900840</t>
        </is>
      </c>
      <c r="B157" s="4" t="inlineStr">
        <is>
          <t>SWMM</t>
        </is>
      </c>
      <c r="C157" s="4" t="inlineStr">
        <is>
          <t>2609N</t>
        </is>
      </c>
      <c r="D157" s="4" t="inlineStr">
        <is>
          <t>202609240000</t>
        </is>
      </c>
      <c r="E157" s="4" t="inlineStr"/>
      <c r="F157" s="4" t="inlineStr">
        <is>
          <t>THLCH</t>
        </is>
      </c>
      <c r="G157" s="4" t="inlineStr">
        <is>
          <t>VNSGN</t>
        </is>
      </c>
      <c r="H157" s="4" t="inlineStr">
        <is>
          <t xml:space="preserve">40Hx1 </t>
        </is>
      </c>
      <c r="I157" s="4" t="inlineStr">
        <is>
          <t>20260921</t>
        </is>
      </c>
      <c r="J157" s="4" t="inlineStr">
        <is>
          <t>KORCHINA FREIGHT (THAILAND) CO., LTD.</t>
        </is>
      </c>
      <c r="K157" s="4" t="inlineStr">
        <is>
          <t>CONTINENTAL TYRES (THAILAND) CO., LTD.</t>
        </is>
      </c>
      <c r="L157" s="4" t="inlineStr">
        <is>
          <t>STEEL BOBBINS / PALLET</t>
        </is>
      </c>
      <c r="M157" s="4" t="inlineStr">
        <is>
          <t>GOOD AND CLEAN CONTAINER</t>
        </is>
      </c>
      <c r="N157" s="4" t="inlineStr">
        <is>
          <t xml:space="preserve">Pickup : 2026-09-21, Return : 2026-09-21
** PLEASE CHECK OPEN GATE BEFORE RETURN CONTAINER **
 </t>
        </is>
      </c>
      <c r="O157" s="4" t="n">
        <v>0</v>
      </c>
      <c r="P157" s="4" t="n">
        <v>0</v>
      </c>
      <c r="Q157" s="4" t="n">
        <v>1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>
        <f>SUM(O157:W157)-X157</f>
        <v/>
      </c>
      <c r="AA157" s="4">
        <f>MAX(0,O157-MAX(0,X157))</f>
        <v/>
      </c>
      <c r="AB157" s="4">
        <f>MAX(0,P157-MAX(0,X157-SUM(O157:O157)))</f>
        <v/>
      </c>
      <c r="AC157" s="4">
        <f>MAX(0,Q157-MAX(0,X157-SUM(O157:P157)))</f>
        <v/>
      </c>
      <c r="AD157" s="4">
        <f>MAX(0,R157-MAX(0,X157-SUM(O157:Q157)))</f>
        <v/>
      </c>
      <c r="AE157" s="4">
        <f>MAX(0,S157-MAX(0,X157-SUM(O157:R157)))</f>
        <v/>
      </c>
      <c r="AF157" s="4">
        <f>MAX(0,T157-MAX(0,X157-SUM(O157:S157)))</f>
        <v/>
      </c>
      <c r="AG157" s="4">
        <f>MAX(0,U157-MAX(0,X157-SUM(O157:T157)))</f>
        <v/>
      </c>
      <c r="AH157" s="4">
        <f>MAX(0,V157-MAX(0,X157-SUM(O157:U157)))</f>
        <v/>
      </c>
      <c r="AI157" s="4">
        <f>MAX(0,W157-MAX(0,X157-SUM(O157:V157)))</f>
        <v/>
      </c>
    </row>
    <row r="158">
      <c r="A158" s="4" t="inlineStr">
        <is>
          <t>HASLS22260900846</t>
        </is>
      </c>
      <c r="B158" s="4" t="inlineStr">
        <is>
          <t>SWSP</t>
        </is>
      </c>
      <c r="C158" s="4" t="inlineStr">
        <is>
          <t>2609N</t>
        </is>
      </c>
      <c r="D158" s="4" t="inlineStr">
        <is>
          <t>202610020330</t>
        </is>
      </c>
      <c r="E158" s="4" t="inlineStr"/>
      <c r="F158" s="4" t="inlineStr">
        <is>
          <t>THLCH</t>
        </is>
      </c>
      <c r="G158" s="4" t="inlineStr">
        <is>
          <t>JPTAK</t>
        </is>
      </c>
      <c r="H158" s="4" t="inlineStr">
        <is>
          <t xml:space="preserve">40Hx2 </t>
        </is>
      </c>
      <c r="I158" s="4" t="inlineStr">
        <is>
          <t>20260924</t>
        </is>
      </c>
      <c r="J158" s="4" t="inlineStr">
        <is>
          <t>DOW CHEMICAL THAILAND LTD.</t>
        </is>
      </c>
      <c r="K158" s="4" t="inlineStr">
        <is>
          <t>SIAM POLYETHYLENE CO., LTD.</t>
        </is>
      </c>
      <c r="L158" s="4" t="inlineStr">
        <is>
          <t>RESIN</t>
        </is>
      </c>
      <c r="M158" s="4" t="inlineStr">
        <is>
          <t>GOOD AND CLEAN CONTAINER</t>
        </is>
      </c>
      <c r="N158" s="4" t="inlineStr">
        <is>
          <t xml:space="preserve">Pickup : 2026-09-24, Return : 2026-09-29
** PLEASE CHECK OPEN GATE BEFORE RETURN CONTAINER ** </t>
        </is>
      </c>
      <c r="O158" s="4" t="n">
        <v>0</v>
      </c>
      <c r="P158" s="4" t="n">
        <v>0</v>
      </c>
      <c r="Q158" s="4" t="n">
        <v>2</v>
      </c>
      <c r="R158" s="4" t="n">
        <v>0</v>
      </c>
      <c r="S158" s="4" t="n">
        <v>0</v>
      </c>
      <c r="T158" s="4" t="n">
        <v>0</v>
      </c>
      <c r="U158" s="4" t="n">
        <v>0</v>
      </c>
      <c r="V158" s="4" t="n">
        <v>0</v>
      </c>
      <c r="W158" s="4" t="n">
        <v>0</v>
      </c>
      <c r="X158" s="4" t="n">
        <v>0</v>
      </c>
      <c r="Y158" s="4" t="n">
        <v>0</v>
      </c>
      <c r="Z158" s="4">
        <f>SUM(O158:W158)-X158</f>
        <v/>
      </c>
      <c r="AA158" s="4">
        <f>MAX(0,O158-MAX(0,X158))</f>
        <v/>
      </c>
      <c r="AB158" s="4">
        <f>MAX(0,P158-MAX(0,X158-SUM(O158:O158)))</f>
        <v/>
      </c>
      <c r="AC158" s="4">
        <f>MAX(0,Q158-MAX(0,X158-SUM(O158:P158)))</f>
        <v/>
      </c>
      <c r="AD158" s="4">
        <f>MAX(0,R158-MAX(0,X158-SUM(O158:Q158)))</f>
        <v/>
      </c>
      <c r="AE158" s="4">
        <f>MAX(0,S158-MAX(0,X158-SUM(O158:R158)))</f>
        <v/>
      </c>
      <c r="AF158" s="4">
        <f>MAX(0,T158-MAX(0,X158-SUM(O158:S158)))</f>
        <v/>
      </c>
      <c r="AG158" s="4">
        <f>MAX(0,U158-MAX(0,X158-SUM(O158:T158)))</f>
        <v/>
      </c>
      <c r="AH158" s="4">
        <f>MAX(0,V158-MAX(0,X158-SUM(O158:U158)))</f>
        <v/>
      </c>
      <c r="AI158" s="4">
        <f>MAX(0,W158-MAX(0,X158-SUM(O158:V158)))</f>
        <v/>
      </c>
    </row>
    <row r="159">
      <c r="A159" s="4" t="inlineStr">
        <is>
          <t>HASLS22260900853</t>
        </is>
      </c>
      <c r="B159" s="4" t="inlineStr">
        <is>
          <t>KMBK</t>
        </is>
      </c>
      <c r="C159" s="4" t="inlineStr">
        <is>
          <t>2611N</t>
        </is>
      </c>
      <c r="D159" s="4" t="inlineStr">
        <is>
          <t>202610030000</t>
        </is>
      </c>
      <c r="E159" s="4" t="inlineStr"/>
      <c r="F159" s="4" t="inlineStr">
        <is>
          <t>THLCH</t>
        </is>
      </c>
      <c r="G159" s="4" t="inlineStr">
        <is>
          <t>JPMIZ</t>
        </is>
      </c>
      <c r="H159" s="4" t="inlineStr">
        <is>
          <t xml:space="preserve">20'x1 </t>
        </is>
      </c>
      <c r="I159" s="4" t="inlineStr">
        <is>
          <t>20260925</t>
        </is>
      </c>
      <c r="J159" s="4" t="inlineStr">
        <is>
          <t>WHA GC LOGISTICS COMPANY LIMITED</t>
        </is>
      </c>
      <c r="K159" s="4" t="inlineStr">
        <is>
          <t>PTT GLOBAL CHEMICAL PUBLIC COMPANY LIMITED</t>
        </is>
      </c>
      <c r="L159" s="4" t="inlineStr">
        <is>
          <t>RESIN</t>
        </is>
      </c>
      <c r="M159" s="4" t="inlineStr">
        <is>
          <t>GOOD &amp; CLEAN CONT.</t>
        </is>
      </c>
      <c r="N159" s="4" t="inlineStr">
        <is>
          <t>CY-RTN 25-27/09/26 (DM2610000014)</t>
        </is>
      </c>
      <c r="O159" s="4" t="n">
        <v>1</v>
      </c>
      <c r="P159" s="4" t="n">
        <v>0</v>
      </c>
      <c r="Q159" s="4" t="n">
        <v>0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>
        <f>SUM(O159:W159)-X159</f>
        <v/>
      </c>
      <c r="AA159" s="4">
        <f>MAX(0,O159-MAX(0,X159))</f>
        <v/>
      </c>
      <c r="AB159" s="4">
        <f>MAX(0,P159-MAX(0,X159-SUM(O159:O159)))</f>
        <v/>
      </c>
      <c r="AC159" s="4">
        <f>MAX(0,Q159-MAX(0,X159-SUM(O159:P159)))</f>
        <v/>
      </c>
      <c r="AD159" s="4">
        <f>MAX(0,R159-MAX(0,X159-SUM(O159:Q159)))</f>
        <v/>
      </c>
      <c r="AE159" s="4">
        <f>MAX(0,S159-MAX(0,X159-SUM(O159:R159)))</f>
        <v/>
      </c>
      <c r="AF159" s="4">
        <f>MAX(0,T159-MAX(0,X159-SUM(O159:S159)))</f>
        <v/>
      </c>
      <c r="AG159" s="4">
        <f>MAX(0,U159-MAX(0,X159-SUM(O159:T159)))</f>
        <v/>
      </c>
      <c r="AH159" s="4">
        <f>MAX(0,V159-MAX(0,X159-SUM(O159:U159)))</f>
        <v/>
      </c>
      <c r="AI159" s="4">
        <f>MAX(0,W159-MAX(0,X159-SUM(O159:V159)))</f>
        <v/>
      </c>
    </row>
    <row r="160">
      <c r="A160" s="4" t="inlineStr">
        <is>
          <t>HASLS22260900854</t>
        </is>
      </c>
      <c r="B160" s="4" t="inlineStr">
        <is>
          <t>NSSJ</t>
        </is>
      </c>
      <c r="C160" s="4" t="inlineStr">
        <is>
          <t>2607S</t>
        </is>
      </c>
      <c r="D160" s="4" t="inlineStr">
        <is>
          <t>202609232100</t>
        </is>
      </c>
      <c r="E160" s="4" t="inlineStr"/>
      <c r="F160" s="4" t="inlineStr">
        <is>
          <t>THLCH</t>
        </is>
      </c>
      <c r="G160" s="4" t="inlineStr">
        <is>
          <t>IDJKT</t>
        </is>
      </c>
      <c r="H160" s="4" t="inlineStr">
        <is>
          <t xml:space="preserve">20'x1 </t>
        </is>
      </c>
      <c r="I160" s="4" t="inlineStr">
        <is>
          <t>20260917</t>
        </is>
      </c>
      <c r="J160" s="4" t="inlineStr">
        <is>
          <t>WISE GLOBAL LOGISTICS CO., LTD.</t>
        </is>
      </c>
      <c r="K160" s="4" t="inlineStr">
        <is>
          <t>ADVANCE ASIA FIBER CO., LTD.</t>
        </is>
      </c>
      <c r="L160" s="4" t="inlineStr">
        <is>
          <t>FIBREBOARD</t>
        </is>
      </c>
      <c r="M160" s="4" t="inlineStr">
        <is>
          <t>GOOD AND CLEAN CONTAINER</t>
        </is>
      </c>
      <c r="N160" s="4" t="inlineStr">
        <is>
          <t>Pickup : 2026-09-17, Return : 2026-09-18</t>
        </is>
      </c>
      <c r="O160" s="4" t="n">
        <v>1</v>
      </c>
      <c r="P160" s="4" t="n">
        <v>0</v>
      </c>
      <c r="Q160" s="4" t="n">
        <v>0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>
        <f>SUM(O160:W160)-X160</f>
        <v/>
      </c>
      <c r="AA160" s="4">
        <f>MAX(0,O160-MAX(0,X160))</f>
        <v/>
      </c>
      <c r="AB160" s="4">
        <f>MAX(0,P160-MAX(0,X160-SUM(O160:O160)))</f>
        <v/>
      </c>
      <c r="AC160" s="4">
        <f>MAX(0,Q160-MAX(0,X160-SUM(O160:P160)))</f>
        <v/>
      </c>
      <c r="AD160" s="4">
        <f>MAX(0,R160-MAX(0,X160-SUM(O160:Q160)))</f>
        <v/>
      </c>
      <c r="AE160" s="4">
        <f>MAX(0,S160-MAX(0,X160-SUM(O160:R160)))</f>
        <v/>
      </c>
      <c r="AF160" s="4">
        <f>MAX(0,T160-MAX(0,X160-SUM(O160:S160)))</f>
        <v/>
      </c>
      <c r="AG160" s="4">
        <f>MAX(0,U160-MAX(0,X160-SUM(O160:T160)))</f>
        <v/>
      </c>
      <c r="AH160" s="4">
        <f>MAX(0,V160-MAX(0,X160-SUM(O160:U160)))</f>
        <v/>
      </c>
      <c r="AI160" s="4">
        <f>MAX(0,W160-MAX(0,X160-SUM(O160:V160)))</f>
        <v/>
      </c>
    </row>
    <row r="161">
      <c r="A161" s="4" t="inlineStr">
        <is>
          <t>HASLS22260900895</t>
        </is>
      </c>
      <c r="B161" s="4" t="inlineStr">
        <is>
          <t>KMGY</t>
        </is>
      </c>
      <c r="C161" s="4" t="inlineStr">
        <is>
          <t>2610N</t>
        </is>
      </c>
      <c r="D161" s="4" t="inlineStr">
        <is>
          <t>202609270800</t>
        </is>
      </c>
      <c r="E161" s="4" t="inlineStr"/>
      <c r="F161" s="4" t="inlineStr">
        <is>
          <t>THLCH</t>
        </is>
      </c>
      <c r="G161" s="4" t="inlineStr">
        <is>
          <t>HKHKG</t>
        </is>
      </c>
      <c r="H161" s="4" t="inlineStr">
        <is>
          <t xml:space="preserve">40Hx1 </t>
        </is>
      </c>
      <c r="I161" s="4" t="inlineStr">
        <is>
          <t>20260921</t>
        </is>
      </c>
      <c r="J161" s="4" t="inlineStr">
        <is>
          <t>YUSEN LOGISTICS (THAILAND) CO., LTD.</t>
        </is>
      </c>
      <c r="K161" s="4" t="inlineStr">
        <is>
          <t>ISUZU MOTORS INTERNATIONAL OPERATIONS (THAILAND) COMPANY LIMITED</t>
        </is>
      </c>
      <c r="L161" s="4" t="inlineStr">
        <is>
          <t>SPARE PARTS</t>
        </is>
      </c>
      <c r="M161" s="4" t="inlineStr">
        <is>
          <t>RQST GOOD CLEAN AND DRY CONTAINER GRADE 'A'</t>
        </is>
      </c>
      <c r="N161" s="4" t="inlineStr">
        <is>
          <t xml:space="preserve">Pickup : 2026-09-21, Return : 2026-09-22
** PLEASE CHECK OPEN GATE BEFORE RETURN CONTAINER **  </t>
        </is>
      </c>
      <c r="O161" s="4" t="n">
        <v>0</v>
      </c>
      <c r="P161" s="4" t="n">
        <v>0</v>
      </c>
      <c r="Q161" s="4" t="n">
        <v>1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>
        <f>SUM(O161:W161)-X161</f>
        <v/>
      </c>
      <c r="AA161" s="4">
        <f>MAX(0,O161-MAX(0,X161))</f>
        <v/>
      </c>
      <c r="AB161" s="4">
        <f>MAX(0,P161-MAX(0,X161-SUM(O161:O161)))</f>
        <v/>
      </c>
      <c r="AC161" s="4">
        <f>MAX(0,Q161-MAX(0,X161-SUM(O161:P161)))</f>
        <v/>
      </c>
      <c r="AD161" s="4">
        <f>MAX(0,R161-MAX(0,X161-SUM(O161:Q161)))</f>
        <v/>
      </c>
      <c r="AE161" s="4">
        <f>MAX(0,S161-MAX(0,X161-SUM(O161:R161)))</f>
        <v/>
      </c>
      <c r="AF161" s="4">
        <f>MAX(0,T161-MAX(0,X161-SUM(O161:S161)))</f>
        <v/>
      </c>
      <c r="AG161" s="4">
        <f>MAX(0,U161-MAX(0,X161-SUM(O161:T161)))</f>
        <v/>
      </c>
      <c r="AH161" s="4">
        <f>MAX(0,V161-MAX(0,X161-SUM(O161:U161)))</f>
        <v/>
      </c>
      <c r="AI161" s="4">
        <f>MAX(0,W161-MAX(0,X161-SUM(O161:V161)))</f>
        <v/>
      </c>
    </row>
    <row r="162">
      <c r="A162" s="4" t="inlineStr">
        <is>
          <t>HASLS22260900905</t>
        </is>
      </c>
      <c r="B162" s="4" t="inlineStr">
        <is>
          <t>SWVG</t>
        </is>
      </c>
      <c r="C162" s="4" t="inlineStr">
        <is>
          <t>2612N</t>
        </is>
      </c>
      <c r="D162" s="4" t="inlineStr">
        <is>
          <t>202610030200</t>
        </is>
      </c>
      <c r="E162" s="4" t="inlineStr"/>
      <c r="F162" s="4" t="inlineStr">
        <is>
          <t>THLCH</t>
        </is>
      </c>
      <c r="G162" s="4" t="inlineStr">
        <is>
          <t>CNSHA</t>
        </is>
      </c>
      <c r="H162" s="4" t="inlineStr">
        <is>
          <t xml:space="preserve">40Hx1 20'x1 </t>
        </is>
      </c>
      <c r="I162" s="4" t="inlineStr">
        <is>
          <t>20260930</t>
        </is>
      </c>
      <c r="J162" s="4" t="inlineStr">
        <is>
          <t>YAMATO UNYU (THAILAND) CO., LTD.</t>
        </is>
      </c>
      <c r="K162" s="4" t="inlineStr">
        <is>
          <t>TSUKATANI (THAILAND) CO.,LTD.</t>
        </is>
      </c>
      <c r="L162" s="4" t="inlineStr">
        <is>
          <t>STEEL CUTTING RULE</t>
        </is>
      </c>
      <c r="M162" s="4" t="inlineStr">
        <is>
          <t>GOOD AND CLEAN CONTAINER</t>
        </is>
      </c>
      <c r="N162" s="4" t="inlineStr">
        <is>
          <t>Pickup : 2026-09-30, Return : 2026-09-30</t>
        </is>
      </c>
      <c r="O162" s="4" t="n">
        <v>1</v>
      </c>
      <c r="P162" s="4" t="n">
        <v>0</v>
      </c>
      <c r="Q162" s="4" t="n">
        <v>1</v>
      </c>
      <c r="R162" s="4" t="n">
        <v>0</v>
      </c>
      <c r="S162" s="4" t="n">
        <v>0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>
        <f>SUM(O162:W162)-X162</f>
        <v/>
      </c>
      <c r="AA162" s="4">
        <f>MAX(0,O162-MAX(0,X162))</f>
        <v/>
      </c>
      <c r="AB162" s="4">
        <f>MAX(0,P162-MAX(0,X162-SUM(O162:O162)))</f>
        <v/>
      </c>
      <c r="AC162" s="4">
        <f>MAX(0,Q162-MAX(0,X162-SUM(O162:P162)))</f>
        <v/>
      </c>
      <c r="AD162" s="4">
        <f>MAX(0,R162-MAX(0,X162-SUM(O162:Q162)))</f>
        <v/>
      </c>
      <c r="AE162" s="4">
        <f>MAX(0,S162-MAX(0,X162-SUM(O162:R162)))</f>
        <v/>
      </c>
      <c r="AF162" s="4">
        <f>MAX(0,T162-MAX(0,X162-SUM(O162:S162)))</f>
        <v/>
      </c>
      <c r="AG162" s="4">
        <f>MAX(0,U162-MAX(0,X162-SUM(O162:T162)))</f>
        <v/>
      </c>
      <c r="AH162" s="4">
        <f>MAX(0,V162-MAX(0,X162-SUM(O162:U162)))</f>
        <v/>
      </c>
      <c r="AI162" s="4">
        <f>MAX(0,W162-MAX(0,X162-SUM(O162:V162)))</f>
        <v/>
      </c>
    </row>
    <row r="163">
      <c r="A163" s="4" t="inlineStr">
        <is>
          <t>HASLS22260900906</t>
        </is>
      </c>
      <c r="B163" s="4" t="inlineStr">
        <is>
          <t>SWAT</t>
        </is>
      </c>
      <c r="C163" s="4" t="inlineStr">
        <is>
          <t>2610N</t>
        </is>
      </c>
      <c r="D163" s="4" t="inlineStr">
        <is>
          <t>202610011100</t>
        </is>
      </c>
      <c r="E163" s="4" t="inlineStr"/>
      <c r="F163" s="4" t="inlineStr">
        <is>
          <t>THLCH</t>
        </is>
      </c>
      <c r="G163" s="4" t="inlineStr">
        <is>
          <t>CNSHK</t>
        </is>
      </c>
      <c r="H163" s="4" t="inlineStr">
        <is>
          <t xml:space="preserve">20'x1 </t>
        </is>
      </c>
      <c r="I163" s="4" t="inlineStr">
        <is>
          <t>20260925</t>
        </is>
      </c>
      <c r="J163" s="4" t="inlineStr">
        <is>
          <t>THAI POLYCARBONATE CO., LTD.</t>
        </is>
      </c>
      <c r="K163" s="4" t="inlineStr">
        <is>
          <t>THAI POLYACETAL CO., LTD.</t>
        </is>
      </c>
      <c r="L163" s="4" t="inlineStr">
        <is>
          <t>POLYACETAL RESIN , HS CODEIS 3907.10</t>
        </is>
      </c>
      <c r="M163" s="4" t="inlineStr">
        <is>
          <t>PLEASE PROVIDE GOOD AND CLEAN CONTAINER, NO RUST, NO HOLE, NO SMELL WITH STRONG FLOORBOARD (LOAD BY FORKLIFT) AND BULLET SEAL TO THIS SHIPMENT</t>
        </is>
      </c>
      <c r="N163" s="4" t="inlineStr">
        <is>
          <t>Pickup : 2026-09-25, Return : 2026-09-28</t>
        </is>
      </c>
      <c r="O163" s="4" t="n">
        <v>1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>
        <f>SUM(O163:W163)-X163</f>
        <v/>
      </c>
      <c r="AA163" s="4">
        <f>MAX(0,O163-MAX(0,X163))</f>
        <v/>
      </c>
      <c r="AB163" s="4">
        <f>MAX(0,P163-MAX(0,X163-SUM(O163:O163)))</f>
        <v/>
      </c>
      <c r="AC163" s="4">
        <f>MAX(0,Q163-MAX(0,X163-SUM(O163:P163)))</f>
        <v/>
      </c>
      <c r="AD163" s="4">
        <f>MAX(0,R163-MAX(0,X163-SUM(O163:Q163)))</f>
        <v/>
      </c>
      <c r="AE163" s="4">
        <f>MAX(0,S163-MAX(0,X163-SUM(O163:R163)))</f>
        <v/>
      </c>
      <c r="AF163" s="4">
        <f>MAX(0,T163-MAX(0,X163-SUM(O163:S163)))</f>
        <v/>
      </c>
      <c r="AG163" s="4">
        <f>MAX(0,U163-MAX(0,X163-SUM(O163:T163)))</f>
        <v/>
      </c>
      <c r="AH163" s="4">
        <f>MAX(0,V163-MAX(0,X163-SUM(O163:U163)))</f>
        <v/>
      </c>
      <c r="AI163" s="4">
        <f>MAX(0,W163-MAX(0,X163-SUM(O163:V163)))</f>
        <v/>
      </c>
    </row>
    <row r="164">
      <c r="A164" s="4" t="inlineStr">
        <is>
          <t>HASLS22260900907</t>
        </is>
      </c>
      <c r="B164" s="4" t="inlineStr">
        <is>
          <t>KMBK</t>
        </is>
      </c>
      <c r="C164" s="4" t="inlineStr">
        <is>
          <t>2611N</t>
        </is>
      </c>
      <c r="D164" s="4" t="inlineStr">
        <is>
          <t>202610030000</t>
        </is>
      </c>
      <c r="E164" s="4" t="inlineStr"/>
      <c r="F164" s="4" t="inlineStr">
        <is>
          <t>THLCH</t>
        </is>
      </c>
      <c r="G164" s="4" t="inlineStr">
        <is>
          <t>JPKIJ</t>
        </is>
      </c>
      <c r="H164" s="4" t="inlineStr">
        <is>
          <t xml:space="preserve">20'x3 </t>
        </is>
      </c>
      <c r="I164" s="4" t="inlineStr">
        <is>
          <t>20260929</t>
        </is>
      </c>
      <c r="J164" s="4" t="inlineStr">
        <is>
          <t>THAI KAWANISHI LIMITED</t>
        </is>
      </c>
      <c r="K164" s="4" t="inlineStr">
        <is>
          <t>SMC FOOD (THAILAND) CO.,LTD.</t>
        </is>
      </c>
      <c r="L164" s="4" t="inlineStr">
        <is>
          <t>Sugar</t>
        </is>
      </c>
      <c r="M164" s="4" t="inlineStr">
        <is>
          <t>REQUEST FOOD GRADE / SMOOTH FLOOR / NO SMELL / NO RUST / UNDER DECK</t>
        </is>
      </c>
      <c r="N164" s="4" t="inlineStr">
        <is>
          <t>Pickup : 2026-09-29, Return : 2026-09-29</t>
        </is>
      </c>
      <c r="O164" s="4" t="n">
        <v>3</v>
      </c>
      <c r="P164" s="4" t="n">
        <v>0</v>
      </c>
      <c r="Q164" s="4" t="n">
        <v>0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>
        <f>SUM(O164:W164)-X164</f>
        <v/>
      </c>
      <c r="AA164" s="4">
        <f>MAX(0,O164-MAX(0,X164))</f>
        <v/>
      </c>
      <c r="AB164" s="4">
        <f>MAX(0,P164-MAX(0,X164-SUM(O164:O164)))</f>
        <v/>
      </c>
      <c r="AC164" s="4">
        <f>MAX(0,Q164-MAX(0,X164-SUM(O164:P164)))</f>
        <v/>
      </c>
      <c r="AD164" s="4">
        <f>MAX(0,R164-MAX(0,X164-SUM(O164:Q164)))</f>
        <v/>
      </c>
      <c r="AE164" s="4">
        <f>MAX(0,S164-MAX(0,X164-SUM(O164:R164)))</f>
        <v/>
      </c>
      <c r="AF164" s="4">
        <f>MAX(0,T164-MAX(0,X164-SUM(O164:S164)))</f>
        <v/>
      </c>
      <c r="AG164" s="4">
        <f>MAX(0,U164-MAX(0,X164-SUM(O164:T164)))</f>
        <v/>
      </c>
      <c r="AH164" s="4">
        <f>MAX(0,V164-MAX(0,X164-SUM(O164:U164)))</f>
        <v/>
      </c>
      <c r="AI164" s="4">
        <f>MAX(0,W164-MAX(0,X164-SUM(O164:V164)))</f>
        <v/>
      </c>
    </row>
    <row r="165">
      <c r="A165" s="4" t="inlineStr">
        <is>
          <t>HASLS22260900917</t>
        </is>
      </c>
      <c r="B165" s="4" t="inlineStr">
        <is>
          <t>SWDN</t>
        </is>
      </c>
      <c r="C165" s="4" t="inlineStr">
        <is>
          <t>2610N</t>
        </is>
      </c>
      <c r="D165" s="4" t="inlineStr">
        <is>
          <t>202609300600</t>
        </is>
      </c>
      <c r="E165" s="4" t="inlineStr"/>
      <c r="F165" s="4" t="inlineStr">
        <is>
          <t>THLCH</t>
        </is>
      </c>
      <c r="G165" s="4" t="inlineStr">
        <is>
          <t>HKHKG</t>
        </is>
      </c>
      <c r="H165" s="4" t="inlineStr">
        <is>
          <t xml:space="preserve">R40Hx1 </t>
        </is>
      </c>
      <c r="I165" s="4" t="inlineStr">
        <is>
          <t>20260928</t>
        </is>
      </c>
      <c r="J165" s="4" t="inlineStr">
        <is>
          <t>DYNAMIC INTERTRANSPORT CO., LTD.</t>
        </is>
      </c>
      <c r="K165" s="4" t="inlineStr">
        <is>
          <t>CP-MEIJI CO., LTD.</t>
        </is>
      </c>
      <c r="L165" s="4" t="inlineStr">
        <is>
          <t>FRESH MILK AND MILK PRODUCT</t>
        </is>
      </c>
      <c r="M165" s="4" t="inlineStr">
        <is>
          <t>(Temp +0.0℃ / Vent Close)   
REQUEST : CLEAN AND GOOD CONTAINER FOR MILK PRODUCT</t>
        </is>
      </c>
      <c r="N165" s="4" t="inlineStr">
        <is>
          <t>Pickup : 2026-09-28, Return : 2026-09-29 (Temp +0.0 / Vent Close) 
CLS TIME 29/09/26 @18.00</t>
        </is>
      </c>
      <c r="O165" s="4" t="n">
        <v>0</v>
      </c>
      <c r="P165" s="4" t="n">
        <v>0</v>
      </c>
      <c r="Q165" s="4" t="n">
        <v>0</v>
      </c>
      <c r="R165" s="4" t="n">
        <v>0</v>
      </c>
      <c r="S165" s="4" t="n">
        <v>1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>
        <f>SUM(O165:W165)-X165</f>
        <v/>
      </c>
      <c r="AA165" s="4">
        <f>MAX(0,O165-MAX(0,X165))</f>
        <v/>
      </c>
      <c r="AB165" s="4">
        <f>MAX(0,P165-MAX(0,X165-SUM(O165:O165)))</f>
        <v/>
      </c>
      <c r="AC165" s="4">
        <f>MAX(0,Q165-MAX(0,X165-SUM(O165:P165)))</f>
        <v/>
      </c>
      <c r="AD165" s="4">
        <f>MAX(0,R165-MAX(0,X165-SUM(O165:Q165)))</f>
        <v/>
      </c>
      <c r="AE165" s="4">
        <f>MAX(0,S165-MAX(0,X165-SUM(O165:R165)))</f>
        <v/>
      </c>
      <c r="AF165" s="4">
        <f>MAX(0,T165-MAX(0,X165-SUM(O165:S165)))</f>
        <v/>
      </c>
      <c r="AG165" s="4">
        <f>MAX(0,U165-MAX(0,X165-SUM(O165:T165)))</f>
        <v/>
      </c>
      <c r="AH165" s="4">
        <f>MAX(0,V165-MAX(0,X165-SUM(O165:U165)))</f>
        <v/>
      </c>
      <c r="AI165" s="4">
        <f>MAX(0,W165-MAX(0,X165-SUM(O165:V165)))</f>
        <v/>
      </c>
    </row>
    <row r="166">
      <c r="A166" s="4" t="inlineStr">
        <is>
          <t>HASLS22260900918</t>
        </is>
      </c>
      <c r="B166" s="4" t="inlineStr">
        <is>
          <t>SWDN</t>
        </is>
      </c>
      <c r="C166" s="4" t="inlineStr">
        <is>
          <t>2610N</t>
        </is>
      </c>
      <c r="D166" s="4" t="inlineStr">
        <is>
          <t>202609300600</t>
        </is>
      </c>
      <c r="E166" s="4" t="inlineStr"/>
      <c r="F166" s="4" t="inlineStr">
        <is>
          <t>THLCH</t>
        </is>
      </c>
      <c r="G166" s="4" t="inlineStr">
        <is>
          <t>HKHKG</t>
        </is>
      </c>
      <c r="H166" s="4" t="inlineStr">
        <is>
          <t xml:space="preserve">R40Hx1 </t>
        </is>
      </c>
      <c r="I166" s="4" t="inlineStr">
        <is>
          <t>20260928</t>
        </is>
      </c>
      <c r="J166" s="4" t="inlineStr">
        <is>
          <t>DYNAMIC INTERTRANSPORT CO., LTD.</t>
        </is>
      </c>
      <c r="K166" s="4" t="inlineStr">
        <is>
          <t>CP-MEIJI CO., LTD.</t>
        </is>
      </c>
      <c r="L166" s="4" t="inlineStr">
        <is>
          <t>FRESH MILK AND MILK PRODUCT</t>
        </is>
      </c>
      <c r="M166" s="4" t="inlineStr">
        <is>
          <t>(Temp +0.0℃ / Vent Close)   
REQUEST : CLEAN AND GOOD CONTAINER FOR MILK PRODUCT</t>
        </is>
      </c>
      <c r="N166" s="4" t="inlineStr">
        <is>
          <t>Pickup : 2026-09-28, Return : 2026-09-29 (Temp +0.0 / Vent Close) 
CLS TIME 29/09/26 @18.00</t>
        </is>
      </c>
      <c r="O166" s="4" t="n">
        <v>0</v>
      </c>
      <c r="P166" s="4" t="n">
        <v>0</v>
      </c>
      <c r="Q166" s="4" t="n">
        <v>0</v>
      </c>
      <c r="R166" s="4" t="n">
        <v>0</v>
      </c>
      <c r="S166" s="4" t="n">
        <v>1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>
        <f>SUM(O166:W166)-X166</f>
        <v/>
      </c>
      <c r="AA166" s="4">
        <f>MAX(0,O166-MAX(0,X166))</f>
        <v/>
      </c>
      <c r="AB166" s="4">
        <f>MAX(0,P166-MAX(0,X166-SUM(O166:O166)))</f>
        <v/>
      </c>
      <c r="AC166" s="4">
        <f>MAX(0,Q166-MAX(0,X166-SUM(O166:P166)))</f>
        <v/>
      </c>
      <c r="AD166" s="4">
        <f>MAX(0,R166-MAX(0,X166-SUM(O166:Q166)))</f>
        <v/>
      </c>
      <c r="AE166" s="4">
        <f>MAX(0,S166-MAX(0,X166-SUM(O166:R166)))</f>
        <v/>
      </c>
      <c r="AF166" s="4">
        <f>MAX(0,T166-MAX(0,X166-SUM(O166:S166)))</f>
        <v/>
      </c>
      <c r="AG166" s="4">
        <f>MAX(0,U166-MAX(0,X166-SUM(O166:T166)))</f>
        <v/>
      </c>
      <c r="AH166" s="4">
        <f>MAX(0,V166-MAX(0,X166-SUM(O166:U166)))</f>
        <v/>
      </c>
      <c r="AI166" s="4">
        <f>MAX(0,W166-MAX(0,X166-SUM(O166:V166)))</f>
        <v/>
      </c>
    </row>
    <row r="167">
      <c r="A167" s="4" t="inlineStr">
        <is>
          <t>HASLS22260900925</t>
        </is>
      </c>
      <c r="B167" s="4" t="inlineStr">
        <is>
          <t>SWIC</t>
        </is>
      </c>
      <c r="C167" s="4" t="inlineStr">
        <is>
          <t>2610N</t>
        </is>
      </c>
      <c r="D167" s="4" t="inlineStr">
        <is>
          <t>202609220500</t>
        </is>
      </c>
      <c r="E167" s="4" t="inlineStr"/>
      <c r="F167" s="4" t="inlineStr">
        <is>
          <t>THLCH</t>
        </is>
      </c>
      <c r="G167" s="4" t="inlineStr">
        <is>
          <t>VNSGN</t>
        </is>
      </c>
      <c r="H167" s="4" t="inlineStr">
        <is>
          <t xml:space="preserve">40Hx6 </t>
        </is>
      </c>
      <c r="I167" s="4" t="inlineStr">
        <is>
          <t>20260909</t>
        </is>
      </c>
      <c r="J167" s="4" t="inlineStr">
        <is>
          <t>WHA GC LOGISTICS COMPANY LIMITED</t>
        </is>
      </c>
      <c r="K167" s="4" t="inlineStr">
        <is>
          <t>PTT GLOBAL CHEMICAL PUBLIC COMPANY LIMITED</t>
        </is>
      </c>
      <c r="L167" s="4" t="inlineStr">
        <is>
          <t>RESIN</t>
        </is>
      </c>
      <c r="M167" s="4" t="inlineStr">
        <is>
          <t>GOOD AND CLEAN CTNR</t>
        </is>
      </c>
      <c r="N167" s="4" t="inlineStr">
        <is>
          <t xml:space="preserve">CY-RTN : 09-13/09/2026
*PLS CHECK OPEN GATE BEFORE RETURN CTNR*
</t>
        </is>
      </c>
      <c r="O167" s="4" t="n">
        <v>0</v>
      </c>
      <c r="P167" s="4" t="n">
        <v>0</v>
      </c>
      <c r="Q167" s="4" t="n">
        <v>6</v>
      </c>
      <c r="R167" s="4" t="n">
        <v>0</v>
      </c>
      <c r="S167" s="4" t="n">
        <v>0</v>
      </c>
      <c r="T167" s="4" t="n">
        <v>0</v>
      </c>
      <c r="U167" s="4" t="n">
        <v>0</v>
      </c>
      <c r="V167" s="4" t="n">
        <v>0</v>
      </c>
      <c r="W167" s="4" t="n">
        <v>0</v>
      </c>
      <c r="X167" s="4" t="n">
        <v>0</v>
      </c>
      <c r="Y167" s="4" t="n">
        <v>6</v>
      </c>
      <c r="Z167" s="4">
        <f>SUM(O167:W167)-X167</f>
        <v/>
      </c>
      <c r="AA167" s="4">
        <f>MAX(0,O167-MAX(0,X167))</f>
        <v/>
      </c>
      <c r="AB167" s="4">
        <f>MAX(0,P167-MAX(0,X167-SUM(O167:O167)))</f>
        <v/>
      </c>
      <c r="AC167" s="4">
        <f>MAX(0,Q167-MAX(0,X167-SUM(O167:P167)))</f>
        <v/>
      </c>
      <c r="AD167" s="4">
        <f>MAX(0,R167-MAX(0,X167-SUM(O167:Q167)))</f>
        <v/>
      </c>
      <c r="AE167" s="4">
        <f>MAX(0,S167-MAX(0,X167-SUM(O167:R167)))</f>
        <v/>
      </c>
      <c r="AF167" s="4">
        <f>MAX(0,T167-MAX(0,X167-SUM(O167:S167)))</f>
        <v/>
      </c>
      <c r="AG167" s="4">
        <f>MAX(0,U167-MAX(0,X167-SUM(O167:T167)))</f>
        <v/>
      </c>
      <c r="AH167" s="4">
        <f>MAX(0,V167-MAX(0,X167-SUM(O167:U167)))</f>
        <v/>
      </c>
      <c r="AI167" s="4">
        <f>MAX(0,W167-MAX(0,X167-SUM(O167:V167)))</f>
        <v/>
      </c>
    </row>
    <row r="168">
      <c r="A168" s="4" t="inlineStr">
        <is>
          <t>HASLS22260900926</t>
        </is>
      </c>
      <c r="B168" s="4" t="inlineStr">
        <is>
          <t>SWAL</t>
        </is>
      </c>
      <c r="C168" s="4" t="inlineStr">
        <is>
          <t>2608N</t>
        </is>
      </c>
      <c r="D168" s="4" t="inlineStr">
        <is>
          <t>202609290800</t>
        </is>
      </c>
      <c r="E168" s="4" t="inlineStr"/>
      <c r="F168" s="4" t="inlineStr">
        <is>
          <t>THLCH</t>
        </is>
      </c>
      <c r="G168" s="4" t="inlineStr">
        <is>
          <t>VNSGN</t>
        </is>
      </c>
      <c r="H168" s="4" t="inlineStr">
        <is>
          <t xml:space="preserve">20'x1 </t>
        </is>
      </c>
      <c r="I168" s="4" t="inlineStr">
        <is>
          <t>20260917</t>
        </is>
      </c>
      <c r="J168" s="4" t="inlineStr">
        <is>
          <t>WHA GC LOGISTICS COMPANY LIMITED</t>
        </is>
      </c>
      <c r="K168" s="4" t="inlineStr">
        <is>
          <t>PTT GLOBAL CHEMICAL PUBLIC COMPANY LIMITED</t>
        </is>
      </c>
      <c r="L168" s="4" t="inlineStr">
        <is>
          <t>RESIN</t>
        </is>
      </c>
      <c r="M168" s="4" t="inlineStr">
        <is>
          <t>GOOD AND CLEAN CTNR</t>
        </is>
      </c>
      <c r="N168" s="4" t="inlineStr">
        <is>
          <t>CY-RTN : 17-25/09/26 [1ST RTN 25/09/2026 W/O RENT] 
*PLS CHECK OPEN GATE BEFORE RETURN CTNR*</t>
        </is>
      </c>
      <c r="O168" s="4" t="n">
        <v>1</v>
      </c>
      <c r="P168" s="4" t="n">
        <v>0</v>
      </c>
      <c r="Q168" s="4" t="n">
        <v>0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>
        <f>SUM(O168:W168)-X168</f>
        <v/>
      </c>
      <c r="AA168" s="4">
        <f>MAX(0,O168-MAX(0,X168))</f>
        <v/>
      </c>
      <c r="AB168" s="4">
        <f>MAX(0,P168-MAX(0,X168-SUM(O168:O168)))</f>
        <v/>
      </c>
      <c r="AC168" s="4">
        <f>MAX(0,Q168-MAX(0,X168-SUM(O168:P168)))</f>
        <v/>
      </c>
      <c r="AD168" s="4">
        <f>MAX(0,R168-MAX(0,X168-SUM(O168:Q168)))</f>
        <v/>
      </c>
      <c r="AE168" s="4">
        <f>MAX(0,S168-MAX(0,X168-SUM(O168:R168)))</f>
        <v/>
      </c>
      <c r="AF168" s="4">
        <f>MAX(0,T168-MAX(0,X168-SUM(O168:S168)))</f>
        <v/>
      </c>
      <c r="AG168" s="4">
        <f>MAX(0,U168-MAX(0,X168-SUM(O168:T168)))</f>
        <v/>
      </c>
      <c r="AH168" s="4">
        <f>MAX(0,V168-MAX(0,X168-SUM(O168:U168)))</f>
        <v/>
      </c>
      <c r="AI168" s="4">
        <f>MAX(0,W168-MAX(0,X168-SUM(O168:V168)))</f>
        <v/>
      </c>
    </row>
    <row r="169">
      <c r="A169" s="4" t="inlineStr">
        <is>
          <t>HASLS22260900927</t>
        </is>
      </c>
      <c r="B169" s="4" t="inlineStr">
        <is>
          <t>SWAL</t>
        </is>
      </c>
      <c r="C169" s="4" t="inlineStr">
        <is>
          <t>2608N</t>
        </is>
      </c>
      <c r="D169" s="4" t="inlineStr">
        <is>
          <t>202609290800</t>
        </is>
      </c>
      <c r="E169" s="4" t="inlineStr"/>
      <c r="F169" s="4" t="inlineStr">
        <is>
          <t>THLCH</t>
        </is>
      </c>
      <c r="G169" s="4" t="inlineStr">
        <is>
          <t>VNSGN</t>
        </is>
      </c>
      <c r="H169" s="4" t="inlineStr">
        <is>
          <t xml:space="preserve">20'x8 </t>
        </is>
      </c>
      <c r="I169" s="4" t="inlineStr">
        <is>
          <t>20260917</t>
        </is>
      </c>
      <c r="J169" s="4" t="inlineStr">
        <is>
          <t>WHA GC LOGISTICS COMPANY LIMITED</t>
        </is>
      </c>
      <c r="K169" s="4" t="inlineStr">
        <is>
          <t>PTT GLOBAL CHEMICAL PUBLIC COMPANY LIMITED</t>
        </is>
      </c>
      <c r="L169" s="4" t="inlineStr">
        <is>
          <t>RESIN</t>
        </is>
      </c>
      <c r="M169" s="4" t="inlineStr">
        <is>
          <t>GOOD AND CLEAN CTNR</t>
        </is>
      </c>
      <c r="N169" s="4" t="inlineStr">
        <is>
          <t>CY-RTN : 17-25/09/26 [1ST RTN 25/09/2026 W/O RENT] 
*PLS CHECK OPEN GATE BEFORE RETURN CTNR*</t>
        </is>
      </c>
      <c r="O169" s="4" t="n">
        <v>8</v>
      </c>
      <c r="P169" s="4" t="n">
        <v>0</v>
      </c>
      <c r="Q169" s="4" t="n">
        <v>0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>
        <f>SUM(O169:W169)-X169</f>
        <v/>
      </c>
      <c r="AA169" s="4">
        <f>MAX(0,O169-MAX(0,X169))</f>
        <v/>
      </c>
      <c r="AB169" s="4">
        <f>MAX(0,P169-MAX(0,X169-SUM(O169:O169)))</f>
        <v/>
      </c>
      <c r="AC169" s="4">
        <f>MAX(0,Q169-MAX(0,X169-SUM(O169:P169)))</f>
        <v/>
      </c>
      <c r="AD169" s="4">
        <f>MAX(0,R169-MAX(0,X169-SUM(O169:Q169)))</f>
        <v/>
      </c>
      <c r="AE169" s="4">
        <f>MAX(0,S169-MAX(0,X169-SUM(O169:R169)))</f>
        <v/>
      </c>
      <c r="AF169" s="4">
        <f>MAX(0,T169-MAX(0,X169-SUM(O169:S169)))</f>
        <v/>
      </c>
      <c r="AG169" s="4">
        <f>MAX(0,U169-MAX(0,X169-SUM(O169:T169)))</f>
        <v/>
      </c>
      <c r="AH169" s="4">
        <f>MAX(0,V169-MAX(0,X169-SUM(O169:U169)))</f>
        <v/>
      </c>
      <c r="AI169" s="4">
        <f>MAX(0,W169-MAX(0,X169-SUM(O169:V169)))</f>
        <v/>
      </c>
    </row>
    <row r="170">
      <c r="A170" s="4" t="inlineStr">
        <is>
          <t>HASLS22260900928</t>
        </is>
      </c>
      <c r="B170" s="4" t="inlineStr">
        <is>
          <t>SWAL</t>
        </is>
      </c>
      <c r="C170" s="4" t="inlineStr">
        <is>
          <t>2608N</t>
        </is>
      </c>
      <c r="D170" s="4" t="inlineStr">
        <is>
          <t>202609290800</t>
        </is>
      </c>
      <c r="E170" s="4" t="inlineStr"/>
      <c r="F170" s="4" t="inlineStr">
        <is>
          <t>THLCH</t>
        </is>
      </c>
      <c r="G170" s="4" t="inlineStr">
        <is>
          <t>VNSGN</t>
        </is>
      </c>
      <c r="H170" s="4" t="inlineStr">
        <is>
          <t xml:space="preserve">40Hx5 </t>
        </is>
      </c>
      <c r="I170" s="4" t="inlineStr">
        <is>
          <t>20260917</t>
        </is>
      </c>
      <c r="J170" s="4" t="inlineStr">
        <is>
          <t>WHA GC LOGISTICS COMPANY LIMITED</t>
        </is>
      </c>
      <c r="K170" s="4" t="inlineStr">
        <is>
          <t>PTT GLOBAL CHEMICAL PUBLIC COMPANY LIMITED</t>
        </is>
      </c>
      <c r="L170" s="4" t="inlineStr">
        <is>
          <t>RESIN</t>
        </is>
      </c>
      <c r="M170" s="4" t="inlineStr">
        <is>
          <t>GOOD AND CLEAN CTNR</t>
        </is>
      </c>
      <c r="N170" s="4" t="inlineStr">
        <is>
          <t>CY-RTN : 17-25/09/26 [1ST RTN 25/09/2026 W/O RENT] 
*PLS CHECK OPEN GATE BEFORE RETURN CTNR*</t>
        </is>
      </c>
      <c r="O170" s="4" t="n">
        <v>0</v>
      </c>
      <c r="P170" s="4" t="n">
        <v>0</v>
      </c>
      <c r="Q170" s="4" t="n">
        <v>5</v>
      </c>
      <c r="R170" s="4" t="n">
        <v>0</v>
      </c>
      <c r="S170" s="4" t="n">
        <v>0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>
        <f>SUM(O170:W170)-X170</f>
        <v/>
      </c>
      <c r="AA170" s="4">
        <f>MAX(0,O170-MAX(0,X170))</f>
        <v/>
      </c>
      <c r="AB170" s="4">
        <f>MAX(0,P170-MAX(0,X170-SUM(O170:O170)))</f>
        <v/>
      </c>
      <c r="AC170" s="4">
        <f>MAX(0,Q170-MAX(0,X170-SUM(O170:P170)))</f>
        <v/>
      </c>
      <c r="AD170" s="4">
        <f>MAX(0,R170-MAX(0,X170-SUM(O170:Q170)))</f>
        <v/>
      </c>
      <c r="AE170" s="4">
        <f>MAX(0,S170-MAX(0,X170-SUM(O170:R170)))</f>
        <v/>
      </c>
      <c r="AF170" s="4">
        <f>MAX(0,T170-MAX(0,X170-SUM(O170:S170)))</f>
        <v/>
      </c>
      <c r="AG170" s="4">
        <f>MAX(0,U170-MAX(0,X170-SUM(O170:T170)))</f>
        <v/>
      </c>
      <c r="AH170" s="4">
        <f>MAX(0,V170-MAX(0,X170-SUM(O170:U170)))</f>
        <v/>
      </c>
      <c r="AI170" s="4">
        <f>MAX(0,W170-MAX(0,X170-SUM(O170:V170)))</f>
        <v/>
      </c>
    </row>
    <row r="171">
      <c r="A171" s="4" t="inlineStr">
        <is>
          <t>HASLS22260900952</t>
        </is>
      </c>
      <c r="B171" s="4" t="inlineStr">
        <is>
          <t>SKOR</t>
        </is>
      </c>
      <c r="C171" s="4" t="inlineStr">
        <is>
          <t>2611N</t>
        </is>
      </c>
      <c r="D171" s="4" t="inlineStr">
        <is>
          <t>202609260900</t>
        </is>
      </c>
      <c r="E171" s="4" t="inlineStr"/>
      <c r="F171" s="4" t="inlineStr">
        <is>
          <t>THLCH</t>
        </is>
      </c>
      <c r="G171" s="4" t="inlineStr">
        <is>
          <t>CNXMN</t>
        </is>
      </c>
      <c r="H171" s="4" t="inlineStr">
        <is>
          <t xml:space="preserve">R40Hx1 </t>
        </is>
      </c>
      <c r="I171" s="4" t="inlineStr">
        <is>
          <t>20260916</t>
        </is>
      </c>
      <c r="J171" s="4" t="inlineStr">
        <is>
          <t>POSTMAN (THAILAND) CO.,LTD.</t>
        </is>
      </c>
      <c r="K171" s="4" t="inlineStr">
        <is>
          <t>POSTMAN (THAILAND) CO.,LTD.</t>
        </is>
      </c>
      <c r="L171" s="4" t="inlineStr">
        <is>
          <t>FRESH LONGAN</t>
        </is>
      </c>
      <c r="M171" s="4" t="inlineStr">
        <is>
          <t>RF45REx1 (Temp +2.0℃ / Vent 15% Open)</t>
        </is>
      </c>
      <c r="N171" s="4" t="inlineStr">
        <is>
          <t xml:space="preserve">Pickup : 2026-09-16, Return : 2026-09-22 (Temp +2.0 / Vent 15% Open) 
 CLS TIME 25/09 @19.00 [1ST RTN 22/09 W/O ELECTRIC] </t>
        </is>
      </c>
      <c r="O171" s="4" t="n">
        <v>0</v>
      </c>
      <c r="P171" s="4" t="n">
        <v>0</v>
      </c>
      <c r="Q171" s="4" t="n">
        <v>0</v>
      </c>
      <c r="R171" s="4" t="n">
        <v>0</v>
      </c>
      <c r="S171" s="4" t="n">
        <v>1</v>
      </c>
      <c r="T171" s="4" t="n">
        <v>0</v>
      </c>
      <c r="U171" s="4" t="n">
        <v>0</v>
      </c>
      <c r="V171" s="4" t="n">
        <v>0</v>
      </c>
      <c r="W171" s="4" t="n">
        <v>0</v>
      </c>
      <c r="X171" s="4" t="n">
        <v>0</v>
      </c>
      <c r="Y171" s="4" t="n">
        <v>0</v>
      </c>
      <c r="Z171" s="4">
        <f>SUM(O171:W171)-X171</f>
        <v/>
      </c>
      <c r="AA171" s="4">
        <f>MAX(0,O171-MAX(0,X171))</f>
        <v/>
      </c>
      <c r="AB171" s="4">
        <f>MAX(0,P171-MAX(0,X171-SUM(O171:O171)))</f>
        <v/>
      </c>
      <c r="AC171" s="4">
        <f>MAX(0,Q171-MAX(0,X171-SUM(O171:P171)))</f>
        <v/>
      </c>
      <c r="AD171" s="4">
        <f>MAX(0,R171-MAX(0,X171-SUM(O171:Q171)))</f>
        <v/>
      </c>
      <c r="AE171" s="4">
        <f>MAX(0,S171-MAX(0,X171-SUM(O171:R171)))</f>
        <v/>
      </c>
      <c r="AF171" s="4">
        <f>MAX(0,T171-MAX(0,X171-SUM(O171:S171)))</f>
        <v/>
      </c>
      <c r="AG171" s="4">
        <f>MAX(0,U171-MAX(0,X171-SUM(O171:T171)))</f>
        <v/>
      </c>
      <c r="AH171" s="4">
        <f>MAX(0,V171-MAX(0,X171-SUM(O171:U171)))</f>
        <v/>
      </c>
      <c r="AI171" s="4">
        <f>MAX(0,W171-MAX(0,X171-SUM(O171:V171)))</f>
        <v/>
      </c>
    </row>
    <row r="172">
      <c r="A172" s="4" t="inlineStr">
        <is>
          <t>HASLS22260900977</t>
        </is>
      </c>
      <c r="B172" s="4" t="inlineStr">
        <is>
          <t>SWVG</t>
        </is>
      </c>
      <c r="C172" s="4" t="inlineStr">
        <is>
          <t>2612N</t>
        </is>
      </c>
      <c r="D172" s="4" t="inlineStr">
        <is>
          <t>202610030200</t>
        </is>
      </c>
      <c r="E172" s="4" t="inlineStr"/>
      <c r="F172" s="4" t="inlineStr">
        <is>
          <t>THLCH</t>
        </is>
      </c>
      <c r="G172" s="4" t="inlineStr">
        <is>
          <t>CNSHA</t>
        </is>
      </c>
      <c r="H172" s="4" t="inlineStr">
        <is>
          <t xml:space="preserve">40Hx2 </t>
        </is>
      </c>
      <c r="I172" s="4" t="inlineStr">
        <is>
          <t>20260930</t>
        </is>
      </c>
      <c r="J172" s="4" t="inlineStr">
        <is>
          <t>L.A.1 CO.,LTD.</t>
        </is>
      </c>
      <c r="K172" s="4" t="inlineStr">
        <is>
          <t>TANATEX CHEMICALS (THAILAND) CO., LTD.</t>
        </is>
      </c>
      <c r="L172" s="4" t="inlineStr">
        <is>
          <t>CHEMICALS PRODUCT (NON DG)</t>
        </is>
      </c>
      <c r="M172" s="4" t="inlineStr">
        <is>
          <t>REQUEST : CONTAINER MAX GROSS 32.50 TONS</t>
        </is>
      </c>
      <c r="N172" s="4" t="inlineStr">
        <is>
          <t xml:space="preserve">Pickup : 2026-09-30, Return : 2026-10-01 </t>
        </is>
      </c>
      <c r="O172" s="4" t="n">
        <v>0</v>
      </c>
      <c r="P172" s="4" t="n">
        <v>0</v>
      </c>
      <c r="Q172" s="4" t="n">
        <v>2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>
        <f>SUM(O172:W172)-X172</f>
        <v/>
      </c>
      <c r="AA172" s="4">
        <f>MAX(0,O172-MAX(0,X172))</f>
        <v/>
      </c>
      <c r="AB172" s="4">
        <f>MAX(0,P172-MAX(0,X172-SUM(O172:O172)))</f>
        <v/>
      </c>
      <c r="AC172" s="4">
        <f>MAX(0,Q172-MAX(0,X172-SUM(O172:P172)))</f>
        <v/>
      </c>
      <c r="AD172" s="4">
        <f>MAX(0,R172-MAX(0,X172-SUM(O172:Q172)))</f>
        <v/>
      </c>
      <c r="AE172" s="4">
        <f>MAX(0,S172-MAX(0,X172-SUM(O172:R172)))</f>
        <v/>
      </c>
      <c r="AF172" s="4">
        <f>MAX(0,T172-MAX(0,X172-SUM(O172:S172)))</f>
        <v/>
      </c>
      <c r="AG172" s="4">
        <f>MAX(0,U172-MAX(0,X172-SUM(O172:T172)))</f>
        <v/>
      </c>
      <c r="AH172" s="4">
        <f>MAX(0,V172-MAX(0,X172-SUM(O172:U172)))</f>
        <v/>
      </c>
      <c r="AI172" s="4">
        <f>MAX(0,W172-MAX(0,X172-SUM(O172:V172)))</f>
        <v/>
      </c>
    </row>
    <row r="173">
      <c r="A173" s="4" t="inlineStr">
        <is>
          <t>HASLS22260900984</t>
        </is>
      </c>
      <c r="B173" s="4" t="inlineStr">
        <is>
          <t>SWVG</t>
        </is>
      </c>
      <c r="C173" s="4" t="inlineStr">
        <is>
          <t>2612N</t>
        </is>
      </c>
      <c r="D173" s="4" t="inlineStr">
        <is>
          <t>202610030200</t>
        </is>
      </c>
      <c r="E173" s="4" t="inlineStr"/>
      <c r="F173" s="4" t="inlineStr">
        <is>
          <t>THLCH</t>
        </is>
      </c>
      <c r="G173" s="4" t="inlineStr">
        <is>
          <t>CNSHA</t>
        </is>
      </c>
      <c r="H173" s="4" t="inlineStr">
        <is>
          <t xml:space="preserve">20'x2 </t>
        </is>
      </c>
      <c r="I173" s="4" t="inlineStr">
        <is>
          <t>20260929</t>
        </is>
      </c>
      <c r="J173" s="4" t="inlineStr">
        <is>
          <t>L.A.1 CO.,LTD.</t>
        </is>
      </c>
      <c r="K173" s="4" t="inlineStr">
        <is>
          <t>TANATEX CHEMICALS (THAILAND) CO., LTD.</t>
        </is>
      </c>
      <c r="L173" s="4" t="inlineStr">
        <is>
          <t>CHEMICALS PRODUCT (NON DG)</t>
        </is>
      </c>
      <c r="M173" s="4" t="inlineStr">
        <is>
          <t>GOOD AND CLEAN CONTAINER</t>
        </is>
      </c>
      <c r="N173" s="4" t="inlineStr">
        <is>
          <t>Pickup : 2026-09-29, Return : 2026-09-30</t>
        </is>
      </c>
      <c r="O173" s="4" t="n">
        <v>2</v>
      </c>
      <c r="P173" s="4" t="n">
        <v>0</v>
      </c>
      <c r="Q173" s="4" t="n">
        <v>0</v>
      </c>
      <c r="R173" s="4" t="n">
        <v>0</v>
      </c>
      <c r="S173" s="4" t="n">
        <v>0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>
        <f>SUM(O173:W173)-X173</f>
        <v/>
      </c>
      <c r="AA173" s="4">
        <f>MAX(0,O173-MAX(0,X173))</f>
        <v/>
      </c>
      <c r="AB173" s="4">
        <f>MAX(0,P173-MAX(0,X173-SUM(O173:O173)))</f>
        <v/>
      </c>
      <c r="AC173" s="4">
        <f>MAX(0,Q173-MAX(0,X173-SUM(O173:P173)))</f>
        <v/>
      </c>
      <c r="AD173" s="4">
        <f>MAX(0,R173-MAX(0,X173-SUM(O173:Q173)))</f>
        <v/>
      </c>
      <c r="AE173" s="4">
        <f>MAX(0,S173-MAX(0,X173-SUM(O173:R173)))</f>
        <v/>
      </c>
      <c r="AF173" s="4">
        <f>MAX(0,T173-MAX(0,X173-SUM(O173:S173)))</f>
        <v/>
      </c>
      <c r="AG173" s="4">
        <f>MAX(0,U173-MAX(0,X173-SUM(O173:T173)))</f>
        <v/>
      </c>
      <c r="AH173" s="4">
        <f>MAX(0,V173-MAX(0,X173-SUM(O173:U173)))</f>
        <v/>
      </c>
      <c r="AI173" s="4">
        <f>MAX(0,W173-MAX(0,X173-SUM(O173:V173)))</f>
        <v/>
      </c>
    </row>
    <row r="174">
      <c r="A174" s="4" t="inlineStr">
        <is>
          <t>HASLS22260900987</t>
        </is>
      </c>
      <c r="B174" s="4" t="inlineStr">
        <is>
          <t>SWRG</t>
        </is>
      </c>
      <c r="C174" s="4" t="inlineStr">
        <is>
          <t>2609N</t>
        </is>
      </c>
      <c r="D174" s="4" t="inlineStr">
        <is>
          <t>202610072000</t>
        </is>
      </c>
      <c r="E174" s="4" t="inlineStr"/>
      <c r="F174" s="4" t="inlineStr">
        <is>
          <t>THLCH</t>
        </is>
      </c>
      <c r="G174" s="4" t="inlineStr">
        <is>
          <t>CNSHA</t>
        </is>
      </c>
      <c r="H174" s="4" t="inlineStr">
        <is>
          <t xml:space="preserve">20'x2 </t>
        </is>
      </c>
      <c r="I174" s="4" t="inlineStr">
        <is>
          <t>20261001</t>
        </is>
      </c>
      <c r="J174" s="4" t="inlineStr">
        <is>
          <t>L.A.1 CO.,LTD.</t>
        </is>
      </c>
      <c r="K174" s="4" t="inlineStr">
        <is>
          <t>TANATEX CHEMICALS (THAILAND) CO., LTD.</t>
        </is>
      </c>
      <c r="L174" s="4" t="inlineStr">
        <is>
          <t>CHEMICALS PRODUCT (NON DG)</t>
        </is>
      </c>
      <c r="M174" s="4" t="inlineStr">
        <is>
          <t>GOOD AND CLEAN CONTAINER</t>
        </is>
      </c>
      <c r="N174" s="4" t="inlineStr">
        <is>
          <t>Pickup : 2026-10-01, Return : 2026-10-02 [1ST RTN 03/10/2026 WO RENT]</t>
        </is>
      </c>
      <c r="O174" s="4" t="n">
        <v>2</v>
      </c>
      <c r="P174" s="4" t="n">
        <v>0</v>
      </c>
      <c r="Q174" s="4" t="n">
        <v>0</v>
      </c>
      <c r="R174" s="4" t="n">
        <v>0</v>
      </c>
      <c r="S174" s="4" t="n">
        <v>0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>
        <f>SUM(O174:W174)-X174</f>
        <v/>
      </c>
      <c r="AA174" s="4">
        <f>MAX(0,O174-MAX(0,X174))</f>
        <v/>
      </c>
      <c r="AB174" s="4">
        <f>MAX(0,P174-MAX(0,X174-SUM(O174:O174)))</f>
        <v/>
      </c>
      <c r="AC174" s="4">
        <f>MAX(0,Q174-MAX(0,X174-SUM(O174:P174)))</f>
        <v/>
      </c>
      <c r="AD174" s="4">
        <f>MAX(0,R174-MAX(0,X174-SUM(O174:Q174)))</f>
        <v/>
      </c>
      <c r="AE174" s="4">
        <f>MAX(0,S174-MAX(0,X174-SUM(O174:R174)))</f>
        <v/>
      </c>
      <c r="AF174" s="4">
        <f>MAX(0,T174-MAX(0,X174-SUM(O174:S174)))</f>
        <v/>
      </c>
      <c r="AG174" s="4">
        <f>MAX(0,U174-MAX(0,X174-SUM(O174:T174)))</f>
        <v/>
      </c>
      <c r="AH174" s="4">
        <f>MAX(0,V174-MAX(0,X174-SUM(O174:U174)))</f>
        <v/>
      </c>
      <c r="AI174" s="4">
        <f>MAX(0,W174-MAX(0,X174-SUM(O174:V174)))</f>
        <v/>
      </c>
    </row>
    <row r="175">
      <c r="A175" s="4" t="inlineStr">
        <is>
          <t>HASLS22260900997</t>
        </is>
      </c>
      <c r="B175" s="4" t="inlineStr">
        <is>
          <t>SWIC</t>
        </is>
      </c>
      <c r="C175" s="4" t="inlineStr">
        <is>
          <t>2610N</t>
        </is>
      </c>
      <c r="D175" s="4" t="inlineStr">
        <is>
          <t>202609220500</t>
        </is>
      </c>
      <c r="E175" s="4" t="inlineStr"/>
      <c r="F175" s="4" t="inlineStr">
        <is>
          <t>THLCH</t>
        </is>
      </c>
      <c r="G175" s="4" t="inlineStr">
        <is>
          <t>VNSGN</t>
        </is>
      </c>
      <c r="H175" s="4" t="inlineStr">
        <is>
          <t xml:space="preserve">40Hx5 </t>
        </is>
      </c>
      <c r="I175" s="4" t="inlineStr">
        <is>
          <t>20260917</t>
        </is>
      </c>
      <c r="J175" s="4" t="inlineStr">
        <is>
          <t>CAPRICORN LOGISTICS CO., LTD.</t>
        </is>
      </c>
      <c r="K175" s="4" t="inlineStr">
        <is>
          <t>HAIER ELECTRIC (THAILAND) PUBLIC COMPANY LIMITED</t>
        </is>
      </c>
      <c r="L175" s="4" t="inlineStr">
        <is>
          <t>AIR-CONDITIONER</t>
        </is>
      </c>
      <c r="M175" s="4" t="inlineStr">
        <is>
          <t>REQUEST CONTAINER GOOD GRADE</t>
        </is>
      </c>
      <c r="N175" s="4" t="inlineStr">
        <is>
          <t xml:space="preserve">Pickup : 2026-09-17, Return : 2026-09-18 </t>
        </is>
      </c>
      <c r="O175" s="4" t="n">
        <v>0</v>
      </c>
      <c r="P175" s="4" t="n">
        <v>0</v>
      </c>
      <c r="Q175" s="4" t="n">
        <v>5</v>
      </c>
      <c r="R175" s="4" t="n">
        <v>0</v>
      </c>
      <c r="S175" s="4" t="n">
        <v>0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>
        <f>SUM(O175:W175)-X175</f>
        <v/>
      </c>
      <c r="AA175" s="4">
        <f>MAX(0,O175-MAX(0,X175))</f>
        <v/>
      </c>
      <c r="AB175" s="4">
        <f>MAX(0,P175-MAX(0,X175-SUM(O175:O175)))</f>
        <v/>
      </c>
      <c r="AC175" s="4">
        <f>MAX(0,Q175-MAX(0,X175-SUM(O175:P175)))</f>
        <v/>
      </c>
      <c r="AD175" s="4">
        <f>MAX(0,R175-MAX(0,X175-SUM(O175:Q175)))</f>
        <v/>
      </c>
      <c r="AE175" s="4">
        <f>MAX(0,S175-MAX(0,X175-SUM(O175:R175)))</f>
        <v/>
      </c>
      <c r="AF175" s="4">
        <f>MAX(0,T175-MAX(0,X175-SUM(O175:S175)))</f>
        <v/>
      </c>
      <c r="AG175" s="4">
        <f>MAX(0,U175-MAX(0,X175-SUM(O175:T175)))</f>
        <v/>
      </c>
      <c r="AH175" s="4">
        <f>MAX(0,V175-MAX(0,X175-SUM(O175:U175)))</f>
        <v/>
      </c>
      <c r="AI175" s="4">
        <f>MAX(0,W175-MAX(0,X175-SUM(O175:V175)))</f>
        <v/>
      </c>
    </row>
    <row r="176">
      <c r="A176" s="4" t="inlineStr">
        <is>
          <t>HASLS22260900998</t>
        </is>
      </c>
      <c r="B176" s="4" t="inlineStr">
        <is>
          <t>SWMM</t>
        </is>
      </c>
      <c r="C176" s="4" t="inlineStr">
        <is>
          <t>2609N</t>
        </is>
      </c>
      <c r="D176" s="4" t="inlineStr">
        <is>
          <t>202609240000</t>
        </is>
      </c>
      <c r="E176" s="4" t="inlineStr"/>
      <c r="F176" s="4" t="inlineStr">
        <is>
          <t>THLCH</t>
        </is>
      </c>
      <c r="G176" s="4" t="inlineStr">
        <is>
          <t>VNSGN</t>
        </is>
      </c>
      <c r="H176" s="4" t="inlineStr">
        <is>
          <t xml:space="preserve">40Hx5 </t>
        </is>
      </c>
      <c r="I176" s="4" t="inlineStr">
        <is>
          <t>20260919</t>
        </is>
      </c>
      <c r="J176" s="4" t="inlineStr">
        <is>
          <t>CAPRICORN LOGISTICS CO., LTD.</t>
        </is>
      </c>
      <c r="K176" s="4" t="inlineStr">
        <is>
          <t>HAIER ELECTRIC (THAILAND) PUBLIC COMPANY LIMITED</t>
        </is>
      </c>
      <c r="L176" s="4" t="inlineStr">
        <is>
          <t>AIR-CONDITIONER</t>
        </is>
      </c>
      <c r="M176" s="4" t="inlineStr">
        <is>
          <t>REQUEST CONTAINER GOOD GRADE</t>
        </is>
      </c>
      <c r="N176" s="4" t="inlineStr">
        <is>
          <t>Pickup : 2026-09-19, Return : 2026-09-20
** PLEASE CHECK OPEN GATE BEFORE RETURN CONTAINER **</t>
        </is>
      </c>
      <c r="O176" s="4" t="n">
        <v>0</v>
      </c>
      <c r="P176" s="4" t="n">
        <v>0</v>
      </c>
      <c r="Q176" s="4" t="n">
        <v>5</v>
      </c>
      <c r="R176" s="4" t="n">
        <v>0</v>
      </c>
      <c r="S176" s="4" t="n">
        <v>0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>
        <f>SUM(O176:W176)-X176</f>
        <v/>
      </c>
      <c r="AA176" s="4">
        <f>MAX(0,O176-MAX(0,X176))</f>
        <v/>
      </c>
      <c r="AB176" s="4">
        <f>MAX(0,P176-MAX(0,X176-SUM(O176:O176)))</f>
        <v/>
      </c>
      <c r="AC176" s="4">
        <f>MAX(0,Q176-MAX(0,X176-SUM(O176:P176)))</f>
        <v/>
      </c>
      <c r="AD176" s="4">
        <f>MAX(0,R176-MAX(0,X176-SUM(O176:Q176)))</f>
        <v/>
      </c>
      <c r="AE176" s="4">
        <f>MAX(0,S176-MAX(0,X176-SUM(O176:R176)))</f>
        <v/>
      </c>
      <c r="AF176" s="4">
        <f>MAX(0,T176-MAX(0,X176-SUM(O176:S176)))</f>
        <v/>
      </c>
      <c r="AG176" s="4">
        <f>MAX(0,U176-MAX(0,X176-SUM(O176:T176)))</f>
        <v/>
      </c>
      <c r="AH176" s="4">
        <f>MAX(0,V176-MAX(0,X176-SUM(O176:U176)))</f>
        <v/>
      </c>
      <c r="AI176" s="4">
        <f>MAX(0,W176-MAX(0,X176-SUM(O176:V176)))</f>
        <v/>
      </c>
    </row>
    <row r="177">
      <c r="A177" s="4" t="inlineStr">
        <is>
          <t>HASLS22260900999</t>
        </is>
      </c>
      <c r="B177" s="4" t="inlineStr">
        <is>
          <t>SWMM</t>
        </is>
      </c>
      <c r="C177" s="4" t="inlineStr">
        <is>
          <t>2609N</t>
        </is>
      </c>
      <c r="D177" s="4" t="inlineStr">
        <is>
          <t>202609240000</t>
        </is>
      </c>
      <c r="E177" s="4" t="inlineStr"/>
      <c r="F177" s="4" t="inlineStr">
        <is>
          <t>THLCH</t>
        </is>
      </c>
      <c r="G177" s="4" t="inlineStr">
        <is>
          <t>VNSGN</t>
        </is>
      </c>
      <c r="H177" s="4" t="inlineStr">
        <is>
          <t xml:space="preserve">40Hx5 </t>
        </is>
      </c>
      <c r="I177" s="4" t="inlineStr">
        <is>
          <t>20260919</t>
        </is>
      </c>
      <c r="J177" s="4" t="inlineStr">
        <is>
          <t>CAPRICORN LOGISTICS CO., LTD.</t>
        </is>
      </c>
      <c r="K177" s="4" t="inlineStr">
        <is>
          <t>HAIER ELECTRIC (THAILAND) PUBLIC COMPANY LIMITED</t>
        </is>
      </c>
      <c r="L177" s="4" t="inlineStr">
        <is>
          <t>AIR-CONDITIONER</t>
        </is>
      </c>
      <c r="M177" s="4" t="inlineStr">
        <is>
          <t>REQUEST CONTAINER GOOD GRADE</t>
        </is>
      </c>
      <c r="N177" s="4" t="inlineStr">
        <is>
          <t>Pickup : 2026-09-19, Return : 2026-09-20
** PLEASE CHECK OPEN GATE BEFORE RETURN CONTAINER **</t>
        </is>
      </c>
      <c r="O177" s="4" t="n">
        <v>0</v>
      </c>
      <c r="P177" s="4" t="n">
        <v>0</v>
      </c>
      <c r="Q177" s="4" t="n">
        <v>5</v>
      </c>
      <c r="R177" s="4" t="n">
        <v>0</v>
      </c>
      <c r="S177" s="4" t="n">
        <v>0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>
        <f>SUM(O177:W177)-X177</f>
        <v/>
      </c>
      <c r="AA177" s="4">
        <f>MAX(0,O177-MAX(0,X177))</f>
        <v/>
      </c>
      <c r="AB177" s="4">
        <f>MAX(0,P177-MAX(0,X177-SUM(O177:O177)))</f>
        <v/>
      </c>
      <c r="AC177" s="4">
        <f>MAX(0,Q177-MAX(0,X177-SUM(O177:P177)))</f>
        <v/>
      </c>
      <c r="AD177" s="4">
        <f>MAX(0,R177-MAX(0,X177-SUM(O177:Q177)))</f>
        <v/>
      </c>
      <c r="AE177" s="4">
        <f>MAX(0,S177-MAX(0,X177-SUM(O177:R177)))</f>
        <v/>
      </c>
      <c r="AF177" s="4">
        <f>MAX(0,T177-MAX(0,X177-SUM(O177:S177)))</f>
        <v/>
      </c>
      <c r="AG177" s="4">
        <f>MAX(0,U177-MAX(0,X177-SUM(O177:T177)))</f>
        <v/>
      </c>
      <c r="AH177" s="4">
        <f>MAX(0,V177-MAX(0,X177-SUM(O177:U177)))</f>
        <v/>
      </c>
      <c r="AI177" s="4">
        <f>MAX(0,W177-MAX(0,X177-SUM(O177:V177)))</f>
        <v/>
      </c>
    </row>
    <row r="178">
      <c r="A178" s="4" t="inlineStr">
        <is>
          <t>HASLS22260901003</t>
        </is>
      </c>
      <c r="B178" s="4" t="inlineStr">
        <is>
          <t>SWAL</t>
        </is>
      </c>
      <c r="C178" s="4" t="inlineStr">
        <is>
          <t>2608N</t>
        </is>
      </c>
      <c r="D178" s="4" t="inlineStr">
        <is>
          <t>202609290800</t>
        </is>
      </c>
      <c r="E178" s="4" t="inlineStr"/>
      <c r="F178" s="4" t="inlineStr">
        <is>
          <t>THLCH</t>
        </is>
      </c>
      <c r="G178" s="4" t="inlineStr">
        <is>
          <t>VNSGN</t>
        </is>
      </c>
      <c r="H178" s="4" t="inlineStr">
        <is>
          <t xml:space="preserve">40Hx5 </t>
        </is>
      </c>
      <c r="I178" s="4" t="inlineStr">
        <is>
          <t>20260924</t>
        </is>
      </c>
      <c r="J178" s="4" t="inlineStr">
        <is>
          <t>CAPRICORN LOGISTICS CO., LTD.</t>
        </is>
      </c>
      <c r="K178" s="4" t="inlineStr">
        <is>
          <t>HAIER ELECTRIC (THAILAND) PUBLIC COMPANY LIMITED</t>
        </is>
      </c>
      <c r="L178" s="4" t="inlineStr">
        <is>
          <t>AIR-CONDITIONER</t>
        </is>
      </c>
      <c r="M178" s="4" t="inlineStr">
        <is>
          <t>REQUEST CONTAINER GOOD GRADE</t>
        </is>
      </c>
      <c r="N178" s="4" t="inlineStr">
        <is>
          <t>Pickup : 2026-09-24, Return : 2026-09-25
** PLEASE CHECK OPEN GATE BEFORE RETURN CONTAINER **</t>
        </is>
      </c>
      <c r="O178" s="4" t="n">
        <v>0</v>
      </c>
      <c r="P178" s="4" t="n">
        <v>0</v>
      </c>
      <c r="Q178" s="4" t="n">
        <v>5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>
        <f>SUM(O178:W178)-X178</f>
        <v/>
      </c>
      <c r="AA178" s="4">
        <f>MAX(0,O178-MAX(0,X178))</f>
        <v/>
      </c>
      <c r="AB178" s="4">
        <f>MAX(0,P178-MAX(0,X178-SUM(O178:O178)))</f>
        <v/>
      </c>
      <c r="AC178" s="4">
        <f>MAX(0,Q178-MAX(0,X178-SUM(O178:P178)))</f>
        <v/>
      </c>
      <c r="AD178" s="4">
        <f>MAX(0,R178-MAX(0,X178-SUM(O178:Q178)))</f>
        <v/>
      </c>
      <c r="AE178" s="4">
        <f>MAX(0,S178-MAX(0,X178-SUM(O178:R178)))</f>
        <v/>
      </c>
      <c r="AF178" s="4">
        <f>MAX(0,T178-MAX(0,X178-SUM(O178:S178)))</f>
        <v/>
      </c>
      <c r="AG178" s="4">
        <f>MAX(0,U178-MAX(0,X178-SUM(O178:T178)))</f>
        <v/>
      </c>
      <c r="AH178" s="4">
        <f>MAX(0,V178-MAX(0,X178-SUM(O178:U178)))</f>
        <v/>
      </c>
      <c r="AI178" s="4">
        <f>MAX(0,W178-MAX(0,X178-SUM(O178:V178)))</f>
        <v/>
      </c>
    </row>
    <row r="179">
      <c r="A179" s="4" t="inlineStr">
        <is>
          <t>HASLS22260901004</t>
        </is>
      </c>
      <c r="B179" s="4" t="inlineStr">
        <is>
          <t>SWAL</t>
        </is>
      </c>
      <c r="C179" s="4" t="inlineStr">
        <is>
          <t>2608N</t>
        </is>
      </c>
      <c r="D179" s="4" t="inlineStr">
        <is>
          <t>202609290800</t>
        </is>
      </c>
      <c r="E179" s="4" t="inlineStr"/>
      <c r="F179" s="4" t="inlineStr">
        <is>
          <t>THLCH</t>
        </is>
      </c>
      <c r="G179" s="4" t="inlineStr">
        <is>
          <t>VNSGN</t>
        </is>
      </c>
      <c r="H179" s="4" t="inlineStr">
        <is>
          <t xml:space="preserve">40Hx5 </t>
        </is>
      </c>
      <c r="I179" s="4" t="inlineStr">
        <is>
          <t>20260924</t>
        </is>
      </c>
      <c r="J179" s="4" t="inlineStr">
        <is>
          <t>CAPRICORN LOGISTICS CO., LTD.</t>
        </is>
      </c>
      <c r="K179" s="4" t="inlineStr">
        <is>
          <t>HAIER ELECTRIC (THAILAND) PUBLIC COMPANY LIMITED</t>
        </is>
      </c>
      <c r="L179" s="4" t="inlineStr">
        <is>
          <t>AIR-CONDITIONER</t>
        </is>
      </c>
      <c r="M179" s="4" t="inlineStr">
        <is>
          <t>GOOD AND CLEAN CONTAINER</t>
        </is>
      </c>
      <c r="N179" s="4" t="inlineStr">
        <is>
          <t xml:space="preserve">Pickup : 2026-09-24, Return : 2026-09-25
** PLEASE CHECK OPEN GATE BEFORE RETURN CONTAINER ** </t>
        </is>
      </c>
      <c r="O179" s="4" t="n">
        <v>0</v>
      </c>
      <c r="P179" s="4" t="n">
        <v>0</v>
      </c>
      <c r="Q179" s="4" t="n">
        <v>5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>
        <f>SUM(O179:W179)-X179</f>
        <v/>
      </c>
      <c r="AA179" s="4">
        <f>MAX(0,O179-MAX(0,X179))</f>
        <v/>
      </c>
      <c r="AB179" s="4">
        <f>MAX(0,P179-MAX(0,X179-SUM(O179:O179)))</f>
        <v/>
      </c>
      <c r="AC179" s="4">
        <f>MAX(0,Q179-MAX(0,X179-SUM(O179:P179)))</f>
        <v/>
      </c>
      <c r="AD179" s="4">
        <f>MAX(0,R179-MAX(0,X179-SUM(O179:Q179)))</f>
        <v/>
      </c>
      <c r="AE179" s="4">
        <f>MAX(0,S179-MAX(0,X179-SUM(O179:R179)))</f>
        <v/>
      </c>
      <c r="AF179" s="4">
        <f>MAX(0,T179-MAX(0,X179-SUM(O179:S179)))</f>
        <v/>
      </c>
      <c r="AG179" s="4">
        <f>MAX(0,U179-MAX(0,X179-SUM(O179:T179)))</f>
        <v/>
      </c>
      <c r="AH179" s="4">
        <f>MAX(0,V179-MAX(0,X179-SUM(O179:U179)))</f>
        <v/>
      </c>
      <c r="AI179" s="4">
        <f>MAX(0,W179-MAX(0,X179-SUM(O179:V179)))</f>
        <v/>
      </c>
    </row>
    <row r="180">
      <c r="A180" s="4" t="inlineStr">
        <is>
          <t>HASLS22260901013</t>
        </is>
      </c>
      <c r="B180" s="4" t="inlineStr">
        <is>
          <t>KMGY</t>
        </is>
      </c>
      <c r="C180" s="4" t="inlineStr">
        <is>
          <t>2610N</t>
        </is>
      </c>
      <c r="D180" s="4" t="inlineStr">
        <is>
          <t>202609270800</t>
        </is>
      </c>
      <c r="E180" s="4" t="inlineStr"/>
      <c r="F180" s="4" t="inlineStr">
        <is>
          <t>THLCH</t>
        </is>
      </c>
      <c r="G180" s="4" t="inlineStr">
        <is>
          <t>KRINC</t>
        </is>
      </c>
      <c r="H180" s="4" t="inlineStr">
        <is>
          <t xml:space="preserve">40Hx1 </t>
        </is>
      </c>
      <c r="I180" s="4" t="inlineStr">
        <is>
          <t>20260924</t>
        </is>
      </c>
      <c r="J180" s="4" t="inlineStr">
        <is>
          <t>H &amp; FRIENDS GTL (THAILAND) CO., LTD.</t>
        </is>
      </c>
      <c r="K180" s="4" t="inlineStr">
        <is>
          <t>AUTOLIV (THAILAND) LIMITED</t>
        </is>
      </c>
      <c r="L180" s="4" t="inlineStr">
        <is>
          <t>SEAT BELT</t>
        </is>
      </c>
      <c r="M180" s="4" t="inlineStr">
        <is>
          <t>REQUEST CONTAINER CLEAN &amp; NO SMEL</t>
        </is>
      </c>
      <c r="N180" s="4" t="inlineStr">
        <is>
          <t xml:space="preserve">Pickup : 2026-09-24, Return : 2026-09-24 
 ** PLEASE CHECK OPEN GATE BEFORE RETURN CNTR **
</t>
        </is>
      </c>
      <c r="O180" s="4" t="n">
        <v>0</v>
      </c>
      <c r="P180" s="4" t="n">
        <v>0</v>
      </c>
      <c r="Q180" s="4" t="n">
        <v>1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>
        <f>SUM(O180:W180)-X180</f>
        <v/>
      </c>
      <c r="AA180" s="4">
        <f>MAX(0,O180-MAX(0,X180))</f>
        <v/>
      </c>
      <c r="AB180" s="4">
        <f>MAX(0,P180-MAX(0,X180-SUM(O180:O180)))</f>
        <v/>
      </c>
      <c r="AC180" s="4">
        <f>MAX(0,Q180-MAX(0,X180-SUM(O180:P180)))</f>
        <v/>
      </c>
      <c r="AD180" s="4">
        <f>MAX(0,R180-MAX(0,X180-SUM(O180:Q180)))</f>
        <v/>
      </c>
      <c r="AE180" s="4">
        <f>MAX(0,S180-MAX(0,X180-SUM(O180:R180)))</f>
        <v/>
      </c>
      <c r="AF180" s="4">
        <f>MAX(0,T180-MAX(0,X180-SUM(O180:S180)))</f>
        <v/>
      </c>
      <c r="AG180" s="4">
        <f>MAX(0,U180-MAX(0,X180-SUM(O180:T180)))</f>
        <v/>
      </c>
      <c r="AH180" s="4">
        <f>MAX(0,V180-MAX(0,X180-SUM(O180:U180)))</f>
        <v/>
      </c>
      <c r="AI180" s="4">
        <f>MAX(0,W180-MAX(0,X180-SUM(O180:V180)))</f>
        <v/>
      </c>
    </row>
    <row r="181">
      <c r="A181" s="4" t="inlineStr">
        <is>
          <t>HASLS22260901015</t>
        </is>
      </c>
      <c r="B181" s="4" t="inlineStr">
        <is>
          <t>SWDN</t>
        </is>
      </c>
      <c r="C181" s="4" t="inlineStr">
        <is>
          <t>2610N</t>
        </is>
      </c>
      <c r="D181" s="4" t="inlineStr">
        <is>
          <t>202609300600</t>
        </is>
      </c>
      <c r="E181" s="4" t="inlineStr"/>
      <c r="F181" s="4" t="inlineStr">
        <is>
          <t>THLCH</t>
        </is>
      </c>
      <c r="G181" s="4" t="inlineStr">
        <is>
          <t>CNXMN</t>
        </is>
      </c>
      <c r="H181" s="4" t="inlineStr">
        <is>
          <t xml:space="preserve">20'x1 </t>
        </is>
      </c>
      <c r="I181" s="4" t="inlineStr">
        <is>
          <t>20260924</t>
        </is>
      </c>
      <c r="J181" s="4" t="inlineStr">
        <is>
          <t>THAI POLYCARBONATE CO., LTD.</t>
        </is>
      </c>
      <c r="K181" s="4" t="inlineStr">
        <is>
          <t>THAI POLYCARBONATE CO., LTD.</t>
        </is>
      </c>
      <c r="L181" s="4" t="inlineStr">
        <is>
          <t>POLYCARBONATE RESIN , HS CODEIS 3907.40</t>
        </is>
      </c>
      <c r="M181" s="4" t="inlineStr">
        <is>
          <t>GOOD AND CLEAN CONTAINER, NO RUST, NO HOLE, NO SMELL WITH STRONG FLOORBOARD (LOAD BY FORKLIFT)</t>
        </is>
      </c>
      <c r="N181" s="4" t="inlineStr">
        <is>
          <t xml:space="preserve">Pickup : 2026-09-24, Return : 2026-09-25 (1ST RTN 26/09 W/O RENT) 
 ** PLEASE CHECK OPEN GATE BEFORE RETURN CNTR **
</t>
        </is>
      </c>
      <c r="O181" s="4" t="n">
        <v>1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0</v>
      </c>
      <c r="X181" s="4" t="n">
        <v>0</v>
      </c>
      <c r="Y181" s="4" t="n">
        <v>0</v>
      </c>
      <c r="Z181" s="4">
        <f>SUM(O181:W181)-X181</f>
        <v/>
      </c>
      <c r="AA181" s="4">
        <f>MAX(0,O181-MAX(0,X181))</f>
        <v/>
      </c>
      <c r="AB181" s="4">
        <f>MAX(0,P181-MAX(0,X181-SUM(O181:O181)))</f>
        <v/>
      </c>
      <c r="AC181" s="4">
        <f>MAX(0,Q181-MAX(0,X181-SUM(O181:P181)))</f>
        <v/>
      </c>
      <c r="AD181" s="4">
        <f>MAX(0,R181-MAX(0,X181-SUM(O181:Q181)))</f>
        <v/>
      </c>
      <c r="AE181" s="4">
        <f>MAX(0,S181-MAX(0,X181-SUM(O181:R181)))</f>
        <v/>
      </c>
      <c r="AF181" s="4">
        <f>MAX(0,T181-MAX(0,X181-SUM(O181:S181)))</f>
        <v/>
      </c>
      <c r="AG181" s="4">
        <f>MAX(0,U181-MAX(0,X181-SUM(O181:T181)))</f>
        <v/>
      </c>
      <c r="AH181" s="4">
        <f>MAX(0,V181-MAX(0,X181-SUM(O181:U181)))</f>
        <v/>
      </c>
      <c r="AI181" s="4">
        <f>MAX(0,W181-MAX(0,X181-SUM(O181:V181)))</f>
        <v/>
      </c>
    </row>
    <row r="182">
      <c r="A182" s="4" t="inlineStr">
        <is>
          <t>HASLS22260901025</t>
        </is>
      </c>
      <c r="B182" s="4" t="inlineStr">
        <is>
          <t>SWMM</t>
        </is>
      </c>
      <c r="C182" s="4" t="inlineStr">
        <is>
          <t>2609N</t>
        </is>
      </c>
      <c r="D182" s="4" t="inlineStr">
        <is>
          <t>202609240000</t>
        </is>
      </c>
      <c r="E182" s="4" t="inlineStr"/>
      <c r="F182" s="4" t="inlineStr">
        <is>
          <t>THLCH</t>
        </is>
      </c>
      <c r="G182" s="4" t="inlineStr">
        <is>
          <t>VNSGN</t>
        </is>
      </c>
      <c r="H182" s="4" t="inlineStr">
        <is>
          <t xml:space="preserve">40Hx1 </t>
        </is>
      </c>
      <c r="I182" s="4" t="inlineStr">
        <is>
          <t>20260921</t>
        </is>
      </c>
      <c r="J182" s="4" t="inlineStr">
        <is>
          <t>LESCHACO (THAILAND) LTD.</t>
        </is>
      </c>
      <c r="K182" s="4" t="inlineStr">
        <is>
          <t>CHANTASIA CO., LTD.</t>
        </is>
      </c>
      <c r="L182" s="4" t="inlineStr">
        <is>
          <t>MATERIALS OF UNDERWEAR</t>
        </is>
      </c>
      <c r="M182" s="4" t="inlineStr">
        <is>
          <t>REQ: GOOD AND CLEAN CONTAINER</t>
        </is>
      </c>
      <c r="N182" s="4" t="inlineStr">
        <is>
          <t xml:space="preserve">Pickup : 2026-09-21, Return : 2026-09-22 
** PLEASE CHECK OPEN GATE BEFORE RETURN CONTAINER ** </t>
        </is>
      </c>
      <c r="O182" s="4" t="n">
        <v>0</v>
      </c>
      <c r="P182" s="4" t="n">
        <v>0</v>
      </c>
      <c r="Q182" s="4" t="n">
        <v>1</v>
      </c>
      <c r="R182" s="4" t="n">
        <v>0</v>
      </c>
      <c r="S182" s="4" t="n">
        <v>0</v>
      </c>
      <c r="T182" s="4" t="n">
        <v>0</v>
      </c>
      <c r="U182" s="4" t="n">
        <v>0</v>
      </c>
      <c r="V182" s="4" t="n">
        <v>0</v>
      </c>
      <c r="W182" s="4" t="n">
        <v>0</v>
      </c>
      <c r="X182" s="4" t="n">
        <v>0</v>
      </c>
      <c r="Y182" s="4" t="n">
        <v>0</v>
      </c>
      <c r="Z182" s="4">
        <f>SUM(O182:W182)-X182</f>
        <v/>
      </c>
      <c r="AA182" s="4">
        <f>MAX(0,O182-MAX(0,X182))</f>
        <v/>
      </c>
      <c r="AB182" s="4">
        <f>MAX(0,P182-MAX(0,X182-SUM(O182:O182)))</f>
        <v/>
      </c>
      <c r="AC182" s="4">
        <f>MAX(0,Q182-MAX(0,X182-SUM(O182:P182)))</f>
        <v/>
      </c>
      <c r="AD182" s="4">
        <f>MAX(0,R182-MAX(0,X182-SUM(O182:Q182)))</f>
        <v/>
      </c>
      <c r="AE182" s="4">
        <f>MAX(0,S182-MAX(0,X182-SUM(O182:R182)))</f>
        <v/>
      </c>
      <c r="AF182" s="4">
        <f>MAX(0,T182-MAX(0,X182-SUM(O182:S182)))</f>
        <v/>
      </c>
      <c r="AG182" s="4">
        <f>MAX(0,U182-MAX(0,X182-SUM(O182:T182)))</f>
        <v/>
      </c>
      <c r="AH182" s="4">
        <f>MAX(0,V182-MAX(0,X182-SUM(O182:U182)))</f>
        <v/>
      </c>
      <c r="AI182" s="4">
        <f>MAX(0,W182-MAX(0,X182-SUM(O182:V182)))</f>
        <v/>
      </c>
    </row>
    <row r="183">
      <c r="A183" s="4" t="inlineStr">
        <is>
          <t>HASLS22260901029</t>
        </is>
      </c>
      <c r="B183" s="4" t="inlineStr">
        <is>
          <t>SWDN</t>
        </is>
      </c>
      <c r="C183" s="4" t="inlineStr">
        <is>
          <t>2610N</t>
        </is>
      </c>
      <c r="D183" s="4" t="inlineStr">
        <is>
          <t>202609300600</t>
        </is>
      </c>
      <c r="E183" s="4" t="inlineStr"/>
      <c r="F183" s="4" t="inlineStr">
        <is>
          <t>THLCH</t>
        </is>
      </c>
      <c r="G183" s="4" t="inlineStr">
        <is>
          <t>CNXMN</t>
        </is>
      </c>
      <c r="H183" s="4" t="inlineStr">
        <is>
          <t xml:space="preserve">20'x3 </t>
        </is>
      </c>
      <c r="I183" s="4" t="inlineStr">
        <is>
          <t>20260923</t>
        </is>
      </c>
      <c r="J183" s="4" t="inlineStr">
        <is>
          <t>THAI POLYCARBONATE CO., LTD.</t>
        </is>
      </c>
      <c r="K183" s="4" t="inlineStr">
        <is>
          <t>THAI POLYCARBONATE CO., LTD.</t>
        </is>
      </c>
      <c r="L183" s="4" t="inlineStr">
        <is>
          <t>POLYCARBONATE RESIN (HS CODE. 3907.40)</t>
        </is>
      </c>
      <c r="M183" s="4" t="inlineStr">
        <is>
          <t>Loading with pallet-by forklift, required good container with strong floorboard and bullet seal to this shipment</t>
        </is>
      </c>
      <c r="N183" s="4" t="inlineStr">
        <is>
          <t>Pickup : 2026-09-23, Return : 2026-09-25 [1ST RTN 26/09/2026 W/O RENT]
** PLEASE CHECK OPEN GATE BEFORE RETURN CONTAINER **</t>
        </is>
      </c>
      <c r="O183" s="4" t="n">
        <v>3</v>
      </c>
      <c r="P183" s="4" t="n">
        <v>0</v>
      </c>
      <c r="Q183" s="4" t="n">
        <v>0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>
        <f>SUM(O183:W183)-X183</f>
        <v/>
      </c>
      <c r="AA183" s="4">
        <f>MAX(0,O183-MAX(0,X183))</f>
        <v/>
      </c>
      <c r="AB183" s="4">
        <f>MAX(0,P183-MAX(0,X183-SUM(O183:O183)))</f>
        <v/>
      </c>
      <c r="AC183" s="4">
        <f>MAX(0,Q183-MAX(0,X183-SUM(O183:P183)))</f>
        <v/>
      </c>
      <c r="AD183" s="4">
        <f>MAX(0,R183-MAX(0,X183-SUM(O183:Q183)))</f>
        <v/>
      </c>
      <c r="AE183" s="4">
        <f>MAX(0,S183-MAX(0,X183-SUM(O183:R183)))</f>
        <v/>
      </c>
      <c r="AF183" s="4">
        <f>MAX(0,T183-MAX(0,X183-SUM(O183:S183)))</f>
        <v/>
      </c>
      <c r="AG183" s="4">
        <f>MAX(0,U183-MAX(0,X183-SUM(O183:T183)))</f>
        <v/>
      </c>
      <c r="AH183" s="4">
        <f>MAX(0,V183-MAX(0,X183-SUM(O183:U183)))</f>
        <v/>
      </c>
      <c r="AI183" s="4">
        <f>MAX(0,W183-MAX(0,X183-SUM(O183:V183)))</f>
        <v/>
      </c>
    </row>
    <row r="184">
      <c r="A184" s="5" t="inlineStr">
        <is>
          <t>TOTAL</t>
        </is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>
        <f>SUM(O3:O183)</f>
        <v/>
      </c>
      <c r="P184" s="5">
        <f>SUM(P3:P183)</f>
        <v/>
      </c>
      <c r="Q184" s="5">
        <f>SUM(Q3:Q183)</f>
        <v/>
      </c>
      <c r="R184" s="5">
        <f>SUM(R3:R183)</f>
        <v/>
      </c>
      <c r="S184" s="5">
        <f>SUM(S3:S183)</f>
        <v/>
      </c>
      <c r="T184" s="5">
        <f>SUM(T3:T183)</f>
        <v/>
      </c>
      <c r="U184" s="5">
        <f>SUM(U3:U183)</f>
        <v/>
      </c>
      <c r="V184" s="5">
        <f>SUM(V3:V183)</f>
        <v/>
      </c>
      <c r="W184" s="5">
        <f>SUM(W3:W183)</f>
        <v/>
      </c>
      <c r="X184" s="5">
        <f>SUM(X3:X183)</f>
        <v/>
      </c>
      <c r="Y184" s="5" t="n"/>
      <c r="Z184" s="5">
        <f>SUM(Z3:Z183)</f>
        <v/>
      </c>
      <c r="AA184" s="5">
        <f>SUM(AA3:AA183)</f>
        <v/>
      </c>
      <c r="AB184" s="5">
        <f>SUM(AB3:AB183)</f>
        <v/>
      </c>
      <c r="AC184" s="5">
        <f>SUM(AC3:AC183)</f>
        <v/>
      </c>
      <c r="AD184" s="5">
        <f>SUM(AD3:AD183)</f>
        <v/>
      </c>
      <c r="AE184" s="5">
        <f>SUM(AE3:AE183)</f>
        <v/>
      </c>
      <c r="AF184" s="5">
        <f>SUM(AF3:AF183)</f>
        <v/>
      </c>
      <c r="AG184" s="5">
        <f>SUM(AG3:AG183)</f>
        <v/>
      </c>
      <c r="AH184" s="5">
        <f>SUM(AH3:AH183)</f>
        <v/>
      </c>
      <c r="AI184" s="5">
        <f>SUM(AI3:AI183)</f>
        <v/>
      </c>
    </row>
  </sheetData>
  <autoFilter ref="A2:AI183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2026-09-14T01:59:36Z</dcterms:created>
  <dcterms:modified xmlns:dcterms="http://purl.org/dc/terms/" xmlns:xsi="http://www.w3.org/2001/XMLSchema-instance" xsi:type="dcterms:W3CDTF">2026-09-14T01:59:36Z</dcterms:modified>
</cp:coreProperties>
</file>