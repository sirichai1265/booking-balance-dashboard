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'Data'!$A$2:$AL$203</definedName>
    <definedName name="_xlnm._FilterDatabase" localSheetId="1" hidden="1">'Balance Summary'!$A$3:$R$204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10-2-BKG-3-5-OCT.xls + 10-2-PD.xls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HASLS22260701285</t>
        </is>
      </c>
      <c r="B3" s="4" t="inlineStr">
        <is>
          <t>SWIC</t>
        </is>
      </c>
      <c r="C3" s="4" t="inlineStr">
        <is>
          <t>2611N</t>
        </is>
      </c>
      <c r="D3" s="4" t="inlineStr">
        <is>
          <t>202610151200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20261005</t>
        </is>
      </c>
      <c r="L3" s="4" t="inlineStr">
        <is>
          <t>CNTRANS EXPRESS CO., LTD.</t>
        </is>
      </c>
      <c r="M3" s="4" t="inlineStr">
        <is>
          <t>SINGHA WORLDWIDE INTERNATIONAL CO., LTD.</t>
        </is>
      </c>
      <c r="N3" s="4" t="inlineStr">
        <is>
          <t>LEMON SODA</t>
        </is>
      </c>
      <c r="O3" s="4" t="inlineStr">
        <is>
          <t>please put the container on the bottom of the vessel. Please pay careful attention to lift on/lift off at CY</t>
        </is>
      </c>
      <c r="P3" s="4" t="inlineStr">
        <is>
          <t>Pickup : 2026-10-05, Return : 2026-10-06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HASLS22260801064</t>
        </is>
      </c>
      <c r="B4" s="4" t="inlineStr">
        <is>
          <t>KUS</t>
        </is>
      </c>
      <c r="C4" s="4" t="inlineStr">
        <is>
          <t>2616N</t>
        </is>
      </c>
      <c r="D4" s="4" t="inlineStr">
        <is>
          <t>202610141100</t>
        </is>
      </c>
      <c r="E4" s="4" t="inlineStr"/>
      <c r="F4" s="4" t="inlineStr">
        <is>
          <t>THBKK</t>
        </is>
      </c>
      <c r="G4" s="4" t="inlineStr">
        <is>
          <t>KRINC</t>
        </is>
      </c>
      <c r="H4" s="4" t="inlineStr">
        <is>
          <t xml:space="preserve">20'x5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20261003</t>
        </is>
      </c>
      <c r="L4" s="4" t="inlineStr">
        <is>
          <t>KORCHINA FREIGHT (THAILAND) CO., LTD.</t>
        </is>
      </c>
      <c r="M4" s="4" t="inlineStr">
        <is>
          <t>RIVER KWAI INTERNATIONAL FOOD INDUSTRY CO., LTD.</t>
        </is>
      </c>
      <c r="N4" s="4" t="inlineStr">
        <is>
          <t>CANNED KERNEL CORN</t>
        </is>
      </c>
      <c r="O4" s="4" t="inlineStr">
        <is>
          <t>GOOD AND CLEAN CTNR</t>
        </is>
      </c>
      <c r="P4" s="4" t="inlineStr">
        <is>
          <t>Pickup : 2026-10-03, Return : 2026-10-06</t>
        </is>
      </c>
      <c r="Q4" s="4" t="n">
        <v>5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HASLS22260802623</t>
        </is>
      </c>
      <c r="B5" s="4" t="inlineStr">
        <is>
          <t>DJCF</t>
        </is>
      </c>
      <c r="C5" s="4" t="inlineStr">
        <is>
          <t>0152N</t>
        </is>
      </c>
      <c r="D5" s="4" t="inlineStr">
        <is>
          <t>202610110500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20'x1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20261005</t>
        </is>
      </c>
      <c r="L5" s="4" t="inlineStr">
        <is>
          <t>BILLION LOGISTICS CO., LTD.</t>
        </is>
      </c>
      <c r="M5" s="4" t="inlineStr">
        <is>
          <t>VISTA DISTRIBUTION CO.,LTD.</t>
        </is>
      </c>
      <c r="N5" s="4" t="inlineStr">
        <is>
          <t>FOODSTUFFS</t>
        </is>
      </c>
      <c r="O5" s="4" t="inlineStr">
        <is>
          <t>GOOD AND CLEAN CTNR</t>
        </is>
      </c>
      <c r="P5" s="4" t="inlineStr">
        <is>
          <t>Pickup : 2026-10-05, Return : 2026-10-06</t>
        </is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HASLS22260900218</t>
        </is>
      </c>
      <c r="B6" s="4" t="inlineStr">
        <is>
          <t>SWIC</t>
        </is>
      </c>
      <c r="C6" s="4" t="inlineStr">
        <is>
          <t>2611N</t>
        </is>
      </c>
      <c r="D6" s="4" t="inlineStr">
        <is>
          <t>202610151200</t>
        </is>
      </c>
      <c r="E6" s="4" t="inlineStr"/>
      <c r="F6" s="4" t="inlineStr">
        <is>
          <t>THBKK</t>
        </is>
      </c>
      <c r="G6" s="4" t="inlineStr">
        <is>
          <t>KRPUS</t>
        </is>
      </c>
      <c r="H6" s="4" t="inlineStr">
        <is>
          <t xml:space="preserve">40Hx6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20261003</t>
        </is>
      </c>
      <c r="L6" s="4" t="inlineStr">
        <is>
          <t>HARPERS SEA FREIGHT CO., LTD.</t>
        </is>
      </c>
      <c r="M6" s="4" t="inlineStr">
        <is>
          <t>THAI ASAHI CO., LTD.</t>
        </is>
      </c>
      <c r="N6" s="4" t="inlineStr">
        <is>
          <t xml:space="preserve">POTATO STARCH </t>
        </is>
      </c>
      <c r="O6" s="4" t="inlineStr">
        <is>
          <t>Grade A and food grade container</t>
        </is>
      </c>
      <c r="P6" s="4" t="inlineStr">
        <is>
          <t>Pickup : 2026-10-03, Return : 2026-10-10</t>
        </is>
      </c>
      <c r="Q6" s="4" t="n">
        <v>0</v>
      </c>
      <c r="R6" s="4" t="n">
        <v>0</v>
      </c>
      <c r="S6" s="4" t="n">
        <v>6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HASLS22260900244</t>
        </is>
      </c>
      <c r="B7" s="4" t="inlineStr">
        <is>
          <t>SWAT</t>
        </is>
      </c>
      <c r="C7" s="4" t="inlineStr">
        <is>
          <t>2610N</t>
        </is>
      </c>
      <c r="D7" s="4" t="inlineStr">
        <is>
          <t>202610080800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R40Hx1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20261001</t>
        </is>
      </c>
      <c r="L7" s="4" t="inlineStr">
        <is>
          <t>KWE-KINTETSU WORLD EXPRESS (THAILAND) CO., LTD.</t>
        </is>
      </c>
      <c r="M7" s="4" t="inlineStr">
        <is>
          <t>KIBUN (THAILAND) CO., LTD.</t>
        </is>
      </c>
      <c r="N7" s="4" t="inlineStr">
        <is>
          <t>FROZEN IMITATION CRAB MEAT</t>
        </is>
      </c>
      <c r="O7" s="4" t="inlineStr">
        <is>
          <t>(Temp -20.0℃ / Vent Close)**REQ GOOD, CLEAN, NO LEAK AND GRADE A CONTAINER**
**</t>
        </is>
      </c>
      <c r="P7" s="4" t="inlineStr">
        <is>
          <t>Pickup : 2026-10-01, Return : 2026-10-02 (Temp -20.0 / Vent Close) 
CLS TIME 05/10/26 @0500</t>
        </is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1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HASLS22260900245</t>
        </is>
      </c>
      <c r="B8" s="4" t="inlineStr">
        <is>
          <t>SWAT</t>
        </is>
      </c>
      <c r="C8" s="4" t="inlineStr">
        <is>
          <t>2610N</t>
        </is>
      </c>
      <c r="D8" s="4" t="inlineStr">
        <is>
          <t>202610080800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R40Hx1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20261003</t>
        </is>
      </c>
      <c r="L8" s="4" t="inlineStr">
        <is>
          <t>KWE-KINTETSU WORLD EXPRESS (THAILAND) CO., LTD.</t>
        </is>
      </c>
      <c r="M8" s="4" t="inlineStr">
        <is>
          <t>KIBUN (THAILAND) CO., LTD.</t>
        </is>
      </c>
      <c r="N8" s="4" t="inlineStr">
        <is>
          <t>FROZEN IMITATION CRAB MEAT</t>
        </is>
      </c>
      <c r="O8" s="4" t="inlineStr">
        <is>
          <t>(Temp -20.0℃ / Vent Full Open) REQ GOOD, CLEAN, NO LEAK AND GRADE A CONTAINER</t>
        </is>
      </c>
      <c r="P8" s="4" t="inlineStr">
        <is>
          <t>Pickup : 2026-10-03, Return : 2026-10-05 (Temp -20.0 / Vent Full Open) 
CLS TIME 06/10/26 @23.59 (1ST RETURN 05/10 W/O RENT)</t>
        </is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1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HASLS22260900374</t>
        </is>
      </c>
      <c r="B9" s="4" t="inlineStr">
        <is>
          <t>SWSP</t>
        </is>
      </c>
      <c r="C9" s="4" t="inlineStr">
        <is>
          <t>2609N</t>
        </is>
      </c>
      <c r="D9" s="4" t="inlineStr">
        <is>
          <t>202610062230</t>
        </is>
      </c>
      <c r="E9" s="4" t="inlineStr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20'x1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20261003</t>
        </is>
      </c>
      <c r="L9" s="4" t="inlineStr">
        <is>
          <t>GROWTH ON LOGISTICS CO., LTD.</t>
        </is>
      </c>
      <c r="M9" s="4" t="inlineStr">
        <is>
          <t>SCG (THAILAND) CO., LTD.</t>
        </is>
      </c>
      <c r="N9" s="4" t="inlineStr">
        <is>
          <t>VALVE</t>
        </is>
      </c>
      <c r="O9" s="4" t="inlineStr">
        <is>
          <t>RQST GOOD CLEAN &amp; DRY CONT.</t>
        </is>
      </c>
      <c r="P9" s="4" t="inlineStr">
        <is>
          <t>Pickup : 2026-10-03, Return : 2026-10-03</t>
        </is>
      </c>
      <c r="Q9" s="4" t="n">
        <v>1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HASLS22260900586</t>
        </is>
      </c>
      <c r="B10" s="4" t="inlineStr">
        <is>
          <t>SWSP</t>
        </is>
      </c>
      <c r="C10" s="4" t="inlineStr">
        <is>
          <t>2609N</t>
        </is>
      </c>
      <c r="D10" s="4" t="inlineStr">
        <is>
          <t>202610062230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40Hx10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20261001</t>
        </is>
      </c>
      <c r="L10" s="4" t="inlineStr">
        <is>
          <t>BIRLA CARBON (THAILAND) PUBLIC COMPANY LIMITED</t>
        </is>
      </c>
      <c r="M10" s="4" t="inlineStr">
        <is>
          <t>BIRLA CARBON (THAILAND) PUBLIC COMPANY LIMITED</t>
        </is>
      </c>
      <c r="N10" s="4" t="inlineStr">
        <is>
          <t>CABON BLACK</t>
        </is>
      </c>
      <c r="O10" s="4" t="inlineStr">
        <is>
          <t>Clean container / No rust / No hole / No sharp surface inside areas in container</t>
        </is>
      </c>
      <c r="P10" s="4" t="inlineStr">
        <is>
          <t>Pickup : 2026-10-01, Return : 2026-10-02 (1ST RTN DD: 03/10/26 WO/RENT)</t>
        </is>
      </c>
      <c r="Q10" s="4" t="n">
        <v>0</v>
      </c>
      <c r="R10" s="4" t="n">
        <v>0</v>
      </c>
      <c r="S10" s="4" t="n">
        <v>10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5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HASLS22260900782</t>
        </is>
      </c>
      <c r="B11" s="4" t="inlineStr">
        <is>
          <t>KMTP</t>
        </is>
      </c>
      <c r="C11" s="4" t="inlineStr">
        <is>
          <t>2612N</t>
        </is>
      </c>
      <c r="D11" s="4" t="inlineStr">
        <is>
          <t>202610140800</t>
        </is>
      </c>
      <c r="E11" s="4" t="inlineStr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20'x3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20261001</t>
        </is>
      </c>
      <c r="L11" s="4" t="inlineStr">
        <is>
          <t>CARGO CARE LOGISTICS CO., LTD.</t>
        </is>
      </c>
      <c r="M11" s="4" t="inlineStr">
        <is>
          <t>RIVER KWAI INTERNATIONAL FOOD INDUSTRY CO., LTD.</t>
        </is>
      </c>
      <c r="N11" s="4" t="inlineStr">
        <is>
          <t>SWEET CORN</t>
        </is>
      </c>
      <c r="O11" s="4" t="inlineStr">
        <is>
          <t>Good and clean Container (Food Grade)
(No leaks, no odors, and no oil stains.)</t>
        </is>
      </c>
      <c r="P11" s="4" t="inlineStr">
        <is>
          <t xml:space="preserve">Pickup : 2026-10-07, Return : 2026-10-08  </t>
        </is>
      </c>
      <c r="Q11" s="4" t="n">
        <v>3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HASLS22260900834</t>
        </is>
      </c>
      <c r="B12" s="4" t="inlineStr">
        <is>
          <t>SWSP</t>
        </is>
      </c>
      <c r="C12" s="4" t="inlineStr">
        <is>
          <t>2609N</t>
        </is>
      </c>
      <c r="D12" s="4" t="inlineStr">
        <is>
          <t>202610062230</t>
        </is>
      </c>
      <c r="E12" s="4" t="inlineStr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40Hx2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20261003</t>
        </is>
      </c>
      <c r="L12" s="4" t="inlineStr">
        <is>
          <t>CMS LOGISTICS GROUP (THAILAND) CO., LTD.</t>
        </is>
      </c>
      <c r="M12" s="4" t="inlineStr">
        <is>
          <t>TETRA PAK (THAILAND) LIMITED</t>
        </is>
      </c>
      <c r="N12" s="4" t="inlineStr">
        <is>
          <t>USED PLASTIC PALLET</t>
        </is>
      </c>
      <c r="O12" s="4" t="inlineStr">
        <is>
          <t>REQUEST CONTAINER GOODS &amp; CLEAN</t>
        </is>
      </c>
      <c r="P12" s="4" t="inlineStr">
        <is>
          <t xml:space="preserve">Pickup : 2026-10-03, Return : 2026-10-05 *EXTEND CLS TIME : 05/10/2026 @18.00* </t>
        </is>
      </c>
      <c r="Q12" s="4" t="n">
        <v>0</v>
      </c>
      <c r="R12" s="4" t="n">
        <v>0</v>
      </c>
      <c r="S12" s="4" t="n">
        <v>2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HASLS22260900861</t>
        </is>
      </c>
      <c r="B13" s="4" t="inlineStr">
        <is>
          <t>KXM</t>
        </is>
      </c>
      <c r="C13" s="4" t="inlineStr">
        <is>
          <t>2608S</t>
        </is>
      </c>
      <c r="D13" s="4" t="inlineStr">
        <is>
          <t>202610101500</t>
        </is>
      </c>
      <c r="E13" s="4" t="inlineStr"/>
      <c r="F13" s="4" t="inlineStr">
        <is>
          <t>THLCH</t>
        </is>
      </c>
      <c r="G13" s="4" t="inlineStr">
        <is>
          <t>IDJKT</t>
        </is>
      </c>
      <c r="H13" s="4" t="inlineStr">
        <is>
          <t xml:space="preserve">40Hx2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20261005</t>
        </is>
      </c>
      <c r="L13" s="4" t="inlineStr">
        <is>
          <t>HARBOUR NAVIGATION CO., LTD.</t>
        </is>
      </c>
      <c r="M13" s="4" t="inlineStr">
        <is>
          <t>TAOKAENOI FOOD &amp; MARKETING PUBLIC CO., LTD.</t>
        </is>
      </c>
      <c r="N13" s="4" t="inlineStr">
        <is>
          <t>SEAWEED</t>
        </is>
      </c>
      <c r="O13" s="4" t="inlineStr">
        <is>
          <t>REQUEST FOOD GRADE, A GRADE CLEAN AND GOOD CONTAINER</t>
        </is>
      </c>
      <c r="P13" s="4" t="inlineStr">
        <is>
          <t xml:space="preserve">Pickup : 2026-10-05, Return : 2026-10-06
</t>
        </is>
      </c>
      <c r="Q13" s="4" t="n">
        <v>0</v>
      </c>
      <c r="R13" s="4" t="n">
        <v>0</v>
      </c>
      <c r="S13" s="4" t="n">
        <v>2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HASLS22260900892</t>
        </is>
      </c>
      <c r="B14" s="4" t="inlineStr">
        <is>
          <t>SWSR</t>
        </is>
      </c>
      <c r="C14" s="4" t="inlineStr">
        <is>
          <t>2611N</t>
        </is>
      </c>
      <c r="D14" s="4" t="inlineStr">
        <is>
          <t>202610121900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20261005</t>
        </is>
      </c>
      <c r="L14" s="4" t="inlineStr">
        <is>
          <t>ACCORD PILOT LOGISTICS (THAILAND) CO., LTD.</t>
        </is>
      </c>
      <c r="M14" s="4" t="inlineStr">
        <is>
          <t>THAI PLASPAC PUBLIC CO.,LTD.</t>
        </is>
      </c>
      <c r="N14" s="4" t="inlineStr">
        <is>
          <t>PLASTIC CAP</t>
        </is>
      </c>
      <c r="O14" s="4" t="inlineStr">
        <is>
          <t>REQUEST CLEAN AND GOOD CONTAINER **</t>
        </is>
      </c>
      <c r="P14" s="4" t="inlineStr">
        <is>
          <t>CY-RTN  : 05-06/10/2026 (1ST RTN DD: 03/10/26 WO/RENT)</t>
        </is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HASLS22260900995</t>
        </is>
      </c>
      <c r="B15" s="4" t="inlineStr">
        <is>
          <t>SWSP</t>
        </is>
      </c>
      <c r="C15" s="4" t="inlineStr">
        <is>
          <t>2609N</t>
        </is>
      </c>
      <c r="D15" s="4" t="inlineStr">
        <is>
          <t>202610062230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20261002</t>
        </is>
      </c>
      <c r="L15" s="4" t="inlineStr">
        <is>
          <t>BEE LOGISTICS (THAILAND) CO., LTD.</t>
        </is>
      </c>
      <c r="M15" s="4" t="inlineStr">
        <is>
          <t>HERITAGE SNACKS &amp; FOOD CO., LTD.</t>
        </is>
      </c>
      <c r="N15" s="4" t="inlineStr">
        <is>
          <t>FOODSTUFF</t>
        </is>
      </c>
      <c r="O15" s="4" t="inlineStr">
        <is>
          <t>GOOD AND CLEAN CONTAINER</t>
        </is>
      </c>
      <c r="P15" s="4" t="inlineStr">
        <is>
          <t xml:space="preserve">Pickup : 2026-10-02, Return : 2026-10-03
 </t>
        </is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HASLS22260901154</t>
        </is>
      </c>
      <c r="B16" s="4" t="inlineStr">
        <is>
          <t>KUS</t>
        </is>
      </c>
      <c r="C16" s="4" t="inlineStr">
        <is>
          <t>2616N</t>
        </is>
      </c>
      <c r="D16" s="4" t="inlineStr">
        <is>
          <t>202610141100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40Hx31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20261003</t>
        </is>
      </c>
      <c r="L16" s="4" t="inlineStr">
        <is>
          <t>METRO PARTICLE CO., LTD.</t>
        </is>
      </c>
      <c r="M16" s="4" t="inlineStr">
        <is>
          <t>METRO PARTICLE CO., LTD.</t>
        </is>
      </c>
      <c r="N16" s="4" t="inlineStr">
        <is>
          <t>PARTICLE BOARD</t>
        </is>
      </c>
      <c r="O16" s="4" t="inlineStr">
        <is>
          <t>RQST CNTR UPGRADE 32.50 TONS</t>
        </is>
      </c>
      <c r="P16" s="4" t="inlineStr">
        <is>
          <t>CY -  RTN DD. 03-03/10/2026  /RQST CNTR UPGRADE 32.50TONS // FM SWSP 2610N BY HAL DD.01/10 (1ST RETURN 03/10 W/O RENT)</t>
        </is>
      </c>
      <c r="Q16" s="4" t="n">
        <v>0</v>
      </c>
      <c r="R16" s="4" t="n">
        <v>0</v>
      </c>
      <c r="S16" s="4" t="n">
        <v>31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HASLS22260901190</t>
        </is>
      </c>
      <c r="B17" s="4" t="inlineStr">
        <is>
          <t>SWAT</t>
        </is>
      </c>
      <c r="C17" s="4" t="inlineStr">
        <is>
          <t>2610N</t>
        </is>
      </c>
      <c r="D17" s="4" t="inlineStr">
        <is>
          <t>202610080800</t>
        </is>
      </c>
      <c r="E17" s="4" t="inlineStr"/>
      <c r="F17" s="4" t="inlineStr">
        <is>
          <t>THBKK</t>
        </is>
      </c>
      <c r="G17" s="4" t="inlineStr">
        <is>
          <t>HKHKG</t>
        </is>
      </c>
      <c r="H17" s="4" t="inlineStr">
        <is>
          <t xml:space="preserve">20'x1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20261003</t>
        </is>
      </c>
      <c r="L17" s="4" t="inlineStr">
        <is>
          <t>YUSEN LOGISTICS (THAILAND) CO., LTD.</t>
        </is>
      </c>
      <c r="M17" s="4" t="inlineStr">
        <is>
          <t>COSMOS BREWERY (THAILAND) CO.,LTD.</t>
        </is>
      </c>
      <c r="N17" s="4" t="inlineStr">
        <is>
          <t xml:space="preserve">BOTTLED CHANG BEER </t>
        </is>
      </c>
      <c r="O17" s="4" t="inlineStr">
        <is>
          <t>RQST GOOD CLEAN AND DRY CONTAINER GRADE 'A' PLEASE DO NOT CHANGE VESSEL AND PAPERLESS CODE</t>
        </is>
      </c>
      <c r="P17" s="4" t="inlineStr">
        <is>
          <t>Pickup : 2026-10-03, Return : 2026-10-05</t>
        </is>
      </c>
      <c r="Q17" s="4" t="n">
        <v>1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HASLS22260901286</t>
        </is>
      </c>
      <c r="B18" s="4" t="inlineStr">
        <is>
          <t>SWSP</t>
        </is>
      </c>
      <c r="C18" s="4" t="inlineStr">
        <is>
          <t>2609N</t>
        </is>
      </c>
      <c r="D18" s="4" t="inlineStr">
        <is>
          <t>202610062230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20RFx1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20261005</t>
        </is>
      </c>
      <c r="L18" s="4" t="inlineStr">
        <is>
          <t>ROYAL SUVARNABHUMI LOGISTIC CO., LTD.</t>
        </is>
      </c>
      <c r="M18" s="4" t="inlineStr">
        <is>
          <t>TOP PACIFIC CO., LTD.</t>
        </is>
      </c>
      <c r="N18" s="4" t="inlineStr">
        <is>
          <t>NATURAL MENTHOL CRYSTAL</t>
        </is>
      </c>
      <c r="O18" s="4" t="inlineStr">
        <is>
          <t>*PRE-COOL* RF22REx1 (Temp +18.0℃ / Vent Close) REQUEST CONTAINER GRADE A, WITH NO RUST, DUST DENT LEK CLEAN NO SMELL</t>
        </is>
      </c>
      <c r="P18" s="4" t="inlineStr">
        <is>
          <t xml:space="preserve">Pickup : 2026-10-05, Return : 2026-10-05 (Temp +18.0 / Vent Close) *PRE-COOL*
COST PRECOOL = 1,000 BAHT  // CLS TIME 05/10/2026 @23.59 </t>
        </is>
      </c>
      <c r="Q18" s="4" t="n">
        <v>0</v>
      </c>
      <c r="R18" s="4" t="n">
        <v>0</v>
      </c>
      <c r="S18" s="4" t="n">
        <v>0</v>
      </c>
      <c r="T18" s="4" t="n">
        <v>1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HASLS22260901332</t>
        </is>
      </c>
      <c r="B19" s="4" t="inlineStr">
        <is>
          <t>SWDN</t>
        </is>
      </c>
      <c r="C19" s="4" t="inlineStr">
        <is>
          <t>2610N</t>
        </is>
      </c>
      <c r="D19" s="4" t="inlineStr">
        <is>
          <t>202610071200</t>
        </is>
      </c>
      <c r="E19" s="4" t="inlineStr"/>
      <c r="F19" s="4" t="inlineStr">
        <is>
          <t>THBKK</t>
        </is>
      </c>
      <c r="G19" s="4" t="inlineStr">
        <is>
          <t>KRINC</t>
        </is>
      </c>
      <c r="H19" s="4" t="inlineStr">
        <is>
          <t xml:space="preserve">40Hx1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20261003</t>
        </is>
      </c>
      <c r="L19" s="4" t="inlineStr">
        <is>
          <t>H &amp; FRIENDS GTL (THAILAND) CO., LTD.</t>
        </is>
      </c>
      <c r="M19" s="4" t="inlineStr">
        <is>
          <t>AUTOLIV (THAILAND) LIMITED</t>
        </is>
      </c>
      <c r="N19" s="4" t="inlineStr">
        <is>
          <t>SEAT BELT</t>
        </is>
      </c>
      <c r="O19" s="4" t="inlineStr">
        <is>
          <t>** APPROVAL IN SYSTEM DD.25/09/2026 ** DG45GPx1 (CLS 9 / UN 3268)</t>
        </is>
      </c>
      <c r="P19" s="4" t="inlineStr">
        <is>
          <t xml:space="preserve">** APPROVAL IN SYSTEM DD.25/09/2026 ** DG45GPx1 (CLS 9 / UN 3268) 
Pickup : 2026-10-03, Return : 2026-10-03 </t>
        </is>
      </c>
      <c r="Q19" s="4" t="n">
        <v>0</v>
      </c>
      <c r="R19" s="4" t="n">
        <v>0</v>
      </c>
      <c r="S19" s="4" t="n">
        <v>1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HASLS22260901453</t>
        </is>
      </c>
      <c r="B20" s="4" t="inlineStr">
        <is>
          <t>SWDN</t>
        </is>
      </c>
      <c r="C20" s="4" t="inlineStr">
        <is>
          <t>2610N</t>
        </is>
      </c>
      <c r="D20" s="4" t="inlineStr">
        <is>
          <t>202610071200</t>
        </is>
      </c>
      <c r="E20" s="4" t="inlineStr"/>
      <c r="F20" s="4" t="inlineStr">
        <is>
          <t>THBKK</t>
        </is>
      </c>
      <c r="G20" s="4" t="inlineStr">
        <is>
          <t>HKHKG</t>
        </is>
      </c>
      <c r="H20" s="4" t="inlineStr">
        <is>
          <t xml:space="preserve">40Hx2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20261003</t>
        </is>
      </c>
      <c r="L20" s="4" t="inlineStr">
        <is>
          <t>SS EXCELLENT NETWORK CO.,LTD</t>
        </is>
      </c>
      <c r="M20" s="4" t="inlineStr">
        <is>
          <t>SS EXCELLENT NETWORK CO.,LTD</t>
        </is>
      </c>
      <c r="N20" s="4" t="inlineStr">
        <is>
          <t>COPPER INGOT</t>
        </is>
      </c>
      <c r="O20" s="4" t="inlineStr">
        <is>
          <t>RQST CONTAINER 32.5 TONS .</t>
        </is>
      </c>
      <c r="P20" s="4" t="inlineStr">
        <is>
          <t xml:space="preserve">CY-RTN : 03-04/10/2026 </t>
        </is>
      </c>
      <c r="Q20" s="4" t="n">
        <v>0</v>
      </c>
      <c r="R20" s="4" t="n">
        <v>0</v>
      </c>
      <c r="S20" s="4" t="n">
        <v>2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HASLS22260901457</t>
        </is>
      </c>
      <c r="B21" s="4" t="inlineStr">
        <is>
          <t>SWAT</t>
        </is>
      </c>
      <c r="C21" s="4" t="inlineStr">
        <is>
          <t>2610N</t>
        </is>
      </c>
      <c r="D21" s="4" t="inlineStr">
        <is>
          <t>202610080800</t>
        </is>
      </c>
      <c r="E21" s="4" t="inlineStr"/>
      <c r="F21" s="4" t="inlineStr">
        <is>
          <t>THBKK</t>
        </is>
      </c>
      <c r="G21" s="4" t="inlineStr">
        <is>
          <t>HKHKG</t>
        </is>
      </c>
      <c r="H21" s="4" t="inlineStr">
        <is>
          <t xml:space="preserve">20'x2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20261002</t>
        </is>
      </c>
      <c r="L21" s="4" t="inlineStr">
        <is>
          <t>SS EXCELLENT NETWORK CO.,LTD</t>
        </is>
      </c>
      <c r="M21" s="4" t="inlineStr">
        <is>
          <t>SS EXCELLENT NETWORK CO.,LTD</t>
        </is>
      </c>
      <c r="N21" s="4" t="inlineStr">
        <is>
          <t>COPPER INGOT</t>
        </is>
      </c>
      <c r="O21" s="4" t="inlineStr">
        <is>
          <t>RQST CONTAINER 30 TONS.</t>
        </is>
      </c>
      <c r="P21" s="4" t="inlineStr">
        <is>
          <t xml:space="preserve">Pickup : 2026-10-02, Return : 2026-10-04
 </t>
        </is>
      </c>
      <c r="Q21" s="4" t="n">
        <v>2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HASLS22260901458</t>
        </is>
      </c>
      <c r="B22" s="4" t="inlineStr">
        <is>
          <t>SWAT</t>
        </is>
      </c>
      <c r="C22" s="4" t="inlineStr">
        <is>
          <t>2610N</t>
        </is>
      </c>
      <c r="D22" s="4" t="inlineStr">
        <is>
          <t>202610080800</t>
        </is>
      </c>
      <c r="E22" s="4" t="inlineStr"/>
      <c r="F22" s="4" t="inlineStr">
        <is>
          <t>THBKK</t>
        </is>
      </c>
      <c r="G22" s="4" t="inlineStr">
        <is>
          <t>HKHKG</t>
        </is>
      </c>
      <c r="H22" s="4" t="inlineStr">
        <is>
          <t xml:space="preserve">40Hx1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20261002</t>
        </is>
      </c>
      <c r="L22" s="4" t="inlineStr">
        <is>
          <t>SS EXCELLENT NETWORK CO.,LTD</t>
        </is>
      </c>
      <c r="M22" s="4" t="inlineStr">
        <is>
          <t>SS EXCELLENT NETWORK CO.,LTD</t>
        </is>
      </c>
      <c r="N22" s="4" t="inlineStr">
        <is>
          <t>COPPER INGOT</t>
        </is>
      </c>
      <c r="O22" s="4" t="inlineStr">
        <is>
          <t>RQST COTNAINER 32.5 TONS</t>
        </is>
      </c>
      <c r="P22" s="4" t="inlineStr">
        <is>
          <t xml:space="preserve">Pickup : 2026-10-02, Return : 2026-10-04 </t>
        </is>
      </c>
      <c r="Q22" s="4" t="n">
        <v>0</v>
      </c>
      <c r="R22" s="4" t="n">
        <v>0</v>
      </c>
      <c r="S22" s="4" t="n">
        <v>1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HASLS22260901497</t>
        </is>
      </c>
      <c r="B23" s="4" t="inlineStr">
        <is>
          <t>SWAT</t>
        </is>
      </c>
      <c r="C23" s="4" t="inlineStr">
        <is>
          <t>2610N</t>
        </is>
      </c>
      <c r="D23" s="4" t="inlineStr">
        <is>
          <t>202610080800</t>
        </is>
      </c>
      <c r="E23" s="4" t="inlineStr"/>
      <c r="F23" s="4" t="inlineStr">
        <is>
          <t>THBKK</t>
        </is>
      </c>
      <c r="G23" s="4" t="inlineStr">
        <is>
          <t>TWKEL</t>
        </is>
      </c>
      <c r="H23" s="4" t="inlineStr">
        <is>
          <t xml:space="preserve">40Hx1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20261003</t>
        </is>
      </c>
      <c r="L23" s="4" t="inlineStr">
        <is>
          <t>COSMO LOGISTICS CO., LTD.</t>
        </is>
      </c>
      <c r="M23" s="4" t="inlineStr">
        <is>
          <t>L. LIGHTING GLASS CO., LTD.</t>
        </is>
      </c>
      <c r="N23" s="4" t="inlineStr">
        <is>
          <t>GLASS TUBES FOR ELECTRIC LIGHTING</t>
        </is>
      </c>
      <c r="O23" s="4" t="inlineStr">
        <is>
          <t>GOOD AND CLEAN CTNR</t>
        </is>
      </c>
      <c r="P23" s="4" t="inlineStr">
        <is>
          <t xml:space="preserve">Pickup : 2026-10-05, Return : 2026-10-05 
</t>
        </is>
      </c>
      <c r="Q23" s="4" t="n">
        <v>0</v>
      </c>
      <c r="R23" s="4" t="n">
        <v>0</v>
      </c>
      <c r="S23" s="4" t="n">
        <v>1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HASLS22260901585</t>
        </is>
      </c>
      <c r="B24" s="4" t="inlineStr">
        <is>
          <t>SWSP</t>
        </is>
      </c>
      <c r="C24" s="4" t="inlineStr">
        <is>
          <t>2609N</t>
        </is>
      </c>
      <c r="D24" s="4" t="inlineStr">
        <is>
          <t>202610062230</t>
        </is>
      </c>
      <c r="E24" s="4" t="inlineStr"/>
      <c r="F24" s="4" t="inlineStr">
        <is>
          <t>THBKK</t>
        </is>
      </c>
      <c r="G24" s="4" t="inlineStr">
        <is>
          <t>KRPUS</t>
        </is>
      </c>
      <c r="H24" s="4" t="inlineStr">
        <is>
          <t xml:space="preserve">40Hx1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20261005</t>
        </is>
      </c>
      <c r="L24" s="4" t="inlineStr">
        <is>
          <t>H &amp; FRIENDS GTL (THAILAND) CO., LTD.</t>
        </is>
      </c>
      <c r="M24" s="4" t="inlineStr">
        <is>
          <t>AUTOLIV (THAILAND) LIMITED</t>
        </is>
      </c>
      <c r="N24" s="4" t="inlineStr">
        <is>
          <t>SEAT BELT</t>
        </is>
      </c>
      <c r="O24" s="4" t="inlineStr">
        <is>
          <t>**APPROVAL IN SYSTEM DD.24/09/2026** DG45GPx1 (CLS 9 / UN 3268) DG45GPx1 (CLS 9 / UN 3268) 
REQUEST CONTAINER CLEAN &amp; NO SMEL</t>
        </is>
      </c>
      <c r="P24" s="4" t="inlineStr">
        <is>
          <t xml:space="preserve">**APPROVAL IN SYSTEM DD.24/09/2026** DG45GPx1 (CLS 9 / UN 3268) 
Pickup : 2026-10-05, Return : 2026-10-05 *EXTEND CLS TIME : 05/10/2026 @23.59* </t>
        </is>
      </c>
      <c r="Q24" s="4" t="n">
        <v>0</v>
      </c>
      <c r="R24" s="4" t="n">
        <v>0</v>
      </c>
      <c r="S24" s="4" t="n">
        <v>1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HASLS22260901588</t>
        </is>
      </c>
      <c r="B25" s="4" t="inlineStr">
        <is>
          <t>KXM</t>
        </is>
      </c>
      <c r="C25" s="4" t="inlineStr">
        <is>
          <t>2608S</t>
        </is>
      </c>
      <c r="D25" s="4" t="inlineStr">
        <is>
          <t>202610101500</t>
        </is>
      </c>
      <c r="E25" s="4" t="inlineStr"/>
      <c r="F25" s="4" t="inlineStr">
        <is>
          <t>THLCH</t>
        </is>
      </c>
      <c r="G25" s="4" t="inlineStr">
        <is>
          <t>IDJKT</t>
        </is>
      </c>
      <c r="H25" s="4" t="inlineStr">
        <is>
          <t xml:space="preserve">20'x1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20261005</t>
        </is>
      </c>
      <c r="L25" s="4" t="inlineStr">
        <is>
          <t>FREIGHT CONNECT CO., LTD.</t>
        </is>
      </c>
      <c r="M25" s="4" t="inlineStr">
        <is>
          <t>SPF DIANA (THAILAND) CO., LTD.</t>
        </is>
      </c>
      <c r="N25" s="4" t="inlineStr">
        <is>
          <t>PET FOOD</t>
        </is>
      </c>
      <c r="O25" s="4" t="inlineStr">
        <is>
          <t>GOOD AND CLEAN CTNR</t>
        </is>
      </c>
      <c r="P25" s="4" t="inlineStr">
        <is>
          <t>Pickup : 2026-10-05, Return : 2026-10-06 // 1ST RETURN 05/10 W/O RENT</t>
        </is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HASLS22260901641</t>
        </is>
      </c>
      <c r="B26" s="4" t="inlineStr">
        <is>
          <t>SWRG</t>
        </is>
      </c>
      <c r="C26" s="4" t="inlineStr">
        <is>
          <t>2609N</t>
        </is>
      </c>
      <c r="D26" s="4" t="inlineStr">
        <is>
          <t>202610141700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40Hx1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20261005</t>
        </is>
      </c>
      <c r="L26" s="4" t="inlineStr">
        <is>
          <t>YUSEN LOGISTICS (THAILAND) CO., LTD.</t>
        </is>
      </c>
      <c r="M26" s="4" t="inlineStr">
        <is>
          <t>YUSEN LOGISTICS (THAILAND) CO.,LTD.</t>
        </is>
      </c>
      <c r="N26" s="4" t="inlineStr">
        <is>
          <t>PRINTER FOR INDUSTRY</t>
        </is>
      </c>
      <c r="O26" s="4" t="inlineStr">
        <is>
          <t>GOOD AND CLEAN CTNR</t>
        </is>
      </c>
      <c r="P26" s="4" t="inlineStr">
        <is>
          <t xml:space="preserve">Pickup : 2026-10-05, Return : 2026-10-05 [PAPERLESS CODE : 2829] 
 CLS TIME 09/10 @06.00 [1ST RTN 05/10 W/O RENT] 
 </t>
        </is>
      </c>
      <c r="Q26" s="4" t="n">
        <v>0</v>
      </c>
      <c r="R26" s="4" t="n">
        <v>0</v>
      </c>
      <c r="S26" s="4" t="n">
        <v>1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HASLS22260901700</t>
        </is>
      </c>
      <c r="B27" s="4" t="inlineStr">
        <is>
          <t>SWAT</t>
        </is>
      </c>
      <c r="C27" s="4" t="inlineStr">
        <is>
          <t>2610N</t>
        </is>
      </c>
      <c r="D27" s="4" t="inlineStr">
        <is>
          <t>202610080800</t>
        </is>
      </c>
      <c r="E27" s="4" t="inlineStr"/>
      <c r="F27" s="4" t="inlineStr">
        <is>
          <t>THBKK</t>
        </is>
      </c>
      <c r="G27" s="4" t="inlineStr">
        <is>
          <t>TWKEL</t>
        </is>
      </c>
      <c r="H27" s="4" t="inlineStr">
        <is>
          <t xml:space="preserve">20'x1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20261005</t>
        </is>
      </c>
      <c r="L27" s="4" t="inlineStr">
        <is>
          <t>EXPEDITORS (THAILAND) LTD.</t>
        </is>
      </c>
      <c r="M27" s="4" t="inlineStr">
        <is>
          <t>THAI SEISEN CO., LTD.</t>
        </is>
      </c>
      <c r="N27" s="4" t="inlineStr">
        <is>
          <t xml:space="preserve">STAINLESS STEEL WIRE </t>
        </is>
      </c>
      <c r="O27" s="4" t="inlineStr">
        <is>
          <t>Request well clean and dry cntrs ,</t>
        </is>
      </c>
      <c r="P27" s="4" t="inlineStr">
        <is>
          <t xml:space="preserve">Pickup : 2026-10-05, Return : 2026-10-05 </t>
        </is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HASLS22260901726</t>
        </is>
      </c>
      <c r="B28" s="4" t="inlineStr">
        <is>
          <t>PGPO</t>
        </is>
      </c>
      <c r="C28" s="4" t="inlineStr">
        <is>
          <t>2612N</t>
        </is>
      </c>
      <c r="D28" s="4" t="inlineStr">
        <is>
          <t>202610150100</t>
        </is>
      </c>
      <c r="E28" s="4" t="inlineStr"/>
      <c r="F28" s="4" t="inlineStr">
        <is>
          <t>THBKK</t>
        </is>
      </c>
      <c r="G28" s="4" t="inlineStr">
        <is>
          <t>KRKAN</t>
        </is>
      </c>
      <c r="H28" s="4" t="inlineStr">
        <is>
          <t xml:space="preserve">40Hx2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20261003</t>
        </is>
      </c>
      <c r="L28" s="4" t="inlineStr">
        <is>
          <t>HARPERS SEA FREIGHT CO., LTD.</t>
        </is>
      </c>
      <c r="M28" s="4" t="inlineStr">
        <is>
          <t>THAI ASAHI CO., LTD.</t>
        </is>
      </c>
      <c r="N28" s="4" t="inlineStr">
        <is>
          <t xml:space="preserve">POTATO STARCH </t>
        </is>
      </c>
      <c r="O28" s="4" t="inlineStr">
        <is>
          <t>Grade A and food grade container</t>
        </is>
      </c>
      <c r="P28" s="4" t="inlineStr">
        <is>
          <t>Pickup : 2026-10-03, Return : 2026-10-11</t>
        </is>
      </c>
      <c r="Q28" s="4" t="n">
        <v>0</v>
      </c>
      <c r="R28" s="4" t="n">
        <v>0</v>
      </c>
      <c r="S28" s="4" t="n">
        <v>2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HASLS22260901835</t>
        </is>
      </c>
      <c r="B29" s="4" t="inlineStr">
        <is>
          <t>DJCF</t>
        </is>
      </c>
      <c r="C29" s="4" t="inlineStr">
        <is>
          <t>0152N</t>
        </is>
      </c>
      <c r="D29" s="4" t="inlineStr">
        <is>
          <t>202610110500</t>
        </is>
      </c>
      <c r="E29" s="4" t="inlineStr"/>
      <c r="F29" s="4" t="inlineStr">
        <is>
          <t>THBKK</t>
        </is>
      </c>
      <c r="G29" s="4" t="inlineStr">
        <is>
          <t>VNSGN</t>
        </is>
      </c>
      <c r="H29" s="4" t="inlineStr">
        <is>
          <t xml:space="preserve">20'x1 </t>
        </is>
      </c>
      <c r="I29" s="4" t="inlineStr">
        <is>
          <t>BKK27</t>
        </is>
      </c>
      <c r="J29" s="4" t="inlineStr">
        <is>
          <t>B.C. DEPOT CO.,LTD. ( Bang-Na KM.18)</t>
        </is>
      </c>
      <c r="K29" s="4" t="inlineStr">
        <is>
          <t>20261005</t>
        </is>
      </c>
      <c r="L29" s="4" t="inlineStr">
        <is>
          <t>ACCORD PILOT LOGISTICS (THAILAND) CO., LTD.</t>
        </is>
      </c>
      <c r="M29" s="4" t="inlineStr">
        <is>
          <t>JIRAKORN CO., LTD.</t>
        </is>
      </c>
      <c r="N29" s="4" t="inlineStr">
        <is>
          <t xml:space="preserve"> FOOD ADDITIVE,</t>
        </is>
      </c>
      <c r="O29" s="4" t="inlineStr">
        <is>
          <t>REQUEST GOOD &amp; CLEAN CONTAINER</t>
        </is>
      </c>
      <c r="P29" s="4" t="inlineStr">
        <is>
          <t>Pickup : 2026-10-05, Return : 2026-10-05 (1ST RTN DD: 06/10/26 WO/RENT)</t>
        </is>
      </c>
      <c r="Q29" s="4" t="n">
        <v>1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HASLS22260901854</t>
        </is>
      </c>
      <c r="B30" s="4" t="inlineStr">
        <is>
          <t>DJCF</t>
        </is>
      </c>
      <c r="C30" s="4" t="inlineStr">
        <is>
          <t>0152N</t>
        </is>
      </c>
      <c r="D30" s="4" t="inlineStr">
        <is>
          <t>202610110500</t>
        </is>
      </c>
      <c r="E30" s="4" t="inlineStr"/>
      <c r="F30" s="4" t="inlineStr">
        <is>
          <t>THBKK</t>
        </is>
      </c>
      <c r="G30" s="4" t="inlineStr">
        <is>
          <t>VNSGN</t>
        </is>
      </c>
      <c r="H30" s="4" t="inlineStr">
        <is>
          <t xml:space="preserve">20'x4 </t>
        </is>
      </c>
      <c r="I30" s="4" t="inlineStr">
        <is>
          <t>BKK27</t>
        </is>
      </c>
      <c r="J30" s="4" t="inlineStr">
        <is>
          <t>B.C. DEPOT CO.,LTD. ( Bang-Na KM.18)</t>
        </is>
      </c>
      <c r="K30" s="4" t="inlineStr">
        <is>
          <t>20261005</t>
        </is>
      </c>
      <c r="L30" s="4" t="inlineStr">
        <is>
          <t>CAPRICORN LOGISTICS CO., LTD.</t>
        </is>
      </c>
      <c r="M30" s="4" t="inlineStr">
        <is>
          <t>THAI GYPSUM PRODUCTS PCL.</t>
        </is>
      </c>
      <c r="N30" s="4" t="inlineStr">
        <is>
          <t xml:space="preserve">GYPSUM PLASTER </t>
        </is>
      </c>
      <c r="O30" s="4" t="inlineStr">
        <is>
          <t>request container upgrade 30 tons / REQUEST CONTAINER GOOD GRADE</t>
        </is>
      </c>
      <c r="P30" s="4" t="inlineStr">
        <is>
          <t>Pickup : 2026-10-05, Return : 2026-10-06 (1ST RTN DD: 07/10/26 WO/RENT)</t>
        </is>
      </c>
      <c r="Q30" s="4" t="n">
        <v>4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HASLS22260901860</t>
        </is>
      </c>
      <c r="B31" s="4" t="inlineStr">
        <is>
          <t>SWRG</t>
        </is>
      </c>
      <c r="C31" s="4" t="inlineStr">
        <is>
          <t>2609N</t>
        </is>
      </c>
      <c r="D31" s="4" t="inlineStr">
        <is>
          <t>202610141700</t>
        </is>
      </c>
      <c r="E31" s="4" t="inlineStr">
        <is>
          <t>THSRP</t>
        </is>
      </c>
      <c r="F31" s="4" t="inlineStr">
        <is>
          <t>THLCH</t>
        </is>
      </c>
      <c r="G31" s="4" t="inlineStr">
        <is>
          <t>CNSHA</t>
        </is>
      </c>
      <c r="H31" s="4" t="inlineStr">
        <is>
          <t xml:space="preserve">20'x1 </t>
        </is>
      </c>
      <c r="I31" s="4" t="inlineStr">
        <is>
          <t>BKK27</t>
        </is>
      </c>
      <c r="J31" s="4" t="inlineStr">
        <is>
          <t>B.C. DEPOT CO.,LTD. ( Bang-Na KM.18)</t>
        </is>
      </c>
      <c r="K31" s="4" t="inlineStr">
        <is>
          <t>20261003</t>
        </is>
      </c>
      <c r="L31" s="4" t="inlineStr">
        <is>
          <t>DYNAMIC INTERTRANSPORT CO., LTD.</t>
        </is>
      </c>
      <c r="M31" s="4" t="inlineStr">
        <is>
          <t>RIVER KWAI INTERNATIONAL FOOD INDUSTRY CO., LTD.</t>
        </is>
      </c>
      <c r="N31" s="4" t="inlineStr">
        <is>
          <t>CANNED SWEET CORN</t>
        </is>
      </c>
      <c r="O31" s="4" t="inlineStr">
        <is>
          <t>REQ CLEAN CONTAINER</t>
        </is>
      </c>
      <c r="P31" s="4" t="inlineStr">
        <is>
          <t>Pickup : 2026-10-03, Return SRP : 2026-10-05 [PAPERLESS CODE 2829]
CLS TIME 10/10/26 @18.00 [1ST RTN 07/10/2026 W/O RENT]</t>
        </is>
      </c>
      <c r="Q31" s="4" t="n">
        <v>1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HASLS22260901868</t>
        </is>
      </c>
      <c r="B32" s="4" t="inlineStr">
        <is>
          <t>SWDN</t>
        </is>
      </c>
      <c r="C32" s="4" t="inlineStr">
        <is>
          <t>2610N</t>
        </is>
      </c>
      <c r="D32" s="4" t="inlineStr">
        <is>
          <t>202610071200</t>
        </is>
      </c>
      <c r="E32" s="4" t="inlineStr"/>
      <c r="F32" s="4" t="inlineStr">
        <is>
          <t>THBKK</t>
        </is>
      </c>
      <c r="G32" s="4" t="inlineStr">
        <is>
          <t>KRINC</t>
        </is>
      </c>
      <c r="H32" s="4" t="inlineStr">
        <is>
          <t xml:space="preserve">40Hx1 </t>
        </is>
      </c>
      <c r="I32" s="4" t="inlineStr">
        <is>
          <t>BKK27</t>
        </is>
      </c>
      <c r="J32" s="4" t="inlineStr">
        <is>
          <t>B.C. DEPOT CO.,LTD. ( Bang-Na KM.18)</t>
        </is>
      </c>
      <c r="K32" s="4" t="inlineStr">
        <is>
          <t>20261003</t>
        </is>
      </c>
      <c r="L32" s="4" t="inlineStr">
        <is>
          <t>H &amp; FRIENDS GTL (THAILAND) CO., LTD.</t>
        </is>
      </c>
      <c r="M32" s="4" t="inlineStr">
        <is>
          <t>AUTOLIV (THAILAND) LIMITED</t>
        </is>
      </c>
      <c r="N32" s="4" t="inlineStr">
        <is>
          <t>SEAT BELT</t>
        </is>
      </c>
      <c r="O32" s="4" t="inlineStr">
        <is>
          <t>**APPROVAL IN SYSTEM DD.25/09/2026** DG45GPx1 (CLS 9 / UN 3268)</t>
        </is>
      </c>
      <c r="P32" s="4" t="inlineStr">
        <is>
          <t xml:space="preserve">**APPROVAL IN SYSTEM DD.25/09/2026** DG45GPx1 (CLS 9 / UN 3268) 
 Pickup : 2026-10-03, Return : 2026-10-03 </t>
        </is>
      </c>
      <c r="Q32" s="4" t="n">
        <v>0</v>
      </c>
      <c r="R32" s="4" t="n">
        <v>0</v>
      </c>
      <c r="S32" s="4" t="n">
        <v>1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HASLS22260901986</t>
        </is>
      </c>
      <c r="B33" s="4" t="inlineStr">
        <is>
          <t>KXM</t>
        </is>
      </c>
      <c r="C33" s="4" t="inlineStr">
        <is>
          <t>2608S</t>
        </is>
      </c>
      <c r="D33" s="4" t="inlineStr">
        <is>
          <t>202610101500</t>
        </is>
      </c>
      <c r="E33" s="4" t="inlineStr"/>
      <c r="F33" s="4" t="inlineStr">
        <is>
          <t>THLCH</t>
        </is>
      </c>
      <c r="G33" s="4" t="inlineStr">
        <is>
          <t>IDJKT</t>
        </is>
      </c>
      <c r="H33" s="4" t="inlineStr">
        <is>
          <t xml:space="preserve">40Hx1 </t>
        </is>
      </c>
      <c r="I33" s="4" t="inlineStr">
        <is>
          <t>BKK27</t>
        </is>
      </c>
      <c r="J33" s="4" t="inlineStr">
        <is>
          <t>B.C. DEPOT CO.,LTD. ( Bang-Na KM.18)</t>
        </is>
      </c>
      <c r="K33" s="4" t="inlineStr">
        <is>
          <t>20261005</t>
        </is>
      </c>
      <c r="L33" s="4" t="inlineStr">
        <is>
          <t>SCAN GLOBAL LOGISTICS CO., LTD.</t>
        </is>
      </c>
      <c r="M33" s="4" t="inlineStr">
        <is>
          <t>THAI PRESERVED FOOD FACTORY CO.,LTD.</t>
        </is>
      </c>
      <c r="N33" s="4" t="inlineStr">
        <is>
          <t>DEHYDRATED RICE VERMICELLI</t>
        </is>
      </c>
      <c r="O33" s="4" t="inlineStr">
        <is>
          <t>GOOD AND CLEAN CTNR</t>
        </is>
      </c>
      <c r="P33" s="4" t="inlineStr">
        <is>
          <t xml:space="preserve">Pickup : 2026-10-05, Return : 2026-10-06 </t>
        </is>
      </c>
      <c r="Q33" s="4" t="n">
        <v>0</v>
      </c>
      <c r="R33" s="4" t="n">
        <v>0</v>
      </c>
      <c r="S33" s="4" t="n">
        <v>1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HASLS22260901997</t>
        </is>
      </c>
      <c r="B34" s="4" t="inlineStr">
        <is>
          <t>SWSP</t>
        </is>
      </c>
      <c r="C34" s="4" t="inlineStr">
        <is>
          <t>2609N</t>
        </is>
      </c>
      <c r="D34" s="4" t="inlineStr">
        <is>
          <t>202610062230</t>
        </is>
      </c>
      <c r="E34" s="4" t="inlineStr"/>
      <c r="F34" s="4" t="inlineStr">
        <is>
          <t>THBKK</t>
        </is>
      </c>
      <c r="G34" s="4" t="inlineStr">
        <is>
          <t>RUVVO</t>
        </is>
      </c>
      <c r="H34" s="4" t="inlineStr">
        <is>
          <t xml:space="preserve">20RFx1 </t>
        </is>
      </c>
      <c r="I34" s="4" t="inlineStr">
        <is>
          <t>BKK27</t>
        </is>
      </c>
      <c r="J34" s="4" t="inlineStr">
        <is>
          <t>B.C. DEPOT CO.,LTD. ( Bang-Na KM.18)</t>
        </is>
      </c>
      <c r="K34" s="4" t="inlineStr">
        <is>
          <t>20261003</t>
        </is>
      </c>
      <c r="L34" s="4" t="inlineStr">
        <is>
          <t>BRIO LOGISTICS (THAILAND) CO., LTD.</t>
        </is>
      </c>
      <c r="M34" s="4" t="inlineStr">
        <is>
          <t>LUCK SIAM GLOBAL COMPANY LIMITED</t>
        </is>
      </c>
      <c r="N34" s="4" t="inlineStr">
        <is>
          <t>CANNED TUNA</t>
        </is>
      </c>
      <c r="O34" s="4" t="inlineStr">
        <is>
          <t>(Temp +18.0℃ / Vent Close)</t>
        </is>
      </c>
      <c r="P34" s="4" t="inlineStr">
        <is>
          <t xml:space="preserve">[FIX][FIX]Pickup : 2026-10-03, Return : 2026-10-04 (Temp +18.0 / Vent Close)
CLS TIME : 05/10/2026 @16.00 </t>
        </is>
      </c>
      <c r="Q34" s="4" t="n">
        <v>0</v>
      </c>
      <c r="R34" s="4" t="n">
        <v>0</v>
      </c>
      <c r="S34" s="4" t="n">
        <v>0</v>
      </c>
      <c r="T34" s="4" t="n">
        <v>1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HASLS22260902007</t>
        </is>
      </c>
      <c r="B35" s="4" t="inlineStr">
        <is>
          <t>SWSP</t>
        </is>
      </c>
      <c r="C35" s="4" t="inlineStr">
        <is>
          <t>2609N</t>
        </is>
      </c>
      <c r="D35" s="4" t="inlineStr">
        <is>
          <t>202610062230</t>
        </is>
      </c>
      <c r="E35" s="4" t="inlineStr"/>
      <c r="F35" s="4" t="inlineStr">
        <is>
          <t>THBKK</t>
        </is>
      </c>
      <c r="G35" s="4" t="inlineStr">
        <is>
          <t>VNSGN</t>
        </is>
      </c>
      <c r="H35" s="4" t="inlineStr">
        <is>
          <t xml:space="preserve">R40Hx1 </t>
        </is>
      </c>
      <c r="I35" s="4" t="inlineStr">
        <is>
          <t>BKK27</t>
        </is>
      </c>
      <c r="J35" s="4" t="inlineStr">
        <is>
          <t>B.C. DEPOT CO.,LTD. ( Bang-Na KM.18)</t>
        </is>
      </c>
      <c r="K35" s="4" t="inlineStr">
        <is>
          <t>20261005</t>
        </is>
      </c>
      <c r="L35" s="4" t="inlineStr">
        <is>
          <t>PACIFIC FORWARDER INTERNATIONAL CO., LTD.</t>
        </is>
      </c>
      <c r="M35" s="4" t="inlineStr">
        <is>
          <t>MEGA LIFESCIENCES PUBLIC CO., LTD.</t>
        </is>
      </c>
      <c r="N35" s="4" t="inlineStr">
        <is>
          <t>PHARMACEUTICAL PRODUCTS</t>
        </is>
      </c>
      <c r="O35" s="4" t="inlineStr">
        <is>
          <t>RF45REx1 (Temp +22.0℃ / Vent Close)</t>
        </is>
      </c>
      <c r="P35" s="4" t="inlineStr">
        <is>
          <t xml:space="preserve">Pickup : 2026-10-05 Return : 2026-10-05 (Temp +22.0 / Vent Close)
EXTEND CLS TIME 05/10/2026 @23.59  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HASLS22260902010</t>
        </is>
      </c>
      <c r="B36" s="4" t="inlineStr">
        <is>
          <t>SWAT</t>
        </is>
      </c>
      <c r="C36" s="4" t="inlineStr">
        <is>
          <t>2611N</t>
        </is>
      </c>
      <c r="D36" s="4" t="inlineStr">
        <is>
          <t>202610290800</t>
        </is>
      </c>
      <c r="E36" s="4" t="inlineStr"/>
      <c r="F36" s="4" t="inlineStr">
        <is>
          <t>THBKK</t>
        </is>
      </c>
      <c r="G36" s="4" t="inlineStr">
        <is>
          <t>HKHKG</t>
        </is>
      </c>
      <c r="H36" s="4" t="inlineStr">
        <is>
          <t xml:space="preserve">20'x1 </t>
        </is>
      </c>
      <c r="I36" s="4" t="inlineStr">
        <is>
          <t>BKK27</t>
        </is>
      </c>
      <c r="J36" s="4" t="inlineStr">
        <is>
          <t>B.C. DEPOT CO.,LTD. ( Bang-Na KM.18)</t>
        </is>
      </c>
      <c r="K36" s="4" t="inlineStr">
        <is>
          <t>20260926</t>
        </is>
      </c>
      <c r="L36" s="4" t="inlineStr">
        <is>
          <t>YUSEN LOGISTICS (THAILAND) CO., LTD.</t>
        </is>
      </c>
      <c r="M36" s="4" t="inlineStr">
        <is>
          <t>COSMOS BREWERY (THAILAND) CO.,LTD.</t>
        </is>
      </c>
      <c r="N36" s="4" t="inlineStr">
        <is>
          <t xml:space="preserve">BOTTLED CHANG BEER </t>
        </is>
      </c>
      <c r="O36" s="4" t="inlineStr">
        <is>
          <t>REQ. GOOD, CLEAN &amp; DRY GRADE A CONTAINER. PLEASE DO NOT CHANGE VESSEL AND PAPERLESS CODE</t>
        </is>
      </c>
      <c r="P36" s="4" t="inlineStr">
        <is>
          <t>Pickup : 2026-09-26, Return : 2026-09-27</t>
        </is>
      </c>
      <c r="Q36" s="4" t="n">
        <v>1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HASLS22260902045</t>
        </is>
      </c>
      <c r="B37" s="4" t="inlineStr">
        <is>
          <t>SWSR</t>
        </is>
      </c>
      <c r="C37" s="4" t="inlineStr">
        <is>
          <t>2611N</t>
        </is>
      </c>
      <c r="D37" s="4" t="inlineStr">
        <is>
          <t>202610121900</t>
        </is>
      </c>
      <c r="E37" s="4" t="inlineStr"/>
      <c r="F37" s="4" t="inlineStr">
        <is>
          <t>THBKK</t>
        </is>
      </c>
      <c r="G37" s="4" t="inlineStr">
        <is>
          <t>HKHKG</t>
        </is>
      </c>
      <c r="H37" s="4" t="inlineStr">
        <is>
          <t xml:space="preserve">20'x1 </t>
        </is>
      </c>
      <c r="I37" s="4" t="inlineStr">
        <is>
          <t>BKK27</t>
        </is>
      </c>
      <c r="J37" s="4" t="inlineStr">
        <is>
          <t>B.C. DEPOT CO.,LTD. ( Bang-Na KM.18)</t>
        </is>
      </c>
      <c r="K37" s="4" t="inlineStr">
        <is>
          <t>20261005</t>
        </is>
      </c>
      <c r="L37" s="4" t="inlineStr">
        <is>
          <t>UNITED MARINE LOGISTIC CO., LTD.</t>
        </is>
      </c>
      <c r="M37" s="4" t="inlineStr">
        <is>
          <t>ASIA MART EXPORT CO., LTD.</t>
        </is>
      </c>
      <c r="N37" s="4" t="inlineStr">
        <is>
          <t xml:space="preserve">SNACK </t>
        </is>
      </c>
      <c r="O37" s="4" t="inlineStr">
        <is>
          <t>GOOD AND CLEAN CTNR</t>
        </is>
      </c>
      <c r="P37" s="4" t="inlineStr">
        <is>
          <t>Pickup : 2026-10-05, Return : 2026-10-05 (1ST RETURN 06/10 W/O  RENT)</t>
        </is>
      </c>
      <c r="Q37" s="4" t="n">
        <v>1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HASLS22260902178</t>
        </is>
      </c>
      <c r="B38" s="4" t="inlineStr">
        <is>
          <t>SWAT</t>
        </is>
      </c>
      <c r="C38" s="4" t="inlineStr">
        <is>
          <t>2610N</t>
        </is>
      </c>
      <c r="D38" s="4" t="inlineStr">
        <is>
          <t>202610080800</t>
        </is>
      </c>
      <c r="E38" s="4" t="inlineStr"/>
      <c r="F38" s="4" t="inlineStr">
        <is>
          <t>THBKK</t>
        </is>
      </c>
      <c r="G38" s="4" t="inlineStr">
        <is>
          <t>TWKEL</t>
        </is>
      </c>
      <c r="H38" s="4" t="inlineStr">
        <is>
          <t xml:space="preserve">20'x1 </t>
        </is>
      </c>
      <c r="I38" s="4" t="inlineStr">
        <is>
          <t>BKK27</t>
        </is>
      </c>
      <c r="J38" s="4" t="inlineStr">
        <is>
          <t>B.C. DEPOT CO.,LTD. ( Bang-Na KM.18)</t>
        </is>
      </c>
      <c r="K38" s="4" t="inlineStr">
        <is>
          <t>20261003</t>
        </is>
      </c>
      <c r="L38" s="4" t="inlineStr">
        <is>
          <t>WORLD MEGA LOGISTICS (THAILAND) CO., LTD.</t>
        </is>
      </c>
      <c r="M38" s="4" t="inlineStr">
        <is>
          <t>JB ALL CO., LTD.</t>
        </is>
      </c>
      <c r="N38" s="4" t="inlineStr">
        <is>
          <t>PORCELAIN MOSAIC</t>
        </is>
      </c>
      <c r="O38" s="4" t="inlineStr">
        <is>
          <t>GOOD AND CLEAN CTNR</t>
        </is>
      </c>
      <c r="P38" s="4" t="inlineStr">
        <is>
          <t xml:space="preserve">Pickup : 2026-10-03, Return : 2026-10-05 </t>
        </is>
      </c>
      <c r="Q38" s="4" t="n">
        <v>1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HASLS22260902179</t>
        </is>
      </c>
      <c r="B39" s="4" t="inlineStr">
        <is>
          <t>SWBT</t>
        </is>
      </c>
      <c r="C39" s="4" t="inlineStr">
        <is>
          <t>2616N</t>
        </is>
      </c>
      <c r="D39" s="4" t="inlineStr">
        <is>
          <t>202610150700</t>
        </is>
      </c>
      <c r="E39" s="4" t="inlineStr"/>
      <c r="F39" s="4" t="inlineStr">
        <is>
          <t>THBKK</t>
        </is>
      </c>
      <c r="G39" s="4" t="inlineStr">
        <is>
          <t>VNSGN</t>
        </is>
      </c>
      <c r="H39" s="4" t="inlineStr">
        <is>
          <t xml:space="preserve">40Hx10 </t>
        </is>
      </c>
      <c r="I39" s="4" t="inlineStr">
        <is>
          <t>BKK27</t>
        </is>
      </c>
      <c r="J39" s="4" t="inlineStr">
        <is>
          <t>B.C. DEPOT CO.,LTD. ( Bang-Na KM.18)</t>
        </is>
      </c>
      <c r="K39" s="4" t="inlineStr">
        <is>
          <t>20260928</t>
        </is>
      </c>
      <c r="L39" s="4" t="inlineStr">
        <is>
          <t>BIRLA CARBON (THAILAND) PUBLIC COMPANY LIMITED</t>
        </is>
      </c>
      <c r="M39" s="4" t="inlineStr">
        <is>
          <t>BIRLA CARBON (THAILAND) PUBLIC COMPANY LIMITED</t>
        </is>
      </c>
      <c r="N39" s="4" t="inlineStr">
        <is>
          <t>CABON BLACK</t>
        </is>
      </c>
      <c r="O39" s="4" t="inlineStr">
        <is>
          <t>**Clean container / No rust / No hole / No sharp surface inside areas in container</t>
        </is>
      </c>
      <c r="P39" s="4" t="inlineStr">
        <is>
          <t>Pickup : 2026-09-28, Return : 2026-09-29 (1ST RTN DD: 08/10/26 WO/RENT)</t>
        </is>
      </c>
      <c r="Q39" s="4" t="n">
        <v>0</v>
      </c>
      <c r="R39" s="4" t="n">
        <v>0</v>
      </c>
      <c r="S39" s="4" t="n">
        <v>10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HASLS22260902181</t>
        </is>
      </c>
      <c r="B40" s="4" t="inlineStr">
        <is>
          <t>SWBT</t>
        </is>
      </c>
      <c r="C40" s="4" t="inlineStr">
        <is>
          <t>2616N</t>
        </is>
      </c>
      <c r="D40" s="4" t="inlineStr">
        <is>
          <t>202610150700</t>
        </is>
      </c>
      <c r="E40" s="4" t="inlineStr"/>
      <c r="F40" s="4" t="inlineStr">
        <is>
          <t>THBKK</t>
        </is>
      </c>
      <c r="G40" s="4" t="inlineStr">
        <is>
          <t>VNSGN</t>
        </is>
      </c>
      <c r="H40" s="4" t="inlineStr">
        <is>
          <t xml:space="preserve">40Hx10 </t>
        </is>
      </c>
      <c r="I40" s="4" t="inlineStr">
        <is>
          <t>BKK27</t>
        </is>
      </c>
      <c r="J40" s="4" t="inlineStr">
        <is>
          <t>B.C. DEPOT CO.,LTD. ( Bang-Na KM.18)</t>
        </is>
      </c>
      <c r="K40" s="4" t="inlineStr">
        <is>
          <t>20260929</t>
        </is>
      </c>
      <c r="L40" s="4" t="inlineStr">
        <is>
          <t>BIRLA CARBON (THAILAND) PUBLIC COMPANY LIMITED</t>
        </is>
      </c>
      <c r="M40" s="4" t="inlineStr">
        <is>
          <t>BIRLA CARBON (THAILAND) PUBLIC COMPANY LIMITED</t>
        </is>
      </c>
      <c r="N40" s="4" t="inlineStr">
        <is>
          <t>CABON BLACK</t>
        </is>
      </c>
      <c r="O40" s="4" t="inlineStr">
        <is>
          <t>/ No rust / No hole / No sharp surface inside areas in container</t>
        </is>
      </c>
      <c r="P40" s="4" t="inlineStr">
        <is>
          <t>Pickup : 2026-09-29, Return : 2026-09-29 (1ST RTN DD: 08/10/26 WO/RENT)</t>
        </is>
      </c>
      <c r="Q40" s="4" t="n">
        <v>0</v>
      </c>
      <c r="R40" s="4" t="n">
        <v>0</v>
      </c>
      <c r="S40" s="4" t="n">
        <v>10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HASLS22260902182</t>
        </is>
      </c>
      <c r="B41" s="4" t="inlineStr">
        <is>
          <t>SWIC</t>
        </is>
      </c>
      <c r="C41" s="4" t="inlineStr">
        <is>
          <t>2611N</t>
        </is>
      </c>
      <c r="D41" s="4" t="inlineStr">
        <is>
          <t>202610151200</t>
        </is>
      </c>
      <c r="E41" s="4" t="inlineStr"/>
      <c r="F41" s="4" t="inlineStr">
        <is>
          <t>THBKK</t>
        </is>
      </c>
      <c r="G41" s="4" t="inlineStr">
        <is>
          <t>VNSGN</t>
        </is>
      </c>
      <c r="H41" s="4" t="inlineStr">
        <is>
          <t xml:space="preserve">40Hx10 </t>
        </is>
      </c>
      <c r="I41" s="4" t="inlineStr">
        <is>
          <t>BKK27</t>
        </is>
      </c>
      <c r="J41" s="4" t="inlineStr">
        <is>
          <t>B.C. DEPOT CO.,LTD. ( Bang-Na KM.18)</t>
        </is>
      </c>
      <c r="K41" s="4" t="inlineStr">
        <is>
          <t>20260929</t>
        </is>
      </c>
      <c r="L41" s="4" t="inlineStr">
        <is>
          <t>BIRLA CARBON (THAILAND) PUBLIC COMPANY LIMITED</t>
        </is>
      </c>
      <c r="M41" s="4" t="inlineStr">
        <is>
          <t>BIRLA CARBON (THAILAND) PUBLIC COMPANY LIMITED</t>
        </is>
      </c>
      <c r="N41" s="4" t="inlineStr">
        <is>
          <t>CABON BLACK</t>
        </is>
      </c>
      <c r="O41" s="4" t="inlineStr">
        <is>
          <t>GOOD AND CLEAN CONTAINER</t>
        </is>
      </c>
      <c r="P41" s="4" t="inlineStr">
        <is>
          <t>Pickup : 2026-09-29, Return : 2026-09-29 (1ST RTN DD: 08/10/26 WO/RENT)</t>
        </is>
      </c>
      <c r="Q41" s="4" t="n">
        <v>0</v>
      </c>
      <c r="R41" s="4" t="n">
        <v>0</v>
      </c>
      <c r="S41" s="4" t="n">
        <v>10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HASLS22260902296</t>
        </is>
      </c>
      <c r="B42" s="4" t="inlineStr">
        <is>
          <t>KMTP</t>
        </is>
      </c>
      <c r="C42" s="4" t="inlineStr">
        <is>
          <t>2612N</t>
        </is>
      </c>
      <c r="D42" s="4" t="inlineStr">
        <is>
          <t>202610140800</t>
        </is>
      </c>
      <c r="E42" s="4" t="inlineStr"/>
      <c r="F42" s="4" t="inlineStr">
        <is>
          <t>THBKK</t>
        </is>
      </c>
      <c r="G42" s="4" t="inlineStr">
        <is>
          <t>CNXMN</t>
        </is>
      </c>
      <c r="H42" s="4" t="inlineStr">
        <is>
          <t xml:space="preserve">20'x1 </t>
        </is>
      </c>
      <c r="I42" s="4" t="inlineStr">
        <is>
          <t>BKK27</t>
        </is>
      </c>
      <c r="J42" s="4" t="inlineStr">
        <is>
          <t>B.C. DEPOT CO.,LTD. ( Bang-Na KM.18)</t>
        </is>
      </c>
      <c r="K42" s="4" t="inlineStr">
        <is>
          <t>20261005</t>
        </is>
      </c>
      <c r="L42" s="4" t="inlineStr">
        <is>
          <t>CARGOBOY CO., LTD.</t>
        </is>
      </c>
      <c r="M42" s="4" t="inlineStr">
        <is>
          <t>SAHA PRACHINBURI FOODS INDUSTRY LTD.</t>
        </is>
      </c>
      <c r="N42" s="4" t="inlineStr">
        <is>
          <t xml:space="preserve">CANNED LONGAN IN LIGHT SYRUP </t>
        </is>
      </c>
      <c r="O42" s="4" t="inlineStr">
        <is>
          <t>GOOD AND CLEAN CONTAINER</t>
        </is>
      </c>
      <c r="P42" s="4" t="inlineStr">
        <is>
          <t>Pickup : 2026-10-05, Return : 2026-10-07 (1ST RTN DD: 10/10/26 WO/RENT)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HASLS22260902356</t>
        </is>
      </c>
      <c r="B43" s="4" t="inlineStr">
        <is>
          <t>CMA</t>
        </is>
      </c>
      <c r="C43" s="4" t="inlineStr">
        <is>
          <t>2615N</t>
        </is>
      </c>
      <c r="D43" s="4" t="inlineStr">
        <is>
          <t>202610200200</t>
        </is>
      </c>
      <c r="E43" s="4" t="inlineStr"/>
      <c r="F43" s="4" t="inlineStr">
        <is>
          <t>THBKK</t>
        </is>
      </c>
      <c r="G43" s="4" t="inlineStr">
        <is>
          <t>CNSHK</t>
        </is>
      </c>
      <c r="H43" s="4" t="inlineStr">
        <is>
          <t xml:space="preserve">40Hx2 </t>
        </is>
      </c>
      <c r="I43" s="4" t="inlineStr">
        <is>
          <t>BKK27</t>
        </is>
      </c>
      <c r="J43" s="4" t="inlineStr">
        <is>
          <t>B.C. DEPOT CO.,LTD. ( Bang-Na KM.18)</t>
        </is>
      </c>
      <c r="K43" s="4" t="inlineStr">
        <is>
          <t>20261002</t>
        </is>
      </c>
      <c r="L43" s="4" t="inlineStr">
        <is>
          <t>DIMERCO EXPRESS (THAILAND) CO., LTD.</t>
        </is>
      </c>
      <c r="M43" s="4" t="inlineStr">
        <is>
          <t>THAIMAN INDUSTRIES CO., LTD.</t>
        </is>
      </c>
      <c r="N43" s="4" t="inlineStr">
        <is>
          <t>POLYAMIDE 66 TEXTURED YARN</t>
        </is>
      </c>
      <c r="O43" s="4" t="inlineStr">
        <is>
          <t>GOOD AND CLEAN CONTAINER</t>
        </is>
      </c>
      <c r="P43" s="4" t="inlineStr">
        <is>
          <t>Pickup : 2026-10-02, Return : 2026-10-02 [1ST RTN 13/10/2026 W/O RENT]</t>
        </is>
      </c>
      <c r="Q43" s="4" t="n">
        <v>0</v>
      </c>
      <c r="R43" s="4" t="n">
        <v>0</v>
      </c>
      <c r="S43" s="4" t="n">
        <v>2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HASLS22260902452</t>
        </is>
      </c>
      <c r="B44" s="4" t="inlineStr">
        <is>
          <t>SWDN</t>
        </is>
      </c>
      <c r="C44" s="4" t="inlineStr">
        <is>
          <t>2610N</t>
        </is>
      </c>
      <c r="D44" s="4" t="inlineStr">
        <is>
          <t>202610071200</t>
        </is>
      </c>
      <c r="E44" s="4" t="inlineStr"/>
      <c r="F44" s="4" t="inlineStr">
        <is>
          <t>THBKK</t>
        </is>
      </c>
      <c r="G44" s="4" t="inlineStr">
        <is>
          <t>HKHKG</t>
        </is>
      </c>
      <c r="H44" s="4" t="inlineStr">
        <is>
          <t xml:space="preserve">20'x1 </t>
        </is>
      </c>
      <c r="I44" s="4" t="inlineStr">
        <is>
          <t>BKK27</t>
        </is>
      </c>
      <c r="J44" s="4" t="inlineStr">
        <is>
          <t>B.C. DEPOT CO.,LTD. ( Bang-Na KM.18)</t>
        </is>
      </c>
      <c r="K44" s="4" t="inlineStr">
        <is>
          <t>20261003</t>
        </is>
      </c>
      <c r="L44" s="4" t="inlineStr">
        <is>
          <t>SS EXCELLENT NETWORK CO.,LTD</t>
        </is>
      </c>
      <c r="M44" s="4" t="inlineStr">
        <is>
          <t>SS EXCELLENT NETWORK CO.,LTD</t>
        </is>
      </c>
      <c r="N44" s="4" t="inlineStr">
        <is>
          <t>COPPER INGOT</t>
        </is>
      </c>
      <c r="O44" s="4" t="inlineStr">
        <is>
          <t>RQST CONTAINER 30 TONS.</t>
        </is>
      </c>
      <c r="P44" s="4" t="inlineStr">
        <is>
          <t xml:space="preserve">Pickup : 2026-10-03, Return : 2026-10-03 
 </t>
        </is>
      </c>
      <c r="Q44" s="4" t="n">
        <v>1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HASLS22260902548</t>
        </is>
      </c>
      <c r="B45" s="4" t="inlineStr">
        <is>
          <t>SWDN</t>
        </is>
      </c>
      <c r="C45" s="4" t="inlineStr">
        <is>
          <t>2610N</t>
        </is>
      </c>
      <c r="D45" s="4" t="inlineStr">
        <is>
          <t>202610071200</t>
        </is>
      </c>
      <c r="E45" s="4" t="inlineStr"/>
      <c r="F45" s="4" t="inlineStr">
        <is>
          <t>THBKK</t>
        </is>
      </c>
      <c r="G45" s="4" t="inlineStr">
        <is>
          <t>KRINC</t>
        </is>
      </c>
      <c r="H45" s="4" t="inlineStr">
        <is>
          <t xml:space="preserve">40Hx1 </t>
        </is>
      </c>
      <c r="I45" s="4" t="inlineStr">
        <is>
          <t>BKK27</t>
        </is>
      </c>
      <c r="J45" s="4" t="inlineStr">
        <is>
          <t>B.C. DEPOT CO.,LTD. ( Bang-Na KM.18)</t>
        </is>
      </c>
      <c r="K45" s="4" t="inlineStr">
        <is>
          <t>20261003</t>
        </is>
      </c>
      <c r="L45" s="4" t="inlineStr">
        <is>
          <t>ORIENTAL LOGISTICS GROUP (THAILAND) CO., LTD.</t>
        </is>
      </c>
      <c r="M45" s="4" t="inlineStr">
        <is>
          <t>KINGBOARD LAMINATE MANUFACTURING (THAILAND) CO., LTD.</t>
        </is>
      </c>
      <c r="N45" s="4" t="inlineStr">
        <is>
          <t>LAMINATE</t>
        </is>
      </c>
      <c r="O45" s="4" t="inlineStr">
        <is>
          <t>request a grade container</t>
        </is>
      </c>
      <c r="P45" s="4" t="inlineStr">
        <is>
          <t xml:space="preserve">Pickup : 2026-10-03, Return : 2026-10-05 // EXTEND CLS TIME 05/10 @18.00 </t>
        </is>
      </c>
      <c r="Q45" s="4" t="n">
        <v>0</v>
      </c>
      <c r="R45" s="4" t="n">
        <v>0</v>
      </c>
      <c r="S45" s="4" t="n">
        <v>1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HASLS22260902582</t>
        </is>
      </c>
      <c r="B46" s="4" t="inlineStr">
        <is>
          <t>SWIC</t>
        </is>
      </c>
      <c r="C46" s="4" t="inlineStr">
        <is>
          <t>2611N</t>
        </is>
      </c>
      <c r="D46" s="4" t="inlineStr">
        <is>
          <t>202610151200</t>
        </is>
      </c>
      <c r="E46" s="4" t="inlineStr"/>
      <c r="F46" s="4" t="inlineStr">
        <is>
          <t>THBKK</t>
        </is>
      </c>
      <c r="G46" s="4" t="inlineStr">
        <is>
          <t>KRPUS</t>
        </is>
      </c>
      <c r="H46" s="4" t="inlineStr">
        <is>
          <t xml:space="preserve">40Hx1 </t>
        </is>
      </c>
      <c r="I46" s="4" t="inlineStr">
        <is>
          <t>BKK27</t>
        </is>
      </c>
      <c r="J46" s="4" t="inlineStr">
        <is>
          <t>B.C. DEPOT CO.,LTD. ( Bang-Na KM.18)</t>
        </is>
      </c>
      <c r="K46" s="4" t="inlineStr">
        <is>
          <t>20261003</t>
        </is>
      </c>
      <c r="L46" s="4" t="inlineStr">
        <is>
          <t>FM GLOBAL LOGISTICS CO., LTD.</t>
        </is>
      </c>
      <c r="M46" s="4" t="inlineStr">
        <is>
          <t>FM GLOBAL LOGISTICS CO., LTD.</t>
        </is>
      </c>
      <c r="N46" s="4" t="inlineStr">
        <is>
          <t>CORRUGATOR ADDITIVES</t>
        </is>
      </c>
      <c r="O46" s="4" t="inlineStr">
        <is>
          <t>GOOD AND CLEAN CTNR</t>
        </is>
      </c>
      <c r="P46" s="4" t="inlineStr">
        <is>
          <t xml:space="preserve">Pickup : 2026-10-03, Return : 2026-10-05 (1ST RTN 09/10 W/O RENT) 
 </t>
        </is>
      </c>
      <c r="Q46" s="4" t="n">
        <v>0</v>
      </c>
      <c r="R46" s="4" t="n">
        <v>0</v>
      </c>
      <c r="S46" s="4" t="n">
        <v>1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HASLS22260902651</t>
        </is>
      </c>
      <c r="B47" s="4" t="inlineStr">
        <is>
          <t>SWSP</t>
        </is>
      </c>
      <c r="C47" s="4" t="inlineStr">
        <is>
          <t>2609N</t>
        </is>
      </c>
      <c r="D47" s="4" t="inlineStr">
        <is>
          <t>202610062230</t>
        </is>
      </c>
      <c r="E47" s="4" t="inlineStr"/>
      <c r="F47" s="4" t="inlineStr">
        <is>
          <t>THBKK</t>
        </is>
      </c>
      <c r="G47" s="4" t="inlineStr">
        <is>
          <t>KRPUS</t>
        </is>
      </c>
      <c r="H47" s="4" t="inlineStr">
        <is>
          <t xml:space="preserve">20RFx1 </t>
        </is>
      </c>
      <c r="I47" s="4" t="inlineStr">
        <is>
          <t>BKK27</t>
        </is>
      </c>
      <c r="J47" s="4" t="inlineStr">
        <is>
          <t>B.C. DEPOT CO.,LTD. ( Bang-Na KM.18)</t>
        </is>
      </c>
      <c r="K47" s="4" t="inlineStr">
        <is>
          <t>20261003</t>
        </is>
      </c>
      <c r="L47" s="4" t="inlineStr">
        <is>
          <t>KCTC THAI LOGISTICS CO., LTD.</t>
        </is>
      </c>
      <c r="M47" s="4" t="inlineStr">
        <is>
          <t>BANGKOK SEAFOOD CO., LTD.</t>
        </is>
      </c>
      <c r="N47" s="4" t="inlineStr">
        <is>
          <t>FROZEN BABY OCTOPUS CUT</t>
        </is>
      </c>
      <c r="O47" s="4" t="inlineStr">
        <is>
          <t>(Temp -20.0℃ / Vent Close)
REQUEST: CONTAINER FOOD GRADE, NO LEAKAGE, NO SMELL, DRY AND CLEAN</t>
        </is>
      </c>
      <c r="P47" s="4" t="inlineStr">
        <is>
          <t>Pickup : 2026-10-03, Return : 2026-10-05 (Temp -20.0℃ / Vent Close)
CLS TIME DD.05/10/2026 @23.59HRS. 
REQUEST: CONTAINER FOOD GRADE, NO LEAKAGE, NO SMELL, DRY AND CLEAN</t>
        </is>
      </c>
      <c r="Q47" s="4" t="n">
        <v>0</v>
      </c>
      <c r="R47" s="4" t="n">
        <v>0</v>
      </c>
      <c r="S47" s="4" t="n">
        <v>0</v>
      </c>
      <c r="T47" s="4" t="n">
        <v>1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HASLS22260902721</t>
        </is>
      </c>
      <c r="B48" s="4" t="inlineStr">
        <is>
          <t>SWRG</t>
        </is>
      </c>
      <c r="C48" s="4" t="inlineStr">
        <is>
          <t>2609N</t>
        </is>
      </c>
      <c r="D48" s="4" t="inlineStr">
        <is>
          <t>202610141700</t>
        </is>
      </c>
      <c r="E48" s="4" t="inlineStr">
        <is>
          <t>THSRP</t>
        </is>
      </c>
      <c r="F48" s="4" t="inlineStr">
        <is>
          <t>THLCH</t>
        </is>
      </c>
      <c r="G48" s="4" t="inlineStr">
        <is>
          <t>CNSHA</t>
        </is>
      </c>
      <c r="H48" s="4" t="inlineStr">
        <is>
          <t xml:space="preserve">40Hx2 </t>
        </is>
      </c>
      <c r="I48" s="4" t="inlineStr">
        <is>
          <t>BKK27</t>
        </is>
      </c>
      <c r="J48" s="4" t="inlineStr">
        <is>
          <t>B.C. DEPOT CO.,LTD. ( Bang-Na KM.18)</t>
        </is>
      </c>
      <c r="K48" s="4" t="inlineStr">
        <is>
          <t>20261005</t>
        </is>
      </c>
      <c r="L48" s="4" t="inlineStr">
        <is>
          <t>MANA GLOBAL LINK CO., LTD.</t>
        </is>
      </c>
      <c r="M48" s="4" t="inlineStr">
        <is>
          <t>THAI FOENG INTERNATIONAL CO., LTD.</t>
        </is>
      </c>
      <c r="N48" s="4" t="inlineStr">
        <is>
          <t>PE RECYCLE PELLET</t>
        </is>
      </c>
      <c r="O48" s="4" t="inlineStr">
        <is>
          <t>RQST CNTR 32.5 TONS // 40'HQ</t>
        </is>
      </c>
      <c r="P48" s="4" t="inlineStr">
        <is>
          <t>Pickup : 2026-10-05, Return SRP : 2026-10-06 [PAPERLESS CODE 2829]
CLS TIME 10/10/26 @18.00 (1ST RTN DD: 07/10/26 WO/RENT)</t>
        </is>
      </c>
      <c r="Q48" s="4" t="n">
        <v>0</v>
      </c>
      <c r="R48" s="4" t="n">
        <v>0</v>
      </c>
      <c r="S48" s="4" t="n">
        <v>2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HASLS22261000007</t>
        </is>
      </c>
      <c r="B49" s="4" t="inlineStr">
        <is>
          <t>DJCF</t>
        </is>
      </c>
      <c r="C49" s="4" t="inlineStr">
        <is>
          <t>0152N</t>
        </is>
      </c>
      <c r="D49" s="4" t="inlineStr">
        <is>
          <t>202610110500</t>
        </is>
      </c>
      <c r="E49" s="4" t="inlineStr"/>
      <c r="F49" s="4" t="inlineStr">
        <is>
          <t>THBKK</t>
        </is>
      </c>
      <c r="G49" s="4" t="inlineStr">
        <is>
          <t>VNSGN</t>
        </is>
      </c>
      <c r="H49" s="4" t="inlineStr">
        <is>
          <t xml:space="preserve">40Hx1 </t>
        </is>
      </c>
      <c r="I49" s="4" t="inlineStr">
        <is>
          <t>BKK27</t>
        </is>
      </c>
      <c r="J49" s="4" t="inlineStr">
        <is>
          <t>B.C. DEPOT CO.,LTD. ( Bang-Na KM.18)</t>
        </is>
      </c>
      <c r="K49" s="4" t="inlineStr">
        <is>
          <t>20261005</t>
        </is>
      </c>
      <c r="L49" s="4" t="inlineStr">
        <is>
          <t>SDS-ACUTECH CO., LTD.</t>
        </is>
      </c>
      <c r="M49" s="4" t="inlineStr">
        <is>
          <t>APEX CIRCUIT (THAILAND) CO., LTD.</t>
        </is>
      </c>
      <c r="N49" s="4" t="inlineStr">
        <is>
          <t>PRINTED CIRCUIT BOARD</t>
        </is>
      </c>
      <c r="O49" s="4" t="inlineStr">
        <is>
          <t>GOOD AND CLEAN CTNR</t>
        </is>
      </c>
      <c r="P49" s="4" t="inlineStr">
        <is>
          <t xml:space="preserve">Pickup : 2026-10-05, Return : 2026-10-07 </t>
        </is>
      </c>
      <c r="Q49" s="4" t="n">
        <v>0</v>
      </c>
      <c r="R49" s="4" t="n">
        <v>0</v>
      </c>
      <c r="S49" s="4" t="n">
        <v>1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HASLS22261000027</t>
        </is>
      </c>
      <c r="B50" s="4" t="inlineStr">
        <is>
          <t>DJCF</t>
        </is>
      </c>
      <c r="C50" s="4" t="inlineStr">
        <is>
          <t>0152N</t>
        </is>
      </c>
      <c r="D50" s="4" t="inlineStr">
        <is>
          <t>202610110500</t>
        </is>
      </c>
      <c r="E50" s="4" t="inlineStr"/>
      <c r="F50" s="4" t="inlineStr">
        <is>
          <t>THBKK</t>
        </is>
      </c>
      <c r="G50" s="4" t="inlineStr">
        <is>
          <t>VNSGN</t>
        </is>
      </c>
      <c r="H50" s="4" t="inlineStr">
        <is>
          <t xml:space="preserve">40Hx1 </t>
        </is>
      </c>
      <c r="I50" s="4" t="inlineStr">
        <is>
          <t>BKK27</t>
        </is>
      </c>
      <c r="J50" s="4" t="inlineStr">
        <is>
          <t>B.C. DEPOT CO.,LTD. ( Bang-Na KM.18)</t>
        </is>
      </c>
      <c r="K50" s="4" t="inlineStr">
        <is>
          <t>20261005</t>
        </is>
      </c>
      <c r="L50" s="4" t="inlineStr">
        <is>
          <t>SDS-ACUTECH CO., LTD.</t>
        </is>
      </c>
      <c r="M50" s="4" t="inlineStr">
        <is>
          <t>APEX CIRCUIT (THAILAND) CO., LTD.</t>
        </is>
      </c>
      <c r="N50" s="4" t="inlineStr">
        <is>
          <t>PRINTED CIRCUIT BOARD</t>
        </is>
      </c>
      <c r="O50" s="4" t="inlineStr">
        <is>
          <t>GOOD AND CLEAN CTNR</t>
        </is>
      </c>
      <c r="P50" s="4" t="inlineStr">
        <is>
          <t xml:space="preserve">Pickup : 2026-10-05, Return : 2026-10-07 </t>
        </is>
      </c>
      <c r="Q50" s="4" t="n">
        <v>0</v>
      </c>
      <c r="R50" s="4" t="n">
        <v>0</v>
      </c>
      <c r="S50" s="4" t="n">
        <v>1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HASLS22261000185</t>
        </is>
      </c>
      <c r="B51" s="4" t="inlineStr">
        <is>
          <t>SWAT</t>
        </is>
      </c>
      <c r="C51" s="4" t="inlineStr">
        <is>
          <t>2610N</t>
        </is>
      </c>
      <c r="D51" s="4" t="inlineStr">
        <is>
          <t>202610080800</t>
        </is>
      </c>
      <c r="E51" s="4" t="inlineStr"/>
      <c r="F51" s="4" t="inlineStr">
        <is>
          <t>THBKK</t>
        </is>
      </c>
      <c r="G51" s="4" t="inlineStr">
        <is>
          <t>HKHKG</t>
        </is>
      </c>
      <c r="H51" s="4" t="inlineStr">
        <is>
          <t xml:space="preserve">20'x1 </t>
        </is>
      </c>
      <c r="I51" s="4" t="inlineStr">
        <is>
          <t>BKK27</t>
        </is>
      </c>
      <c r="J51" s="4" t="inlineStr">
        <is>
          <t>B.C. DEPOT CO.,LTD. ( Bang-Na KM.18)</t>
        </is>
      </c>
      <c r="K51" s="4" t="inlineStr">
        <is>
          <t>20261002</t>
        </is>
      </c>
      <c r="L51" s="4" t="inlineStr">
        <is>
          <t>SS EXCELLENT NETWORK CO.,LTD</t>
        </is>
      </c>
      <c r="M51" s="4" t="inlineStr">
        <is>
          <t>SS EXCELLENT NETWORK CO.,LTD</t>
        </is>
      </c>
      <c r="N51" s="4" t="inlineStr">
        <is>
          <t>COPPER INGOT</t>
        </is>
      </c>
      <c r="O51" s="4" t="inlineStr">
        <is>
          <t>RQST CONTAINER 30 TONS.</t>
        </is>
      </c>
      <c r="P51" s="4" t="inlineStr">
        <is>
          <t xml:space="preserve">Pickup : 2026-10-02, Return : 2026-10-04
 </t>
        </is>
      </c>
      <c r="Q51" s="4" t="n">
        <v>1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HASLS22261000188</t>
        </is>
      </c>
      <c r="B52" s="4" t="inlineStr">
        <is>
          <t>SWAT</t>
        </is>
      </c>
      <c r="C52" s="4" t="inlineStr">
        <is>
          <t>2610N</t>
        </is>
      </c>
      <c r="D52" s="4" t="inlineStr">
        <is>
          <t>202610080800</t>
        </is>
      </c>
      <c r="E52" s="4" t="inlineStr"/>
      <c r="F52" s="4" t="inlineStr">
        <is>
          <t>THBKK</t>
        </is>
      </c>
      <c r="G52" s="4" t="inlineStr">
        <is>
          <t>HKHKG</t>
        </is>
      </c>
      <c r="H52" s="4" t="inlineStr">
        <is>
          <t xml:space="preserve">40Hx1 </t>
        </is>
      </c>
      <c r="I52" s="4" t="inlineStr">
        <is>
          <t>BKK27</t>
        </is>
      </c>
      <c r="J52" s="4" t="inlineStr">
        <is>
          <t>B.C. DEPOT CO.,LTD. ( Bang-Na KM.18)</t>
        </is>
      </c>
      <c r="K52" s="4" t="inlineStr">
        <is>
          <t>20261002</t>
        </is>
      </c>
      <c r="L52" s="4" t="inlineStr">
        <is>
          <t>SS EXCELLENT NETWORK CO.,LTD</t>
        </is>
      </c>
      <c r="M52" s="4" t="inlineStr">
        <is>
          <t>SS EXCELLENT NETWORK CO.,LTD</t>
        </is>
      </c>
      <c r="N52" s="4" t="inlineStr">
        <is>
          <t>COPPER INGOT</t>
        </is>
      </c>
      <c r="O52" s="4" t="inlineStr">
        <is>
          <t>RQST COTNAINER 32.5 TONS</t>
        </is>
      </c>
      <c r="P52" s="4" t="inlineStr">
        <is>
          <t xml:space="preserve">Pickup : 2026-10-02, Return : 2026-10-04 </t>
        </is>
      </c>
      <c r="Q52" s="4" t="n">
        <v>0</v>
      </c>
      <c r="R52" s="4" t="n">
        <v>0</v>
      </c>
      <c r="S52" s="4" t="n">
        <v>1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HASLS22261000189</t>
        </is>
      </c>
      <c r="B53" s="4" t="inlineStr">
        <is>
          <t>SWAT</t>
        </is>
      </c>
      <c r="C53" s="4" t="inlineStr">
        <is>
          <t>2610N</t>
        </is>
      </c>
      <c r="D53" s="4" t="inlineStr">
        <is>
          <t>202610080800</t>
        </is>
      </c>
      <c r="E53" s="4" t="inlineStr"/>
      <c r="F53" s="4" t="inlineStr">
        <is>
          <t>THBKK</t>
        </is>
      </c>
      <c r="G53" s="4" t="inlineStr">
        <is>
          <t>HKHKG</t>
        </is>
      </c>
      <c r="H53" s="4" t="inlineStr">
        <is>
          <t xml:space="preserve">40Hx1 </t>
        </is>
      </c>
      <c r="I53" s="4" t="inlineStr">
        <is>
          <t>BKK27</t>
        </is>
      </c>
      <c r="J53" s="4" t="inlineStr">
        <is>
          <t>B.C. DEPOT CO.,LTD. ( Bang-Na KM.18)</t>
        </is>
      </c>
      <c r="K53" s="4" t="inlineStr">
        <is>
          <t>20261002</t>
        </is>
      </c>
      <c r="L53" s="4" t="inlineStr">
        <is>
          <t>SS EXCELLENT NETWORK CO.,LTD</t>
        </is>
      </c>
      <c r="M53" s="4" t="inlineStr">
        <is>
          <t>SS EXCELLENT NETWORK CO.,LTD</t>
        </is>
      </c>
      <c r="N53" s="4" t="inlineStr">
        <is>
          <t>COPPER INGOT</t>
        </is>
      </c>
      <c r="O53" s="4" t="inlineStr">
        <is>
          <t>RQST COTNAINER 32.5 TONS</t>
        </is>
      </c>
      <c r="P53" s="4" t="inlineStr">
        <is>
          <t xml:space="preserve">Pickup : 2026-10-02, Return : 2026-10-04 </t>
        </is>
      </c>
      <c r="Q53" s="4" t="n">
        <v>0</v>
      </c>
      <c r="R53" s="4" t="n">
        <v>0</v>
      </c>
      <c r="S53" s="4" t="n">
        <v>1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HASLS22260802276</t>
        </is>
      </c>
      <c r="B54" s="4" t="inlineStr">
        <is>
          <t>SWAT</t>
        </is>
      </c>
      <c r="C54" s="4" t="inlineStr">
        <is>
          <t>2610N</t>
        </is>
      </c>
      <c r="D54" s="4" t="inlineStr">
        <is>
          <t>202610090100</t>
        </is>
      </c>
      <c r="E54" s="4" t="inlineStr"/>
      <c r="F54" s="4" t="inlineStr">
        <is>
          <t>THLCH</t>
        </is>
      </c>
      <c r="G54" s="4" t="inlineStr">
        <is>
          <t>TWKEL</t>
        </is>
      </c>
      <c r="H54" s="4" t="inlineStr">
        <is>
          <t xml:space="preserve">20'x1 </t>
        </is>
      </c>
      <c r="I54" s="4" t="inlineStr">
        <is>
          <t>LCH28</t>
        </is>
      </c>
      <c r="J54" s="4" t="inlineStr">
        <is>
          <t>CELLO</t>
        </is>
      </c>
      <c r="K54" s="4" t="inlineStr">
        <is>
          <t>20261003</t>
        </is>
      </c>
      <c r="L54" s="4" t="inlineStr">
        <is>
          <t>COSMO LOGISTICS CO., LTD.</t>
        </is>
      </c>
      <c r="M54" s="4" t="inlineStr">
        <is>
          <t>L. LIGHTING GLASS CO., LTD.</t>
        </is>
      </c>
      <c r="N54" s="4" t="inlineStr">
        <is>
          <t>GLASS TUBES FOR ELECTRIC LIGHTING</t>
        </is>
      </c>
      <c r="O54" s="4" t="inlineStr">
        <is>
          <t>GOOD AND CLEAN CTNR</t>
        </is>
      </c>
      <c r="P54" s="4" t="inlineStr">
        <is>
          <t xml:space="preserve">Pickup : 2026-10-05, Return : 2026-10-05 
 ** PLEASE CHECK OPEN GATE BEFORE RETURN CNTR **
</t>
        </is>
      </c>
      <c r="Q54" s="4" t="n">
        <v>1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HASLS22260900838</t>
        </is>
      </c>
      <c r="B55" s="4" t="inlineStr">
        <is>
          <t>SWRG</t>
        </is>
      </c>
      <c r="C55" s="4" t="inlineStr">
        <is>
          <t>2609N</t>
        </is>
      </c>
      <c r="D55" s="4" t="inlineStr">
        <is>
          <t>202610141700</t>
        </is>
      </c>
      <c r="E55" s="4" t="inlineStr"/>
      <c r="F55" s="4" t="inlineStr">
        <is>
          <t>THLCH</t>
        </is>
      </c>
      <c r="G55" s="4" t="inlineStr">
        <is>
          <t>JPNAH</t>
        </is>
      </c>
      <c r="H55" s="4" t="inlineStr">
        <is>
          <t xml:space="preserve">20'x2 </t>
        </is>
      </c>
      <c r="I55" s="4" t="inlineStr">
        <is>
          <t>LCH28</t>
        </is>
      </c>
      <c r="J55" s="4" t="inlineStr">
        <is>
          <t>CELLO</t>
        </is>
      </c>
      <c r="K55" s="4" t="inlineStr">
        <is>
          <t>20260930</t>
        </is>
      </c>
      <c r="L55" s="4" t="inlineStr">
        <is>
          <t>SCGJWD LOGISTICS PUBLIC COMPANY LIMITED</t>
        </is>
      </c>
      <c r="M55" s="4" t="inlineStr">
        <is>
          <t>THAI POLYETHYLENE CO., LTD.</t>
        </is>
      </c>
      <c r="N55" s="4" t="inlineStr">
        <is>
          <t>RESIN</t>
        </is>
      </c>
      <c r="O55" s="4" t="inlineStr">
        <is>
          <t>RESIN-PALLET,NO RED WALL CONTAINER,CLEAN CONTAINER NO OIL STAINS , NO RUSTY ,NO CUT OR HOLE</t>
        </is>
      </c>
      <c r="P55" s="4" t="inlineStr">
        <is>
          <t xml:space="preserve">CY 30/09/26 , RTN 02/10/26 (  INV  3031061819 ) </t>
        </is>
      </c>
      <c r="Q55" s="4" t="n">
        <v>2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HASLS22260900975</t>
        </is>
      </c>
      <c r="B56" s="4" t="inlineStr">
        <is>
          <t>KMSU</t>
        </is>
      </c>
      <c r="C56" s="4" t="inlineStr">
        <is>
          <t>2608S</t>
        </is>
      </c>
      <c r="D56" s="4" t="inlineStr">
        <is>
          <t>202610251730</t>
        </is>
      </c>
      <c r="E56" s="4" t="inlineStr"/>
      <c r="F56" s="4" t="inlineStr">
        <is>
          <t>THLCH</t>
        </is>
      </c>
      <c r="G56" s="4" t="inlineStr">
        <is>
          <t>IDJKT</t>
        </is>
      </c>
      <c r="H56" s="4" t="inlineStr">
        <is>
          <t xml:space="preserve">20'x2 </t>
        </is>
      </c>
      <c r="I56" s="4" t="inlineStr">
        <is>
          <t>LCH28</t>
        </is>
      </c>
      <c r="J56" s="4" t="inlineStr">
        <is>
          <t>CELLO</t>
        </is>
      </c>
      <c r="K56" s="4" t="inlineStr">
        <is>
          <t>20260930</t>
        </is>
      </c>
      <c r="L56" s="4" t="inlineStr">
        <is>
          <t>L.A.1 CO.,LTD.</t>
        </is>
      </c>
      <c r="M56" s="4" t="inlineStr">
        <is>
          <t>TANATEX CHEMICALS (THAILAND) CO., LTD.</t>
        </is>
      </c>
      <c r="N56" s="4" t="inlineStr">
        <is>
          <t>CHEMICALS PRODUCT (NON DG)</t>
        </is>
      </c>
      <c r="O56" s="4" t="inlineStr">
        <is>
          <t>GOOD AND CLEAN CONTAINER</t>
        </is>
      </c>
      <c r="P56" s="4" t="inlineStr">
        <is>
          <t>Pickup : 2026-09-30, Return : 2026-10-01</t>
        </is>
      </c>
      <c r="Q56" s="4" t="n">
        <v>2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HASLS22260901089</t>
        </is>
      </c>
      <c r="B57" s="4" t="inlineStr">
        <is>
          <t>KUS</t>
        </is>
      </c>
      <c r="C57" s="4" t="inlineStr">
        <is>
          <t>2616N</t>
        </is>
      </c>
      <c r="D57" s="4" t="inlineStr">
        <is>
          <t>202610150400</t>
        </is>
      </c>
      <c r="E57" s="4" t="inlineStr"/>
      <c r="F57" s="4" t="inlineStr">
        <is>
          <t>THLCH</t>
        </is>
      </c>
      <c r="G57" s="4" t="inlineStr">
        <is>
          <t>JPIYM</t>
        </is>
      </c>
      <c r="H57" s="4" t="inlineStr">
        <is>
          <t xml:space="preserve">20'x1 </t>
        </is>
      </c>
      <c r="I57" s="4" t="inlineStr">
        <is>
          <t>LCH28</t>
        </is>
      </c>
      <c r="J57" s="4" t="inlineStr">
        <is>
          <t>CELLO</t>
        </is>
      </c>
      <c r="K57" s="4" t="inlineStr">
        <is>
          <t>20261005</t>
        </is>
      </c>
      <c r="L57" s="4" t="inlineStr">
        <is>
          <t>WHA GC LOGISTICS COMPANY LIMITED</t>
        </is>
      </c>
      <c r="M57" s="4" t="inlineStr">
        <is>
          <t>PTT GLOBAL CHEMICAL PUBLIC COMPANY LIMITED</t>
        </is>
      </c>
      <c r="N57" s="4" t="inlineStr">
        <is>
          <t>RESIN</t>
        </is>
      </c>
      <c r="O57" s="4" t="inlineStr">
        <is>
          <t>GOOD AND CLEAN CTNR</t>
        </is>
      </c>
      <c r="P57" s="4" t="inlineStr">
        <is>
          <t>CY-RTN 05-07/10/26 
*PLS CHECK OPEN GATE BEFORE RETURN CTNR*</t>
        </is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HASLS22260901686</t>
        </is>
      </c>
      <c r="B58" s="4" t="inlineStr">
        <is>
          <t>SWVG</t>
        </is>
      </c>
      <c r="C58" s="4" t="inlineStr">
        <is>
          <t>2612N</t>
        </is>
      </c>
      <c r="D58" s="4" t="inlineStr">
        <is>
          <t>202610070930</t>
        </is>
      </c>
      <c r="E58" s="4" t="inlineStr"/>
      <c r="F58" s="4" t="inlineStr">
        <is>
          <t>THLCH</t>
        </is>
      </c>
      <c r="G58" s="4" t="inlineStr">
        <is>
          <t>JPNGO</t>
        </is>
      </c>
      <c r="H58" s="4" t="inlineStr">
        <is>
          <t xml:space="preserve">20'x1 </t>
        </is>
      </c>
      <c r="I58" s="4" t="inlineStr">
        <is>
          <t>LCH28</t>
        </is>
      </c>
      <c r="J58" s="4" t="inlineStr">
        <is>
          <t>CELLO</t>
        </is>
      </c>
      <c r="K58" s="4" t="inlineStr">
        <is>
          <t>20261003</t>
        </is>
      </c>
      <c r="L58" s="4" t="inlineStr">
        <is>
          <t>L.A.1 CO.,LTD.</t>
        </is>
      </c>
      <c r="M58" s="4" t="inlineStr">
        <is>
          <t>TANATEX CHEMICALS (THAILAND) CO., LTD.</t>
        </is>
      </c>
      <c r="N58" s="4" t="inlineStr">
        <is>
          <t>CHEMICALS PRODUCT DG CARGO</t>
        </is>
      </c>
      <c r="O58" s="4" t="inlineStr">
        <is>
          <t>**APPROVAL DG IN SYSTEM DD.24/09/2026** MIX DG22GPx1 (CLS 9 / UN 3082, CLS 8 / UN 3265)</t>
        </is>
      </c>
      <c r="P58" s="4" t="inlineStr">
        <is>
          <t xml:space="preserve">**APPROVAL DG IN SYSTEM DD.24/09/2026** DG(Mix)22GPx1 (CLS 9 / UN 3082, CLS 8 / UN 3265) 
Pickup : 2026-10-03, Return @JWD : 2026-10-05 </t>
        </is>
      </c>
      <c r="Q58" s="4" t="n">
        <v>1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HASLS22260802361</t>
        </is>
      </c>
      <c r="B59" s="4" t="inlineStr">
        <is>
          <t>SWRG</t>
        </is>
      </c>
      <c r="C59" s="4" t="inlineStr">
        <is>
          <t>2609N</t>
        </is>
      </c>
      <c r="D59" s="4" t="inlineStr">
        <is>
          <t>202610141700</t>
        </is>
      </c>
      <c r="E59" s="4" t="inlineStr"/>
      <c r="F59" s="4" t="inlineStr">
        <is>
          <t>THLCH</t>
        </is>
      </c>
      <c r="G59" s="4" t="inlineStr">
        <is>
          <t>CNSHA</t>
        </is>
      </c>
      <c r="H59" s="4" t="inlineStr">
        <is>
          <t xml:space="preserve">20'x8 </t>
        </is>
      </c>
      <c r="I59" s="4" t="inlineStr">
        <is>
          <t>LCH27</t>
        </is>
      </c>
      <c r="J59" s="4" t="inlineStr">
        <is>
          <t xml:space="preserve">HAST Logistics Co.,Ltd. </t>
        </is>
      </c>
      <c r="K59" s="4" t="inlineStr">
        <is>
          <t>20261003</t>
        </is>
      </c>
      <c r="L59" s="4" t="inlineStr">
        <is>
          <t>WHA GC LOGISTICS COMPANY LIMITED</t>
        </is>
      </c>
      <c r="M59" s="4" t="inlineStr">
        <is>
          <t>PTT GLOBAL CHEMICAL PUBLIC COMPANY LIMITED</t>
        </is>
      </c>
      <c r="N59" s="4" t="inlineStr">
        <is>
          <t>RESIN</t>
        </is>
      </c>
      <c r="O59" s="4" t="inlineStr">
        <is>
          <t>GOOD AND CLEAN CTNR</t>
        </is>
      </c>
      <c r="P59" s="4" t="inlineStr">
        <is>
          <t>SURVEY+CY 03/10/2026 RTN 10/10/26
*PLS CHECK OPEN GATE BEFORE RETURN CTNR*</t>
        </is>
      </c>
      <c r="Q59" s="4" t="n">
        <v>8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HASLS22260802560</t>
        </is>
      </c>
      <c r="B60" s="4" t="inlineStr">
        <is>
          <t>SWSP</t>
        </is>
      </c>
      <c r="C60" s="4" t="inlineStr">
        <is>
          <t>2609N</t>
        </is>
      </c>
      <c r="D60" s="4" t="inlineStr">
        <is>
          <t>202610071530</t>
        </is>
      </c>
      <c r="E60" s="4" t="inlineStr"/>
      <c r="F60" s="4" t="inlineStr">
        <is>
          <t>THLCH</t>
        </is>
      </c>
      <c r="G60" s="4" t="inlineStr">
        <is>
          <t>KRPTK</t>
        </is>
      </c>
      <c r="H60" s="4" t="inlineStr">
        <is>
          <t xml:space="preserve">20'x4 </t>
        </is>
      </c>
      <c r="I60" s="4" t="inlineStr">
        <is>
          <t>LCH27</t>
        </is>
      </c>
      <c r="J60" s="4" t="inlineStr">
        <is>
          <t xml:space="preserve">HAST Logistics Co.,Ltd. </t>
        </is>
      </c>
      <c r="K60" s="4" t="inlineStr">
        <is>
          <t>20261005</t>
        </is>
      </c>
      <c r="L60" s="4" t="inlineStr">
        <is>
          <t>LOGEM LOGISTICS CO., LTD.</t>
        </is>
      </c>
      <c r="M60" s="4" t="inlineStr">
        <is>
          <t>SHINJIN SM (THAILAND) CO.,LTD.</t>
        </is>
      </c>
      <c r="N60" s="4" t="inlineStr">
        <is>
          <t>MATERIAL STEEL FINISHING PLATE</t>
        </is>
      </c>
      <c r="O60" s="4" t="inlineStr">
        <is>
          <t>GOOD AND CLEAN CTNR</t>
        </is>
      </c>
      <c r="P60" s="4" t="inlineStr">
        <is>
          <t xml:space="preserve">Pickup : 2026-10-05, Return : 2026-10-05  
 ** PLEASE CHECK OPEN GATE BEFORE RETURN CNTR **
</t>
        </is>
      </c>
      <c r="Q60" s="4" t="n">
        <v>4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HASLS22260900107</t>
        </is>
      </c>
      <c r="B61" s="4" t="inlineStr">
        <is>
          <t>HAB</t>
        </is>
      </c>
      <c r="C61" s="4" t="inlineStr">
        <is>
          <t>2612N</t>
        </is>
      </c>
      <c r="D61" s="4" t="inlineStr">
        <is>
          <t>202610251830</t>
        </is>
      </c>
      <c r="E61" s="4" t="inlineStr"/>
      <c r="F61" s="4" t="inlineStr">
        <is>
          <t>THLCH</t>
        </is>
      </c>
      <c r="G61" s="4" t="inlineStr">
        <is>
          <t>CNSHA</t>
        </is>
      </c>
      <c r="H61" s="4" t="inlineStr">
        <is>
          <t xml:space="preserve">20'x10 </t>
        </is>
      </c>
      <c r="I61" s="4" t="inlineStr">
        <is>
          <t>LCH27</t>
        </is>
      </c>
      <c r="J61" s="4" t="inlineStr">
        <is>
          <t xml:space="preserve">HAST Logistics Co.,Ltd. </t>
        </is>
      </c>
      <c r="K61" s="4" t="inlineStr">
        <is>
          <t>20260914</t>
        </is>
      </c>
      <c r="L61" s="4" t="inlineStr">
        <is>
          <t>INTENTION FREIGHT CO., LTD.</t>
        </is>
      </c>
      <c r="M61" s="4" t="inlineStr">
        <is>
          <t>EIAM THONGCHAI INDUSTRY CO.,LTD.</t>
        </is>
      </c>
      <c r="N61" s="4" t="inlineStr">
        <is>
          <t>STARCH</t>
        </is>
      </c>
      <c r="O61" s="4" t="inlineStr">
        <is>
          <t>REQ : FOOD GRADE CONTAINER CLEAR &amp;DRY NO OIL NO RUSTY</t>
        </is>
      </c>
      <c r="P61" s="4" t="inlineStr">
        <is>
          <t>Pickup : 2026-09-14, Return : 2026-09-16</t>
        </is>
      </c>
      <c r="Q61" s="4" t="n">
        <v>10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HASLS22260900208</t>
        </is>
      </c>
      <c r="B62" s="4" t="inlineStr">
        <is>
          <t>SWVG</t>
        </is>
      </c>
      <c r="C62" s="4" t="inlineStr">
        <is>
          <t>2612N</t>
        </is>
      </c>
      <c r="D62" s="4" t="inlineStr">
        <is>
          <t>202610070930</t>
        </is>
      </c>
      <c r="E62" s="4" t="inlineStr"/>
      <c r="F62" s="4" t="inlineStr">
        <is>
          <t>THLCH</t>
        </is>
      </c>
      <c r="G62" s="4" t="inlineStr">
        <is>
          <t>CNSHA</t>
        </is>
      </c>
      <c r="H62" s="4" t="inlineStr">
        <is>
          <t xml:space="preserve">20'x1 </t>
        </is>
      </c>
      <c r="I62" s="4" t="inlineStr">
        <is>
          <t>LCH27</t>
        </is>
      </c>
      <c r="J62" s="4" t="inlineStr">
        <is>
          <t xml:space="preserve">HAST Logistics Co.,Ltd. </t>
        </is>
      </c>
      <c r="K62" s="4" t="inlineStr">
        <is>
          <t>20261003</t>
        </is>
      </c>
      <c r="L62" s="4" t="inlineStr">
        <is>
          <t>EXPEDITORS (THAILAND) LTD.</t>
        </is>
      </c>
      <c r="M62" s="4" t="inlineStr">
        <is>
          <t>SCGJWD LOGISTICS PUBLIC COMPANY LIMITED</t>
        </is>
      </c>
      <c r="N62" s="4" t="inlineStr">
        <is>
          <t>POLY(ETHYLENE TEREPHTHALATE)</t>
        </is>
      </c>
      <c r="O62" s="4" t="inlineStr">
        <is>
          <t>Special Remark : Request well clean and dry cntrs ,</t>
        </is>
      </c>
      <c r="P62" s="4" t="inlineStr">
        <is>
          <t>Pickup : 2026-10-03, Return : 2026-10-05</t>
        </is>
      </c>
      <c r="Q62" s="4" t="n">
        <v>1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HASLS22260900254</t>
        </is>
      </c>
      <c r="B63" s="4" t="inlineStr">
        <is>
          <t>KUS</t>
        </is>
      </c>
      <c r="C63" s="4" t="inlineStr">
        <is>
          <t>2616N</t>
        </is>
      </c>
      <c r="D63" s="4" t="inlineStr">
        <is>
          <t>202610150400</t>
        </is>
      </c>
      <c r="E63" s="4" t="inlineStr"/>
      <c r="F63" s="4" t="inlineStr">
        <is>
          <t>THLCH</t>
        </is>
      </c>
      <c r="G63" s="4" t="inlineStr">
        <is>
          <t>JPHSM</t>
        </is>
      </c>
      <c r="H63" s="4" t="inlineStr">
        <is>
          <t xml:space="preserve">40Hx1 </t>
        </is>
      </c>
      <c r="I63" s="4" t="inlineStr">
        <is>
          <t>LCH27</t>
        </is>
      </c>
      <c r="J63" s="4" t="inlineStr">
        <is>
          <t xml:space="preserve">HAST Logistics Co.,Ltd. </t>
        </is>
      </c>
      <c r="K63" s="4" t="inlineStr">
        <is>
          <t>20261005</t>
        </is>
      </c>
      <c r="L63" s="4" t="inlineStr">
        <is>
          <t>WHA GC LOGISTICS COMPANY LIMITED</t>
        </is>
      </c>
      <c r="M63" s="4" t="inlineStr">
        <is>
          <t>PTT GLOBAL CHEMICAL PUBLIC COMPANY LIMITED</t>
        </is>
      </c>
      <c r="N63" s="4" t="inlineStr">
        <is>
          <t>RESIN</t>
        </is>
      </c>
      <c r="O63" s="4" t="inlineStr">
        <is>
          <t>GOOD AND CLEAN CTNR</t>
        </is>
      </c>
      <c r="P63" s="4" t="inlineStr">
        <is>
          <t>CY-RTN 05-08/10/26 
*PLS CHECK OPEN GATE BEFORE RETURN CTNR*</t>
        </is>
      </c>
      <c r="Q63" s="4" t="n">
        <v>0</v>
      </c>
      <c r="R63" s="4" t="n">
        <v>0</v>
      </c>
      <c r="S63" s="4" t="n">
        <v>1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HASLS22260900413</t>
        </is>
      </c>
      <c r="B64" s="4" t="inlineStr">
        <is>
          <t>KXM</t>
        </is>
      </c>
      <c r="C64" s="4" t="inlineStr">
        <is>
          <t>2608S</t>
        </is>
      </c>
      <c r="D64" s="4" t="inlineStr">
        <is>
          <t>202610101500</t>
        </is>
      </c>
      <c r="E64" s="4" t="inlineStr"/>
      <c r="F64" s="4" t="inlineStr">
        <is>
          <t>THLCH</t>
        </is>
      </c>
      <c r="G64" s="4" t="inlineStr">
        <is>
          <t>IDJKT</t>
        </is>
      </c>
      <c r="H64" s="4" t="inlineStr">
        <is>
          <t xml:space="preserve">40Hx1 </t>
        </is>
      </c>
      <c r="I64" s="4" t="inlineStr">
        <is>
          <t>LCH27</t>
        </is>
      </c>
      <c r="J64" s="4" t="inlineStr">
        <is>
          <t xml:space="preserve">HAST Logistics Co.,Ltd. </t>
        </is>
      </c>
      <c r="K64" s="4" t="inlineStr">
        <is>
          <t>20261005</t>
        </is>
      </c>
      <c r="L64" s="4" t="inlineStr">
        <is>
          <t>ILOGS GLOBAL CO.,LTD.</t>
        </is>
      </c>
      <c r="M64" s="4" t="inlineStr">
        <is>
          <t>MAJESTY HOLDINGS (ASIA) CO.,LTD.</t>
        </is>
      </c>
      <c r="N64" s="4" t="inlineStr">
        <is>
          <t>PIPE</t>
        </is>
      </c>
      <c r="O64" s="4" t="inlineStr">
        <is>
          <t>goog and clean</t>
        </is>
      </c>
      <c r="P64" s="4" t="inlineStr">
        <is>
          <t xml:space="preserve">Pickup : 2026-10-05, Return : 2026-10-06 
 ** PLEASE CHECK OPEN GATE BEFORE RETURN CNTR **
</t>
        </is>
      </c>
      <c r="Q64" s="4" t="n">
        <v>0</v>
      </c>
      <c r="R64" s="4" t="n">
        <v>0</v>
      </c>
      <c r="S64" s="4" t="n">
        <v>1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HASLS22260900423</t>
        </is>
      </c>
      <c r="B65" s="4" t="inlineStr">
        <is>
          <t>SWSP</t>
        </is>
      </c>
      <c r="C65" s="4" t="inlineStr">
        <is>
          <t>2609N</t>
        </is>
      </c>
      <c r="D65" s="4" t="inlineStr">
        <is>
          <t>202610071530</t>
        </is>
      </c>
      <c r="E65" s="4" t="inlineStr"/>
      <c r="F65" s="4" t="inlineStr">
        <is>
          <t>THLCH</t>
        </is>
      </c>
      <c r="G65" s="4" t="inlineStr">
        <is>
          <t>VNSGN</t>
        </is>
      </c>
      <c r="H65" s="4" t="inlineStr">
        <is>
          <t xml:space="preserve">40Hx7 </t>
        </is>
      </c>
      <c r="I65" s="4" t="inlineStr">
        <is>
          <t>LCH27</t>
        </is>
      </c>
      <c r="J65" s="4" t="inlineStr">
        <is>
          <t xml:space="preserve">HAST Logistics Co.,Ltd. </t>
        </is>
      </c>
      <c r="K65" s="4" t="inlineStr">
        <is>
          <t>20261001</t>
        </is>
      </c>
      <c r="L65" s="4" t="inlineStr">
        <is>
          <t>GGS LINES (THAILAND) CO., LTD.</t>
        </is>
      </c>
      <c r="M65" s="4" t="inlineStr">
        <is>
          <t>BERLI JUCKER CELLOX LIMITED</t>
        </is>
      </c>
      <c r="N65" s="4" t="inlineStr">
        <is>
          <t>TISSUE</t>
        </is>
      </c>
      <c r="O65" s="4" t="inlineStr">
        <is>
          <t>Request good container</t>
        </is>
      </c>
      <c r="P65" s="4" t="inlineStr">
        <is>
          <t xml:space="preserve">Pickup : 2026-10-01, Return : 2026-10-02 
** PLEASE CHECK OPEN GATE BEFORE RETURN CONTAINER **  </t>
        </is>
      </c>
      <c r="Q65" s="4" t="n">
        <v>0</v>
      </c>
      <c r="R65" s="4" t="n">
        <v>0</v>
      </c>
      <c r="S65" s="4" t="n">
        <v>7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3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HASLS22260900461</t>
        </is>
      </c>
      <c r="B66" s="4" t="inlineStr">
        <is>
          <t>PCCP</t>
        </is>
      </c>
      <c r="C66" s="4" t="inlineStr">
        <is>
          <t>2610N</t>
        </is>
      </c>
      <c r="D66" s="4" t="inlineStr">
        <is>
          <t>202610121600</t>
        </is>
      </c>
      <c r="E66" s="4" t="inlineStr"/>
      <c r="F66" s="4" t="inlineStr">
        <is>
          <t>THLCH</t>
        </is>
      </c>
      <c r="G66" s="4" t="inlineStr">
        <is>
          <t>VNSGN</t>
        </is>
      </c>
      <c r="H66" s="4" t="inlineStr">
        <is>
          <t xml:space="preserve">20'x6 </t>
        </is>
      </c>
      <c r="I66" s="4" t="inlineStr">
        <is>
          <t>LCH27</t>
        </is>
      </c>
      <c r="J66" s="4" t="inlineStr">
        <is>
          <t xml:space="preserve">HAST Logistics Co.,Ltd. </t>
        </is>
      </c>
      <c r="K66" s="4" t="inlineStr">
        <is>
          <t>20260923</t>
        </is>
      </c>
      <c r="L66" s="4" t="inlineStr">
        <is>
          <t>WHA GC LOGISTICS COMPANY LIMITED</t>
        </is>
      </c>
      <c r="M66" s="4" t="inlineStr">
        <is>
          <t>PTT GLOBAL CHEMICAL PUBLIC COMPANY LIMITED</t>
        </is>
      </c>
      <c r="N66" s="4" t="inlineStr">
        <is>
          <t>RESIN</t>
        </is>
      </c>
      <c r="O66" s="4" t="inlineStr">
        <is>
          <t>GOOD AND CLEAN CTNR</t>
        </is>
      </c>
      <c r="P66" s="4" t="inlineStr">
        <is>
          <t xml:space="preserve">CY-RTN 23-26/09/26 / FIRST DATE CAN RETURN CNTR DD.05/10 
**CHECK OPEN GATE BEFORE RETURN CNTR **
</t>
        </is>
      </c>
      <c r="Q66" s="4" t="n">
        <v>6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4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HASLS22260900462</t>
        </is>
      </c>
      <c r="B67" s="4" t="inlineStr">
        <is>
          <t>SWIC</t>
        </is>
      </c>
      <c r="C67" s="4" t="inlineStr">
        <is>
          <t>2611N</t>
        </is>
      </c>
      <c r="D67" s="4" t="inlineStr">
        <is>
          <t>202610160400</t>
        </is>
      </c>
      <c r="E67" s="4" t="inlineStr"/>
      <c r="F67" s="4" t="inlineStr">
        <is>
          <t>THLCH</t>
        </is>
      </c>
      <c r="G67" s="4" t="inlineStr">
        <is>
          <t>VNSGN</t>
        </is>
      </c>
      <c r="H67" s="4" t="inlineStr">
        <is>
          <t xml:space="preserve">40Hx8 </t>
        </is>
      </c>
      <c r="I67" s="4" t="inlineStr">
        <is>
          <t>LCH27</t>
        </is>
      </c>
      <c r="J67" s="4" t="inlineStr">
        <is>
          <t xml:space="preserve">HAST Logistics Co.,Ltd. </t>
        </is>
      </c>
      <c r="K67" s="4" t="inlineStr">
        <is>
          <t>20261001</t>
        </is>
      </c>
      <c r="L67" s="4" t="inlineStr">
        <is>
          <t>WHA GC LOGISTICS COMPANY LIMITED</t>
        </is>
      </c>
      <c r="M67" s="4" t="inlineStr">
        <is>
          <t>PTT GLOBAL CHEMICAL PUBLIC COMPANY LIMITED</t>
        </is>
      </c>
      <c r="N67" s="4" t="inlineStr">
        <is>
          <t>RESIN</t>
        </is>
      </c>
      <c r="O67" s="4" t="inlineStr">
        <is>
          <t>GOOD AND CLEAN CTNR</t>
        </is>
      </c>
      <c r="P67" s="4" t="inlineStr">
        <is>
          <t xml:space="preserve">CY-RTN 01-06/10/26
</t>
        </is>
      </c>
      <c r="Q67" s="4" t="n">
        <v>0</v>
      </c>
      <c r="R67" s="4" t="n">
        <v>0</v>
      </c>
      <c r="S67" s="4" t="n">
        <v>8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HASLS22260900464</t>
        </is>
      </c>
      <c r="B68" s="4" t="inlineStr">
        <is>
          <t>HAHM</t>
        </is>
      </c>
      <c r="C68" s="4" t="inlineStr">
        <is>
          <t>2612N</t>
        </is>
      </c>
      <c r="D68" s="4" t="inlineStr">
        <is>
          <t>202610221300</t>
        </is>
      </c>
      <c r="E68" s="4" t="inlineStr"/>
      <c r="F68" s="4" t="inlineStr">
        <is>
          <t>THLCH</t>
        </is>
      </c>
      <c r="G68" s="4" t="inlineStr">
        <is>
          <t>VNSGN</t>
        </is>
      </c>
      <c r="H68" s="4" t="inlineStr">
        <is>
          <t xml:space="preserve">20'x20 </t>
        </is>
      </c>
      <c r="I68" s="4" t="inlineStr">
        <is>
          <t>LCH27</t>
        </is>
      </c>
      <c r="J68" s="4" t="inlineStr">
        <is>
          <t xml:space="preserve">HAST Logistics Co.,Ltd. </t>
        </is>
      </c>
      <c r="K68" s="4" t="inlineStr">
        <is>
          <t>20261001</t>
        </is>
      </c>
      <c r="L68" s="4" t="inlineStr">
        <is>
          <t>WHA GC LOGISTICS COMPANY LIMITED</t>
        </is>
      </c>
      <c r="M68" s="4" t="inlineStr">
        <is>
          <t>PTT GLOBAL CHEMICAL PUBLIC COMPANY LIMITED</t>
        </is>
      </c>
      <c r="N68" s="4" t="inlineStr">
        <is>
          <t>RESIN</t>
        </is>
      </c>
      <c r="O68" s="4" t="inlineStr">
        <is>
          <t>GOOD AND CLEAN CTNR</t>
        </is>
      </c>
      <c r="P68" s="4" t="inlineStr">
        <is>
          <t xml:space="preserve">CY-RTN 13/10 16/10/26
</t>
        </is>
      </c>
      <c r="Q68" s="4" t="n">
        <v>20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HASLS22260900766</t>
        </is>
      </c>
      <c r="B69" s="4" t="inlineStr">
        <is>
          <t>SWSR</t>
        </is>
      </c>
      <c r="C69" s="4" t="inlineStr">
        <is>
          <t>2611N</t>
        </is>
      </c>
      <c r="D69" s="4" t="inlineStr">
        <is>
          <t>202610130600</t>
        </is>
      </c>
      <c r="E69" s="4" t="inlineStr"/>
      <c r="F69" s="4" t="inlineStr">
        <is>
          <t>THLCH</t>
        </is>
      </c>
      <c r="G69" s="4" t="inlineStr">
        <is>
          <t>CNXMN</t>
        </is>
      </c>
      <c r="H69" s="4" t="inlineStr">
        <is>
          <t xml:space="preserve">R40Hx1 </t>
        </is>
      </c>
      <c r="I69" s="4" t="inlineStr">
        <is>
          <t>LCH27</t>
        </is>
      </c>
      <c r="J69" s="4" t="inlineStr">
        <is>
          <t xml:space="preserve">HAST Logistics Co.,Ltd. </t>
        </is>
      </c>
      <c r="K69" s="4" t="inlineStr">
        <is>
          <t>20261003</t>
        </is>
      </c>
      <c r="L69" s="4" t="inlineStr">
        <is>
          <t>HAPPY SHIPPING SERVICE CO.,LTD.</t>
        </is>
      </c>
      <c r="M69" s="4" t="inlineStr">
        <is>
          <t>HI HAPPY TRADING CO.,LTD.</t>
        </is>
      </c>
      <c r="N69" s="4" t="inlineStr">
        <is>
          <t>FRESH LONGAN</t>
        </is>
      </c>
      <c r="O69" s="4" t="inlineStr">
        <is>
          <t>RF45REx1 (Temp +2.0℃ / Vent 15% Open)</t>
        </is>
      </c>
      <c r="P69" s="4" t="inlineStr">
        <is>
          <t xml:space="preserve">Pickup : 2026-10-03, Return : 2026-10-09 (Temp +2.0 / Vent 15% Open)  ON DECK
 CLS TIME 12/10 @12.00 </t>
        </is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1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HASLS22260900778</t>
        </is>
      </c>
      <c r="B70" s="4" t="inlineStr">
        <is>
          <t>SWSP</t>
        </is>
      </c>
      <c r="C70" s="4" t="inlineStr">
        <is>
          <t>2609N</t>
        </is>
      </c>
      <c r="D70" s="4" t="inlineStr">
        <is>
          <t>202610071530</t>
        </is>
      </c>
      <c r="E70" s="4" t="inlineStr"/>
      <c r="F70" s="4" t="inlineStr">
        <is>
          <t>THLCH</t>
        </is>
      </c>
      <c r="G70" s="4" t="inlineStr">
        <is>
          <t>VNSGN</t>
        </is>
      </c>
      <c r="H70" s="4" t="inlineStr">
        <is>
          <t xml:space="preserve">R40Hx2 </t>
        </is>
      </c>
      <c r="I70" s="4" t="inlineStr">
        <is>
          <t>LCH27</t>
        </is>
      </c>
      <c r="J70" s="4" t="inlineStr">
        <is>
          <t xml:space="preserve">HAST Logistics Co.,Ltd. </t>
        </is>
      </c>
      <c r="K70" s="4" t="inlineStr">
        <is>
          <t>20261003</t>
        </is>
      </c>
      <c r="L70" s="4" t="inlineStr">
        <is>
          <t>FOCUS FREIGHT &amp; LOGISTICS CO., LTD.</t>
        </is>
      </c>
      <c r="M70" s="4" t="inlineStr">
        <is>
          <t>UNITED MUSHROOM CENTER CO., LTD.</t>
        </is>
      </c>
      <c r="N70" s="4" t="inlineStr">
        <is>
          <t>GOLDEN MUSHROOM</t>
        </is>
      </c>
      <c r="O70" s="4" t="inlineStr">
        <is>
          <t>(Temp +0.0℃ / Vent Close) REQ CLEAN &amp; GOOD CONTAINER FOR FOODS</t>
        </is>
      </c>
      <c r="P70" s="4" t="inlineStr">
        <is>
          <t xml:space="preserve">Pickup : 2026-10-03, Return : 2026-10-06 (Temp +0.0 / Vent Close)
CLS TIME 06/10 @23.59   
 </t>
        </is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2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HASLS22260900906</t>
        </is>
      </c>
      <c r="B71" s="4" t="inlineStr">
        <is>
          <t>SWAT</t>
        </is>
      </c>
      <c r="C71" s="4" t="inlineStr">
        <is>
          <t>2610N</t>
        </is>
      </c>
      <c r="D71" s="4" t="inlineStr">
        <is>
          <t>202610090100</t>
        </is>
      </c>
      <c r="E71" s="4" t="inlineStr"/>
      <c r="F71" s="4" t="inlineStr">
        <is>
          <t>THLCH</t>
        </is>
      </c>
      <c r="G71" s="4" t="inlineStr">
        <is>
          <t>CNSHK</t>
        </is>
      </c>
      <c r="H71" s="4" t="inlineStr">
        <is>
          <t xml:space="preserve">20'x1 </t>
        </is>
      </c>
      <c r="I71" s="4" t="inlineStr">
        <is>
          <t>LCH27</t>
        </is>
      </c>
      <c r="J71" s="4" t="inlineStr">
        <is>
          <t xml:space="preserve">HAST Logistics Co.,Ltd. </t>
        </is>
      </c>
      <c r="K71" s="4" t="inlineStr">
        <is>
          <t>20260929</t>
        </is>
      </c>
      <c r="L71" s="4" t="inlineStr">
        <is>
          <t>THAI POLYCARBONATE CO., LTD.</t>
        </is>
      </c>
      <c r="M71" s="4" t="inlineStr">
        <is>
          <t>THAI POLYACETAL CO., LTD.</t>
        </is>
      </c>
      <c r="N71" s="4" t="inlineStr">
        <is>
          <t>POLYACETAL RESIN , HS CODEIS 3907.10</t>
        </is>
      </c>
      <c r="O71" s="4" t="inlineStr">
        <is>
          <t>PLEASE PROVIDE GOOD AND CLEAN CONTAINER, NO RUST, NO HOLE, NO SMELL WITH STRONG FLOORBOARD (LOAD BY FORKLIFT) AND BULLET SEAL TO THIS SHIPMENT</t>
        </is>
      </c>
      <c r="P71" s="4" t="inlineStr">
        <is>
          <t xml:space="preserve">Pickup : 2026-09-29, Return : 2026-10-01 
 ** PLEASE CHECK OPEN GATE BEFORE RETURN CNTR **
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HASLS22260901124</t>
        </is>
      </c>
      <c r="B72" s="4" t="inlineStr">
        <is>
          <t>SWSR</t>
        </is>
      </c>
      <c r="C72" s="4" t="inlineStr">
        <is>
          <t>2611N</t>
        </is>
      </c>
      <c r="D72" s="4" t="inlineStr">
        <is>
          <t>202610130600</t>
        </is>
      </c>
      <c r="E72" s="4" t="inlineStr"/>
      <c r="F72" s="4" t="inlineStr">
        <is>
          <t>THLCH</t>
        </is>
      </c>
      <c r="G72" s="4" t="inlineStr">
        <is>
          <t>HKHKG</t>
        </is>
      </c>
      <c r="H72" s="4" t="inlineStr">
        <is>
          <t xml:space="preserve">R40Hx1 </t>
        </is>
      </c>
      <c r="I72" s="4" t="inlineStr">
        <is>
          <t>LCH27</t>
        </is>
      </c>
      <c r="J72" s="4" t="inlineStr">
        <is>
          <t xml:space="preserve">HAST Logistics Co.,Ltd. </t>
        </is>
      </c>
      <c r="K72" s="4" t="inlineStr">
        <is>
          <t>20261005</t>
        </is>
      </c>
      <c r="L72" s="4" t="inlineStr">
        <is>
          <t>DYNAMIC INTERTRANSPORT CO., LTD.</t>
        </is>
      </c>
      <c r="M72" s="4" t="inlineStr">
        <is>
          <t>CP-MEIJI CO., LTD.</t>
        </is>
      </c>
      <c r="N72" s="4" t="inlineStr">
        <is>
          <t>FRESH MILK AND MILK PRODUCT</t>
        </is>
      </c>
      <c r="O72" s="4" t="inlineStr">
        <is>
          <t>RF45REx1 (Temp +0.0℃ / Vent Close)  CLEAN AND GOOD CONTAINER FOR MILK PRODUCT</t>
        </is>
      </c>
      <c r="P72" s="4" t="inlineStr">
        <is>
          <t xml:space="preserve">Pickup : 2026-10-05, Return : 2026-10-06 (Temp +0.0 / Vent Close)
 CLS TIME 07/10 @22.00 </t>
        </is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1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HASLS22260901125</t>
        </is>
      </c>
      <c r="B73" s="4" t="inlineStr">
        <is>
          <t>SWSR</t>
        </is>
      </c>
      <c r="C73" s="4" t="inlineStr">
        <is>
          <t>2611N</t>
        </is>
      </c>
      <c r="D73" s="4" t="inlineStr">
        <is>
          <t>202610130600</t>
        </is>
      </c>
      <c r="E73" s="4" t="inlineStr"/>
      <c r="F73" s="4" t="inlineStr">
        <is>
          <t>THLCH</t>
        </is>
      </c>
      <c r="G73" s="4" t="inlineStr">
        <is>
          <t>HKHKG</t>
        </is>
      </c>
      <c r="H73" s="4" t="inlineStr">
        <is>
          <t xml:space="preserve">R40Hx1 </t>
        </is>
      </c>
      <c r="I73" s="4" t="inlineStr">
        <is>
          <t>LCH27</t>
        </is>
      </c>
      <c r="J73" s="4" t="inlineStr">
        <is>
          <t xml:space="preserve">HAST Logistics Co.,Ltd. </t>
        </is>
      </c>
      <c r="K73" s="4" t="inlineStr">
        <is>
          <t>20261005</t>
        </is>
      </c>
      <c r="L73" s="4" t="inlineStr">
        <is>
          <t>DYNAMIC INTERTRANSPORT CO., LTD.</t>
        </is>
      </c>
      <c r="M73" s="4" t="inlineStr">
        <is>
          <t>CP-MEIJI CO., LTD.</t>
        </is>
      </c>
      <c r="N73" s="4" t="inlineStr">
        <is>
          <t>FRESH MILK AND MILK PRODUCT</t>
        </is>
      </c>
      <c r="O73" s="4" t="inlineStr">
        <is>
          <t>RF45REx1 (Temp +0.0℃ / Vent Close) CLEAN AND GOOD CONTAINER FOR MILK PRODUCT</t>
        </is>
      </c>
      <c r="P73" s="4" t="inlineStr">
        <is>
          <t xml:space="preserve">Pickup : 2026-10-05, Return : 2026-10-06 (Temp +0.0 / Vent Close)
 CLS TIME 07/10 @22.00 </t>
        </is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1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HASLS22260901165</t>
        </is>
      </c>
      <c r="B74" s="4" t="inlineStr">
        <is>
          <t>DJCF</t>
        </is>
      </c>
      <c r="C74" s="4" t="inlineStr">
        <is>
          <t>0152N</t>
        </is>
      </c>
      <c r="D74" s="4" t="inlineStr">
        <is>
          <t>202610112300</t>
        </is>
      </c>
      <c r="E74" s="4" t="inlineStr"/>
      <c r="F74" s="4" t="inlineStr">
        <is>
          <t>THLCH</t>
        </is>
      </c>
      <c r="G74" s="4" t="inlineStr">
        <is>
          <t>KRPTK</t>
        </is>
      </c>
      <c r="H74" s="4" t="inlineStr">
        <is>
          <t xml:space="preserve">40Hx3 </t>
        </is>
      </c>
      <c r="I74" s="4" t="inlineStr">
        <is>
          <t>LCH27</t>
        </is>
      </c>
      <c r="J74" s="4" t="inlineStr">
        <is>
          <t xml:space="preserve">HAST Logistics Co.,Ltd. </t>
        </is>
      </c>
      <c r="K74" s="4" t="inlineStr">
        <is>
          <t>20261005</t>
        </is>
      </c>
      <c r="L74" s="4" t="inlineStr">
        <is>
          <t>SDS-ACUTECH CO., LTD.</t>
        </is>
      </c>
      <c r="M74" s="4" t="inlineStr">
        <is>
          <t>TPV TECHNOLOGY (THAILAND) CO., LTD.</t>
        </is>
      </c>
      <c r="N74" s="4" t="inlineStr">
        <is>
          <t>MONITOR SCREEN</t>
        </is>
      </c>
      <c r="O74" s="4" t="inlineStr">
        <is>
          <t>GOOD AND CLEAN CTNR</t>
        </is>
      </c>
      <c r="P74" s="4" t="inlineStr">
        <is>
          <t xml:space="preserve">Pickup : 2026-10-05, Return : 2026-10-06
** PLEASE CHECK OPEN GATE BEFORE RETURN CONTAINER ** </t>
        </is>
      </c>
      <c r="Q74" s="4" t="n">
        <v>0</v>
      </c>
      <c r="R74" s="4" t="n">
        <v>0</v>
      </c>
      <c r="S74" s="4" t="n">
        <v>3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HASLS22260901169</t>
        </is>
      </c>
      <c r="B75" s="4" t="inlineStr">
        <is>
          <t>SWAT</t>
        </is>
      </c>
      <c r="C75" s="4" t="inlineStr">
        <is>
          <t>2610N</t>
        </is>
      </c>
      <c r="D75" s="4" t="inlineStr">
        <is>
          <t>202610090100</t>
        </is>
      </c>
      <c r="E75" s="4" t="inlineStr"/>
      <c r="F75" s="4" t="inlineStr">
        <is>
          <t>THLCH</t>
        </is>
      </c>
      <c r="G75" s="4" t="inlineStr">
        <is>
          <t>TWKEL</t>
        </is>
      </c>
      <c r="H75" s="4" t="inlineStr">
        <is>
          <t xml:space="preserve">40Hx1 </t>
        </is>
      </c>
      <c r="I75" s="4" t="inlineStr">
        <is>
          <t>LCH27</t>
        </is>
      </c>
      <c r="J75" s="4" t="inlineStr">
        <is>
          <t xml:space="preserve">HAST Logistics Co.,Ltd. </t>
        </is>
      </c>
      <c r="K75" s="4" t="inlineStr">
        <is>
          <t>20260930</t>
        </is>
      </c>
      <c r="L75" s="4" t="inlineStr">
        <is>
          <t>TOP INTER FREIGHT CO., LTD.</t>
        </is>
      </c>
      <c r="M75" s="4" t="inlineStr">
        <is>
          <t>KURARAY GC ADVANCED MATERIALS CO.,LTD.</t>
        </is>
      </c>
      <c r="N75" s="4" t="inlineStr">
        <is>
          <t>SEPTON 8851 OFF , SEPTON 8851 WIDE</t>
        </is>
      </c>
      <c r="O75" s="4" t="inlineStr">
        <is>
          <t>RQST GOOD CLEAN &amp; DRY CONT.</t>
        </is>
      </c>
      <c r="P75" s="4" t="inlineStr">
        <is>
          <t xml:space="preserve">Pickup : 2026-10-03, Return : 2026-10-05 
 ** PLEASE CHECK OPEN GATE BEFORE RETURN CNTR **
 </t>
        </is>
      </c>
      <c r="Q75" s="4" t="n">
        <v>0</v>
      </c>
      <c r="R75" s="4" t="n">
        <v>0</v>
      </c>
      <c r="S75" s="4" t="n">
        <v>1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HASLS22260901212</t>
        </is>
      </c>
      <c r="B76" s="4" t="inlineStr">
        <is>
          <t>SWDN</t>
        </is>
      </c>
      <c r="C76" s="4" t="inlineStr">
        <is>
          <t>2610N</t>
        </is>
      </c>
      <c r="D76" s="4" t="inlineStr">
        <is>
          <t>202610080500</t>
        </is>
      </c>
      <c r="E76" s="4" t="inlineStr"/>
      <c r="F76" s="4" t="inlineStr">
        <is>
          <t>THLCH</t>
        </is>
      </c>
      <c r="G76" s="4" t="inlineStr">
        <is>
          <t>CNXMN</t>
        </is>
      </c>
      <c r="H76" s="4" t="inlineStr">
        <is>
          <t xml:space="preserve">R40Hx1 </t>
        </is>
      </c>
      <c r="I76" s="4" t="inlineStr">
        <is>
          <t>LCH27</t>
        </is>
      </c>
      <c r="J76" s="4" t="inlineStr">
        <is>
          <t xml:space="preserve">HAST Logistics Co.,Ltd. </t>
        </is>
      </c>
      <c r="K76" s="4" t="inlineStr">
        <is>
          <t>20261003</t>
        </is>
      </c>
      <c r="L76" s="4" t="inlineStr">
        <is>
          <t>SG LOGISTICS (THAILAND) COMPANY LIMITED</t>
        </is>
      </c>
      <c r="M76" s="4" t="inlineStr">
        <is>
          <t>SG LOGISTICS (THAILAND) COMPANY LIMITED</t>
        </is>
      </c>
      <c r="N76" s="4" t="inlineStr">
        <is>
          <t>FRESH LONGAN</t>
        </is>
      </c>
      <c r="O76" s="4" t="inlineStr">
        <is>
          <t>RF45REx1 (Temp +2.0℃ / Vent 10% Open) NEW VAN, ON DECK</t>
        </is>
      </c>
      <c r="P76" s="4" t="inlineStr">
        <is>
          <t xml:space="preserve">Pickup : 2026-10-03, Return : 2026-10-06 (Temp +2.0 / Vent 10% Open)
 CLS TIME 07/10 @12.00 [1ST RTN 06/10 W/O ELECTRIC] 
 </t>
        </is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1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HASLS22260901219</t>
        </is>
      </c>
      <c r="B77" s="4" t="inlineStr">
        <is>
          <t>SWSR</t>
        </is>
      </c>
      <c r="C77" s="4" t="inlineStr">
        <is>
          <t>2611N</t>
        </is>
      </c>
      <c r="D77" s="4" t="inlineStr">
        <is>
          <t>202610130600</t>
        </is>
      </c>
      <c r="E77" s="4" t="inlineStr"/>
      <c r="F77" s="4" t="inlineStr">
        <is>
          <t>THLCH</t>
        </is>
      </c>
      <c r="G77" s="4" t="inlineStr">
        <is>
          <t>CNXMN</t>
        </is>
      </c>
      <c r="H77" s="4" t="inlineStr">
        <is>
          <t xml:space="preserve">R40Hx1 </t>
        </is>
      </c>
      <c r="I77" s="4" t="inlineStr">
        <is>
          <t>LCH27</t>
        </is>
      </c>
      <c r="J77" s="4" t="inlineStr">
        <is>
          <t xml:space="preserve">HAST Logistics Co.,Ltd. </t>
        </is>
      </c>
      <c r="K77" s="4" t="inlineStr">
        <is>
          <t>20261003</t>
        </is>
      </c>
      <c r="L77" s="4" t="inlineStr">
        <is>
          <t>SG LOGISTICS (THAILAND) COMPANY LIMITED</t>
        </is>
      </c>
      <c r="M77" s="4" t="inlineStr">
        <is>
          <t>SG LOGISTICS (THAILAND) COMPANY LIMITED</t>
        </is>
      </c>
      <c r="N77" s="4" t="inlineStr">
        <is>
          <t>FRESH LONGAN</t>
        </is>
      </c>
      <c r="O77" s="4" t="inlineStr">
        <is>
          <t>RF45REx1 (Temp +2.0℃ / Vent 10% Open) NEW VAN, ON DECK</t>
        </is>
      </c>
      <c r="P77" s="4" t="inlineStr">
        <is>
          <t xml:space="preserve">Pickup : 2026-10-03, Return : 2026-10-07 (Temp +2.0 / Vent 10% Open) 
 CLS TIME 08/10 @05.00 </t>
        </is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1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HASLS22260901329</t>
        </is>
      </c>
      <c r="B78" s="4" t="inlineStr">
        <is>
          <t>SWBT</t>
        </is>
      </c>
      <c r="C78" s="4" t="inlineStr">
        <is>
          <t>2616N</t>
        </is>
      </c>
      <c r="D78" s="4" t="inlineStr">
        <is>
          <t>202610160100</t>
        </is>
      </c>
      <c r="E78" s="4" t="inlineStr"/>
      <c r="F78" s="4" t="inlineStr">
        <is>
          <t>THLCH</t>
        </is>
      </c>
      <c r="G78" s="4" t="inlineStr">
        <is>
          <t>VNSGN</t>
        </is>
      </c>
      <c r="H78" s="4" t="inlineStr">
        <is>
          <t xml:space="preserve">20'x2 </t>
        </is>
      </c>
      <c r="I78" s="4" t="inlineStr">
        <is>
          <t>LCH27</t>
        </is>
      </c>
      <c r="J78" s="4" t="inlineStr">
        <is>
          <t xml:space="preserve">HAST Logistics Co.,Ltd. </t>
        </is>
      </c>
      <c r="K78" s="4" t="inlineStr">
        <is>
          <t>20261005</t>
        </is>
      </c>
      <c r="L78" s="4" t="inlineStr">
        <is>
          <t>WHA GC LOGISTICS COMPANY LIMITED</t>
        </is>
      </c>
      <c r="M78" s="4" t="inlineStr">
        <is>
          <t>PTT GLOBAL CHEMICAL PUBLIC COMPANY LIMITED</t>
        </is>
      </c>
      <c r="N78" s="4" t="inlineStr">
        <is>
          <t>RESIN</t>
        </is>
      </c>
      <c r="O78" s="4" t="inlineStr">
        <is>
          <t>GOOD AND CLEAN CTNR</t>
        </is>
      </c>
      <c r="P78" s="4" t="inlineStr">
        <is>
          <t>CY-RTN 05-07/10/26 (PR2610002025)
*PLS CHECK OPEN GATE BEFORE RETURN CTNR*</t>
        </is>
      </c>
      <c r="Q78" s="4" t="n">
        <v>2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HASLS22260901330</t>
        </is>
      </c>
      <c r="B79" s="4" t="inlineStr">
        <is>
          <t>SWBT</t>
        </is>
      </c>
      <c r="C79" s="4" t="inlineStr">
        <is>
          <t>2616N</t>
        </is>
      </c>
      <c r="D79" s="4" t="inlineStr">
        <is>
          <t>202610160100</t>
        </is>
      </c>
      <c r="E79" s="4" t="inlineStr"/>
      <c r="F79" s="4" t="inlineStr">
        <is>
          <t>THLCH</t>
        </is>
      </c>
      <c r="G79" s="4" t="inlineStr">
        <is>
          <t>VNSGN</t>
        </is>
      </c>
      <c r="H79" s="4" t="inlineStr">
        <is>
          <t xml:space="preserve">40Hx8 </t>
        </is>
      </c>
      <c r="I79" s="4" t="inlineStr">
        <is>
          <t>LCH27</t>
        </is>
      </c>
      <c r="J79" s="4" t="inlineStr">
        <is>
          <t xml:space="preserve">HAST Logistics Co.,Ltd. </t>
        </is>
      </c>
      <c r="K79" s="4" t="inlineStr">
        <is>
          <t>20261005</t>
        </is>
      </c>
      <c r="L79" s="4" t="inlineStr">
        <is>
          <t>WHA GC LOGISTICS COMPANY LIMITED</t>
        </is>
      </c>
      <c r="M79" s="4" t="inlineStr">
        <is>
          <t>PTT GLOBAL CHEMICAL PUBLIC COMPANY LIMITED</t>
        </is>
      </c>
      <c r="N79" s="4" t="inlineStr">
        <is>
          <t>RESIN</t>
        </is>
      </c>
      <c r="O79" s="4" t="inlineStr">
        <is>
          <t>GOOD AND CLEAN CTNR</t>
        </is>
      </c>
      <c r="P79" s="4" t="inlineStr">
        <is>
          <t>CY-RTN 05-07/10/26 (PR2610001889)
*PLS CHECK OPEN GATE BEFORE RETURN CTNR*</t>
        </is>
      </c>
      <c r="Q79" s="4" t="n">
        <v>0</v>
      </c>
      <c r="R79" s="4" t="n">
        <v>0</v>
      </c>
      <c r="S79" s="4" t="n">
        <v>8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HASLS22260901331</t>
        </is>
      </c>
      <c r="B80" s="4" t="inlineStr">
        <is>
          <t>SWVG</t>
        </is>
      </c>
      <c r="C80" s="4" t="inlineStr">
        <is>
          <t>2612N</t>
        </is>
      </c>
      <c r="D80" s="4" t="inlineStr">
        <is>
          <t>202610070930</t>
        </is>
      </c>
      <c r="E80" s="4" t="inlineStr"/>
      <c r="F80" s="4" t="inlineStr">
        <is>
          <t>THLCH</t>
        </is>
      </c>
      <c r="G80" s="4" t="inlineStr">
        <is>
          <t>JPTMK</t>
        </is>
      </c>
      <c r="H80" s="4" t="inlineStr">
        <is>
          <t xml:space="preserve">20'x1 </t>
        </is>
      </c>
      <c r="I80" s="4" t="inlineStr">
        <is>
          <t>LCH27</t>
        </is>
      </c>
      <c r="J80" s="4" t="inlineStr">
        <is>
          <t xml:space="preserve">HAST Logistics Co.,Ltd. </t>
        </is>
      </c>
      <c r="K80" s="4" t="inlineStr">
        <is>
          <t>20261002</t>
        </is>
      </c>
      <c r="L80" s="4" t="inlineStr">
        <is>
          <t>ROJANA DISTRIBUTION CENTER CO., LTD.</t>
        </is>
      </c>
      <c r="M80" s="4" t="inlineStr">
        <is>
          <t>NIPPON STEEL WELDING (THAILAND) CO., LTD.</t>
        </is>
      </c>
      <c r="N80" s="4" t="inlineStr">
        <is>
          <t>WELDING WIRE</t>
        </is>
      </c>
      <c r="O80" s="4" t="inlineStr">
        <is>
          <t>Container side walls must not collapse and must have no gaps.floor must be smooth, including all floor joints.clean and free from rust</t>
        </is>
      </c>
      <c r="P80" s="4" t="inlineStr">
        <is>
          <t>[FIX]Pickup : 2026-10-02, Return : 2026-10-05</t>
        </is>
      </c>
      <c r="Q80" s="4" t="n">
        <v>1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HASLS22260901339</t>
        </is>
      </c>
      <c r="B81" s="4" t="inlineStr">
        <is>
          <t>SWAT</t>
        </is>
      </c>
      <c r="C81" s="4" t="inlineStr">
        <is>
          <t>2610N</t>
        </is>
      </c>
      <c r="D81" s="4" t="inlineStr">
        <is>
          <t>202610090100</t>
        </is>
      </c>
      <c r="E81" s="4" t="inlineStr"/>
      <c r="F81" s="4" t="inlineStr">
        <is>
          <t>THLCH</t>
        </is>
      </c>
      <c r="G81" s="4" t="inlineStr">
        <is>
          <t>TWKEL</t>
        </is>
      </c>
      <c r="H81" s="4" t="inlineStr">
        <is>
          <t xml:space="preserve">20'x2 </t>
        </is>
      </c>
      <c r="I81" s="4" t="inlineStr">
        <is>
          <t>LCH27</t>
        </is>
      </c>
      <c r="J81" s="4" t="inlineStr">
        <is>
          <t xml:space="preserve">HAST Logistics Co.,Ltd. </t>
        </is>
      </c>
      <c r="K81" s="4" t="inlineStr">
        <is>
          <t>20261005</t>
        </is>
      </c>
      <c r="L81" s="4" t="inlineStr">
        <is>
          <t>MERCURIAL LOGISTICS  CO.,LTD</t>
        </is>
      </c>
      <c r="M81" s="4" t="inlineStr">
        <is>
          <t>ORIENTAL COPPER CO., LTD.</t>
        </is>
      </c>
      <c r="N81" s="4" t="inlineStr">
        <is>
          <t>COPPER</t>
        </is>
      </c>
      <c r="O81" s="4" t="inlineStr">
        <is>
          <t>GOOD AND CLEAN CTNR</t>
        </is>
      </c>
      <c r="P81" s="4" t="inlineStr">
        <is>
          <t xml:space="preserve">Pickup : 2026-10-05, Return : 2026-10-05 
** PLEASE CHECK OPEN GATE BEFORE RETURN CONTAINER ** </t>
        </is>
      </c>
      <c r="Q81" s="4" t="n">
        <v>2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HASLS22260901340</t>
        </is>
      </c>
      <c r="B82" s="4" t="inlineStr">
        <is>
          <t>SWAT</t>
        </is>
      </c>
      <c r="C82" s="4" t="inlineStr">
        <is>
          <t>2610N</t>
        </is>
      </c>
      <c r="D82" s="4" t="inlineStr">
        <is>
          <t>202610090100</t>
        </is>
      </c>
      <c r="E82" s="4" t="inlineStr"/>
      <c r="F82" s="4" t="inlineStr">
        <is>
          <t>THLCH</t>
        </is>
      </c>
      <c r="G82" s="4" t="inlineStr">
        <is>
          <t>TWKEL</t>
        </is>
      </c>
      <c r="H82" s="4" t="inlineStr">
        <is>
          <t xml:space="preserve">20'x1 </t>
        </is>
      </c>
      <c r="I82" s="4" t="inlineStr">
        <is>
          <t>LCH27</t>
        </is>
      </c>
      <c r="J82" s="4" t="inlineStr">
        <is>
          <t xml:space="preserve">HAST Logistics Co.,Ltd. </t>
        </is>
      </c>
      <c r="K82" s="4" t="inlineStr">
        <is>
          <t>20261005</t>
        </is>
      </c>
      <c r="L82" s="4" t="inlineStr">
        <is>
          <t>MERCURIAL LOGISTICS  CO.,LTD</t>
        </is>
      </c>
      <c r="M82" s="4" t="inlineStr">
        <is>
          <t>ORIENTAL COPPER CO., LTD.</t>
        </is>
      </c>
      <c r="N82" s="4" t="inlineStr">
        <is>
          <t>COPPER</t>
        </is>
      </c>
      <c r="O82" s="4" t="inlineStr">
        <is>
          <t>GOOD AND CLEAN CTNR</t>
        </is>
      </c>
      <c r="P82" s="4" t="inlineStr">
        <is>
          <t xml:space="preserve">Pickup : 2026-10-05, Return : 2026-10-05
** PLEASE CHECK OPEN GATE BEFORE RETURN CONTAINER ** 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HASLS22260901397</t>
        </is>
      </c>
      <c r="B83" s="4" t="inlineStr">
        <is>
          <t>SWSP</t>
        </is>
      </c>
      <c r="C83" s="4" t="inlineStr">
        <is>
          <t>2609N</t>
        </is>
      </c>
      <c r="D83" s="4" t="inlineStr">
        <is>
          <t>202610071530</t>
        </is>
      </c>
      <c r="E83" s="4" t="inlineStr"/>
      <c r="F83" s="4" t="inlineStr">
        <is>
          <t>THLCH</t>
        </is>
      </c>
      <c r="G83" s="4" t="inlineStr">
        <is>
          <t>VNSGN</t>
        </is>
      </c>
      <c r="H83" s="4" t="inlineStr">
        <is>
          <t xml:space="preserve">40Hx1 </t>
        </is>
      </c>
      <c r="I83" s="4" t="inlineStr">
        <is>
          <t>LCH27</t>
        </is>
      </c>
      <c r="J83" s="4" t="inlineStr">
        <is>
          <t xml:space="preserve">HAST Logistics Co.,Ltd. </t>
        </is>
      </c>
      <c r="K83" s="4" t="inlineStr">
        <is>
          <t>20261005</t>
        </is>
      </c>
      <c r="L83" s="4" t="inlineStr">
        <is>
          <t>FIBS LOGISTICS CO., LTD.</t>
        </is>
      </c>
      <c r="M83" s="4" t="inlineStr">
        <is>
          <t>YAMAMORI TRADING CO.,LTD</t>
        </is>
      </c>
      <c r="N83" s="4" t="inlineStr">
        <is>
          <t>SOY SAUCE</t>
        </is>
      </c>
      <c r="O83" s="4" t="inlineStr">
        <is>
          <t>REQUEST CLEAN CONTAINER AND GOOD CONDITION</t>
        </is>
      </c>
      <c r="P83" s="4" t="inlineStr">
        <is>
          <t xml:space="preserve">Pickup : 2026-10-05, Return : 2026-10-05 
** PLEASE CHECK OPEN GATE BEFORE RETURN CONTAINER ** </t>
        </is>
      </c>
      <c r="Q83" s="4" t="n">
        <v>0</v>
      </c>
      <c r="R83" s="4" t="n">
        <v>0</v>
      </c>
      <c r="S83" s="4" t="n">
        <v>1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HASLS22260901408</t>
        </is>
      </c>
      <c r="B84" s="4" t="inlineStr">
        <is>
          <t>SWVG</t>
        </is>
      </c>
      <c r="C84" s="4" t="inlineStr">
        <is>
          <t>2612N</t>
        </is>
      </c>
      <c r="D84" s="4" t="inlineStr">
        <is>
          <t>202610070930</t>
        </is>
      </c>
      <c r="E84" s="4" t="inlineStr"/>
      <c r="F84" s="4" t="inlineStr">
        <is>
          <t>THLCH</t>
        </is>
      </c>
      <c r="G84" s="4" t="inlineStr">
        <is>
          <t>JPFKY</t>
        </is>
      </c>
      <c r="H84" s="4" t="inlineStr">
        <is>
          <t xml:space="preserve">20'x1 </t>
        </is>
      </c>
      <c r="I84" s="4" t="inlineStr">
        <is>
          <t>LCH27</t>
        </is>
      </c>
      <c r="J84" s="4" t="inlineStr">
        <is>
          <t xml:space="preserve">HAST Logistics Co.,Ltd. </t>
        </is>
      </c>
      <c r="K84" s="4" t="inlineStr">
        <is>
          <t>20261002</t>
        </is>
      </c>
      <c r="L84" s="4" t="inlineStr">
        <is>
          <t>ROJANA DISTRIBUTION CENTER CO., LTD.</t>
        </is>
      </c>
      <c r="M84" s="4" t="inlineStr">
        <is>
          <t>NIPPON STEEL WELDING (THAILAND) CO., LTD.</t>
        </is>
      </c>
      <c r="N84" s="4" t="inlineStr">
        <is>
          <t>WELDING WIRE</t>
        </is>
      </c>
      <c r="O84" s="4" t="inlineStr">
        <is>
          <t>Container side walls must not collapse and must have no gaps. floor must be smooth, including all floor joints. clean and free from rust and oil. not</t>
        </is>
      </c>
      <c r="P84" s="4" t="inlineStr">
        <is>
          <t>Pickup : 2026-10-02, Return : 2026-10-05</t>
        </is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HASLS22260901810</t>
        </is>
      </c>
      <c r="B85" s="4" t="inlineStr">
        <is>
          <t>SWSP</t>
        </is>
      </c>
      <c r="C85" s="4" t="inlineStr">
        <is>
          <t>2609N</t>
        </is>
      </c>
      <c r="D85" s="4" t="inlineStr">
        <is>
          <t>202610071530</t>
        </is>
      </c>
      <c r="E85" s="4" t="inlineStr"/>
      <c r="F85" s="4" t="inlineStr">
        <is>
          <t>THLCH</t>
        </is>
      </c>
      <c r="G85" s="4" t="inlineStr">
        <is>
          <t>KRPUS</t>
        </is>
      </c>
      <c r="H85" s="4" t="inlineStr">
        <is>
          <t xml:space="preserve">R40Hx1 </t>
        </is>
      </c>
      <c r="I85" s="4" t="inlineStr">
        <is>
          <t>LCH27</t>
        </is>
      </c>
      <c r="J85" s="4" t="inlineStr">
        <is>
          <t xml:space="preserve">HAST Logistics Co.,Ltd. </t>
        </is>
      </c>
      <c r="K85" s="4" t="inlineStr">
        <is>
          <t>20261003</t>
        </is>
      </c>
      <c r="L85" s="4" t="inlineStr">
        <is>
          <t>PLA LOGISTICS CO., LTD.</t>
        </is>
      </c>
      <c r="M85" s="4" t="inlineStr">
        <is>
          <t>F &amp; F FOOD CO., LTD.</t>
        </is>
      </c>
      <c r="N85" s="4" t="inlineStr">
        <is>
          <t>FROZEN FRESH CHICKEN MEAT</t>
        </is>
      </c>
      <c r="O85" s="4" t="inlineStr">
        <is>
          <t>(Temp -18.0℃ / Vent Close)</t>
        </is>
      </c>
      <c r="P85" s="4" t="inlineStr">
        <is>
          <t xml:space="preserve">Pickup : 2026-10-03, Return : 2026-10-06  (Temp -18.0 / Vent Close) 
CLS TIME : 06/10/26 @23.59  </t>
        </is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1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HASLS22260901833</t>
        </is>
      </c>
      <c r="B86" s="4" t="inlineStr">
        <is>
          <t>KXM</t>
        </is>
      </c>
      <c r="C86" s="4" t="inlineStr">
        <is>
          <t>2608S</t>
        </is>
      </c>
      <c r="D86" s="4" t="inlineStr">
        <is>
          <t>202610101500</t>
        </is>
      </c>
      <c r="E86" s="4" t="inlineStr"/>
      <c r="F86" s="4" t="inlineStr">
        <is>
          <t>THLCH</t>
        </is>
      </c>
      <c r="G86" s="4" t="inlineStr">
        <is>
          <t>IDJKT</t>
        </is>
      </c>
      <c r="H86" s="4" t="inlineStr">
        <is>
          <t xml:space="preserve">20'x1 </t>
        </is>
      </c>
      <c r="I86" s="4" t="inlineStr">
        <is>
          <t>LCH27</t>
        </is>
      </c>
      <c r="J86" s="4" t="inlineStr">
        <is>
          <t xml:space="preserve">HAST Logistics Co.,Ltd. </t>
        </is>
      </c>
      <c r="K86" s="4" t="inlineStr">
        <is>
          <t>20261005</t>
        </is>
      </c>
      <c r="L86" s="4" t="inlineStr">
        <is>
          <t>WISE GLOBAL LOGISTICS CO., LTD.</t>
        </is>
      </c>
      <c r="M86" s="4" t="inlineStr">
        <is>
          <t>ADVANCE ASIA FIBER CO., LTD.</t>
        </is>
      </c>
      <c r="N86" s="4" t="inlineStr">
        <is>
          <t>FIBREBOARD</t>
        </is>
      </c>
      <c r="O86" s="4" t="inlineStr">
        <is>
          <t>GOOD AND CLEAN CTNR</t>
        </is>
      </c>
      <c r="P86" s="4" t="inlineStr">
        <is>
          <t>Pickup : 2026-10-05, Return : 2026-10-06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HASLS22260901841</t>
        </is>
      </c>
      <c r="B87" s="4" t="inlineStr">
        <is>
          <t>KXM</t>
        </is>
      </c>
      <c r="C87" s="4" t="inlineStr">
        <is>
          <t>2608S</t>
        </is>
      </c>
      <c r="D87" s="4" t="inlineStr">
        <is>
          <t>202610101500</t>
        </is>
      </c>
      <c r="E87" s="4" t="inlineStr"/>
      <c r="F87" s="4" t="inlineStr">
        <is>
          <t>THLCH</t>
        </is>
      </c>
      <c r="G87" s="4" t="inlineStr">
        <is>
          <t>IDJKT</t>
        </is>
      </c>
      <c r="H87" s="4" t="inlineStr">
        <is>
          <t xml:space="preserve">20'x1 </t>
        </is>
      </c>
      <c r="I87" s="4" t="inlineStr">
        <is>
          <t>LCH27</t>
        </is>
      </c>
      <c r="J87" s="4" t="inlineStr">
        <is>
          <t xml:space="preserve">HAST Logistics Co.,Ltd. </t>
        </is>
      </c>
      <c r="K87" s="4" t="inlineStr">
        <is>
          <t>20261005</t>
        </is>
      </c>
      <c r="L87" s="4" t="inlineStr">
        <is>
          <t>MAINFREIGHT LOGISTICS (THAILAND) CO., LTD.</t>
        </is>
      </c>
      <c r="M87" s="4" t="inlineStr">
        <is>
          <t>NALCO INDUSTRIAL SERVICES (THAILAND) CO., LTD.</t>
        </is>
      </c>
      <c r="N87" s="4" t="inlineStr">
        <is>
          <t>3D TRASAR 3DT129 25KG</t>
        </is>
      </c>
      <c r="O87" s="4" t="inlineStr">
        <is>
          <t>APPROVAL BY Mr.Jeong-Yong UM DD.22/09/2026 // DG CARGO  (CLS 8 / UN 3264) 
Request good and clean container</t>
        </is>
      </c>
      <c r="P87" s="4" t="inlineStr">
        <is>
          <t>APPROVAL BY Mr.Jeong-Yong UM DD.22/09/2026 // DG CARGO (CLS 8 / UN 3264) 
Pickup : 2026-10-05, Return @ JWD : 2026-10-06</t>
        </is>
      </c>
      <c r="Q87" s="4" t="n">
        <v>1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HASLS22260902204</t>
        </is>
      </c>
      <c r="B88" s="4" t="inlineStr">
        <is>
          <t>SWAT</t>
        </is>
      </c>
      <c r="C88" s="4" t="inlineStr">
        <is>
          <t>2610N</t>
        </is>
      </c>
      <c r="D88" s="4" t="inlineStr">
        <is>
          <t>202610090100</t>
        </is>
      </c>
      <c r="E88" s="4" t="inlineStr"/>
      <c r="F88" s="4" t="inlineStr">
        <is>
          <t>THLCH</t>
        </is>
      </c>
      <c r="G88" s="4" t="inlineStr">
        <is>
          <t>HKHKG</t>
        </is>
      </c>
      <c r="H88" s="4" t="inlineStr">
        <is>
          <t xml:space="preserve">R40Hx1 </t>
        </is>
      </c>
      <c r="I88" s="4" t="inlineStr">
        <is>
          <t>LCH27</t>
        </is>
      </c>
      <c r="J88" s="4" t="inlineStr">
        <is>
          <t xml:space="preserve">HAST Logistics Co.,Ltd. </t>
        </is>
      </c>
      <c r="K88" s="4" t="inlineStr">
        <is>
          <t>20261003</t>
        </is>
      </c>
      <c r="L88" s="4" t="inlineStr">
        <is>
          <t>STAR SHIPPING CARGO LIKES CO., LTD.</t>
        </is>
      </c>
      <c r="M88" s="4" t="inlineStr">
        <is>
          <t>AN NAM DRAGON 2017 CO., LTD.</t>
        </is>
      </c>
      <c r="N88" s="4" t="inlineStr">
        <is>
          <t>FRESH FRUITS, VEGETABLES, FOODSTUFF</t>
        </is>
      </c>
      <c r="O88" s="4" t="inlineStr">
        <is>
          <t>(Temp +4.0℃ / Vent 15% Open)</t>
        </is>
      </c>
      <c r="P88" s="4" t="inlineStr">
        <is>
          <t>Pickup : 2026-10-03, Return : 2026-10-05 (Temp +4.0 / Vent 15% Open) 
CLS TIME 06/10/26 @18.00</t>
        </is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1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HASLS22260902230</t>
        </is>
      </c>
      <c r="B89" s="4" t="inlineStr">
        <is>
          <t>SWIC</t>
        </is>
      </c>
      <c r="C89" s="4" t="inlineStr">
        <is>
          <t>2611N</t>
        </is>
      </c>
      <c r="D89" s="4" t="inlineStr">
        <is>
          <t>202610160400</t>
        </is>
      </c>
      <c r="E89" s="4" t="inlineStr"/>
      <c r="F89" s="4" t="inlineStr">
        <is>
          <t>THLCH</t>
        </is>
      </c>
      <c r="G89" s="4" t="inlineStr">
        <is>
          <t>VNSGN</t>
        </is>
      </c>
      <c r="H89" s="4" t="inlineStr">
        <is>
          <t xml:space="preserve">20'x5 </t>
        </is>
      </c>
      <c r="I89" s="4" t="inlineStr">
        <is>
          <t>LCH27</t>
        </is>
      </c>
      <c r="J89" s="4" t="inlineStr">
        <is>
          <t xml:space="preserve">HAST Logistics Co.,Ltd. </t>
        </is>
      </c>
      <c r="K89" s="4" t="inlineStr">
        <is>
          <t>20260929</t>
        </is>
      </c>
      <c r="L89" s="4" t="inlineStr">
        <is>
          <t>WHA GC LOGISTICS COMPANY LIMITED</t>
        </is>
      </c>
      <c r="M89" s="4" t="inlineStr">
        <is>
          <t>PTT GLOBAL CHEMICAL PUBLIC COMPANY LIMITED</t>
        </is>
      </c>
      <c r="N89" s="4" t="inlineStr">
        <is>
          <t>RESIN</t>
        </is>
      </c>
      <c r="O89" s="4" t="inlineStr">
        <is>
          <t>GOOD AND CLEAN CTNR</t>
        </is>
      </c>
      <c r="P89" s="4" t="inlineStr">
        <is>
          <t xml:space="preserve">CY-RTN : 29-02/10/2026 </t>
        </is>
      </c>
      <c r="Q89" s="4" t="n">
        <v>5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HASLS22260902261</t>
        </is>
      </c>
      <c r="B90" s="4" t="inlineStr">
        <is>
          <t>SWVG</t>
        </is>
      </c>
      <c r="C90" s="4" t="inlineStr">
        <is>
          <t>2612N</t>
        </is>
      </c>
      <c r="D90" s="4" t="inlineStr">
        <is>
          <t>202610070930</t>
        </is>
      </c>
      <c r="E90" s="4" t="inlineStr"/>
      <c r="F90" s="4" t="inlineStr">
        <is>
          <t>THLCH</t>
        </is>
      </c>
      <c r="G90" s="4" t="inlineStr">
        <is>
          <t>JPKIJ</t>
        </is>
      </c>
      <c r="H90" s="4" t="inlineStr">
        <is>
          <t xml:space="preserve">20'x2 </t>
        </is>
      </c>
      <c r="I90" s="4" t="inlineStr">
        <is>
          <t>LCH27</t>
        </is>
      </c>
      <c r="J90" s="4" t="inlineStr">
        <is>
          <t xml:space="preserve">HAST Logistics Co.,Ltd. </t>
        </is>
      </c>
      <c r="K90" s="4" t="inlineStr">
        <is>
          <t>20261003</t>
        </is>
      </c>
      <c r="L90" s="4" t="inlineStr">
        <is>
          <t>NOVATRANS LOGISTICS CO.,LTD</t>
        </is>
      </c>
      <c r="M90" s="4" t="inlineStr">
        <is>
          <t>SMC FOOD (THAILAND) CO.,LTD.</t>
        </is>
      </c>
      <c r="N90" s="4" t="inlineStr">
        <is>
          <t xml:space="preserve">SUGAR/SALT </t>
        </is>
      </c>
      <c r="O90" s="4" t="inlineStr">
        <is>
          <t>RQST GOOD AND CLEAN CNTR (FOOD GRADE) NO RUST NO HOLE NO SMELL 
RQST CONTAINER UNDER DECK AVOID BOIL</t>
        </is>
      </c>
      <c r="P90" s="4" t="inlineStr">
        <is>
          <t>Pickup : 2026-10-03, Return : 2026-10-04</t>
        </is>
      </c>
      <c r="Q90" s="4" t="n">
        <v>2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HASLS22260902270</t>
        </is>
      </c>
      <c r="B91" s="4" t="inlineStr">
        <is>
          <t>KXM</t>
        </is>
      </c>
      <c r="C91" s="4" t="inlineStr">
        <is>
          <t>2608S</t>
        </is>
      </c>
      <c r="D91" s="4" t="inlineStr">
        <is>
          <t>202610101500</t>
        </is>
      </c>
      <c r="E91" s="4" t="inlineStr"/>
      <c r="F91" s="4" t="inlineStr">
        <is>
          <t>THLCH</t>
        </is>
      </c>
      <c r="G91" s="4" t="inlineStr">
        <is>
          <t>IDJKT</t>
        </is>
      </c>
      <c r="H91" s="4" t="inlineStr">
        <is>
          <t xml:space="preserve">R40Hx1 </t>
        </is>
      </c>
      <c r="I91" s="4" t="inlineStr">
        <is>
          <t>LCH27</t>
        </is>
      </c>
      <c r="J91" s="4" t="inlineStr">
        <is>
          <t xml:space="preserve">HAST Logistics Co.,Ltd. </t>
        </is>
      </c>
      <c r="K91" s="4" t="inlineStr">
        <is>
          <t>20261003</t>
        </is>
      </c>
      <c r="L91" s="4" t="inlineStr">
        <is>
          <t>LONG LUCK SHIPPING AND LOGISTICS CO., LTD.</t>
        </is>
      </c>
      <c r="M91" s="4" t="inlineStr">
        <is>
          <t>ROYAL 88 COMPANY LIMITED</t>
        </is>
      </c>
      <c r="N91" s="4" t="inlineStr">
        <is>
          <t>FRESH LONGAN</t>
        </is>
      </c>
      <c r="O91" s="4" t="inlineStr">
        <is>
          <t>(Temp +2.0℃ / Vent 15% Open)</t>
        </is>
      </c>
      <c r="P91" s="4" t="inlineStr">
        <is>
          <t>Pickup : 2026-10-03, Return : 2026-10-08 (Temp +2.0 / Vent 15% Open) 
Closing time 2026-10-08 @ 23.59</t>
        </is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1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HASLS22260902421</t>
        </is>
      </c>
      <c r="B92" s="4" t="inlineStr">
        <is>
          <t>SWSP</t>
        </is>
      </c>
      <c r="C92" s="4" t="inlineStr">
        <is>
          <t>2609N</t>
        </is>
      </c>
      <c r="D92" s="4" t="inlineStr">
        <is>
          <t>202610071530</t>
        </is>
      </c>
      <c r="E92" s="4" t="inlineStr"/>
      <c r="F92" s="4" t="inlineStr">
        <is>
          <t>THLCH</t>
        </is>
      </c>
      <c r="G92" s="4" t="inlineStr">
        <is>
          <t>RUVVO</t>
        </is>
      </c>
      <c r="H92" s="4" t="inlineStr">
        <is>
          <t xml:space="preserve">R40Hx1 </t>
        </is>
      </c>
      <c r="I92" s="4" t="inlineStr">
        <is>
          <t>LCH27</t>
        </is>
      </c>
      <c r="J92" s="4" t="inlineStr">
        <is>
          <t xml:space="preserve">HAST Logistics Co.,Ltd. </t>
        </is>
      </c>
      <c r="K92" s="4" t="inlineStr">
        <is>
          <t>20261001</t>
        </is>
      </c>
      <c r="L92" s="4" t="inlineStr">
        <is>
          <t>EXOTIC FOOD PUBLIC COMPANY LIMITED</t>
        </is>
      </c>
      <c r="M92" s="4" t="inlineStr">
        <is>
          <t>EXOTIC FOOD PUBLIC COMPANY LIMITED</t>
        </is>
      </c>
      <c r="N92" s="4" t="inlineStr">
        <is>
          <t>SAUCES</t>
        </is>
      </c>
      <c r="O92" s="4" t="inlineStr">
        <is>
          <t>(TEMP  +18' C / VENT CLOSE) Container Food Graded</t>
        </is>
      </c>
      <c r="P92" s="4" t="inlineStr">
        <is>
          <t>[FIX][FIX]CY-RTN :01-03/10/2026 (TEMP  +18' C / VENT CLOSE)
CLS TIME 06/10/26 @23.59 (1ST DATE RTN 04/10/2026 W/O RENT,ELECTRIC)</t>
        </is>
      </c>
      <c r="Q92" s="4" t="n">
        <v>0</v>
      </c>
      <c r="R92" s="4" t="n">
        <v>0</v>
      </c>
      <c r="S92" s="4" t="n">
        <v>0</v>
      </c>
      <c r="T92" s="4" t="n">
        <v>0</v>
      </c>
      <c r="U92" s="4" t="n">
        <v>1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HASLS22260902461</t>
        </is>
      </c>
      <c r="B93" s="4" t="inlineStr">
        <is>
          <t>PCCP</t>
        </is>
      </c>
      <c r="C93" s="4" t="inlineStr">
        <is>
          <t>2610N</t>
        </is>
      </c>
      <c r="D93" s="4" t="inlineStr">
        <is>
          <t>202610121600</t>
        </is>
      </c>
      <c r="E93" s="4" t="inlineStr"/>
      <c r="F93" s="4" t="inlineStr">
        <is>
          <t>THLCH</t>
        </is>
      </c>
      <c r="G93" s="4" t="inlineStr">
        <is>
          <t>VNSGN</t>
        </is>
      </c>
      <c r="H93" s="4" t="inlineStr">
        <is>
          <t xml:space="preserve">20'x5 </t>
        </is>
      </c>
      <c r="I93" s="4" t="inlineStr">
        <is>
          <t>LCH27</t>
        </is>
      </c>
      <c r="J93" s="4" t="inlineStr">
        <is>
          <t xml:space="preserve">HAST Logistics Co.,Ltd. </t>
        </is>
      </c>
      <c r="K93" s="4" t="inlineStr">
        <is>
          <t>20261005</t>
        </is>
      </c>
      <c r="L93" s="4" t="inlineStr">
        <is>
          <t>WHA GC LOGISTICS COMPANY LIMITED</t>
        </is>
      </c>
      <c r="M93" s="4" t="inlineStr">
        <is>
          <t>PTT GLOBAL CHEMICAL PUBLIC COMPANY LIMITED</t>
        </is>
      </c>
      <c r="N93" s="4" t="inlineStr">
        <is>
          <t>RESIN</t>
        </is>
      </c>
      <c r="O93" s="4" t="inlineStr">
        <is>
          <t>GOOD AND CLEAN CTNR</t>
        </is>
      </c>
      <c r="P93" s="4" t="inlineStr">
        <is>
          <t xml:space="preserve">CY-RTN 05-08/10/26 / FIRST DATE CAN RETURN CNTR DD.06/10 
**CHECK OPEN GATE BEFORE RETURN CNTR **
</t>
        </is>
      </c>
      <c r="Q93" s="4" t="n">
        <v>5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HASLS22260902538</t>
        </is>
      </c>
      <c r="B94" s="4" t="inlineStr">
        <is>
          <t>SWAT</t>
        </is>
      </c>
      <c r="C94" s="4" t="inlineStr">
        <is>
          <t>2610N</t>
        </is>
      </c>
      <c r="D94" s="4" t="inlineStr">
        <is>
          <t>202610090100</t>
        </is>
      </c>
      <c r="E94" s="4" t="inlineStr"/>
      <c r="F94" s="4" t="inlineStr">
        <is>
          <t>THLCH</t>
        </is>
      </c>
      <c r="G94" s="4" t="inlineStr">
        <is>
          <t>KRPUS</t>
        </is>
      </c>
      <c r="H94" s="4" t="inlineStr">
        <is>
          <t xml:space="preserve">R40Hx1 </t>
        </is>
      </c>
      <c r="I94" s="4" t="inlineStr">
        <is>
          <t>LCH27</t>
        </is>
      </c>
      <c r="J94" s="4" t="inlineStr">
        <is>
          <t xml:space="preserve">HAST Logistics Co.,Ltd. </t>
        </is>
      </c>
      <c r="K94" s="4" t="inlineStr">
        <is>
          <t>20261003</t>
        </is>
      </c>
      <c r="L94" s="4" t="inlineStr">
        <is>
          <t>LAND SEA SKY CO., LTD.</t>
        </is>
      </c>
      <c r="M94" s="4" t="inlineStr">
        <is>
          <t>SAHA FARMS  INTERNATIONAL CO LTD</t>
        </is>
      </c>
      <c r="N94" s="4" t="inlineStr">
        <is>
          <t>FROZEN CHICKEN COOK</t>
        </is>
      </c>
      <c r="O94" s="4" t="inlineStr">
        <is>
          <t>RF45REx1 (Temp -18.0℃ / Vent Close)</t>
        </is>
      </c>
      <c r="P94" s="4" t="inlineStr">
        <is>
          <t xml:space="preserve">Pickup : 2026-10-03, Return : 2026-10-06 (Temp -18.0 / Vent Close)
 CLS TIME 07/10 @20.00 [1ST RTN 06/10 W/O RENT &amp; ELECTRIC] 
 </t>
        </is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1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HASLS22261000016</t>
        </is>
      </c>
      <c r="B95" s="4" t="inlineStr">
        <is>
          <t>SWBT</t>
        </is>
      </c>
      <c r="C95" s="4" t="inlineStr">
        <is>
          <t>2616N</t>
        </is>
      </c>
      <c r="D95" s="4" t="inlineStr">
        <is>
          <t>202610160100</t>
        </is>
      </c>
      <c r="E95" s="4" t="inlineStr"/>
      <c r="F95" s="4" t="inlineStr">
        <is>
          <t>THLCH</t>
        </is>
      </c>
      <c r="G95" s="4" t="inlineStr">
        <is>
          <t>VNSGN</t>
        </is>
      </c>
      <c r="H95" s="4" t="inlineStr">
        <is>
          <t xml:space="preserve">20'x2 </t>
        </is>
      </c>
      <c r="I95" s="4" t="inlineStr">
        <is>
          <t>LCH27</t>
        </is>
      </c>
      <c r="J95" s="4" t="inlineStr">
        <is>
          <t xml:space="preserve">HAST Logistics Co.,Ltd. </t>
        </is>
      </c>
      <c r="K95" s="4" t="inlineStr">
        <is>
          <t>20261005</t>
        </is>
      </c>
      <c r="L95" s="4" t="inlineStr">
        <is>
          <t>WHA GC LOGISTICS COMPANY LIMITED</t>
        </is>
      </c>
      <c r="M95" s="4" t="inlineStr">
        <is>
          <t>PTT GLOBAL CHEMICAL PUBLIC COMPANY LIMITED</t>
        </is>
      </c>
      <c r="N95" s="4" t="inlineStr">
        <is>
          <t>RESIN</t>
        </is>
      </c>
      <c r="O95" s="4" t="inlineStr">
        <is>
          <t>GOOD AND CLEAN CTNR</t>
        </is>
      </c>
      <c r="P95" s="4" t="inlineStr">
        <is>
          <t>CY-RTN 05-07/10/26 (PR2610002025)
*PLS CHECK OPEN GATE BEFORE RETURN CTNR*</t>
        </is>
      </c>
      <c r="Q95" s="4" t="n">
        <v>2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HASLS22261000023</t>
        </is>
      </c>
      <c r="B96" s="4" t="inlineStr">
        <is>
          <t>KXM</t>
        </is>
      </c>
      <c r="C96" s="4" t="inlineStr">
        <is>
          <t>2608S</t>
        </is>
      </c>
      <c r="D96" s="4" t="inlineStr">
        <is>
          <t>202610101500</t>
        </is>
      </c>
      <c r="E96" s="4" t="inlineStr"/>
      <c r="F96" s="4" t="inlineStr">
        <is>
          <t>THLCH</t>
        </is>
      </c>
      <c r="G96" s="4" t="inlineStr">
        <is>
          <t>IDJKT</t>
        </is>
      </c>
      <c r="H96" s="4" t="inlineStr">
        <is>
          <t xml:space="preserve">R40Hx1 </t>
        </is>
      </c>
      <c r="I96" s="4" t="inlineStr">
        <is>
          <t>LCH27</t>
        </is>
      </c>
      <c r="J96" s="4" t="inlineStr">
        <is>
          <t xml:space="preserve">HAST Logistics Co.,Ltd. </t>
        </is>
      </c>
      <c r="K96" s="4" t="inlineStr">
        <is>
          <t>20261003</t>
        </is>
      </c>
      <c r="L96" s="4" t="inlineStr">
        <is>
          <t>PROGRESS SHIPPING - TRANSPORT CO., LTD.</t>
        </is>
      </c>
      <c r="M96" s="4" t="inlineStr">
        <is>
          <t>FRUIT PARADISE INTERNATIONAL TRADE CO.,LTD</t>
        </is>
      </c>
      <c r="N96" s="4" t="inlineStr">
        <is>
          <t>FRESH LONGAN (TEMP +2 VENT 15%)</t>
        </is>
      </c>
      <c r="O96" s="4" t="inlineStr">
        <is>
          <t>(Temp +2.0 / Vent Full Open15%) REQUEST CONTAINER UPSIZE 34-35 TONS</t>
        </is>
      </c>
      <c r="P96" s="4" t="inlineStr">
        <is>
          <t>Pickup : 2026-10-03, Return : 2026-10-07(Temp +2.0 / Vent Full Open15%) 
Closing Time 2026-10-09 @ 12.00</t>
        </is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1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HASLS22261000024</t>
        </is>
      </c>
      <c r="B97" s="4" t="inlineStr">
        <is>
          <t>KXM</t>
        </is>
      </c>
      <c r="C97" s="4" t="inlineStr">
        <is>
          <t>2608S</t>
        </is>
      </c>
      <c r="D97" s="4" t="inlineStr">
        <is>
          <t>202610101500</t>
        </is>
      </c>
      <c r="E97" s="4" t="inlineStr"/>
      <c r="F97" s="4" t="inlineStr">
        <is>
          <t>THLCH</t>
        </is>
      </c>
      <c r="G97" s="4" t="inlineStr">
        <is>
          <t>IDJKT</t>
        </is>
      </c>
      <c r="H97" s="4" t="inlineStr">
        <is>
          <t xml:space="preserve">R40Hx1 </t>
        </is>
      </c>
      <c r="I97" s="4" t="inlineStr">
        <is>
          <t>LCH27</t>
        </is>
      </c>
      <c r="J97" s="4" t="inlineStr">
        <is>
          <t xml:space="preserve">HAST Logistics Co.,Ltd. </t>
        </is>
      </c>
      <c r="K97" s="4" t="inlineStr">
        <is>
          <t>20261003</t>
        </is>
      </c>
      <c r="L97" s="4" t="inlineStr">
        <is>
          <t>PROGRESS SHIPPING - TRANSPORT CO., LTD.</t>
        </is>
      </c>
      <c r="M97" s="4" t="inlineStr">
        <is>
          <t>FRUIT PARADISE INTERNATIONAL TRADE CO.,LTD</t>
        </is>
      </c>
      <c r="N97" s="4" t="inlineStr">
        <is>
          <t>FRESH LONGAN (TEMP +2 VENT 15%)</t>
        </is>
      </c>
      <c r="O97" s="4" t="inlineStr">
        <is>
          <t>(Temp +2.0 / Vent Full Open15%) REQUEST CONTAINER UPSIZE 34-35 TONS</t>
        </is>
      </c>
      <c r="P97" s="4" t="inlineStr">
        <is>
          <t>Pickup : 2026-10-03, Return : 2026-10-07 (Temp +2.0 / Vent Full Open15%) 
Closing Time 2026-10-09 @ 12.00</t>
        </is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1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HASLS22261000025</t>
        </is>
      </c>
      <c r="B98" s="4" t="inlineStr">
        <is>
          <t>KXM</t>
        </is>
      </c>
      <c r="C98" s="4" t="inlineStr">
        <is>
          <t>2608S</t>
        </is>
      </c>
      <c r="D98" s="4" t="inlineStr">
        <is>
          <t>202610101500</t>
        </is>
      </c>
      <c r="E98" s="4" t="inlineStr"/>
      <c r="F98" s="4" t="inlineStr">
        <is>
          <t>THLCH</t>
        </is>
      </c>
      <c r="G98" s="4" t="inlineStr">
        <is>
          <t>IDJKT</t>
        </is>
      </c>
      <c r="H98" s="4" t="inlineStr">
        <is>
          <t xml:space="preserve">R40Hx1 </t>
        </is>
      </c>
      <c r="I98" s="4" t="inlineStr">
        <is>
          <t>LCH27</t>
        </is>
      </c>
      <c r="J98" s="4" t="inlineStr">
        <is>
          <t xml:space="preserve">HAST Logistics Co.,Ltd. </t>
        </is>
      </c>
      <c r="K98" s="4" t="inlineStr">
        <is>
          <t>20261003</t>
        </is>
      </c>
      <c r="L98" s="4" t="inlineStr">
        <is>
          <t>PROGRESS SHIPPING - TRANSPORT CO., LTD.</t>
        </is>
      </c>
      <c r="M98" s="4" t="inlineStr">
        <is>
          <t>FRUIT PARADISE INTERNATIONAL TRADE CO.,LTD</t>
        </is>
      </c>
      <c r="N98" s="4" t="inlineStr">
        <is>
          <t>FRESH LONGAN (TEMP +2 VENT 15%)</t>
        </is>
      </c>
      <c r="O98" s="4" t="inlineStr">
        <is>
          <t>(Temp +2.0 / Vent Full Open15%)  
REQUEST CONTAINER UPSIZE 34-35 TONS</t>
        </is>
      </c>
      <c r="P98" s="4" t="inlineStr">
        <is>
          <t>Pickup : 2026-10-03, Return : 2026-10-07(Temp +2.0 / Vent Full Open15%) 
Closing Time 2026-10-09 @ 12.00</t>
        </is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1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HASLS22261000026</t>
        </is>
      </c>
      <c r="B99" s="4" t="inlineStr">
        <is>
          <t>KXM</t>
        </is>
      </c>
      <c r="C99" s="4" t="inlineStr">
        <is>
          <t>2608S</t>
        </is>
      </c>
      <c r="D99" s="4" t="inlineStr">
        <is>
          <t>202610101500</t>
        </is>
      </c>
      <c r="E99" s="4" t="inlineStr"/>
      <c r="F99" s="4" t="inlineStr">
        <is>
          <t>THLCH</t>
        </is>
      </c>
      <c r="G99" s="4" t="inlineStr">
        <is>
          <t>IDJKT</t>
        </is>
      </c>
      <c r="H99" s="4" t="inlineStr">
        <is>
          <t xml:space="preserve">R40Hx1 </t>
        </is>
      </c>
      <c r="I99" s="4" t="inlineStr">
        <is>
          <t>LCH27</t>
        </is>
      </c>
      <c r="J99" s="4" t="inlineStr">
        <is>
          <t xml:space="preserve">HAST Logistics Co.,Ltd. </t>
        </is>
      </c>
      <c r="K99" s="4" t="inlineStr">
        <is>
          <t>20261003</t>
        </is>
      </c>
      <c r="L99" s="4" t="inlineStr">
        <is>
          <t>PROGRESS SHIPPING - TRANSPORT CO., LTD.</t>
        </is>
      </c>
      <c r="M99" s="4" t="inlineStr">
        <is>
          <t>FRUIT PARADISE INTERNATIONAL TRADE CO.,LTD</t>
        </is>
      </c>
      <c r="N99" s="4" t="inlineStr">
        <is>
          <t>FRESH LONGAN (TEMP +2 VENT 15%)</t>
        </is>
      </c>
      <c r="O99" s="4" t="inlineStr">
        <is>
          <t>(Temp +2.0 / Vent Full Open15%)  
REQUEST CONTAINER UPSIZE 34-35 TONS</t>
        </is>
      </c>
      <c r="P99" s="4" t="inlineStr">
        <is>
          <t>Pickup : 2026-10-03, Return : 2026-10-07(Temp +2.0 / Vent Full Open15%) 
Closing Time 2026-10-09 @ 12.00</t>
        </is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1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HASLS22261000035</t>
        </is>
      </c>
      <c r="B100" s="4" t="inlineStr">
        <is>
          <t>SWIC</t>
        </is>
      </c>
      <c r="C100" s="4" t="inlineStr">
        <is>
          <t>2611N</t>
        </is>
      </c>
      <c r="D100" s="4" t="inlineStr">
        <is>
          <t>202610160400</t>
        </is>
      </c>
      <c r="E100" s="4" t="inlineStr"/>
      <c r="F100" s="4" t="inlineStr">
        <is>
          <t>THLCH</t>
        </is>
      </c>
      <c r="G100" s="4" t="inlineStr">
        <is>
          <t>VNSGN</t>
        </is>
      </c>
      <c r="H100" s="4" t="inlineStr">
        <is>
          <t xml:space="preserve">20'x4 </t>
        </is>
      </c>
      <c r="I100" s="4" t="inlineStr">
        <is>
          <t>LCH27</t>
        </is>
      </c>
      <c r="J100" s="4" t="inlineStr">
        <is>
          <t xml:space="preserve">HAST Logistics Co.,Ltd. </t>
        </is>
      </c>
      <c r="K100" s="4" t="inlineStr">
        <is>
          <t>20260929</t>
        </is>
      </c>
      <c r="L100" s="4" t="inlineStr">
        <is>
          <t>WHA GC LOGISTICS COMPANY LIMITED</t>
        </is>
      </c>
      <c r="M100" s="4" t="inlineStr">
        <is>
          <t>PTT GLOBAL CHEMICAL PUBLIC COMPANY LIMITED</t>
        </is>
      </c>
      <c r="N100" s="4" t="inlineStr">
        <is>
          <t>RESIN</t>
        </is>
      </c>
      <c r="O100" s="4" t="inlineStr">
        <is>
          <t>GOOD AND CLEAN CTNR</t>
        </is>
      </c>
      <c r="P100" s="4" t="inlineStr">
        <is>
          <t xml:space="preserve">CY-RTN : 29-02/10/2026 </t>
        </is>
      </c>
      <c r="Q100" s="4" t="n">
        <v>4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HASLS22261000069</t>
        </is>
      </c>
      <c r="B101" s="4" t="inlineStr">
        <is>
          <t>KXM</t>
        </is>
      </c>
      <c r="C101" s="4" t="inlineStr">
        <is>
          <t>2608S</t>
        </is>
      </c>
      <c r="D101" s="4" t="inlineStr">
        <is>
          <t>202610101500</t>
        </is>
      </c>
      <c r="E101" s="4" t="inlineStr"/>
      <c r="F101" s="4" t="inlineStr">
        <is>
          <t>THLCH</t>
        </is>
      </c>
      <c r="G101" s="4" t="inlineStr">
        <is>
          <t>IDJKT</t>
        </is>
      </c>
      <c r="H101" s="4" t="inlineStr">
        <is>
          <t xml:space="preserve">R40Hx1 </t>
        </is>
      </c>
      <c r="I101" s="4" t="inlineStr">
        <is>
          <t>LCH27</t>
        </is>
      </c>
      <c r="J101" s="4" t="inlineStr">
        <is>
          <t xml:space="preserve">HAST Logistics Co.,Ltd. </t>
        </is>
      </c>
      <c r="K101" s="4" t="inlineStr">
        <is>
          <t>20261002</t>
        </is>
      </c>
      <c r="L101" s="4" t="inlineStr">
        <is>
          <t>BE 1ST ALLIANCE CO., LTD.</t>
        </is>
      </c>
      <c r="M101" s="4" t="inlineStr">
        <is>
          <t>SUCCESS IMPORT &amp; EXPORT CO., LTD.</t>
        </is>
      </c>
      <c r="N101" s="4" t="inlineStr">
        <is>
          <t>DRIED LONGAN / +2'C VENT 15%</t>
        </is>
      </c>
      <c r="O101" s="4" t="inlineStr">
        <is>
          <t>(Temp +2.0℃ / Vent 15%)</t>
        </is>
      </c>
      <c r="P101" s="4" t="inlineStr">
        <is>
          <t>Pickup : 2026-10-02, Return : 2026-10-09 RF45REx1 (Temp +2.0 / Vent 15%) 
Closing Time 2026-10-09 @ 12.00</t>
        </is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1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HASLS22261000129</t>
        </is>
      </c>
      <c r="B102" s="4" t="inlineStr">
        <is>
          <t>PCCP</t>
        </is>
      </c>
      <c r="C102" s="4" t="inlineStr">
        <is>
          <t>2610N</t>
        </is>
      </c>
      <c r="D102" s="4" t="inlineStr">
        <is>
          <t>202610121600</t>
        </is>
      </c>
      <c r="E102" s="4" t="inlineStr"/>
      <c r="F102" s="4" t="inlineStr">
        <is>
          <t>THLCH</t>
        </is>
      </c>
      <c r="G102" s="4" t="inlineStr">
        <is>
          <t>VNSGN</t>
        </is>
      </c>
      <c r="H102" s="4" t="inlineStr">
        <is>
          <t xml:space="preserve">20'x2 </t>
        </is>
      </c>
      <c r="I102" s="4" t="inlineStr">
        <is>
          <t>LCH27</t>
        </is>
      </c>
      <c r="J102" s="4" t="inlineStr">
        <is>
          <t xml:space="preserve">HAST Logistics Co.,Ltd. </t>
        </is>
      </c>
      <c r="K102" s="4" t="inlineStr">
        <is>
          <t>20261005</t>
        </is>
      </c>
      <c r="L102" s="4" t="inlineStr">
        <is>
          <t>WHA GC LOGISTICS COMPANY LIMITED</t>
        </is>
      </c>
      <c r="M102" s="4" t="inlineStr">
        <is>
          <t>PTT GLOBAL CHEMICAL PUBLIC COMPANY LIMITED</t>
        </is>
      </c>
      <c r="N102" s="4" t="inlineStr">
        <is>
          <t>RESIN</t>
        </is>
      </c>
      <c r="O102" s="4" t="inlineStr">
        <is>
          <t>GOOD AND CLEAN CTNR</t>
        </is>
      </c>
      <c r="P102" s="4" t="inlineStr">
        <is>
          <t xml:space="preserve">CY-RTN 05-08/10/26 / FIRST DATE CAN RETURN CNTR DD.06/10 
**CHECK OPEN GATE BEFORE RETURN CNTR **
</t>
        </is>
      </c>
      <c r="Q102" s="4" t="n">
        <v>2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HASLS22261000130</t>
        </is>
      </c>
      <c r="B103" s="4" t="inlineStr">
        <is>
          <t>PCCP</t>
        </is>
      </c>
      <c r="C103" s="4" t="inlineStr">
        <is>
          <t>2610N</t>
        </is>
      </c>
      <c r="D103" s="4" t="inlineStr">
        <is>
          <t>202610121600</t>
        </is>
      </c>
      <c r="E103" s="4" t="inlineStr"/>
      <c r="F103" s="4" t="inlineStr">
        <is>
          <t>THLCH</t>
        </is>
      </c>
      <c r="G103" s="4" t="inlineStr">
        <is>
          <t>VNSGN</t>
        </is>
      </c>
      <c r="H103" s="4" t="inlineStr">
        <is>
          <t xml:space="preserve">20'x2 </t>
        </is>
      </c>
      <c r="I103" s="4" t="inlineStr">
        <is>
          <t>LCH27</t>
        </is>
      </c>
      <c r="J103" s="4" t="inlineStr">
        <is>
          <t xml:space="preserve">HAST Logistics Co.,Ltd. </t>
        </is>
      </c>
      <c r="K103" s="4" t="inlineStr">
        <is>
          <t>20261005</t>
        </is>
      </c>
      <c r="L103" s="4" t="inlineStr">
        <is>
          <t>WHA GC LOGISTICS COMPANY LIMITED</t>
        </is>
      </c>
      <c r="M103" s="4" t="inlineStr">
        <is>
          <t>PTT GLOBAL CHEMICAL PUBLIC COMPANY LIMITED</t>
        </is>
      </c>
      <c r="N103" s="4" t="inlineStr">
        <is>
          <t>RESIN</t>
        </is>
      </c>
      <c r="O103" s="4" t="inlineStr">
        <is>
          <t>GOOD AND CLEAN CTNR</t>
        </is>
      </c>
      <c r="P103" s="4" t="inlineStr">
        <is>
          <t xml:space="preserve">CY-RTN 05-08/10/26 / FIRST DATE CAN RETURN CNTR DD.06/10 
**CHECK OPEN GATE BEFORE RETURN CNTR **
</t>
        </is>
      </c>
      <c r="Q103" s="4" t="n">
        <v>2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HASLS22261000156</t>
        </is>
      </c>
      <c r="B104" s="4" t="inlineStr">
        <is>
          <t>SWIC</t>
        </is>
      </c>
      <c r="C104" s="4" t="inlineStr">
        <is>
          <t>2611N</t>
        </is>
      </c>
      <c r="D104" s="4" t="inlineStr">
        <is>
          <t>202610160400</t>
        </is>
      </c>
      <c r="E104" s="4" t="inlineStr"/>
      <c r="F104" s="4" t="inlineStr">
        <is>
          <t>THLCH</t>
        </is>
      </c>
      <c r="G104" s="4" t="inlineStr">
        <is>
          <t>VNSGN</t>
        </is>
      </c>
      <c r="H104" s="4" t="inlineStr">
        <is>
          <t xml:space="preserve">40Hx2 </t>
        </is>
      </c>
      <c r="I104" s="4" t="inlineStr">
        <is>
          <t>LCH27</t>
        </is>
      </c>
      <c r="J104" s="4" t="inlineStr">
        <is>
          <t xml:space="preserve">HAST Logistics Co.,Ltd. </t>
        </is>
      </c>
      <c r="K104" s="4" t="inlineStr">
        <is>
          <t>20261001</t>
        </is>
      </c>
      <c r="L104" s="4" t="inlineStr">
        <is>
          <t>WHA GC LOGISTICS COMPANY LIMITED</t>
        </is>
      </c>
      <c r="M104" s="4" t="inlineStr">
        <is>
          <t>PTT GLOBAL CHEMICAL PUBLIC COMPANY LIMITED</t>
        </is>
      </c>
      <c r="N104" s="4" t="inlineStr">
        <is>
          <t>RESIN</t>
        </is>
      </c>
      <c r="O104" s="4" t="inlineStr">
        <is>
          <t>GOOD AND CLEAN CTNR</t>
        </is>
      </c>
      <c r="P104" s="4" t="inlineStr">
        <is>
          <t xml:space="preserve">CY-RTN 01-06/10/26
</t>
        </is>
      </c>
      <c r="Q104" s="4" t="n">
        <v>0</v>
      </c>
      <c r="R104" s="4" t="n">
        <v>0</v>
      </c>
      <c r="S104" s="4" t="n">
        <v>2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HASLS22260802590</t>
        </is>
      </c>
      <c r="B105" s="4" t="inlineStr">
        <is>
          <t>SWSP</t>
        </is>
      </c>
      <c r="C105" s="4" t="inlineStr">
        <is>
          <t>2609N</t>
        </is>
      </c>
      <c r="D105" s="4" t="inlineStr">
        <is>
          <t>202610062230</t>
        </is>
      </c>
      <c r="E105" s="4" t="inlineStr"/>
      <c r="F105" s="4" t="inlineStr">
        <is>
          <t>THBKK</t>
        </is>
      </c>
      <c r="G105" s="4" t="inlineStr">
        <is>
          <t>VNSGN</t>
        </is>
      </c>
      <c r="H105" s="4" t="inlineStr">
        <is>
          <t xml:space="preserve">40Hx2 </t>
        </is>
      </c>
      <c r="I105" s="4" t="inlineStr">
        <is>
          <t>BKK04</t>
        </is>
      </c>
      <c r="J105" s="4" t="inlineStr">
        <is>
          <t>PAT TERMINAL 1 (PORT AUTHORITY OF THAILAND)</t>
        </is>
      </c>
      <c r="K105" s="4" t="inlineStr">
        <is>
          <t>20261005</t>
        </is>
      </c>
      <c r="L105" s="4" t="inlineStr">
        <is>
          <t>QUANTERM LOGISTICS (THAILAND) CO., LTD.</t>
        </is>
      </c>
      <c r="M105" s="4" t="inlineStr">
        <is>
          <t>QUANTERM LOGISTICS (THAILAND) CO., LTD.</t>
        </is>
      </c>
      <c r="N105" s="4" t="inlineStr">
        <is>
          <t>GENERAL CARGO / CONSOL</t>
        </is>
      </c>
      <c r="O105" s="4" t="inlineStr">
        <is>
          <t>CONSOL</t>
        </is>
      </c>
      <c r="P105" s="4" t="inlineStr">
        <is>
          <t>Pickup : 2026-10-05, Return : 2026-10-05 CONSOL *EXTEND CLS TIME : 05/10/2026 @23.59*</t>
        </is>
      </c>
      <c r="Q105" s="4" t="n">
        <v>0</v>
      </c>
      <c r="R105" s="4" t="n">
        <v>0</v>
      </c>
      <c r="S105" s="4" t="n">
        <v>2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HASLS22260801230</t>
        </is>
      </c>
      <c r="B106" s="4" t="inlineStr">
        <is>
          <t>SWAT</t>
        </is>
      </c>
      <c r="C106" s="4" t="inlineStr">
        <is>
          <t>2610N</t>
        </is>
      </c>
      <c r="D106" s="4" t="inlineStr">
        <is>
          <t>202610080800</t>
        </is>
      </c>
      <c r="E106" s="4" t="inlineStr"/>
      <c r="F106" s="4" t="inlineStr">
        <is>
          <t>THBKK</t>
        </is>
      </c>
      <c r="G106" s="4" t="inlineStr">
        <is>
          <t>HKHKG</t>
        </is>
      </c>
      <c r="H106" s="4" t="inlineStr">
        <is>
          <t xml:space="preserve">40Hx1 </t>
        </is>
      </c>
      <c r="I106" s="4" t="inlineStr">
        <is>
          <t>BKK01</t>
        </is>
      </c>
      <c r="J106" s="4" t="inlineStr">
        <is>
          <t>PAT TERMINAL 2 (PORT AUTHORITY OF THAILAND)</t>
        </is>
      </c>
      <c r="K106" s="4" t="inlineStr">
        <is>
          <t>20260925</t>
        </is>
      </c>
      <c r="L106" s="4" t="inlineStr">
        <is>
          <t>THE M CORP GLOBAL CO., LTD.</t>
        </is>
      </c>
      <c r="M106" s="4" t="inlineStr">
        <is>
          <t>THE M CORP GLOBAL CO., LTD.</t>
        </is>
      </c>
      <c r="N106" s="4" t="inlineStr">
        <is>
          <t>GENERAL CARGO</t>
        </is>
      </c>
      <c r="O106" s="4" t="inlineStr">
        <is>
          <t>CONSOL</t>
        </is>
      </c>
      <c r="P106" s="4" t="inlineStr">
        <is>
          <t>Pickup : 2026-10-05, Return : 2026-10-05 CONSOL</t>
        </is>
      </c>
      <c r="Q106" s="4" t="n">
        <v>0</v>
      </c>
      <c r="R106" s="4" t="n">
        <v>0</v>
      </c>
      <c r="S106" s="4" t="n">
        <v>1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HASLS22260802180</t>
        </is>
      </c>
      <c r="B107" s="4" t="inlineStr">
        <is>
          <t>SWSR</t>
        </is>
      </c>
      <c r="C107" s="4" t="inlineStr">
        <is>
          <t>2611N</t>
        </is>
      </c>
      <c r="D107" s="4" t="inlineStr">
        <is>
          <t>202610121900</t>
        </is>
      </c>
      <c r="E107" s="4" t="inlineStr"/>
      <c r="F107" s="4" t="inlineStr">
        <is>
          <t>THBKK</t>
        </is>
      </c>
      <c r="G107" s="4" t="inlineStr">
        <is>
          <t>KRPUS</t>
        </is>
      </c>
      <c r="H107" s="4" t="inlineStr">
        <is>
          <t xml:space="preserve">40Hx3 </t>
        </is>
      </c>
      <c r="I107" s="4" t="inlineStr">
        <is>
          <t>BKK01</t>
        </is>
      </c>
      <c r="J107" s="4" t="inlineStr">
        <is>
          <t>PAT TERMINAL 2 (PORT AUTHORITY OF THAILAND)</t>
        </is>
      </c>
      <c r="K107" s="4" t="inlineStr">
        <is>
          <t>20261002</t>
        </is>
      </c>
      <c r="L107" s="4" t="inlineStr">
        <is>
          <t>ECU WORLDWIDE (THAILAND) CO., LTD.</t>
        </is>
      </c>
      <c r="M107" s="4" t="inlineStr">
        <is>
          <t>ECU WORLDWIDE (THAILAND) CO., LTD.</t>
        </is>
      </c>
      <c r="N107" s="4" t="inlineStr">
        <is>
          <t>GENERAL CARGO (CONSOL)</t>
        </is>
      </c>
      <c r="O107" s="4" t="inlineStr">
        <is>
          <t>CONSOL</t>
        </is>
      </c>
      <c r="P107" s="4" t="inlineStr">
        <is>
          <t xml:space="preserve">Pickup : 2026-10-02, Return : 2026-10-03 CONSOL  </t>
        </is>
      </c>
      <c r="Q107" s="4" t="n">
        <v>0</v>
      </c>
      <c r="R107" s="4" t="n">
        <v>0</v>
      </c>
      <c r="S107" s="4" t="n">
        <v>3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HASLS22260901096</t>
        </is>
      </c>
      <c r="B108" s="4" t="inlineStr">
        <is>
          <t>SWAT</t>
        </is>
      </c>
      <c r="C108" s="4" t="inlineStr">
        <is>
          <t>2610N</t>
        </is>
      </c>
      <c r="D108" s="4" t="inlineStr">
        <is>
          <t>202610080800</t>
        </is>
      </c>
      <c r="E108" s="4" t="inlineStr"/>
      <c r="F108" s="4" t="inlineStr">
        <is>
          <t>THBKK</t>
        </is>
      </c>
      <c r="G108" s="4" t="inlineStr">
        <is>
          <t>HKHKG</t>
        </is>
      </c>
      <c r="H108" s="4" t="inlineStr">
        <is>
          <t xml:space="preserve">20'x1 </t>
        </is>
      </c>
      <c r="I108" s="4" t="inlineStr">
        <is>
          <t>BKK01</t>
        </is>
      </c>
      <c r="J108" s="4" t="inlineStr">
        <is>
          <t>PAT TERMINAL 2 (PORT AUTHORITY OF THAILAND)</t>
        </is>
      </c>
      <c r="K108" s="4" t="inlineStr">
        <is>
          <t>20261002</t>
        </is>
      </c>
      <c r="L108" s="4" t="inlineStr">
        <is>
          <t>POLAR STAR CO., LTD.</t>
        </is>
      </c>
      <c r="M108" s="4" t="inlineStr">
        <is>
          <t>CHAI SAN SAN TRADING LIMITED</t>
        </is>
      </c>
      <c r="N108" s="4" t="inlineStr">
        <is>
          <t>NOODLE</t>
        </is>
      </c>
      <c r="O108" s="4" t="inlineStr">
        <is>
          <t>GOOD AND CLEAN CONTAINER</t>
        </is>
      </c>
      <c r="P108" s="4" t="inlineStr">
        <is>
          <t xml:space="preserve">STUFFING CARGO @PAT (SPORTLIGHT TOWER NO.2) DD.02/10/26 CLS TIME CFS DD.02/10/26- 17:00HRS.
</t>
        </is>
      </c>
      <c r="Q108" s="4" t="n">
        <v>1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HASLS22260901130</t>
        </is>
      </c>
      <c r="B109" s="4" t="inlineStr">
        <is>
          <t>SWSR</t>
        </is>
      </c>
      <c r="C109" s="4" t="inlineStr">
        <is>
          <t>2611N</t>
        </is>
      </c>
      <c r="D109" s="4" t="inlineStr">
        <is>
          <t>202610121900</t>
        </is>
      </c>
      <c r="E109" s="4" t="inlineStr"/>
      <c r="F109" s="4" t="inlineStr">
        <is>
          <t>THBKK</t>
        </is>
      </c>
      <c r="G109" s="4" t="inlineStr">
        <is>
          <t>KRPUS</t>
        </is>
      </c>
      <c r="H109" s="4" t="inlineStr">
        <is>
          <t xml:space="preserve">40Hx1 </t>
        </is>
      </c>
      <c r="I109" s="4" t="inlineStr">
        <is>
          <t>BKK01</t>
        </is>
      </c>
      <c r="J109" s="4" t="inlineStr">
        <is>
          <t>PAT TERMINAL 2 (PORT AUTHORITY OF THAILAND)</t>
        </is>
      </c>
      <c r="K109" s="4" t="inlineStr">
        <is>
          <t>20261001</t>
        </is>
      </c>
      <c r="L109" s="4" t="inlineStr">
        <is>
          <t>CARGOPORT (THAILAND) LTD.</t>
        </is>
      </c>
      <c r="M109" s="4" t="inlineStr">
        <is>
          <t>CARGOPORT (THAILAND) LTD.</t>
        </is>
      </c>
      <c r="N109" s="4" t="inlineStr">
        <is>
          <t>GENERAL CARGO (CONSOL)</t>
        </is>
      </c>
      <c r="O109" s="4" t="inlineStr">
        <is>
          <t>(CONSOL)</t>
        </is>
      </c>
      <c r="P109" s="4" t="inlineStr">
        <is>
          <t xml:space="preserve">CY-RTN : 01-02/10/20206 (CONSOL)
</t>
        </is>
      </c>
      <c r="Q109" s="4" t="n">
        <v>0</v>
      </c>
      <c r="R109" s="4" t="n">
        <v>0</v>
      </c>
      <c r="S109" s="4" t="n">
        <v>1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HASLS22260902434</t>
        </is>
      </c>
      <c r="B110" s="4" t="inlineStr">
        <is>
          <t>SWAT</t>
        </is>
      </c>
      <c r="C110" s="4" t="inlineStr">
        <is>
          <t>2611N</t>
        </is>
      </c>
      <c r="D110" s="4" t="inlineStr">
        <is>
          <t>202610290800</t>
        </is>
      </c>
      <c r="E110" s="4" t="inlineStr"/>
      <c r="F110" s="4" t="inlineStr">
        <is>
          <t>THBKK</t>
        </is>
      </c>
      <c r="G110" s="4" t="inlineStr">
        <is>
          <t>HKHKG</t>
        </is>
      </c>
      <c r="H110" s="4" t="inlineStr">
        <is>
          <t xml:space="preserve">40Hx1 </t>
        </is>
      </c>
      <c r="I110" s="4" t="inlineStr">
        <is>
          <t>BKK01</t>
        </is>
      </c>
      <c r="J110" s="4" t="inlineStr">
        <is>
          <t>PAT TERMINAL 2 (PORT AUTHORITY OF THAILAND)</t>
        </is>
      </c>
      <c r="K110" s="4" t="inlineStr">
        <is>
          <t>20260923</t>
        </is>
      </c>
      <c r="L110" s="4" t="inlineStr">
        <is>
          <t>YUSEN LOGISTICS (THAILAND) CO., LTD.</t>
        </is>
      </c>
      <c r="M110" s="4" t="inlineStr">
        <is>
          <t>YUSEN LOGISTICS (THAILAND) CO., LTD.</t>
        </is>
      </c>
      <c r="N110" s="4" t="inlineStr">
        <is>
          <t>GENERAL CARGO (CONSOL)</t>
        </is>
      </c>
      <c r="O110" s="4" t="inlineStr">
        <is>
          <t>CONSOL</t>
        </is>
      </c>
      <c r="P110" s="4" t="inlineStr">
        <is>
          <t>Pickup : 2026-09-23, Return : 2026-09-23 CONSOL</t>
        </is>
      </c>
      <c r="Q110" s="4" t="n">
        <v>0</v>
      </c>
      <c r="R110" s="4" t="n">
        <v>0</v>
      </c>
      <c r="S110" s="4" t="n">
        <v>1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HASLS22260800677</t>
        </is>
      </c>
      <c r="B111" s="4" t="inlineStr">
        <is>
          <t>SWAT</t>
        </is>
      </c>
      <c r="C111" s="4" t="inlineStr">
        <is>
          <t>2610N</t>
        </is>
      </c>
      <c r="D111" s="4" t="inlineStr">
        <is>
          <t>202610090100</t>
        </is>
      </c>
      <c r="E111" s="4" t="inlineStr"/>
      <c r="F111" s="4" t="inlineStr">
        <is>
          <t>THLCH</t>
        </is>
      </c>
      <c r="G111" s="4" t="inlineStr">
        <is>
          <t>HKHKG</t>
        </is>
      </c>
      <c r="H111" s="4" t="inlineStr">
        <is>
          <t xml:space="preserve">20'x1 </t>
        </is>
      </c>
      <c r="I111" s="4" t="inlineStr">
        <is>
          <t>LCHY5</t>
        </is>
      </c>
      <c r="J111" s="4" t="inlineStr">
        <is>
          <t>PW DEPOT CO., LTD.</t>
        </is>
      </c>
      <c r="K111" s="4" t="inlineStr">
        <is>
          <t>20261003</t>
        </is>
      </c>
      <c r="L111" s="4" t="inlineStr">
        <is>
          <t>CARGO CARE LOGISTICS CO., LTD.</t>
        </is>
      </c>
      <c r="M111" s="4" t="inlineStr">
        <is>
          <t>SIAM DEL MONTE CO., LTD.</t>
        </is>
      </c>
      <c r="N111" s="4" t="inlineStr">
        <is>
          <t>SWEET CORN</t>
        </is>
      </c>
      <c r="O111" s="4" t="inlineStr">
        <is>
          <t>Good and Clean Container (Food Grade)
(No leaks, no odors, and no oil stains.)</t>
        </is>
      </c>
      <c r="P111" s="4" t="inlineStr">
        <is>
          <t xml:space="preserve">Pickup : 2026-10-03, Return : 2026-10-05
** PLEASE CHECK OPEN GATE BEFORE RETURN CONTAINER ** </t>
        </is>
      </c>
      <c r="Q111" s="4" t="n">
        <v>1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HASLS22260800955</t>
        </is>
      </c>
      <c r="B112" s="4" t="inlineStr">
        <is>
          <t>KUS</t>
        </is>
      </c>
      <c r="C112" s="4" t="inlineStr">
        <is>
          <t>2616N</t>
        </is>
      </c>
      <c r="D112" s="4" t="inlineStr">
        <is>
          <t>202610150400</t>
        </is>
      </c>
      <c r="E112" s="4" t="inlineStr"/>
      <c r="F112" s="4" t="inlineStr">
        <is>
          <t>THLCH</t>
        </is>
      </c>
      <c r="G112" s="4" t="inlineStr">
        <is>
          <t>VNSGN</t>
        </is>
      </c>
      <c r="H112" s="4" t="inlineStr">
        <is>
          <t xml:space="preserve">20'x6 </t>
        </is>
      </c>
      <c r="I112" s="4" t="inlineStr">
        <is>
          <t>LCHY5</t>
        </is>
      </c>
      <c r="J112" s="4" t="inlineStr">
        <is>
          <t>PW DEPOT CO., LTD.</t>
        </is>
      </c>
      <c r="K112" s="4" t="inlineStr">
        <is>
          <t>20261002</t>
        </is>
      </c>
      <c r="L112" s="4" t="inlineStr">
        <is>
          <t>WHA GC LOGISTICS COMPANY LIMITED</t>
        </is>
      </c>
      <c r="M112" s="4" t="inlineStr">
        <is>
          <t>PTT GLOBAL CHEMICAL PUBLIC COMPANY LIMITED</t>
        </is>
      </c>
      <c r="N112" s="4" t="inlineStr">
        <is>
          <t>RESIN</t>
        </is>
      </c>
      <c r="O112" s="4" t="inlineStr">
        <is>
          <t>*** REQ. GOOD &amp; CLEAN  CONT. .( NO SMELL)  ***</t>
        </is>
      </c>
      <c r="P112" s="4" t="inlineStr">
        <is>
          <t>CY-RTN : 02-09/10/2026</t>
        </is>
      </c>
      <c r="Q112" s="4" t="n">
        <v>6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HASLS22260800966</t>
        </is>
      </c>
      <c r="B113" s="4" t="inlineStr">
        <is>
          <t>PGPO</t>
        </is>
      </c>
      <c r="C113" s="4" t="inlineStr">
        <is>
          <t>2612N</t>
        </is>
      </c>
      <c r="D113" s="4" t="inlineStr">
        <is>
          <t>202610151900</t>
        </is>
      </c>
      <c r="E113" s="4" t="inlineStr"/>
      <c r="F113" s="4" t="inlineStr">
        <is>
          <t>THLCH</t>
        </is>
      </c>
      <c r="G113" s="4" t="inlineStr">
        <is>
          <t>VNSGN</t>
        </is>
      </c>
      <c r="H113" s="4" t="inlineStr">
        <is>
          <t xml:space="preserve">20'x10 </t>
        </is>
      </c>
      <c r="I113" s="4" t="inlineStr">
        <is>
          <t>LCHY5</t>
        </is>
      </c>
      <c r="J113" s="4" t="inlineStr">
        <is>
          <t>PW DEPOT CO., LTD.</t>
        </is>
      </c>
      <c r="K113" s="4" t="inlineStr">
        <is>
          <t>20261002</t>
        </is>
      </c>
      <c r="L113" s="4" t="inlineStr">
        <is>
          <t>WHA GC LOGISTICS COMPANY LIMITED</t>
        </is>
      </c>
      <c r="M113" s="4" t="inlineStr">
        <is>
          <t>PTT GLOBAL CHEMICAL PUBLIC COMPANY LIMITED</t>
        </is>
      </c>
      <c r="N113" s="4" t="inlineStr">
        <is>
          <t>RESIN</t>
        </is>
      </c>
      <c r="O113" s="4" t="inlineStr">
        <is>
          <t>*** REQ. GOOD &amp; CLEAN  CONT. .( NO SMELL)  ***</t>
        </is>
      </c>
      <c r="P113" s="4" t="inlineStr">
        <is>
          <t>CY 02/10/26 , RTN 08/10/26
*PLS CHECK OPEN GATE BEFOER RETURN CTNR*</t>
        </is>
      </c>
      <c r="Q113" s="4" t="n">
        <v>10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HASLS22260800970</t>
        </is>
      </c>
      <c r="B114" s="4" t="inlineStr">
        <is>
          <t>SWIC</t>
        </is>
      </c>
      <c r="C114" s="4" t="inlineStr">
        <is>
          <t>2611N</t>
        </is>
      </c>
      <c r="D114" s="4" t="inlineStr">
        <is>
          <t>202610160400</t>
        </is>
      </c>
      <c r="E114" s="4" t="inlineStr"/>
      <c r="F114" s="4" t="inlineStr">
        <is>
          <t>THLCH</t>
        </is>
      </c>
      <c r="G114" s="4" t="inlineStr">
        <is>
          <t>VNSGN</t>
        </is>
      </c>
      <c r="H114" s="4" t="inlineStr">
        <is>
          <t xml:space="preserve">40Hx9 </t>
        </is>
      </c>
      <c r="I114" s="4" t="inlineStr">
        <is>
          <t>LCHY5</t>
        </is>
      </c>
      <c r="J114" s="4" t="inlineStr">
        <is>
          <t>PW DEPOT CO., LTD.</t>
        </is>
      </c>
      <c r="K114" s="4" t="inlineStr">
        <is>
          <t>20261002</t>
        </is>
      </c>
      <c r="L114" s="4" t="inlineStr">
        <is>
          <t>WHA GC LOGISTICS COMPANY LIMITED</t>
        </is>
      </c>
      <c r="M114" s="4" t="inlineStr">
        <is>
          <t>PTT GLOBAL CHEMICAL PUBLIC COMPANY LIMITED</t>
        </is>
      </c>
      <c r="N114" s="4" t="inlineStr">
        <is>
          <t>RESIN</t>
        </is>
      </c>
      <c r="O114" s="4" t="inlineStr">
        <is>
          <t>*** REQ. GOOD &amp; CLEAN  CONT. .( NO SMELL)  ***</t>
        </is>
      </c>
      <c r="P114" s="4" t="inlineStr">
        <is>
          <t xml:space="preserve">CY : 02/10/26 , RTN : 04/10/26 [1ST RTN 08/10/2026 W/O RENT]
** PLEASE CHECK OPEN GATE BEFORE RETURN CONTAINER ** 
</t>
        </is>
      </c>
      <c r="Q114" s="4" t="n">
        <v>0</v>
      </c>
      <c r="R114" s="4" t="n">
        <v>0</v>
      </c>
      <c r="S114" s="4" t="n">
        <v>9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HASLS22260801875</t>
        </is>
      </c>
      <c r="B115" s="4" t="inlineStr">
        <is>
          <t>SWAT</t>
        </is>
      </c>
      <c r="C115" s="4" t="inlineStr">
        <is>
          <t>2610N</t>
        </is>
      </c>
      <c r="D115" s="4" t="inlineStr">
        <is>
          <t>202610090100</t>
        </is>
      </c>
      <c r="E115" s="4" t="inlineStr"/>
      <c r="F115" s="4" t="inlineStr">
        <is>
          <t>THLCH</t>
        </is>
      </c>
      <c r="G115" s="4" t="inlineStr">
        <is>
          <t>CNSHK</t>
        </is>
      </c>
      <c r="H115" s="4" t="inlineStr">
        <is>
          <t xml:space="preserve">20'x1 </t>
        </is>
      </c>
      <c r="I115" s="4" t="inlineStr">
        <is>
          <t>LCHY5</t>
        </is>
      </c>
      <c r="J115" s="4" t="inlineStr">
        <is>
          <t>PW DEPOT CO., LTD.</t>
        </is>
      </c>
      <c r="K115" s="4" t="inlineStr">
        <is>
          <t>20261005</t>
        </is>
      </c>
      <c r="L115" s="4" t="inlineStr">
        <is>
          <t>DIMERCO EXPRESS (THAILAND) CO., LTD.</t>
        </is>
      </c>
      <c r="M115" s="4" t="inlineStr">
        <is>
          <t>THAILON TECHNO FIBER LIMITED</t>
        </is>
      </c>
      <c r="N115" s="4" t="inlineStr">
        <is>
          <t>POLYAMIDE 66 TEXTURED YARN</t>
        </is>
      </c>
      <c r="O115" s="4" t="inlineStr">
        <is>
          <t>GOOD AND CLEAN CTNR</t>
        </is>
      </c>
      <c r="P115" s="4" t="inlineStr">
        <is>
          <t>Pickup : 2026-10-05, Return : 2026-10-05</t>
        </is>
      </c>
      <c r="Q115" s="4" t="n">
        <v>1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HASLS22260802147</t>
        </is>
      </c>
      <c r="B116" s="4" t="inlineStr">
        <is>
          <t>SWSR</t>
        </is>
      </c>
      <c r="C116" s="4" t="inlineStr">
        <is>
          <t>2611N</t>
        </is>
      </c>
      <c r="D116" s="4" t="inlineStr">
        <is>
          <t>202610130600</t>
        </is>
      </c>
      <c r="E116" s="4" t="inlineStr"/>
      <c r="F116" s="4" t="inlineStr">
        <is>
          <t>THLCH</t>
        </is>
      </c>
      <c r="G116" s="4" t="inlineStr">
        <is>
          <t>HKHKG</t>
        </is>
      </c>
      <c r="H116" s="4" t="inlineStr">
        <is>
          <t xml:space="preserve">40Hx1 </t>
        </is>
      </c>
      <c r="I116" s="4" t="inlineStr">
        <is>
          <t>LCHY5</t>
        </is>
      </c>
      <c r="J116" s="4" t="inlineStr">
        <is>
          <t>PW DEPOT CO., LTD.</t>
        </is>
      </c>
      <c r="K116" s="4" t="inlineStr">
        <is>
          <t>20261005</t>
        </is>
      </c>
      <c r="L116" s="4" t="inlineStr">
        <is>
          <t>YUSEN LOGISTICS (THAILAND) CO., LTD.</t>
        </is>
      </c>
      <c r="M116" s="4" t="inlineStr">
        <is>
          <t>CHIBA METAL (THAILAND) CO.,LTD</t>
        </is>
      </c>
      <c r="N116" s="4" t="inlineStr">
        <is>
          <t xml:space="preserve">ELECTRONIC PART/TERMINAL/MICROSPEAKER </t>
        </is>
      </c>
      <c r="O116" s="4" t="inlineStr">
        <is>
          <t>good, clean, dry, no leak, no hole</t>
        </is>
      </c>
      <c r="P116" s="4" t="inlineStr">
        <is>
          <t xml:space="preserve">Pickup : 2026-10-05, Return : 2026-10-05 
** PLEASE CHECK OPEN GATE BEFORE RETURN CONTAINER ** </t>
        </is>
      </c>
      <c r="Q116" s="4" t="n">
        <v>0</v>
      </c>
      <c r="R116" s="4" t="n">
        <v>0</v>
      </c>
      <c r="S116" s="4" t="n">
        <v>1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HASLS22260802337</t>
        </is>
      </c>
      <c r="B117" s="4" t="inlineStr">
        <is>
          <t>SWIC</t>
        </is>
      </c>
      <c r="C117" s="4" t="inlineStr">
        <is>
          <t>2611N</t>
        </is>
      </c>
      <c r="D117" s="4" t="inlineStr">
        <is>
          <t>202610160400</t>
        </is>
      </c>
      <c r="E117" s="4" t="inlineStr"/>
      <c r="F117" s="4" t="inlineStr">
        <is>
          <t>THLCH</t>
        </is>
      </c>
      <c r="G117" s="4" t="inlineStr">
        <is>
          <t>JPTYO</t>
        </is>
      </c>
      <c r="H117" s="4" t="inlineStr">
        <is>
          <t xml:space="preserve">40Hx3 </t>
        </is>
      </c>
      <c r="I117" s="4" t="inlineStr">
        <is>
          <t>LCHY5</t>
        </is>
      </c>
      <c r="J117" s="4" t="inlineStr">
        <is>
          <t>PW DEPOT CO., LTD.</t>
        </is>
      </c>
      <c r="K117" s="4" t="inlineStr">
        <is>
          <t>20261005</t>
        </is>
      </c>
      <c r="L117" s="4" t="inlineStr">
        <is>
          <t>WHA GC LOGISTICS COMPANY LIMITED</t>
        </is>
      </c>
      <c r="M117" s="4" t="inlineStr">
        <is>
          <t>PTT GLOBAL CHEMICAL PUBLIC COMPANY LIMITED</t>
        </is>
      </c>
      <c r="N117" s="4" t="inlineStr">
        <is>
          <t>RESIN</t>
        </is>
      </c>
      <c r="O117" s="4" t="inlineStr">
        <is>
          <t>GOOD AND CLEAN CTNR</t>
        </is>
      </c>
      <c r="P117" s="4" t="inlineStr">
        <is>
          <t>[FIX]CY-RTN : 05-07/10/2026</t>
        </is>
      </c>
      <c r="Q117" s="4" t="n">
        <v>0</v>
      </c>
      <c r="R117" s="4" t="n">
        <v>0</v>
      </c>
      <c r="S117" s="4" t="n">
        <v>3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HASLS22260802338</t>
        </is>
      </c>
      <c r="B118" s="4" t="inlineStr">
        <is>
          <t>SWIC</t>
        </is>
      </c>
      <c r="C118" s="4" t="inlineStr">
        <is>
          <t>2611N</t>
        </is>
      </c>
      <c r="D118" s="4" t="inlineStr">
        <is>
          <t>202610160400</t>
        </is>
      </c>
      <c r="E118" s="4" t="inlineStr"/>
      <c r="F118" s="4" t="inlineStr">
        <is>
          <t>THLCH</t>
        </is>
      </c>
      <c r="G118" s="4" t="inlineStr">
        <is>
          <t>JPTYO</t>
        </is>
      </c>
      <c r="H118" s="4" t="inlineStr">
        <is>
          <t xml:space="preserve">40Hx4 </t>
        </is>
      </c>
      <c r="I118" s="4" t="inlineStr">
        <is>
          <t>LCHY5</t>
        </is>
      </c>
      <c r="J118" s="4" t="inlineStr">
        <is>
          <t>PW DEPOT CO., LTD.</t>
        </is>
      </c>
      <c r="K118" s="4" t="inlineStr">
        <is>
          <t>20261005</t>
        </is>
      </c>
      <c r="L118" s="4" t="inlineStr">
        <is>
          <t>WHA GC LOGISTICS COMPANY LIMITED</t>
        </is>
      </c>
      <c r="M118" s="4" t="inlineStr">
        <is>
          <t>PTT GLOBAL CHEMICAL PUBLIC COMPANY LIMITED</t>
        </is>
      </c>
      <c r="N118" s="4" t="inlineStr">
        <is>
          <t>RESIN</t>
        </is>
      </c>
      <c r="O118" s="4" t="inlineStr">
        <is>
          <t>GOOD AND CLEAN CTNR</t>
        </is>
      </c>
      <c r="P118" s="4" t="inlineStr">
        <is>
          <t xml:space="preserve">[FIX]CY-RTN 05-07/10/26 </t>
        </is>
      </c>
      <c r="Q118" s="4" t="n">
        <v>0</v>
      </c>
      <c r="R118" s="4" t="n">
        <v>0</v>
      </c>
      <c r="S118" s="4" t="n">
        <v>4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HASLS22260802359</t>
        </is>
      </c>
      <c r="B119" s="4" t="inlineStr">
        <is>
          <t>SWRG</t>
        </is>
      </c>
      <c r="C119" s="4" t="inlineStr">
        <is>
          <t>2609N</t>
        </is>
      </c>
      <c r="D119" s="4" t="inlineStr">
        <is>
          <t>202610141700</t>
        </is>
      </c>
      <c r="E119" s="4" t="inlineStr"/>
      <c r="F119" s="4" t="inlineStr">
        <is>
          <t>THLCH</t>
        </is>
      </c>
      <c r="G119" s="4" t="inlineStr">
        <is>
          <t>CNSHA</t>
        </is>
      </c>
      <c r="H119" s="4" t="inlineStr">
        <is>
          <t xml:space="preserve">40Hx1 </t>
        </is>
      </c>
      <c r="I119" s="4" t="inlineStr">
        <is>
          <t>LCHY5</t>
        </is>
      </c>
      <c r="J119" s="4" t="inlineStr">
        <is>
          <t>PW DEPOT CO., LTD.</t>
        </is>
      </c>
      <c r="K119" s="4" t="inlineStr">
        <is>
          <t>20260924</t>
        </is>
      </c>
      <c r="L119" s="4" t="inlineStr">
        <is>
          <t>WHA GC LOGISTICS COMPANY LIMITED</t>
        </is>
      </c>
      <c r="M119" s="4" t="inlineStr">
        <is>
          <t>PTT GLOBAL CHEMICAL PUBLIC COMPANY LIMITED</t>
        </is>
      </c>
      <c r="N119" s="4" t="inlineStr">
        <is>
          <t>RESIN</t>
        </is>
      </c>
      <c r="O119" s="4" t="inlineStr">
        <is>
          <t>GOOD AND CLEAN CTNR</t>
        </is>
      </c>
      <c r="P119" s="4" t="inlineStr">
        <is>
          <t>CY-RTN 24-27/09/26 (1ST RETURN DATE DD.04/10/26)
*PLS CHECK OPEN GATE BEFORE RETURN CTNR*</t>
        </is>
      </c>
      <c r="Q119" s="4" t="n">
        <v>0</v>
      </c>
      <c r="R119" s="4" t="n">
        <v>0</v>
      </c>
      <c r="S119" s="4" t="n">
        <v>1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HASLS22260900120</t>
        </is>
      </c>
      <c r="B120" s="4" t="inlineStr">
        <is>
          <t>SWSP</t>
        </is>
      </c>
      <c r="C120" s="4" t="inlineStr">
        <is>
          <t>2609N</t>
        </is>
      </c>
      <c r="D120" s="4" t="inlineStr">
        <is>
          <t>202610071530</t>
        </is>
      </c>
      <c r="E120" s="4" t="inlineStr"/>
      <c r="F120" s="4" t="inlineStr">
        <is>
          <t>THLCH</t>
        </is>
      </c>
      <c r="G120" s="4" t="inlineStr">
        <is>
          <t>KRPTK</t>
        </is>
      </c>
      <c r="H120" s="4" t="inlineStr">
        <is>
          <t xml:space="preserve">40Hx1 </t>
        </is>
      </c>
      <c r="I120" s="4" t="inlineStr">
        <is>
          <t>LCHY5</t>
        </is>
      </c>
      <c r="J120" s="4" t="inlineStr">
        <is>
          <t>PW DEPOT CO., LTD.</t>
        </is>
      </c>
      <c r="K120" s="4" t="inlineStr">
        <is>
          <t>20261002</t>
        </is>
      </c>
      <c r="L120" s="4" t="inlineStr">
        <is>
          <t>SDS-ACUTECH CO., LTD.</t>
        </is>
      </c>
      <c r="M120" s="4" t="inlineStr">
        <is>
          <t>3AC (THAILAND) CO., LTD.</t>
        </is>
      </c>
      <c r="N120" s="4" t="inlineStr">
        <is>
          <t>AIR PURIFIER</t>
        </is>
      </c>
      <c r="O120" s="4" t="inlineStr">
        <is>
          <t>GOOD AND CLEAN CONTAINER</t>
        </is>
      </c>
      <c r="P120" s="4" t="inlineStr">
        <is>
          <t xml:space="preserve">Pickup : 2026-10-02, Return : 2026-10-03 </t>
        </is>
      </c>
      <c r="Q120" s="4" t="n">
        <v>0</v>
      </c>
      <c r="R120" s="4" t="n">
        <v>0</v>
      </c>
      <c r="S120" s="4" t="n">
        <v>1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HASLS22260900442</t>
        </is>
      </c>
      <c r="B121" s="4" t="inlineStr">
        <is>
          <t>SWRG</t>
        </is>
      </c>
      <c r="C121" s="4" t="inlineStr">
        <is>
          <t>2609N</t>
        </is>
      </c>
      <c r="D121" s="4" t="inlineStr">
        <is>
          <t>202610141700</t>
        </is>
      </c>
      <c r="E121" s="4" t="inlineStr"/>
      <c r="F121" s="4" t="inlineStr">
        <is>
          <t>THLCH</t>
        </is>
      </c>
      <c r="G121" s="4" t="inlineStr">
        <is>
          <t>CNSHA</t>
        </is>
      </c>
      <c r="H121" s="4" t="inlineStr">
        <is>
          <t xml:space="preserve">40Hx30 </t>
        </is>
      </c>
      <c r="I121" s="4" t="inlineStr">
        <is>
          <t>LCHY5</t>
        </is>
      </c>
      <c r="J121" s="4" t="inlineStr">
        <is>
          <t>PW DEPOT CO., LTD.</t>
        </is>
      </c>
      <c r="K121" s="4" t="inlineStr">
        <is>
          <t>20261002</t>
        </is>
      </c>
      <c r="L121" s="4" t="inlineStr">
        <is>
          <t>BARKLAYS LOGISTICS (THAILAND) CO., LTD.</t>
        </is>
      </c>
      <c r="M121" s="4" t="inlineStr">
        <is>
          <t>SHUN YI INTERNATIONAL TRADING CO., LTD.</t>
        </is>
      </c>
      <c r="N121" s="4" t="inlineStr">
        <is>
          <t>PAPER PULP</t>
        </is>
      </c>
      <c r="O121" s="4" t="inlineStr">
        <is>
          <t>RQST CNTR 32.5 TONS // 40'HQ</t>
        </is>
      </c>
      <c r="P121" s="4" t="inlineStr">
        <is>
          <t>Pickup : 2026-10-02, Return : 2026-10-04 *1ST RETURN CNTR DD.08/10/2026*</t>
        </is>
      </c>
      <c r="Q121" s="4" t="n">
        <v>0</v>
      </c>
      <c r="R121" s="4" t="n">
        <v>0</v>
      </c>
      <c r="S121" s="4" t="n">
        <v>30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HASLS22260900547</t>
        </is>
      </c>
      <c r="B122" s="4" t="inlineStr">
        <is>
          <t>TBN</t>
        </is>
      </c>
      <c r="C122" s="4" t="inlineStr">
        <is>
          <t>001</t>
        </is>
      </c>
      <c r="D122" s="4" t="inlineStr"/>
      <c r="E122" s="4" t="inlineStr"/>
      <c r="F122" s="4" t="inlineStr">
        <is>
          <t>THLCH</t>
        </is>
      </c>
      <c r="G122" s="4" t="inlineStr">
        <is>
          <t>JPTRG</t>
        </is>
      </c>
      <c r="H122" s="4" t="inlineStr">
        <is>
          <t xml:space="preserve">20'x3 </t>
        </is>
      </c>
      <c r="I122" s="4" t="inlineStr">
        <is>
          <t>LCHY5</t>
        </is>
      </c>
      <c r="J122" s="4" t="inlineStr">
        <is>
          <t>PW DEPOT CO., LTD.</t>
        </is>
      </c>
      <c r="K122" s="4" t="inlineStr">
        <is>
          <t>20260924</t>
        </is>
      </c>
      <c r="L122" s="4" t="inlineStr">
        <is>
          <t>DOW CHEMICAL THAILAND LTD.</t>
        </is>
      </c>
      <c r="M122" s="4" t="inlineStr">
        <is>
          <t>DOW CHEMICAL THAILAND LTD.</t>
        </is>
      </c>
      <c r="N122" s="4" t="inlineStr">
        <is>
          <t>RESIN</t>
        </is>
      </c>
      <c r="O122" s="4" t="inlineStr">
        <is>
          <t>RQST CNTR SEABULK &amp; GRADE A</t>
        </is>
      </c>
      <c r="P122" s="4" t="inlineStr">
        <is>
          <t>CY CNTR DD.24/09/2026 RQST CNTR SEABULK &amp; GRADE A</t>
        </is>
      </c>
      <c r="Q122" s="4" t="n">
        <v>3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HASLS22260900548</t>
        </is>
      </c>
      <c r="B123" s="4" t="inlineStr">
        <is>
          <t>TBN</t>
        </is>
      </c>
      <c r="C123" s="4" t="inlineStr">
        <is>
          <t>001</t>
        </is>
      </c>
      <c r="D123" s="4" t="inlineStr"/>
      <c r="E123" s="4" t="inlineStr"/>
      <c r="F123" s="4" t="inlineStr">
        <is>
          <t>THLCH</t>
        </is>
      </c>
      <c r="G123" s="4" t="inlineStr">
        <is>
          <t>JPTRG</t>
        </is>
      </c>
      <c r="H123" s="4" t="inlineStr">
        <is>
          <t xml:space="preserve">20'x11 </t>
        </is>
      </c>
      <c r="I123" s="4" t="inlineStr">
        <is>
          <t>LCHY5</t>
        </is>
      </c>
      <c r="J123" s="4" t="inlineStr">
        <is>
          <t>PW DEPOT CO., LTD.</t>
        </is>
      </c>
      <c r="K123" s="4" t="inlineStr">
        <is>
          <t>20260925</t>
        </is>
      </c>
      <c r="L123" s="4" t="inlineStr">
        <is>
          <t>DOW CHEMICAL THAILAND LTD.</t>
        </is>
      </c>
      <c r="M123" s="4" t="inlineStr">
        <is>
          <t>DOW CHEMICAL THAILAND LTD.</t>
        </is>
      </c>
      <c r="N123" s="4" t="inlineStr">
        <is>
          <t>RESIN</t>
        </is>
      </c>
      <c r="O123" s="4" t="inlineStr">
        <is>
          <t>RQST CNTR SEABULK &amp; GRADE A</t>
        </is>
      </c>
      <c r="P123" s="4" t="inlineStr">
        <is>
          <t>CY CNTR DD.25/09/2026 RQST CNTR SEABULK &amp; GRADE A</t>
        </is>
      </c>
      <c r="Q123" s="4" t="n">
        <v>11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HASLS22260900551</t>
        </is>
      </c>
      <c r="B124" s="4" t="inlineStr">
        <is>
          <t>TBN</t>
        </is>
      </c>
      <c r="C124" s="4" t="inlineStr">
        <is>
          <t>001</t>
        </is>
      </c>
      <c r="D124" s="4" t="inlineStr"/>
      <c r="E124" s="4" t="inlineStr"/>
      <c r="F124" s="4" t="inlineStr">
        <is>
          <t>THLCH</t>
        </is>
      </c>
      <c r="G124" s="4" t="inlineStr">
        <is>
          <t>JPYKK</t>
        </is>
      </c>
      <c r="H124" s="4" t="inlineStr">
        <is>
          <t xml:space="preserve">20'x10 </t>
        </is>
      </c>
      <c r="I124" s="4" t="inlineStr">
        <is>
          <t>LCHY5</t>
        </is>
      </c>
      <c r="J124" s="4" t="inlineStr">
        <is>
          <t>PW DEPOT CO., LTD.</t>
        </is>
      </c>
      <c r="K124" s="4" t="inlineStr">
        <is>
          <t>20260926</t>
        </is>
      </c>
      <c r="L124" s="4" t="inlineStr">
        <is>
          <t>DOW CHEMICAL THAILAND LTD.</t>
        </is>
      </c>
      <c r="M124" s="4" t="inlineStr">
        <is>
          <t>DOW CHEMICAL THAILAND LTD.</t>
        </is>
      </c>
      <c r="N124" s="4" t="inlineStr">
        <is>
          <t>RESIN</t>
        </is>
      </c>
      <c r="O124" s="4" t="inlineStr">
        <is>
          <t>RQST CNTR SEABULK &amp; GRADE A</t>
        </is>
      </c>
      <c r="P124" s="4" t="inlineStr">
        <is>
          <t>CY CNTR DD.26/09/2026 RQST CNTR SEABULK &amp; GRADE A</t>
        </is>
      </c>
      <c r="Q124" s="4" t="n">
        <v>10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HASLS22260901216</t>
        </is>
      </c>
      <c r="B125" s="4" t="inlineStr">
        <is>
          <t>SWSR</t>
        </is>
      </c>
      <c r="C125" s="4" t="inlineStr">
        <is>
          <t>2611N</t>
        </is>
      </c>
      <c r="D125" s="4" t="inlineStr">
        <is>
          <t>202610130600</t>
        </is>
      </c>
      <c r="E125" s="4" t="inlineStr"/>
      <c r="F125" s="4" t="inlineStr">
        <is>
          <t>THLCH</t>
        </is>
      </c>
      <c r="G125" s="4" t="inlineStr">
        <is>
          <t>CNXMN</t>
        </is>
      </c>
      <c r="H125" s="4" t="inlineStr">
        <is>
          <t xml:space="preserve">20'x4 </t>
        </is>
      </c>
      <c r="I125" s="4" t="inlineStr">
        <is>
          <t>LCHY5</t>
        </is>
      </c>
      <c r="J125" s="4" t="inlineStr">
        <is>
          <t>PW DEPOT CO., LTD.</t>
        </is>
      </c>
      <c r="K125" s="4" t="inlineStr">
        <is>
          <t>20261002</t>
        </is>
      </c>
      <c r="L125" s="4" t="inlineStr">
        <is>
          <t>THAI POLYCARBONATE CO., LTD.</t>
        </is>
      </c>
      <c r="M125" s="4" t="inlineStr">
        <is>
          <t>THAI POLYCARBONATE CO., LTD.</t>
        </is>
      </c>
      <c r="N125" s="4" t="inlineStr">
        <is>
          <t>POLYCARBONATE RESIN (HS CODE. 3907.40)</t>
        </is>
      </c>
      <c r="O125" s="4" t="inlineStr">
        <is>
          <t>Loading with pallet-by forklift, required good container with strong floorboard and bullet seal to this shipment***</t>
        </is>
      </c>
      <c r="P125" s="4" t="inlineStr">
        <is>
          <t>Pickup : 2026-10-02, Return : 2026-10-05
**CHECK OPENGATE BEFORE RETURN CNTR**</t>
        </is>
      </c>
      <c r="Q125" s="4" t="n">
        <v>4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HASLS22260901251</t>
        </is>
      </c>
      <c r="B126" s="4" t="inlineStr">
        <is>
          <t>SWRG</t>
        </is>
      </c>
      <c r="C126" s="4" t="inlineStr">
        <is>
          <t>2609N</t>
        </is>
      </c>
      <c r="D126" s="4" t="inlineStr">
        <is>
          <t>202610141700</t>
        </is>
      </c>
      <c r="E126" s="4" t="inlineStr"/>
      <c r="F126" s="4" t="inlineStr">
        <is>
          <t>THLCH</t>
        </is>
      </c>
      <c r="G126" s="4" t="inlineStr">
        <is>
          <t>CNSHA</t>
        </is>
      </c>
      <c r="H126" s="4" t="inlineStr">
        <is>
          <t xml:space="preserve">20'x1 </t>
        </is>
      </c>
      <c r="I126" s="4" t="inlineStr">
        <is>
          <t>LCHY5</t>
        </is>
      </c>
      <c r="J126" s="4" t="inlineStr">
        <is>
          <t>PW DEPOT CO., LTD.</t>
        </is>
      </c>
      <c r="K126" s="4" t="inlineStr">
        <is>
          <t>20261005</t>
        </is>
      </c>
      <c r="L126" s="4" t="inlineStr">
        <is>
          <t>UBE CHEMICALS (ASIA) PUBLIC COMPANY LIMITED</t>
        </is>
      </c>
      <c r="M126" s="4" t="inlineStr">
        <is>
          <t>THAI SYNTHETIC RUBBERS CO., LTD.</t>
        </is>
      </c>
      <c r="N126" s="4" t="inlineStr">
        <is>
          <t xml:space="preserve">Polybutadiene Rubber </t>
        </is>
      </c>
      <c r="O126" s="4" t="inlineStr">
        <is>
          <t>RQST Good condition; Grade B+</t>
        </is>
      </c>
      <c r="P126" s="4" t="inlineStr">
        <is>
          <t xml:space="preserve">CY-RTN  :05-06/10/2026 
REF : ID-N016423
RQST Good condition; Grade B+ </t>
        </is>
      </c>
      <c r="Q126" s="4" t="n">
        <v>1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  <row r="127">
      <c r="A127" s="4" t="inlineStr">
        <is>
          <t>HASLS22260901417</t>
        </is>
      </c>
      <c r="B127" s="4" t="inlineStr">
        <is>
          <t>KXM</t>
        </is>
      </c>
      <c r="C127" s="4" t="inlineStr">
        <is>
          <t>2608S</t>
        </is>
      </c>
      <c r="D127" s="4" t="inlineStr">
        <is>
          <t>202610101500</t>
        </is>
      </c>
      <c r="E127" s="4" t="inlineStr"/>
      <c r="F127" s="4" t="inlineStr">
        <is>
          <t>THLCH</t>
        </is>
      </c>
      <c r="G127" s="4" t="inlineStr">
        <is>
          <t>IDJKT</t>
        </is>
      </c>
      <c r="H127" s="4" t="inlineStr">
        <is>
          <t xml:space="preserve">40Hx1 </t>
        </is>
      </c>
      <c r="I127" s="4" t="inlineStr">
        <is>
          <t>LCHY5</t>
        </is>
      </c>
      <c r="J127" s="4" t="inlineStr">
        <is>
          <t>PW DEPOT CO., LTD.</t>
        </is>
      </c>
      <c r="K127" s="4" t="inlineStr">
        <is>
          <t>20260910</t>
        </is>
      </c>
      <c r="L127" s="4" t="inlineStr">
        <is>
          <t>FM GLOBAL LOGISTICS CO., LTD.</t>
        </is>
      </c>
      <c r="M127" s="4" t="inlineStr">
        <is>
          <t>CCL LABEL (THAI) LTD.</t>
        </is>
      </c>
      <c r="N127" s="4" t="inlineStr">
        <is>
          <t>STICKER LABEL</t>
        </is>
      </c>
      <c r="O127" s="4" t="inlineStr">
        <is>
          <t>GOOD AND CLEAN CONTAINER</t>
        </is>
      </c>
      <c r="P127" s="4" t="inlineStr">
        <is>
          <t>Pickup : 2026-09-10, Return : 2026-09-10</t>
        </is>
      </c>
      <c r="Q127" s="4" t="n">
        <v>0</v>
      </c>
      <c r="R127" s="4" t="n">
        <v>0</v>
      </c>
      <c r="S127" s="4" t="n">
        <v>1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>
        <f>SUM(Q127:Y127)-Z127</f>
        <v/>
      </c>
      <c r="AC127" s="4">
        <f>IF(I127="","",IF(OR(LEFT(I127,3)="BKK",I127="LCH55"),"BKK",IF(LEFT(I127,3)="LCH","LCH","OTHER")))</f>
        <v/>
      </c>
      <c r="AD127" s="4">
        <f>MAX(0,Q127-MAX(0,Z127))</f>
        <v/>
      </c>
      <c r="AE127" s="4">
        <f>MAX(0,R127-MAX(0,Z127-SUM(Q127:Q127)))</f>
        <v/>
      </c>
      <c r="AF127" s="4">
        <f>MAX(0,S127-MAX(0,Z127-SUM(Q127:R127)))</f>
        <v/>
      </c>
      <c r="AG127" s="4">
        <f>MAX(0,T127-MAX(0,Z127-SUM(Q127:S127)))</f>
        <v/>
      </c>
      <c r="AH127" s="4">
        <f>MAX(0,U127-MAX(0,Z127-SUM(Q127:T127)))</f>
        <v/>
      </c>
      <c r="AI127" s="4">
        <f>MAX(0,V127-MAX(0,Z127-SUM(Q127:U127)))</f>
        <v/>
      </c>
      <c r="AJ127" s="4">
        <f>MAX(0,W127-MAX(0,Z127-SUM(Q127:V127)))</f>
        <v/>
      </c>
      <c r="AK127" s="4">
        <f>MAX(0,X127-MAX(0,Z127-SUM(Q127:W127)))</f>
        <v/>
      </c>
      <c r="AL127" s="4">
        <f>MAX(0,Y127-MAX(0,Z127-SUM(Q127:X127)))</f>
        <v/>
      </c>
    </row>
    <row r="128">
      <c r="A128" s="4" t="inlineStr">
        <is>
          <t>HASLS22260901455</t>
        </is>
      </c>
      <c r="B128" s="4" t="inlineStr">
        <is>
          <t>PCCP</t>
        </is>
      </c>
      <c r="C128" s="4" t="inlineStr">
        <is>
          <t>2610N</t>
        </is>
      </c>
      <c r="D128" s="4" t="inlineStr">
        <is>
          <t>202610121600</t>
        </is>
      </c>
      <c r="E128" s="4" t="inlineStr"/>
      <c r="F128" s="4" t="inlineStr">
        <is>
          <t>THLCH</t>
        </is>
      </c>
      <c r="G128" s="4" t="inlineStr">
        <is>
          <t>VNSGN</t>
        </is>
      </c>
      <c r="H128" s="4" t="inlineStr">
        <is>
          <t xml:space="preserve">20'x1 </t>
        </is>
      </c>
      <c r="I128" s="4" t="inlineStr">
        <is>
          <t>LCHY5</t>
        </is>
      </c>
      <c r="J128" s="4" t="inlineStr">
        <is>
          <t>PW DEPOT CO., LTD.</t>
        </is>
      </c>
      <c r="K128" s="4" t="inlineStr">
        <is>
          <t>20261005</t>
        </is>
      </c>
      <c r="L128" s="4" t="inlineStr">
        <is>
          <t>UBE CHEMICALS (ASIA) PUBLIC COMPANY LIMITED</t>
        </is>
      </c>
      <c r="M128" s="4" t="inlineStr">
        <is>
          <t>THAI SYNTHETIC RUBBERS CO., LTD.</t>
        </is>
      </c>
      <c r="N128" s="4" t="inlineStr">
        <is>
          <t xml:space="preserve">Polybutadiene Rubber </t>
        </is>
      </c>
      <c r="O128" s="4" t="inlineStr">
        <is>
          <t>RQST GOOD CONDITION : GRADE B+</t>
        </is>
      </c>
      <c r="P128" s="4" t="inlineStr">
        <is>
          <t>CY-RTN : 05-09/10/2026 *REF : ID-TBA1001(BR-26067)*
RQST GOOD CONDITION : GRADE B+</t>
        </is>
      </c>
      <c r="Q128" s="4" t="n">
        <v>1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>
        <f>SUM(Q128:Y128)-Z128</f>
        <v/>
      </c>
      <c r="AC128" s="4">
        <f>IF(I128="","",IF(OR(LEFT(I128,3)="BKK",I128="LCH55"),"BKK",IF(LEFT(I128,3)="LCH","LCH","OTHER")))</f>
        <v/>
      </c>
      <c r="AD128" s="4">
        <f>MAX(0,Q128-MAX(0,Z128))</f>
        <v/>
      </c>
      <c r="AE128" s="4">
        <f>MAX(0,R128-MAX(0,Z128-SUM(Q128:Q128)))</f>
        <v/>
      </c>
      <c r="AF128" s="4">
        <f>MAX(0,S128-MAX(0,Z128-SUM(Q128:R128)))</f>
        <v/>
      </c>
      <c r="AG128" s="4">
        <f>MAX(0,T128-MAX(0,Z128-SUM(Q128:S128)))</f>
        <v/>
      </c>
      <c r="AH128" s="4">
        <f>MAX(0,U128-MAX(0,Z128-SUM(Q128:T128)))</f>
        <v/>
      </c>
      <c r="AI128" s="4">
        <f>MAX(0,V128-MAX(0,Z128-SUM(Q128:U128)))</f>
        <v/>
      </c>
      <c r="AJ128" s="4">
        <f>MAX(0,W128-MAX(0,Z128-SUM(Q128:V128)))</f>
        <v/>
      </c>
      <c r="AK128" s="4">
        <f>MAX(0,X128-MAX(0,Z128-SUM(Q128:W128)))</f>
        <v/>
      </c>
      <c r="AL128" s="4">
        <f>MAX(0,Y128-MAX(0,Z128-SUM(Q128:X128)))</f>
        <v/>
      </c>
    </row>
    <row r="129">
      <c r="A129" s="4" t="inlineStr">
        <is>
          <t>HASLS22260901485</t>
        </is>
      </c>
      <c r="B129" s="4" t="inlineStr">
        <is>
          <t>SWAT</t>
        </is>
      </c>
      <c r="C129" s="4" t="inlineStr">
        <is>
          <t>2610N</t>
        </is>
      </c>
      <c r="D129" s="4" t="inlineStr">
        <is>
          <t>202610090100</t>
        </is>
      </c>
      <c r="E129" s="4" t="inlineStr"/>
      <c r="F129" s="4" t="inlineStr">
        <is>
          <t>THLCH</t>
        </is>
      </c>
      <c r="G129" s="4" t="inlineStr">
        <is>
          <t>HKHKG</t>
        </is>
      </c>
      <c r="H129" s="4" t="inlineStr">
        <is>
          <t xml:space="preserve">40Hx5 </t>
        </is>
      </c>
      <c r="I129" s="4" t="inlineStr">
        <is>
          <t>LCHY5</t>
        </is>
      </c>
      <c r="J129" s="4" t="inlineStr">
        <is>
          <t>PW DEPOT CO., LTD.</t>
        </is>
      </c>
      <c r="K129" s="4" t="inlineStr">
        <is>
          <t>20260926</t>
        </is>
      </c>
      <c r="L129" s="4" t="inlineStr">
        <is>
          <t>SS EXCELLENT NETWORK CO.,LTD</t>
        </is>
      </c>
      <c r="M129" s="4" t="inlineStr">
        <is>
          <t>SS EXCELLENT NETWORK CO.,LTD</t>
        </is>
      </c>
      <c r="N129" s="4" t="inlineStr">
        <is>
          <t>COPPER INGOT</t>
        </is>
      </c>
      <c r="O129" s="4" t="inlineStr">
        <is>
          <t>RQST CONTAINER 32.5 TONS.</t>
        </is>
      </c>
      <c r="P129" s="4" t="inlineStr">
        <is>
          <t xml:space="preserve">Pickup : 2026-09-26, Return : 2026-09-28 
 ** PLEASE CHECK OPEN GATE BEFORE RETURN CNTR **
</t>
        </is>
      </c>
      <c r="Q129" s="4" t="n">
        <v>0</v>
      </c>
      <c r="R129" s="4" t="n">
        <v>0</v>
      </c>
      <c r="S129" s="4" t="n">
        <v>5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>
        <f>SUM(Q129:Y129)-Z129</f>
        <v/>
      </c>
      <c r="AC129" s="4">
        <f>IF(I129="","",IF(OR(LEFT(I129,3)="BKK",I129="LCH55"),"BKK",IF(LEFT(I129,3)="LCH","LCH","OTHER")))</f>
        <v/>
      </c>
      <c r="AD129" s="4">
        <f>MAX(0,Q129-MAX(0,Z129))</f>
        <v/>
      </c>
      <c r="AE129" s="4">
        <f>MAX(0,R129-MAX(0,Z129-SUM(Q129:Q129)))</f>
        <v/>
      </c>
      <c r="AF129" s="4">
        <f>MAX(0,S129-MAX(0,Z129-SUM(Q129:R129)))</f>
        <v/>
      </c>
      <c r="AG129" s="4">
        <f>MAX(0,T129-MAX(0,Z129-SUM(Q129:S129)))</f>
        <v/>
      </c>
      <c r="AH129" s="4">
        <f>MAX(0,U129-MAX(0,Z129-SUM(Q129:T129)))</f>
        <v/>
      </c>
      <c r="AI129" s="4">
        <f>MAX(0,V129-MAX(0,Z129-SUM(Q129:U129)))</f>
        <v/>
      </c>
      <c r="AJ129" s="4">
        <f>MAX(0,W129-MAX(0,Z129-SUM(Q129:V129)))</f>
        <v/>
      </c>
      <c r="AK129" s="4">
        <f>MAX(0,X129-MAX(0,Z129-SUM(Q129:W129)))</f>
        <v/>
      </c>
      <c r="AL129" s="4">
        <f>MAX(0,Y129-MAX(0,Z129-SUM(Q129:X129)))</f>
        <v/>
      </c>
    </row>
    <row r="130">
      <c r="A130" s="4" t="inlineStr">
        <is>
          <t>HASLS22260901522</t>
        </is>
      </c>
      <c r="B130" s="4" t="inlineStr">
        <is>
          <t>HMVY</t>
        </is>
      </c>
      <c r="C130" s="4" t="inlineStr">
        <is>
          <t>2609N</t>
        </is>
      </c>
      <c r="D130" s="4" t="inlineStr">
        <is>
          <t>202610200800</t>
        </is>
      </c>
      <c r="E130" s="4" t="inlineStr"/>
      <c r="F130" s="4" t="inlineStr">
        <is>
          <t>THLCH</t>
        </is>
      </c>
      <c r="G130" s="4" t="inlineStr">
        <is>
          <t>JPKIJ</t>
        </is>
      </c>
      <c r="H130" s="4" t="inlineStr">
        <is>
          <t xml:space="preserve">20'x2 </t>
        </is>
      </c>
      <c r="I130" s="4" t="inlineStr">
        <is>
          <t>LCHY5</t>
        </is>
      </c>
      <c r="J130" s="4" t="inlineStr">
        <is>
          <t>PW DEPOT CO., LTD.</t>
        </is>
      </c>
      <c r="K130" s="4" t="inlineStr">
        <is>
          <t>20261002</t>
        </is>
      </c>
      <c r="L130" s="4" t="inlineStr">
        <is>
          <t>WHA GC LOGISTICS COMPANY LIMITED</t>
        </is>
      </c>
      <c r="M130" s="4" t="inlineStr">
        <is>
          <t>PTT GLOBAL CHEMICAL PUBLIC COMPANY LIMITED</t>
        </is>
      </c>
      <c r="N130" s="4" t="inlineStr">
        <is>
          <t>RESIN</t>
        </is>
      </c>
      <c r="O130" s="4" t="inlineStr">
        <is>
          <t>*** REQ. GOOD &amp; CLEAN  CONT. .( NO SMELL)  ***</t>
        </is>
      </c>
      <c r="P130" s="4" t="inlineStr">
        <is>
          <t>CY-RTN 02-08/10/26 (PR2610002955)
*PLS CHECK OPEN GATE BEFORE RETURN CTNR*</t>
        </is>
      </c>
      <c r="Q130" s="4" t="n">
        <v>2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>
        <f>SUM(Q130:Y130)-Z130</f>
        <v/>
      </c>
      <c r="AC130" s="4">
        <f>IF(I130="","",IF(OR(LEFT(I130,3)="BKK",I130="LCH55"),"BKK",IF(LEFT(I130,3)="LCH","LCH","OTHER")))</f>
        <v/>
      </c>
      <c r="AD130" s="4">
        <f>MAX(0,Q130-MAX(0,Z130))</f>
        <v/>
      </c>
      <c r="AE130" s="4">
        <f>MAX(0,R130-MAX(0,Z130-SUM(Q130:Q130)))</f>
        <v/>
      </c>
      <c r="AF130" s="4">
        <f>MAX(0,S130-MAX(0,Z130-SUM(Q130:R130)))</f>
        <v/>
      </c>
      <c r="AG130" s="4">
        <f>MAX(0,T130-MAX(0,Z130-SUM(Q130:S130)))</f>
        <v/>
      </c>
      <c r="AH130" s="4">
        <f>MAX(0,U130-MAX(0,Z130-SUM(Q130:T130)))</f>
        <v/>
      </c>
      <c r="AI130" s="4">
        <f>MAX(0,V130-MAX(0,Z130-SUM(Q130:U130)))</f>
        <v/>
      </c>
      <c r="AJ130" s="4">
        <f>MAX(0,W130-MAX(0,Z130-SUM(Q130:V130)))</f>
        <v/>
      </c>
      <c r="AK130" s="4">
        <f>MAX(0,X130-MAX(0,Z130-SUM(Q130:W130)))</f>
        <v/>
      </c>
      <c r="AL130" s="4">
        <f>MAX(0,Y130-MAX(0,Z130-SUM(Q130:X130)))</f>
        <v/>
      </c>
    </row>
    <row r="131">
      <c r="A131" s="4" t="inlineStr">
        <is>
          <t>HASLS22260901524</t>
        </is>
      </c>
      <c r="B131" s="4" t="inlineStr">
        <is>
          <t>HMVY</t>
        </is>
      </c>
      <c r="C131" s="4" t="inlineStr">
        <is>
          <t>2609N</t>
        </is>
      </c>
      <c r="D131" s="4" t="inlineStr">
        <is>
          <t>202610200800</t>
        </is>
      </c>
      <c r="E131" s="4" t="inlineStr"/>
      <c r="F131" s="4" t="inlineStr">
        <is>
          <t>THLCH</t>
        </is>
      </c>
      <c r="G131" s="4" t="inlineStr">
        <is>
          <t>JPTAK</t>
        </is>
      </c>
      <c r="H131" s="4" t="inlineStr">
        <is>
          <t xml:space="preserve">20'x3 </t>
        </is>
      </c>
      <c r="I131" s="4" t="inlineStr">
        <is>
          <t>LCHY5</t>
        </is>
      </c>
      <c r="J131" s="4" t="inlineStr">
        <is>
          <t>PW DEPOT CO., LTD.</t>
        </is>
      </c>
      <c r="K131" s="4" t="inlineStr">
        <is>
          <t>20261002</t>
        </is>
      </c>
      <c r="L131" s="4" t="inlineStr">
        <is>
          <t>WHA GC LOGISTICS COMPANY LIMITED</t>
        </is>
      </c>
      <c r="M131" s="4" t="inlineStr">
        <is>
          <t>PTT GLOBAL CHEMICAL PUBLIC COMPANY LIMITED</t>
        </is>
      </c>
      <c r="N131" s="4" t="inlineStr">
        <is>
          <t>RESIN</t>
        </is>
      </c>
      <c r="O131" s="4" t="inlineStr">
        <is>
          <t>*** REQ. GOOD &amp; CLEAN  CONT. .( NO SMELL)  ***</t>
        </is>
      </c>
      <c r="P131" s="4" t="inlineStr">
        <is>
          <t>CY-RTN 02-08/10/26 (PR2610002956)
*PLS CHECK OPEN GATE BEFORE RETURN CTNR*</t>
        </is>
      </c>
      <c r="Q131" s="4" t="n">
        <v>3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>
        <f>SUM(Q131:Y131)-Z131</f>
        <v/>
      </c>
      <c r="AC131" s="4">
        <f>IF(I131="","",IF(OR(LEFT(I131,3)="BKK",I131="LCH55"),"BKK",IF(LEFT(I131,3)="LCH","LCH","OTHER")))</f>
        <v/>
      </c>
      <c r="AD131" s="4">
        <f>MAX(0,Q131-MAX(0,Z131))</f>
        <v/>
      </c>
      <c r="AE131" s="4">
        <f>MAX(0,R131-MAX(0,Z131-SUM(Q131:Q131)))</f>
        <v/>
      </c>
      <c r="AF131" s="4">
        <f>MAX(0,S131-MAX(0,Z131-SUM(Q131:R131)))</f>
        <v/>
      </c>
      <c r="AG131" s="4">
        <f>MAX(0,T131-MAX(0,Z131-SUM(Q131:S131)))</f>
        <v/>
      </c>
      <c r="AH131" s="4">
        <f>MAX(0,U131-MAX(0,Z131-SUM(Q131:T131)))</f>
        <v/>
      </c>
      <c r="AI131" s="4">
        <f>MAX(0,V131-MAX(0,Z131-SUM(Q131:U131)))</f>
        <v/>
      </c>
      <c r="AJ131" s="4">
        <f>MAX(0,W131-MAX(0,Z131-SUM(Q131:V131)))</f>
        <v/>
      </c>
      <c r="AK131" s="4">
        <f>MAX(0,X131-MAX(0,Z131-SUM(Q131:W131)))</f>
        <v/>
      </c>
      <c r="AL131" s="4">
        <f>MAX(0,Y131-MAX(0,Z131-SUM(Q131:X131)))</f>
        <v/>
      </c>
    </row>
    <row r="132">
      <c r="A132" s="4" t="inlineStr">
        <is>
          <t>HASLS22260901660</t>
        </is>
      </c>
      <c r="B132" s="4" t="inlineStr">
        <is>
          <t>KXM</t>
        </is>
      </c>
      <c r="C132" s="4" t="inlineStr">
        <is>
          <t>2609S</t>
        </is>
      </c>
      <c r="D132" s="4" t="inlineStr">
        <is>
          <t>202611080430</t>
        </is>
      </c>
      <c r="E132" s="4" t="inlineStr"/>
      <c r="F132" s="4" t="inlineStr">
        <is>
          <t>THLCH</t>
        </is>
      </c>
      <c r="G132" s="4" t="inlineStr">
        <is>
          <t>IDJKT</t>
        </is>
      </c>
      <c r="H132" s="4" t="inlineStr">
        <is>
          <t xml:space="preserve">40Hx3 </t>
        </is>
      </c>
      <c r="I132" s="4" t="inlineStr">
        <is>
          <t>LCHY5</t>
        </is>
      </c>
      <c r="J132" s="4" t="inlineStr">
        <is>
          <t>PW DEPOT CO., LTD.</t>
        </is>
      </c>
      <c r="K132" s="4" t="inlineStr">
        <is>
          <t>20261005</t>
        </is>
      </c>
      <c r="L132" s="4" t="inlineStr">
        <is>
          <t>YUSEN LOGISTICS (THAILAND) CO., LTD.</t>
        </is>
      </c>
      <c r="M132" s="4" t="inlineStr">
        <is>
          <t>OATSIDE (THAILAND) LIMITED.</t>
        </is>
      </c>
      <c r="N132" s="4" t="inlineStr">
        <is>
          <t>OAT MILK ( GOOD GRADE CONTAINER REQUIRED)</t>
        </is>
      </c>
      <c r="O132" s="4" t="inlineStr">
        <is>
          <t>Good dry and clean container
Food grade container only
Rust-Free interior
No Physical Damage.</t>
        </is>
      </c>
      <c r="P132" s="4" t="inlineStr">
        <is>
          <t>Pickup : 2026-10-05, Return : 2026-10-05</t>
        </is>
      </c>
      <c r="Q132" s="4" t="n">
        <v>0</v>
      </c>
      <c r="R132" s="4" t="n">
        <v>0</v>
      </c>
      <c r="S132" s="4" t="n">
        <v>3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>
        <f>SUM(Q132:Y132)-Z132</f>
        <v/>
      </c>
      <c r="AC132" s="4">
        <f>IF(I132="","",IF(OR(LEFT(I132,3)="BKK",I132="LCH55"),"BKK",IF(LEFT(I132,3)="LCH","LCH","OTHER")))</f>
        <v/>
      </c>
      <c r="AD132" s="4">
        <f>MAX(0,Q132-MAX(0,Z132))</f>
        <v/>
      </c>
      <c r="AE132" s="4">
        <f>MAX(0,R132-MAX(0,Z132-SUM(Q132:Q132)))</f>
        <v/>
      </c>
      <c r="AF132" s="4">
        <f>MAX(0,S132-MAX(0,Z132-SUM(Q132:R132)))</f>
        <v/>
      </c>
      <c r="AG132" s="4">
        <f>MAX(0,T132-MAX(0,Z132-SUM(Q132:S132)))</f>
        <v/>
      </c>
      <c r="AH132" s="4">
        <f>MAX(0,U132-MAX(0,Z132-SUM(Q132:T132)))</f>
        <v/>
      </c>
      <c r="AI132" s="4">
        <f>MAX(0,V132-MAX(0,Z132-SUM(Q132:U132)))</f>
        <v/>
      </c>
      <c r="AJ132" s="4">
        <f>MAX(0,W132-MAX(0,Z132-SUM(Q132:V132)))</f>
        <v/>
      </c>
      <c r="AK132" s="4">
        <f>MAX(0,X132-MAX(0,Z132-SUM(Q132:W132)))</f>
        <v/>
      </c>
      <c r="AL132" s="4">
        <f>MAX(0,Y132-MAX(0,Z132-SUM(Q132:X132)))</f>
        <v/>
      </c>
    </row>
    <row r="133">
      <c r="A133" s="4" t="inlineStr">
        <is>
          <t>HASLS22260901713</t>
        </is>
      </c>
      <c r="B133" s="4" t="inlineStr">
        <is>
          <t>SWSP</t>
        </is>
      </c>
      <c r="C133" s="4" t="inlineStr">
        <is>
          <t>2609N</t>
        </is>
      </c>
      <c r="D133" s="4" t="inlineStr">
        <is>
          <t>202610071530</t>
        </is>
      </c>
      <c r="E133" s="4" t="inlineStr"/>
      <c r="F133" s="4" t="inlineStr">
        <is>
          <t>THLCH</t>
        </is>
      </c>
      <c r="G133" s="4" t="inlineStr">
        <is>
          <t>JPNGO</t>
        </is>
      </c>
      <c r="H133" s="4" t="inlineStr">
        <is>
          <t xml:space="preserve">20'x1 </t>
        </is>
      </c>
      <c r="I133" s="4" t="inlineStr">
        <is>
          <t>LCHY5</t>
        </is>
      </c>
      <c r="J133" s="4" t="inlineStr">
        <is>
          <t>PW DEPOT CO., LTD.</t>
        </is>
      </c>
      <c r="K133" s="4" t="inlineStr">
        <is>
          <t>20260928</t>
        </is>
      </c>
      <c r="L133" s="4" t="inlineStr">
        <is>
          <t>DOW CHEMICAL THAILAND LTD.</t>
        </is>
      </c>
      <c r="M133" s="4" t="inlineStr">
        <is>
          <t>SIAM POLYETHYLENE CO., LTD.</t>
        </is>
      </c>
      <c r="N133" s="4" t="inlineStr">
        <is>
          <t>RESIN</t>
        </is>
      </c>
      <c r="O133" s="4" t="inlineStr">
        <is>
          <t>1X20' SEABULK</t>
        </is>
      </c>
      <c r="P133" s="4" t="inlineStr">
        <is>
          <t>Pickup : 2026-09-28, Return : 2026-10-03</t>
        </is>
      </c>
      <c r="Q133" s="4" t="n">
        <v>1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>
        <f>SUM(Q133:Y133)-Z133</f>
        <v/>
      </c>
      <c r="AC133" s="4">
        <f>IF(I133="","",IF(OR(LEFT(I133,3)="BKK",I133="LCH55"),"BKK",IF(LEFT(I133,3)="LCH","LCH","OTHER")))</f>
        <v/>
      </c>
      <c r="AD133" s="4">
        <f>MAX(0,Q133-MAX(0,Z133))</f>
        <v/>
      </c>
      <c r="AE133" s="4">
        <f>MAX(0,R133-MAX(0,Z133-SUM(Q133:Q133)))</f>
        <v/>
      </c>
      <c r="AF133" s="4">
        <f>MAX(0,S133-MAX(0,Z133-SUM(Q133:R133)))</f>
        <v/>
      </c>
      <c r="AG133" s="4">
        <f>MAX(0,T133-MAX(0,Z133-SUM(Q133:S133)))</f>
        <v/>
      </c>
      <c r="AH133" s="4">
        <f>MAX(0,U133-MAX(0,Z133-SUM(Q133:T133)))</f>
        <v/>
      </c>
      <c r="AI133" s="4">
        <f>MAX(0,V133-MAX(0,Z133-SUM(Q133:U133)))</f>
        <v/>
      </c>
      <c r="AJ133" s="4">
        <f>MAX(0,W133-MAX(0,Z133-SUM(Q133:V133)))</f>
        <v/>
      </c>
      <c r="AK133" s="4">
        <f>MAX(0,X133-MAX(0,Z133-SUM(Q133:W133)))</f>
        <v/>
      </c>
      <c r="AL133" s="4">
        <f>MAX(0,Y133-MAX(0,Z133-SUM(Q133:X133)))</f>
        <v/>
      </c>
    </row>
    <row r="134">
      <c r="A134" s="4" t="inlineStr">
        <is>
          <t>HASLS22260901767</t>
        </is>
      </c>
      <c r="B134" s="4" t="inlineStr">
        <is>
          <t>SWSP</t>
        </is>
      </c>
      <c r="C134" s="4" t="inlineStr">
        <is>
          <t>2609N</t>
        </is>
      </c>
      <c r="D134" s="4" t="inlineStr">
        <is>
          <t>202610071530</t>
        </is>
      </c>
      <c r="E134" s="4" t="inlineStr"/>
      <c r="F134" s="4" t="inlineStr">
        <is>
          <t>THLCH</t>
        </is>
      </c>
      <c r="G134" s="4" t="inlineStr">
        <is>
          <t>VNSGN</t>
        </is>
      </c>
      <c r="H134" s="4" t="inlineStr">
        <is>
          <t xml:space="preserve">40Hx1 </t>
        </is>
      </c>
      <c r="I134" s="4" t="inlineStr">
        <is>
          <t>LCHY5</t>
        </is>
      </c>
      <c r="J134" s="4" t="inlineStr">
        <is>
          <t>PW DEPOT CO., LTD.</t>
        </is>
      </c>
      <c r="K134" s="4" t="inlineStr">
        <is>
          <t>20261003</t>
        </is>
      </c>
      <c r="L134" s="4" t="inlineStr">
        <is>
          <t>MERCURIAL LOGISTICS  CO.,LTD</t>
        </is>
      </c>
      <c r="M134" s="4" t="inlineStr">
        <is>
          <t>BARBE (THAILAND) LTD.</t>
        </is>
      </c>
      <c r="N134" s="4" t="inlineStr">
        <is>
          <t>RUBBER COMPOUND</t>
        </is>
      </c>
      <c r="O134" s="4" t="inlineStr">
        <is>
          <t>GOOD AND CLEAN CTNR</t>
        </is>
      </c>
      <c r="P134" s="4" t="inlineStr">
        <is>
          <t>Pickup : 2026-10-03, Return : 2026-10-05
**PLS CHECK OPENGATE BEFORE RETURN CNTR**</t>
        </is>
      </c>
      <c r="Q134" s="4" t="n">
        <v>0</v>
      </c>
      <c r="R134" s="4" t="n">
        <v>0</v>
      </c>
      <c r="S134" s="4" t="n">
        <v>1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>
        <f>SUM(Q134:Y134)-Z134</f>
        <v/>
      </c>
      <c r="AC134" s="4">
        <f>IF(I134="","",IF(OR(LEFT(I134,3)="BKK",I134="LCH55"),"BKK",IF(LEFT(I134,3)="LCH","LCH","OTHER")))</f>
        <v/>
      </c>
      <c r="AD134" s="4">
        <f>MAX(0,Q134-MAX(0,Z134))</f>
        <v/>
      </c>
      <c r="AE134" s="4">
        <f>MAX(0,R134-MAX(0,Z134-SUM(Q134:Q134)))</f>
        <v/>
      </c>
      <c r="AF134" s="4">
        <f>MAX(0,S134-MAX(0,Z134-SUM(Q134:R134)))</f>
        <v/>
      </c>
      <c r="AG134" s="4">
        <f>MAX(0,T134-MAX(0,Z134-SUM(Q134:S134)))</f>
        <v/>
      </c>
      <c r="AH134" s="4">
        <f>MAX(0,U134-MAX(0,Z134-SUM(Q134:T134)))</f>
        <v/>
      </c>
      <c r="AI134" s="4">
        <f>MAX(0,V134-MAX(0,Z134-SUM(Q134:U134)))</f>
        <v/>
      </c>
      <c r="AJ134" s="4">
        <f>MAX(0,W134-MAX(0,Z134-SUM(Q134:V134)))</f>
        <v/>
      </c>
      <c r="AK134" s="4">
        <f>MAX(0,X134-MAX(0,Z134-SUM(Q134:W134)))</f>
        <v/>
      </c>
      <c r="AL134" s="4">
        <f>MAX(0,Y134-MAX(0,Z134-SUM(Q134:X134)))</f>
        <v/>
      </c>
    </row>
    <row r="135">
      <c r="A135" s="4" t="inlineStr">
        <is>
          <t>HASLS22260901779</t>
        </is>
      </c>
      <c r="B135" s="4" t="inlineStr">
        <is>
          <t>SWVG</t>
        </is>
      </c>
      <c r="C135" s="4" t="inlineStr">
        <is>
          <t>2612N</t>
        </is>
      </c>
      <c r="D135" s="4" t="inlineStr">
        <is>
          <t>202610070930</t>
        </is>
      </c>
      <c r="E135" s="4" t="inlineStr"/>
      <c r="F135" s="4" t="inlineStr">
        <is>
          <t>THLCH</t>
        </is>
      </c>
      <c r="G135" s="4" t="inlineStr">
        <is>
          <t>CNSHA</t>
        </is>
      </c>
      <c r="H135" s="4" t="inlineStr">
        <is>
          <t xml:space="preserve">20'x1 </t>
        </is>
      </c>
      <c r="I135" s="4" t="inlineStr">
        <is>
          <t>LCHY5</t>
        </is>
      </c>
      <c r="J135" s="4" t="inlineStr">
        <is>
          <t>PW DEPOT CO., LTD.</t>
        </is>
      </c>
      <c r="K135" s="4" t="inlineStr">
        <is>
          <t>20261003</t>
        </is>
      </c>
      <c r="L135" s="4" t="inlineStr">
        <is>
          <t>EXPEDITORS (THAILAND) LTD.</t>
        </is>
      </c>
      <c r="M135" s="4" t="inlineStr">
        <is>
          <t>GANG YAN DIAMOND TOOLS (THAILAND) CO., LTD.</t>
        </is>
      </c>
      <c r="N135" s="4" t="inlineStr">
        <is>
          <t>SAW BLADE</t>
        </is>
      </c>
      <c r="O135" s="4" t="inlineStr">
        <is>
          <t>Special Remark : Request well clean and dry cntrs</t>
        </is>
      </c>
      <c r="P135" s="4" t="inlineStr">
        <is>
          <t>Pickup : 2026-10-03, Return : 2026-10-05</t>
        </is>
      </c>
      <c r="Q135" s="4" t="n">
        <v>1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>
        <f>SUM(Q135:Y135)-Z135</f>
        <v/>
      </c>
      <c r="AC135" s="4">
        <f>IF(I135="","",IF(OR(LEFT(I135,3)="BKK",I135="LCH55"),"BKK",IF(LEFT(I135,3)="LCH","LCH","OTHER")))</f>
        <v/>
      </c>
      <c r="AD135" s="4">
        <f>MAX(0,Q135-MAX(0,Z135))</f>
        <v/>
      </c>
      <c r="AE135" s="4">
        <f>MAX(0,R135-MAX(0,Z135-SUM(Q135:Q135)))</f>
        <v/>
      </c>
      <c r="AF135" s="4">
        <f>MAX(0,S135-MAX(0,Z135-SUM(Q135:R135)))</f>
        <v/>
      </c>
      <c r="AG135" s="4">
        <f>MAX(0,T135-MAX(0,Z135-SUM(Q135:S135)))</f>
        <v/>
      </c>
      <c r="AH135" s="4">
        <f>MAX(0,U135-MAX(0,Z135-SUM(Q135:T135)))</f>
        <v/>
      </c>
      <c r="AI135" s="4">
        <f>MAX(0,V135-MAX(0,Z135-SUM(Q135:U135)))</f>
        <v/>
      </c>
      <c r="AJ135" s="4">
        <f>MAX(0,W135-MAX(0,Z135-SUM(Q135:V135)))</f>
        <v/>
      </c>
      <c r="AK135" s="4">
        <f>MAX(0,X135-MAX(0,Z135-SUM(Q135:W135)))</f>
        <v/>
      </c>
      <c r="AL135" s="4">
        <f>MAX(0,Y135-MAX(0,Z135-SUM(Q135:X135)))</f>
        <v/>
      </c>
    </row>
    <row r="136">
      <c r="A136" s="4" t="inlineStr">
        <is>
          <t>HASLS22260901825</t>
        </is>
      </c>
      <c r="B136" s="4" t="inlineStr">
        <is>
          <t>KXM</t>
        </is>
      </c>
      <c r="C136" s="4" t="inlineStr">
        <is>
          <t>2608S</t>
        </is>
      </c>
      <c r="D136" s="4" t="inlineStr">
        <is>
          <t>202610101500</t>
        </is>
      </c>
      <c r="E136" s="4" t="inlineStr"/>
      <c r="F136" s="4" t="inlineStr">
        <is>
          <t>THLCH</t>
        </is>
      </c>
      <c r="G136" s="4" t="inlineStr">
        <is>
          <t>IDJKT</t>
        </is>
      </c>
      <c r="H136" s="4" t="inlineStr">
        <is>
          <t xml:space="preserve">20'x1 </t>
        </is>
      </c>
      <c r="I136" s="4" t="inlineStr">
        <is>
          <t>LCHY5</t>
        </is>
      </c>
      <c r="J136" s="4" t="inlineStr">
        <is>
          <t>PW DEPOT CO., LTD.</t>
        </is>
      </c>
      <c r="K136" s="4" t="inlineStr">
        <is>
          <t>20261005</t>
        </is>
      </c>
      <c r="L136" s="4" t="inlineStr">
        <is>
          <t>EASTERN AIR LOGISTICS CO., LTD.</t>
        </is>
      </c>
      <c r="M136" s="4" t="inlineStr">
        <is>
          <t>APEX CIRCUIT (THAILAND) CO., LTD.</t>
        </is>
      </c>
      <c r="N136" s="4" t="inlineStr">
        <is>
          <t>PRINTED CIRCUIT BOARD NO BRAND</t>
        </is>
      </c>
      <c r="O136" s="4" t="inlineStr">
        <is>
          <t>GOOD AND CLEAN CTNR</t>
        </is>
      </c>
      <c r="P136" s="4" t="inlineStr">
        <is>
          <t>Pickup : 2026-10-05, Return : 2026-10-07</t>
        </is>
      </c>
      <c r="Q136" s="4" t="n">
        <v>1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>
        <f>SUM(Q136:Y136)-Z136</f>
        <v/>
      </c>
      <c r="AC136" s="4">
        <f>IF(I136="","",IF(OR(LEFT(I136,3)="BKK",I136="LCH55"),"BKK",IF(LEFT(I136,3)="LCH","LCH","OTHER")))</f>
        <v/>
      </c>
      <c r="AD136" s="4">
        <f>MAX(0,Q136-MAX(0,Z136))</f>
        <v/>
      </c>
      <c r="AE136" s="4">
        <f>MAX(0,R136-MAX(0,Z136-SUM(Q136:Q136)))</f>
        <v/>
      </c>
      <c r="AF136" s="4">
        <f>MAX(0,S136-MAX(0,Z136-SUM(Q136:R136)))</f>
        <v/>
      </c>
      <c r="AG136" s="4">
        <f>MAX(0,T136-MAX(0,Z136-SUM(Q136:S136)))</f>
        <v/>
      </c>
      <c r="AH136" s="4">
        <f>MAX(0,U136-MAX(0,Z136-SUM(Q136:T136)))</f>
        <v/>
      </c>
      <c r="AI136" s="4">
        <f>MAX(0,V136-MAX(0,Z136-SUM(Q136:U136)))</f>
        <v/>
      </c>
      <c r="AJ136" s="4">
        <f>MAX(0,W136-MAX(0,Z136-SUM(Q136:V136)))</f>
        <v/>
      </c>
      <c r="AK136" s="4">
        <f>MAX(0,X136-MAX(0,Z136-SUM(Q136:W136)))</f>
        <v/>
      </c>
      <c r="AL136" s="4">
        <f>MAX(0,Y136-MAX(0,Z136-SUM(Q136:X136)))</f>
        <v/>
      </c>
    </row>
    <row r="137">
      <c r="A137" s="4" t="inlineStr">
        <is>
          <t>HASLS22260901872</t>
        </is>
      </c>
      <c r="B137" s="4" t="inlineStr">
        <is>
          <t>SWBT</t>
        </is>
      </c>
      <c r="C137" s="4" t="inlineStr">
        <is>
          <t>2616N</t>
        </is>
      </c>
      <c r="D137" s="4" t="inlineStr">
        <is>
          <t>202610160100</t>
        </is>
      </c>
      <c r="E137" s="4" t="inlineStr"/>
      <c r="F137" s="4" t="inlineStr">
        <is>
          <t>THLCH</t>
        </is>
      </c>
      <c r="G137" s="4" t="inlineStr">
        <is>
          <t>KRPTK</t>
        </is>
      </c>
      <c r="H137" s="4" t="inlineStr">
        <is>
          <t xml:space="preserve">40Hx7 </t>
        </is>
      </c>
      <c r="I137" s="4" t="inlineStr">
        <is>
          <t>LCHY5</t>
        </is>
      </c>
      <c r="J137" s="4" t="inlineStr">
        <is>
          <t>PW DEPOT CO., LTD.</t>
        </is>
      </c>
      <c r="K137" s="4" t="inlineStr">
        <is>
          <t>20261002</t>
        </is>
      </c>
      <c r="L137" s="4" t="inlineStr">
        <is>
          <t>SAMSUNG SDS GLOBAL SCL (THAILAND) CO.,LTD.</t>
        </is>
      </c>
      <c r="M137" s="4" t="inlineStr">
        <is>
          <t>THAI SAMSUNG ELECTRONICS CO., LTD.</t>
        </is>
      </c>
      <c r="N137" s="4" t="inlineStr">
        <is>
          <t>REFRIGERATOR</t>
        </is>
      </c>
      <c r="O137" s="4" t="inlineStr">
        <is>
          <t>*No containers with cut and patch marks inside*
GOOD CLEAN CONTIANER NO BLEAM (ELECTRONICS GOODS)</t>
        </is>
      </c>
      <c r="P137" s="4" t="inlineStr">
        <is>
          <t>Pickup : 2026-10-02, Return : 2026-10-08</t>
        </is>
      </c>
      <c r="Q137" s="4" t="n">
        <v>0</v>
      </c>
      <c r="R137" s="4" t="n">
        <v>0</v>
      </c>
      <c r="S137" s="4" t="n">
        <v>7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1</v>
      </c>
      <c r="AA137" s="4" t="n">
        <v>0</v>
      </c>
      <c r="AB137" s="4">
        <f>SUM(Q137:Y137)-Z137</f>
        <v/>
      </c>
      <c r="AC137" s="4">
        <f>IF(I137="","",IF(OR(LEFT(I137,3)="BKK",I137="LCH55"),"BKK",IF(LEFT(I137,3)="LCH","LCH","OTHER")))</f>
        <v/>
      </c>
      <c r="AD137" s="4">
        <f>MAX(0,Q137-MAX(0,Z137))</f>
        <v/>
      </c>
      <c r="AE137" s="4">
        <f>MAX(0,R137-MAX(0,Z137-SUM(Q137:Q137)))</f>
        <v/>
      </c>
      <c r="AF137" s="4">
        <f>MAX(0,S137-MAX(0,Z137-SUM(Q137:R137)))</f>
        <v/>
      </c>
      <c r="AG137" s="4">
        <f>MAX(0,T137-MAX(0,Z137-SUM(Q137:S137)))</f>
        <v/>
      </c>
      <c r="AH137" s="4">
        <f>MAX(0,U137-MAX(0,Z137-SUM(Q137:T137)))</f>
        <v/>
      </c>
      <c r="AI137" s="4">
        <f>MAX(0,V137-MAX(0,Z137-SUM(Q137:U137)))</f>
        <v/>
      </c>
      <c r="AJ137" s="4">
        <f>MAX(0,W137-MAX(0,Z137-SUM(Q137:V137)))</f>
        <v/>
      </c>
      <c r="AK137" s="4">
        <f>MAX(0,X137-MAX(0,Z137-SUM(Q137:W137)))</f>
        <v/>
      </c>
      <c r="AL137" s="4">
        <f>MAX(0,Y137-MAX(0,Z137-SUM(Q137:X137)))</f>
        <v/>
      </c>
    </row>
    <row r="138">
      <c r="A138" s="4" t="inlineStr">
        <is>
          <t>HASLS22260901911</t>
        </is>
      </c>
      <c r="B138" s="4" t="inlineStr">
        <is>
          <t>SWRG</t>
        </is>
      </c>
      <c r="C138" s="4" t="inlineStr">
        <is>
          <t>2609N</t>
        </is>
      </c>
      <c r="D138" s="4" t="inlineStr">
        <is>
          <t>202610141700</t>
        </is>
      </c>
      <c r="E138" s="4" t="inlineStr"/>
      <c r="F138" s="4" t="inlineStr">
        <is>
          <t>THLCH</t>
        </is>
      </c>
      <c r="G138" s="4" t="inlineStr">
        <is>
          <t>CNSHA</t>
        </is>
      </c>
      <c r="H138" s="4" t="inlineStr">
        <is>
          <t xml:space="preserve">20'x2 </t>
        </is>
      </c>
      <c r="I138" s="4" t="inlineStr">
        <is>
          <t>LCHY5</t>
        </is>
      </c>
      <c r="J138" s="4" t="inlineStr">
        <is>
          <t>PW DEPOT CO., LTD.</t>
        </is>
      </c>
      <c r="K138" s="4" t="inlineStr">
        <is>
          <t>20261005</t>
        </is>
      </c>
      <c r="L138" s="4" t="inlineStr">
        <is>
          <t>MITSUBISHI LOGISTICS (THAILAND) CO., LTD.</t>
        </is>
      </c>
      <c r="M138" s="4" t="inlineStr">
        <is>
          <t>SHIN-ETSU SILICONES (THAILAND) LTD.</t>
        </is>
      </c>
      <c r="N138" s="4" t="inlineStr">
        <is>
          <t>SILICONE</t>
        </is>
      </c>
      <c r="O138" s="4" t="inlineStr">
        <is>
          <t>Good , Clean, No smell container are requested.</t>
        </is>
      </c>
      <c r="P138" s="4" t="inlineStr">
        <is>
          <t>Pickup : 2026-10-05, Return : 2026-10-06</t>
        </is>
      </c>
      <c r="Q138" s="4" t="n">
        <v>2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>
        <f>SUM(Q138:Y138)-Z138</f>
        <v/>
      </c>
      <c r="AC138" s="4">
        <f>IF(I138="","",IF(OR(LEFT(I138,3)="BKK",I138="LCH55"),"BKK",IF(LEFT(I138,3)="LCH","LCH","OTHER")))</f>
        <v/>
      </c>
      <c r="AD138" s="4">
        <f>MAX(0,Q138-MAX(0,Z138))</f>
        <v/>
      </c>
      <c r="AE138" s="4">
        <f>MAX(0,R138-MAX(0,Z138-SUM(Q138:Q138)))</f>
        <v/>
      </c>
      <c r="AF138" s="4">
        <f>MAX(0,S138-MAX(0,Z138-SUM(Q138:R138)))</f>
        <v/>
      </c>
      <c r="AG138" s="4">
        <f>MAX(0,T138-MAX(0,Z138-SUM(Q138:S138)))</f>
        <v/>
      </c>
      <c r="AH138" s="4">
        <f>MAX(0,U138-MAX(0,Z138-SUM(Q138:T138)))</f>
        <v/>
      </c>
      <c r="AI138" s="4">
        <f>MAX(0,V138-MAX(0,Z138-SUM(Q138:U138)))</f>
        <v/>
      </c>
      <c r="AJ138" s="4">
        <f>MAX(0,W138-MAX(0,Z138-SUM(Q138:V138)))</f>
        <v/>
      </c>
      <c r="AK138" s="4">
        <f>MAX(0,X138-MAX(0,Z138-SUM(Q138:W138)))</f>
        <v/>
      </c>
      <c r="AL138" s="4">
        <f>MAX(0,Y138-MAX(0,Z138-SUM(Q138:X138)))</f>
        <v/>
      </c>
    </row>
    <row r="139">
      <c r="A139" s="4" t="inlineStr">
        <is>
          <t>HASLS22260901913</t>
        </is>
      </c>
      <c r="B139" s="4" t="inlineStr">
        <is>
          <t>SWRG</t>
        </is>
      </c>
      <c r="C139" s="4" t="inlineStr">
        <is>
          <t>2609N</t>
        </is>
      </c>
      <c r="D139" s="4" t="inlineStr">
        <is>
          <t>202610141700</t>
        </is>
      </c>
      <c r="E139" s="4" t="inlineStr"/>
      <c r="F139" s="4" t="inlineStr">
        <is>
          <t>THLCH</t>
        </is>
      </c>
      <c r="G139" s="4" t="inlineStr">
        <is>
          <t>CNSHA</t>
        </is>
      </c>
      <c r="H139" s="4" t="inlineStr">
        <is>
          <t xml:space="preserve">20'x1 </t>
        </is>
      </c>
      <c r="I139" s="4" t="inlineStr">
        <is>
          <t>LCHY5</t>
        </is>
      </c>
      <c r="J139" s="4" t="inlineStr">
        <is>
          <t>PW DEPOT CO., LTD.</t>
        </is>
      </c>
      <c r="K139" s="4" t="inlineStr">
        <is>
          <t>20261005</t>
        </is>
      </c>
      <c r="L139" s="4" t="inlineStr">
        <is>
          <t>MITSUBISHI LOGISTICS (THAILAND) CO., LTD.</t>
        </is>
      </c>
      <c r="M139" s="4" t="inlineStr">
        <is>
          <t>SHIN-ETSU SILICONES (THAILAND) LTD.</t>
        </is>
      </c>
      <c r="N139" s="4" t="inlineStr">
        <is>
          <t>SILICONE</t>
        </is>
      </c>
      <c r="O139" s="4" t="inlineStr">
        <is>
          <t>Good , Clean, No smell container are requested.</t>
        </is>
      </c>
      <c r="P139" s="4" t="inlineStr">
        <is>
          <t>Pickup : 2026-10-05, Return : 2026-10-06</t>
        </is>
      </c>
      <c r="Q139" s="4" t="n">
        <v>1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>
        <f>SUM(Q139:Y139)-Z139</f>
        <v/>
      </c>
      <c r="AC139" s="4">
        <f>IF(I139="","",IF(OR(LEFT(I139,3)="BKK",I139="LCH55"),"BKK",IF(LEFT(I139,3)="LCH","LCH","OTHER")))</f>
        <v/>
      </c>
      <c r="AD139" s="4">
        <f>MAX(0,Q139-MAX(0,Z139))</f>
        <v/>
      </c>
      <c r="AE139" s="4">
        <f>MAX(0,R139-MAX(0,Z139-SUM(Q139:Q139)))</f>
        <v/>
      </c>
      <c r="AF139" s="4">
        <f>MAX(0,S139-MAX(0,Z139-SUM(Q139:R139)))</f>
        <v/>
      </c>
      <c r="AG139" s="4">
        <f>MAX(0,T139-MAX(0,Z139-SUM(Q139:S139)))</f>
        <v/>
      </c>
      <c r="AH139" s="4">
        <f>MAX(0,U139-MAX(0,Z139-SUM(Q139:T139)))</f>
        <v/>
      </c>
      <c r="AI139" s="4">
        <f>MAX(0,V139-MAX(0,Z139-SUM(Q139:U139)))</f>
        <v/>
      </c>
      <c r="AJ139" s="4">
        <f>MAX(0,W139-MAX(0,Z139-SUM(Q139:V139)))</f>
        <v/>
      </c>
      <c r="AK139" s="4">
        <f>MAX(0,X139-MAX(0,Z139-SUM(Q139:W139)))</f>
        <v/>
      </c>
      <c r="AL139" s="4">
        <f>MAX(0,Y139-MAX(0,Z139-SUM(Q139:X139)))</f>
        <v/>
      </c>
    </row>
    <row r="140">
      <c r="A140" s="4" t="inlineStr">
        <is>
          <t>HASLS22260901989</t>
        </is>
      </c>
      <c r="B140" s="4" t="inlineStr">
        <is>
          <t>SWAL</t>
        </is>
      </c>
      <c r="C140" s="4" t="inlineStr">
        <is>
          <t>2609N</t>
        </is>
      </c>
      <c r="D140" s="4" t="inlineStr">
        <is>
          <t>202610200800</t>
        </is>
      </c>
      <c r="E140" s="4" t="inlineStr"/>
      <c r="F140" s="4" t="inlineStr">
        <is>
          <t>THLCH</t>
        </is>
      </c>
      <c r="G140" s="4" t="inlineStr">
        <is>
          <t>JPNGO</t>
        </is>
      </c>
      <c r="H140" s="4" t="inlineStr">
        <is>
          <t xml:space="preserve">20'x13 </t>
        </is>
      </c>
      <c r="I140" s="4" t="inlineStr">
        <is>
          <t>LCHY5</t>
        </is>
      </c>
      <c r="J140" s="4" t="inlineStr">
        <is>
          <t>PW DEPOT CO., LTD.</t>
        </is>
      </c>
      <c r="K140" s="4" t="inlineStr">
        <is>
          <t>20260930</t>
        </is>
      </c>
      <c r="L140" s="4" t="inlineStr">
        <is>
          <t>WHA GC LOGISTICS COMPANY LIMITED</t>
        </is>
      </c>
      <c r="M140" s="4" t="inlineStr">
        <is>
          <t>PTT GLOBAL CHEMICAL PUBLIC COMPANY LIMITED</t>
        </is>
      </c>
      <c r="N140" s="4" t="inlineStr">
        <is>
          <t>RESIN</t>
        </is>
      </c>
      <c r="O140" s="4" t="inlineStr">
        <is>
          <t>REQUEST SEA BULK CONTAIER + SURVEY EMPTY BEFORE PICK UP (REQ SURVEY 30/09/2026)</t>
        </is>
      </c>
      <c r="P140" s="4" t="inlineStr">
        <is>
          <t>CY-RTN 08-10/10/26 (PR2610002570)
*PLS CHECK OPEN GATE BEFORE RETURN CTNR*</t>
        </is>
      </c>
      <c r="Q140" s="4" t="n">
        <v>13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>
        <f>SUM(Q140:Y140)-Z140</f>
        <v/>
      </c>
      <c r="AC140" s="4">
        <f>IF(I140="","",IF(OR(LEFT(I140,3)="BKK",I140="LCH55"),"BKK",IF(LEFT(I140,3)="LCH","LCH","OTHER")))</f>
        <v/>
      </c>
      <c r="AD140" s="4">
        <f>MAX(0,Q140-MAX(0,Z140))</f>
        <v/>
      </c>
      <c r="AE140" s="4">
        <f>MAX(0,R140-MAX(0,Z140-SUM(Q140:Q140)))</f>
        <v/>
      </c>
      <c r="AF140" s="4">
        <f>MAX(0,S140-MAX(0,Z140-SUM(Q140:R140)))</f>
        <v/>
      </c>
      <c r="AG140" s="4">
        <f>MAX(0,T140-MAX(0,Z140-SUM(Q140:S140)))</f>
        <v/>
      </c>
      <c r="AH140" s="4">
        <f>MAX(0,U140-MAX(0,Z140-SUM(Q140:T140)))</f>
        <v/>
      </c>
      <c r="AI140" s="4">
        <f>MAX(0,V140-MAX(0,Z140-SUM(Q140:U140)))</f>
        <v/>
      </c>
      <c r="AJ140" s="4">
        <f>MAX(0,W140-MAX(0,Z140-SUM(Q140:V140)))</f>
        <v/>
      </c>
      <c r="AK140" s="4">
        <f>MAX(0,X140-MAX(0,Z140-SUM(Q140:W140)))</f>
        <v/>
      </c>
      <c r="AL140" s="4">
        <f>MAX(0,Y140-MAX(0,Z140-SUM(Q140:X140)))</f>
        <v/>
      </c>
    </row>
    <row r="141">
      <c r="A141" s="4" t="inlineStr">
        <is>
          <t>HASLS22260901995</t>
        </is>
      </c>
      <c r="B141" s="4" t="inlineStr">
        <is>
          <t>SWSP</t>
        </is>
      </c>
      <c r="C141" s="4" t="inlineStr">
        <is>
          <t>2609N</t>
        </is>
      </c>
      <c r="D141" s="4" t="inlineStr">
        <is>
          <t>202610071530</t>
        </is>
      </c>
      <c r="E141" s="4" t="inlineStr"/>
      <c r="F141" s="4" t="inlineStr">
        <is>
          <t>THLCH</t>
        </is>
      </c>
      <c r="G141" s="4" t="inlineStr">
        <is>
          <t>VNSGN</t>
        </is>
      </c>
      <c r="H141" s="4" t="inlineStr">
        <is>
          <t xml:space="preserve">20'x1 </t>
        </is>
      </c>
      <c r="I141" s="4" t="inlineStr">
        <is>
          <t>LCHY5</t>
        </is>
      </c>
      <c r="J141" s="4" t="inlineStr">
        <is>
          <t>PW DEPOT CO., LTD.</t>
        </is>
      </c>
      <c r="K141" s="4" t="inlineStr">
        <is>
          <t>20261003</t>
        </is>
      </c>
      <c r="L141" s="4" t="inlineStr">
        <is>
          <t>NH LOGISTICS CO., LTD.</t>
        </is>
      </c>
      <c r="M141" s="4" t="inlineStr">
        <is>
          <t>TROY SIAM CO., LTD.</t>
        </is>
      </c>
      <c r="N141" s="4" t="inlineStr">
        <is>
          <t xml:space="preserve">HAZARDOUS CHEMICAL </t>
        </is>
      </c>
      <c r="O141" s="4" t="inlineStr">
        <is>
          <t>**APPROVE DG IN SYSTEM**DG22GPx1 (CLS 8 / UN 3267)</t>
        </is>
      </c>
      <c r="P141" s="4" t="inlineStr">
        <is>
          <t xml:space="preserve">**APPROVE DG IN SYSTEM**DG22GPx1 (CLS 8 / UN 3267) 
Pickup : 2026-10-03, Return @JWD : 2026-10-03 
</t>
        </is>
      </c>
      <c r="Q141" s="4" t="n">
        <v>1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>
        <f>SUM(Q141:Y141)-Z141</f>
        <v/>
      </c>
      <c r="AC141" s="4">
        <f>IF(I141="","",IF(OR(LEFT(I141,3)="BKK",I141="LCH55"),"BKK",IF(LEFT(I141,3)="LCH","LCH","OTHER")))</f>
        <v/>
      </c>
      <c r="AD141" s="4">
        <f>MAX(0,Q141-MAX(0,Z141))</f>
        <v/>
      </c>
      <c r="AE141" s="4">
        <f>MAX(0,R141-MAX(0,Z141-SUM(Q141:Q141)))</f>
        <v/>
      </c>
      <c r="AF141" s="4">
        <f>MAX(0,S141-MAX(0,Z141-SUM(Q141:R141)))</f>
        <v/>
      </c>
      <c r="AG141" s="4">
        <f>MAX(0,T141-MAX(0,Z141-SUM(Q141:S141)))</f>
        <v/>
      </c>
      <c r="AH141" s="4">
        <f>MAX(0,U141-MAX(0,Z141-SUM(Q141:T141)))</f>
        <v/>
      </c>
      <c r="AI141" s="4">
        <f>MAX(0,V141-MAX(0,Z141-SUM(Q141:U141)))</f>
        <v/>
      </c>
      <c r="AJ141" s="4">
        <f>MAX(0,W141-MAX(0,Z141-SUM(Q141:V141)))</f>
        <v/>
      </c>
      <c r="AK141" s="4">
        <f>MAX(0,X141-MAX(0,Z141-SUM(Q141:W141)))</f>
        <v/>
      </c>
      <c r="AL141" s="4">
        <f>MAX(0,Y141-MAX(0,Z141-SUM(Q141:X141)))</f>
        <v/>
      </c>
    </row>
    <row r="142">
      <c r="A142" s="4" t="inlineStr">
        <is>
          <t>HASLS22260902024</t>
        </is>
      </c>
      <c r="B142" s="4" t="inlineStr">
        <is>
          <t>PCCP</t>
        </is>
      </c>
      <c r="C142" s="4" t="inlineStr">
        <is>
          <t>2610N</t>
        </is>
      </c>
      <c r="D142" s="4" t="inlineStr">
        <is>
          <t>202610121600</t>
        </is>
      </c>
      <c r="E142" s="4" t="inlineStr"/>
      <c r="F142" s="4" t="inlineStr">
        <is>
          <t>THLCH</t>
        </is>
      </c>
      <c r="G142" s="4" t="inlineStr">
        <is>
          <t>JPNGO</t>
        </is>
      </c>
      <c r="H142" s="4" t="inlineStr">
        <is>
          <t xml:space="preserve">20'x1 </t>
        </is>
      </c>
      <c r="I142" s="4" t="inlineStr">
        <is>
          <t>LCHY5</t>
        </is>
      </c>
      <c r="J142" s="4" t="inlineStr">
        <is>
          <t>PW DEPOT CO., LTD.</t>
        </is>
      </c>
      <c r="K142" s="4" t="inlineStr">
        <is>
          <t>20261005</t>
        </is>
      </c>
      <c r="L142" s="4" t="inlineStr">
        <is>
          <t>DOW CHEMICAL THAILAND LTD.</t>
        </is>
      </c>
      <c r="M142" s="4" t="inlineStr">
        <is>
          <t>SIAM POLYETHYLENE CO., LTD.</t>
        </is>
      </c>
      <c r="N142" s="4" t="inlineStr">
        <is>
          <t>RESIN</t>
        </is>
      </c>
      <c r="O142" s="4" t="inlineStr">
        <is>
          <t>1X20' SEABULK</t>
        </is>
      </c>
      <c r="P142" s="4" t="inlineStr">
        <is>
          <t>Pickup : 2026-10-05, Return : 2026-10-08</t>
        </is>
      </c>
      <c r="Q142" s="4" t="n">
        <v>1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>
        <f>SUM(Q142:Y142)-Z142</f>
        <v/>
      </c>
      <c r="AC142" s="4">
        <f>IF(I142="","",IF(OR(LEFT(I142,3)="BKK",I142="LCH55"),"BKK",IF(LEFT(I142,3)="LCH","LCH","OTHER")))</f>
        <v/>
      </c>
      <c r="AD142" s="4">
        <f>MAX(0,Q142-MAX(0,Z142))</f>
        <v/>
      </c>
      <c r="AE142" s="4">
        <f>MAX(0,R142-MAX(0,Z142-SUM(Q142:Q142)))</f>
        <v/>
      </c>
      <c r="AF142" s="4">
        <f>MAX(0,S142-MAX(0,Z142-SUM(Q142:R142)))</f>
        <v/>
      </c>
      <c r="AG142" s="4">
        <f>MAX(0,T142-MAX(0,Z142-SUM(Q142:S142)))</f>
        <v/>
      </c>
      <c r="AH142" s="4">
        <f>MAX(0,U142-MAX(0,Z142-SUM(Q142:T142)))</f>
        <v/>
      </c>
      <c r="AI142" s="4">
        <f>MAX(0,V142-MAX(0,Z142-SUM(Q142:U142)))</f>
        <v/>
      </c>
      <c r="AJ142" s="4">
        <f>MAX(0,W142-MAX(0,Z142-SUM(Q142:V142)))</f>
        <v/>
      </c>
      <c r="AK142" s="4">
        <f>MAX(0,X142-MAX(0,Z142-SUM(Q142:W142)))</f>
        <v/>
      </c>
      <c r="AL142" s="4">
        <f>MAX(0,Y142-MAX(0,Z142-SUM(Q142:X142)))</f>
        <v/>
      </c>
    </row>
    <row r="143">
      <c r="A143" s="4" t="inlineStr">
        <is>
          <t>HASLS22260902025</t>
        </is>
      </c>
      <c r="B143" s="4" t="inlineStr">
        <is>
          <t>PCCP</t>
        </is>
      </c>
      <c r="C143" s="4" t="inlineStr">
        <is>
          <t>2610N</t>
        </is>
      </c>
      <c r="D143" s="4" t="inlineStr">
        <is>
          <t>202610121600</t>
        </is>
      </c>
      <c r="E143" s="4" t="inlineStr"/>
      <c r="F143" s="4" t="inlineStr">
        <is>
          <t>THLCH</t>
        </is>
      </c>
      <c r="G143" s="4" t="inlineStr">
        <is>
          <t>JPNGO</t>
        </is>
      </c>
      <c r="H143" s="4" t="inlineStr">
        <is>
          <t xml:space="preserve">20'x1 </t>
        </is>
      </c>
      <c r="I143" s="4" t="inlineStr">
        <is>
          <t>LCHY5</t>
        </is>
      </c>
      <c r="J143" s="4" t="inlineStr">
        <is>
          <t>PW DEPOT CO., LTD.</t>
        </is>
      </c>
      <c r="K143" s="4" t="inlineStr">
        <is>
          <t>20261005</t>
        </is>
      </c>
      <c r="L143" s="4" t="inlineStr">
        <is>
          <t>DOW CHEMICAL THAILAND LTD.</t>
        </is>
      </c>
      <c r="M143" s="4" t="inlineStr">
        <is>
          <t>SIAM POLYETHYLENE CO., LTD.</t>
        </is>
      </c>
      <c r="N143" s="4" t="inlineStr">
        <is>
          <t>RESIN</t>
        </is>
      </c>
      <c r="O143" s="4" t="inlineStr">
        <is>
          <t>1X20' SEABULK</t>
        </is>
      </c>
      <c r="P143" s="4" t="inlineStr">
        <is>
          <t>Pickup : 2026-10-05, Return : 2026-10-08</t>
        </is>
      </c>
      <c r="Q143" s="4" t="n">
        <v>1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>
        <f>SUM(Q143:Y143)-Z143</f>
        <v/>
      </c>
      <c r="AC143" s="4">
        <f>IF(I143="","",IF(OR(LEFT(I143,3)="BKK",I143="LCH55"),"BKK",IF(LEFT(I143,3)="LCH","LCH","OTHER")))</f>
        <v/>
      </c>
      <c r="AD143" s="4">
        <f>MAX(0,Q143-MAX(0,Z143))</f>
        <v/>
      </c>
      <c r="AE143" s="4">
        <f>MAX(0,R143-MAX(0,Z143-SUM(Q143:Q143)))</f>
        <v/>
      </c>
      <c r="AF143" s="4">
        <f>MAX(0,S143-MAX(0,Z143-SUM(Q143:R143)))</f>
        <v/>
      </c>
      <c r="AG143" s="4">
        <f>MAX(0,T143-MAX(0,Z143-SUM(Q143:S143)))</f>
        <v/>
      </c>
      <c r="AH143" s="4">
        <f>MAX(0,U143-MAX(0,Z143-SUM(Q143:T143)))</f>
        <v/>
      </c>
      <c r="AI143" s="4">
        <f>MAX(0,V143-MAX(0,Z143-SUM(Q143:U143)))</f>
        <v/>
      </c>
      <c r="AJ143" s="4">
        <f>MAX(0,W143-MAX(0,Z143-SUM(Q143:V143)))</f>
        <v/>
      </c>
      <c r="AK143" s="4">
        <f>MAX(0,X143-MAX(0,Z143-SUM(Q143:W143)))</f>
        <v/>
      </c>
      <c r="AL143" s="4">
        <f>MAX(0,Y143-MAX(0,Z143-SUM(Q143:X143)))</f>
        <v/>
      </c>
    </row>
    <row r="144">
      <c r="A144" s="4" t="inlineStr">
        <is>
          <t>HASLS22260902026</t>
        </is>
      </c>
      <c r="B144" s="4" t="inlineStr">
        <is>
          <t>PCCP</t>
        </is>
      </c>
      <c r="C144" s="4" t="inlineStr">
        <is>
          <t>2610N</t>
        </is>
      </c>
      <c r="D144" s="4" t="inlineStr">
        <is>
          <t>202610121600</t>
        </is>
      </c>
      <c r="E144" s="4" t="inlineStr"/>
      <c r="F144" s="4" t="inlineStr">
        <is>
          <t>THLCH</t>
        </is>
      </c>
      <c r="G144" s="4" t="inlineStr">
        <is>
          <t>JPNGO</t>
        </is>
      </c>
      <c r="H144" s="4" t="inlineStr">
        <is>
          <t xml:space="preserve">20'x1 </t>
        </is>
      </c>
      <c r="I144" s="4" t="inlineStr">
        <is>
          <t>LCHY5</t>
        </is>
      </c>
      <c r="J144" s="4" t="inlineStr">
        <is>
          <t>PW DEPOT CO., LTD.</t>
        </is>
      </c>
      <c r="K144" s="4" t="inlineStr">
        <is>
          <t>20261005</t>
        </is>
      </c>
      <c r="L144" s="4" t="inlineStr">
        <is>
          <t>DOW CHEMICAL THAILAND LTD.</t>
        </is>
      </c>
      <c r="M144" s="4" t="inlineStr">
        <is>
          <t>SIAM POLYETHYLENE CO., LTD.</t>
        </is>
      </c>
      <c r="N144" s="4" t="inlineStr">
        <is>
          <t>RESIN</t>
        </is>
      </c>
      <c r="O144" s="4" t="inlineStr">
        <is>
          <t>1X20' SEABULK</t>
        </is>
      </c>
      <c r="P144" s="4" t="inlineStr">
        <is>
          <t>Pickup : 2026-10-05, Return : 2026-10-08</t>
        </is>
      </c>
      <c r="Q144" s="4" t="n">
        <v>1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>
        <f>SUM(Q144:Y144)-Z144</f>
        <v/>
      </c>
      <c r="AC144" s="4">
        <f>IF(I144="","",IF(OR(LEFT(I144,3)="BKK",I144="LCH55"),"BKK",IF(LEFT(I144,3)="LCH","LCH","OTHER")))</f>
        <v/>
      </c>
      <c r="AD144" s="4">
        <f>MAX(0,Q144-MAX(0,Z144))</f>
        <v/>
      </c>
      <c r="AE144" s="4">
        <f>MAX(0,R144-MAX(0,Z144-SUM(Q144:Q144)))</f>
        <v/>
      </c>
      <c r="AF144" s="4">
        <f>MAX(0,S144-MAX(0,Z144-SUM(Q144:R144)))</f>
        <v/>
      </c>
      <c r="AG144" s="4">
        <f>MAX(0,T144-MAX(0,Z144-SUM(Q144:S144)))</f>
        <v/>
      </c>
      <c r="AH144" s="4">
        <f>MAX(0,U144-MAX(0,Z144-SUM(Q144:T144)))</f>
        <v/>
      </c>
      <c r="AI144" s="4">
        <f>MAX(0,V144-MAX(0,Z144-SUM(Q144:U144)))</f>
        <v/>
      </c>
      <c r="AJ144" s="4">
        <f>MAX(0,W144-MAX(0,Z144-SUM(Q144:V144)))</f>
        <v/>
      </c>
      <c r="AK144" s="4">
        <f>MAX(0,X144-MAX(0,Z144-SUM(Q144:W144)))</f>
        <v/>
      </c>
      <c r="AL144" s="4">
        <f>MAX(0,Y144-MAX(0,Z144-SUM(Q144:X144)))</f>
        <v/>
      </c>
    </row>
    <row r="145">
      <c r="A145" s="4" t="inlineStr">
        <is>
          <t>HASLS22260902027</t>
        </is>
      </c>
      <c r="B145" s="4" t="inlineStr">
        <is>
          <t>SWIC</t>
        </is>
      </c>
      <c r="C145" s="4" t="inlineStr">
        <is>
          <t>2611N</t>
        </is>
      </c>
      <c r="D145" s="4" t="inlineStr">
        <is>
          <t>202610160400</t>
        </is>
      </c>
      <c r="E145" s="4" t="inlineStr"/>
      <c r="F145" s="4" t="inlineStr">
        <is>
          <t>THLCH</t>
        </is>
      </c>
      <c r="G145" s="4" t="inlineStr">
        <is>
          <t>JPYKK</t>
        </is>
      </c>
      <c r="H145" s="4" t="inlineStr">
        <is>
          <t xml:space="preserve">20'x1 </t>
        </is>
      </c>
      <c r="I145" s="4" t="inlineStr">
        <is>
          <t>LCHY5</t>
        </is>
      </c>
      <c r="J145" s="4" t="inlineStr">
        <is>
          <t>PW DEPOT CO., LTD.</t>
        </is>
      </c>
      <c r="K145" s="4" t="inlineStr">
        <is>
          <t>20261005</t>
        </is>
      </c>
      <c r="L145" s="4" t="inlineStr">
        <is>
          <t>DOW CHEMICAL THAILAND LTD.</t>
        </is>
      </c>
      <c r="M145" s="4" t="inlineStr">
        <is>
          <t>SIAM POLYETHYLENE CO., LTD.</t>
        </is>
      </c>
      <c r="N145" s="4" t="inlineStr">
        <is>
          <t>RESIN</t>
        </is>
      </c>
      <c r="O145" s="4" t="inlineStr">
        <is>
          <t>1X20' SEABULK</t>
        </is>
      </c>
      <c r="P145" s="4" t="inlineStr">
        <is>
          <t>Pickup : 2026-10-05, Return : 2026-10-09</t>
        </is>
      </c>
      <c r="Q145" s="4" t="n">
        <v>1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>
        <f>SUM(Q145:Y145)-Z145</f>
        <v/>
      </c>
      <c r="AC145" s="4">
        <f>IF(I145="","",IF(OR(LEFT(I145,3)="BKK",I145="LCH55"),"BKK",IF(LEFT(I145,3)="LCH","LCH","OTHER")))</f>
        <v/>
      </c>
      <c r="AD145" s="4">
        <f>MAX(0,Q145-MAX(0,Z145))</f>
        <v/>
      </c>
      <c r="AE145" s="4">
        <f>MAX(0,R145-MAX(0,Z145-SUM(Q145:Q145)))</f>
        <v/>
      </c>
      <c r="AF145" s="4">
        <f>MAX(0,S145-MAX(0,Z145-SUM(Q145:R145)))</f>
        <v/>
      </c>
      <c r="AG145" s="4">
        <f>MAX(0,T145-MAX(0,Z145-SUM(Q145:S145)))</f>
        <v/>
      </c>
      <c r="AH145" s="4">
        <f>MAX(0,U145-MAX(0,Z145-SUM(Q145:T145)))</f>
        <v/>
      </c>
      <c r="AI145" s="4">
        <f>MAX(0,V145-MAX(0,Z145-SUM(Q145:U145)))</f>
        <v/>
      </c>
      <c r="AJ145" s="4">
        <f>MAX(0,W145-MAX(0,Z145-SUM(Q145:V145)))</f>
        <v/>
      </c>
      <c r="AK145" s="4">
        <f>MAX(0,X145-MAX(0,Z145-SUM(Q145:W145)))</f>
        <v/>
      </c>
      <c r="AL145" s="4">
        <f>MAX(0,Y145-MAX(0,Z145-SUM(Q145:X145)))</f>
        <v/>
      </c>
    </row>
    <row r="146">
      <c r="A146" s="4" t="inlineStr">
        <is>
          <t>HASLS22260902028</t>
        </is>
      </c>
      <c r="B146" s="4" t="inlineStr">
        <is>
          <t>SWIC</t>
        </is>
      </c>
      <c r="C146" s="4" t="inlineStr">
        <is>
          <t>2611N</t>
        </is>
      </c>
      <c r="D146" s="4" t="inlineStr">
        <is>
          <t>202610160400</t>
        </is>
      </c>
      <c r="E146" s="4" t="inlineStr"/>
      <c r="F146" s="4" t="inlineStr">
        <is>
          <t>THLCH</t>
        </is>
      </c>
      <c r="G146" s="4" t="inlineStr">
        <is>
          <t>JPYKK</t>
        </is>
      </c>
      <c r="H146" s="4" t="inlineStr">
        <is>
          <t xml:space="preserve">20'x1 </t>
        </is>
      </c>
      <c r="I146" s="4" t="inlineStr">
        <is>
          <t>LCHY5</t>
        </is>
      </c>
      <c r="J146" s="4" t="inlineStr">
        <is>
          <t>PW DEPOT CO., LTD.</t>
        </is>
      </c>
      <c r="K146" s="4" t="inlineStr">
        <is>
          <t>20261005</t>
        </is>
      </c>
      <c r="L146" s="4" t="inlineStr">
        <is>
          <t>DOW CHEMICAL THAILAND LTD.</t>
        </is>
      </c>
      <c r="M146" s="4" t="inlineStr">
        <is>
          <t>SIAM POLYETHYLENE CO., LTD.</t>
        </is>
      </c>
      <c r="N146" s="4" t="inlineStr">
        <is>
          <t>RESIN</t>
        </is>
      </c>
      <c r="O146" s="4" t="inlineStr">
        <is>
          <t>1X20' SEABULK</t>
        </is>
      </c>
      <c r="P146" s="4" t="inlineStr">
        <is>
          <t>Pickup : 2026-10-05, Return : 2026-10-09</t>
        </is>
      </c>
      <c r="Q146" s="4" t="n">
        <v>1</v>
      </c>
      <c r="R146" s="4" t="n">
        <v>0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>
        <f>SUM(Q146:Y146)-Z146</f>
        <v/>
      </c>
      <c r="AC146" s="4">
        <f>IF(I146="","",IF(OR(LEFT(I146,3)="BKK",I146="LCH55"),"BKK",IF(LEFT(I146,3)="LCH","LCH","OTHER")))</f>
        <v/>
      </c>
      <c r="AD146" s="4">
        <f>MAX(0,Q146-MAX(0,Z146))</f>
        <v/>
      </c>
      <c r="AE146" s="4">
        <f>MAX(0,R146-MAX(0,Z146-SUM(Q146:Q146)))</f>
        <v/>
      </c>
      <c r="AF146" s="4">
        <f>MAX(0,S146-MAX(0,Z146-SUM(Q146:R146)))</f>
        <v/>
      </c>
      <c r="AG146" s="4">
        <f>MAX(0,T146-MAX(0,Z146-SUM(Q146:S146)))</f>
        <v/>
      </c>
      <c r="AH146" s="4">
        <f>MAX(0,U146-MAX(0,Z146-SUM(Q146:T146)))</f>
        <v/>
      </c>
      <c r="AI146" s="4">
        <f>MAX(0,V146-MAX(0,Z146-SUM(Q146:U146)))</f>
        <v/>
      </c>
      <c r="AJ146" s="4">
        <f>MAX(0,W146-MAX(0,Z146-SUM(Q146:V146)))</f>
        <v/>
      </c>
      <c r="AK146" s="4">
        <f>MAX(0,X146-MAX(0,Z146-SUM(Q146:W146)))</f>
        <v/>
      </c>
      <c r="AL146" s="4">
        <f>MAX(0,Y146-MAX(0,Z146-SUM(Q146:X146)))</f>
        <v/>
      </c>
    </row>
    <row r="147">
      <c r="A147" s="4" t="inlineStr">
        <is>
          <t>HASLS22260902029</t>
        </is>
      </c>
      <c r="B147" s="4" t="inlineStr">
        <is>
          <t>SWIC</t>
        </is>
      </c>
      <c r="C147" s="4" t="inlineStr">
        <is>
          <t>2611N</t>
        </is>
      </c>
      <c r="D147" s="4" t="inlineStr">
        <is>
          <t>202610160400</t>
        </is>
      </c>
      <c r="E147" s="4" t="inlineStr"/>
      <c r="F147" s="4" t="inlineStr">
        <is>
          <t>THLCH</t>
        </is>
      </c>
      <c r="G147" s="4" t="inlineStr">
        <is>
          <t>JPYKK</t>
        </is>
      </c>
      <c r="H147" s="4" t="inlineStr">
        <is>
          <t xml:space="preserve">20'x1 </t>
        </is>
      </c>
      <c r="I147" s="4" t="inlineStr">
        <is>
          <t>LCHY5</t>
        </is>
      </c>
      <c r="J147" s="4" t="inlineStr">
        <is>
          <t>PW DEPOT CO., LTD.</t>
        </is>
      </c>
      <c r="K147" s="4" t="inlineStr">
        <is>
          <t>20261005</t>
        </is>
      </c>
      <c r="L147" s="4" t="inlineStr">
        <is>
          <t>DOW CHEMICAL THAILAND LTD.</t>
        </is>
      </c>
      <c r="M147" s="4" t="inlineStr">
        <is>
          <t>SIAM POLYETHYLENE CO., LTD.</t>
        </is>
      </c>
      <c r="N147" s="4" t="inlineStr">
        <is>
          <t>RESIN</t>
        </is>
      </c>
      <c r="O147" s="4" t="inlineStr">
        <is>
          <t>1X20' SEABULK</t>
        </is>
      </c>
      <c r="P147" s="4" t="inlineStr">
        <is>
          <t>Pickup : 2026-10-05, Return : 2026-10-09</t>
        </is>
      </c>
      <c r="Q147" s="4" t="n">
        <v>1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>
        <f>SUM(Q147:Y147)-Z147</f>
        <v/>
      </c>
      <c r="AC147" s="4">
        <f>IF(I147="","",IF(OR(LEFT(I147,3)="BKK",I147="LCH55"),"BKK",IF(LEFT(I147,3)="LCH","LCH","OTHER")))</f>
        <v/>
      </c>
      <c r="AD147" s="4">
        <f>MAX(0,Q147-MAX(0,Z147))</f>
        <v/>
      </c>
      <c r="AE147" s="4">
        <f>MAX(0,R147-MAX(0,Z147-SUM(Q147:Q147)))</f>
        <v/>
      </c>
      <c r="AF147" s="4">
        <f>MAX(0,S147-MAX(0,Z147-SUM(Q147:R147)))</f>
        <v/>
      </c>
      <c r="AG147" s="4">
        <f>MAX(0,T147-MAX(0,Z147-SUM(Q147:S147)))</f>
        <v/>
      </c>
      <c r="AH147" s="4">
        <f>MAX(0,U147-MAX(0,Z147-SUM(Q147:T147)))</f>
        <v/>
      </c>
      <c r="AI147" s="4">
        <f>MAX(0,V147-MAX(0,Z147-SUM(Q147:U147)))</f>
        <v/>
      </c>
      <c r="AJ147" s="4">
        <f>MAX(0,W147-MAX(0,Z147-SUM(Q147:V147)))</f>
        <v/>
      </c>
      <c r="AK147" s="4">
        <f>MAX(0,X147-MAX(0,Z147-SUM(Q147:W147)))</f>
        <v/>
      </c>
      <c r="AL147" s="4">
        <f>MAX(0,Y147-MAX(0,Z147-SUM(Q147:X147)))</f>
        <v/>
      </c>
    </row>
    <row r="148">
      <c r="A148" s="4" t="inlineStr">
        <is>
          <t>HASLS22260902030</t>
        </is>
      </c>
      <c r="B148" s="4" t="inlineStr">
        <is>
          <t>SWIC</t>
        </is>
      </c>
      <c r="C148" s="4" t="inlineStr">
        <is>
          <t>2611N</t>
        </is>
      </c>
      <c r="D148" s="4" t="inlineStr">
        <is>
          <t>202610160400</t>
        </is>
      </c>
      <c r="E148" s="4" t="inlineStr"/>
      <c r="F148" s="4" t="inlineStr">
        <is>
          <t>THLCH</t>
        </is>
      </c>
      <c r="G148" s="4" t="inlineStr">
        <is>
          <t>JPYKK</t>
        </is>
      </c>
      <c r="H148" s="4" t="inlineStr">
        <is>
          <t xml:space="preserve">20'x1 </t>
        </is>
      </c>
      <c r="I148" s="4" t="inlineStr">
        <is>
          <t>LCHY5</t>
        </is>
      </c>
      <c r="J148" s="4" t="inlineStr">
        <is>
          <t>PW DEPOT CO., LTD.</t>
        </is>
      </c>
      <c r="K148" s="4" t="inlineStr">
        <is>
          <t>20261005</t>
        </is>
      </c>
      <c r="L148" s="4" t="inlineStr">
        <is>
          <t>DOW CHEMICAL THAILAND LTD.</t>
        </is>
      </c>
      <c r="M148" s="4" t="inlineStr">
        <is>
          <t>SIAM POLYETHYLENE CO., LTD.</t>
        </is>
      </c>
      <c r="N148" s="4" t="inlineStr">
        <is>
          <t>RESIN</t>
        </is>
      </c>
      <c r="O148" s="4" t="inlineStr">
        <is>
          <t>1X20' SEABULK</t>
        </is>
      </c>
      <c r="P148" s="4" t="inlineStr">
        <is>
          <t>Pickup : 2026-10-05, Return : 2026-10-09</t>
        </is>
      </c>
      <c r="Q148" s="4" t="n">
        <v>1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>
        <f>SUM(Q148:Y148)-Z148</f>
        <v/>
      </c>
      <c r="AC148" s="4">
        <f>IF(I148="","",IF(OR(LEFT(I148,3)="BKK",I148="LCH55"),"BKK",IF(LEFT(I148,3)="LCH","LCH","OTHER")))</f>
        <v/>
      </c>
      <c r="AD148" s="4">
        <f>MAX(0,Q148-MAX(0,Z148))</f>
        <v/>
      </c>
      <c r="AE148" s="4">
        <f>MAX(0,R148-MAX(0,Z148-SUM(Q148:Q148)))</f>
        <v/>
      </c>
      <c r="AF148" s="4">
        <f>MAX(0,S148-MAX(0,Z148-SUM(Q148:R148)))</f>
        <v/>
      </c>
      <c r="AG148" s="4">
        <f>MAX(0,T148-MAX(0,Z148-SUM(Q148:S148)))</f>
        <v/>
      </c>
      <c r="AH148" s="4">
        <f>MAX(0,U148-MAX(0,Z148-SUM(Q148:T148)))</f>
        <v/>
      </c>
      <c r="AI148" s="4">
        <f>MAX(0,V148-MAX(0,Z148-SUM(Q148:U148)))</f>
        <v/>
      </c>
      <c r="AJ148" s="4">
        <f>MAX(0,W148-MAX(0,Z148-SUM(Q148:V148)))</f>
        <v/>
      </c>
      <c r="AK148" s="4">
        <f>MAX(0,X148-MAX(0,Z148-SUM(Q148:W148)))</f>
        <v/>
      </c>
      <c r="AL148" s="4">
        <f>MAX(0,Y148-MAX(0,Z148-SUM(Q148:X148)))</f>
        <v/>
      </c>
    </row>
    <row r="149">
      <c r="A149" s="4" t="inlineStr">
        <is>
          <t>HASLS22260902048</t>
        </is>
      </c>
      <c r="B149" s="4" t="inlineStr">
        <is>
          <t>SWIC</t>
        </is>
      </c>
      <c r="C149" s="4" t="inlineStr">
        <is>
          <t>2611N</t>
        </is>
      </c>
      <c r="D149" s="4" t="inlineStr">
        <is>
          <t>202610160400</t>
        </is>
      </c>
      <c r="E149" s="4" t="inlineStr"/>
      <c r="F149" s="4" t="inlineStr">
        <is>
          <t>THLCH</t>
        </is>
      </c>
      <c r="G149" s="4" t="inlineStr">
        <is>
          <t>VNSGN</t>
        </is>
      </c>
      <c r="H149" s="4" t="inlineStr">
        <is>
          <t xml:space="preserve">40Hx1 </t>
        </is>
      </c>
      <c r="I149" s="4" t="inlineStr">
        <is>
          <t>LCHY5</t>
        </is>
      </c>
      <c r="J149" s="4" t="inlineStr">
        <is>
          <t>PW DEPOT CO., LTD.</t>
        </is>
      </c>
      <c r="K149" s="4" t="inlineStr">
        <is>
          <t>20261005</t>
        </is>
      </c>
      <c r="L149" s="4" t="inlineStr">
        <is>
          <t>WHA GC LOGISTICS COMPANY LIMITED</t>
        </is>
      </c>
      <c r="M149" s="4" t="inlineStr">
        <is>
          <t>PTT GLOBAL CHEMICAL PUBLIC COMPANY LIMITED</t>
        </is>
      </c>
      <c r="N149" s="4" t="inlineStr">
        <is>
          <t>RESIN</t>
        </is>
      </c>
      <c r="O149" s="4" t="inlineStr">
        <is>
          <t>*** REQ. GOOD &amp; CLEAN  CONT. .( NO SMELL)  ***</t>
        </is>
      </c>
      <c r="P149" s="4" t="inlineStr">
        <is>
          <t xml:space="preserve">CY : 05/10/26 , RTN : 0810/26 [1ST RTN 08/10/2026 W/O RENT]
** PLEASE CHECK OPEN GATE BEFORE RETURN CONTAINER ** 
</t>
        </is>
      </c>
      <c r="Q149" s="4" t="n">
        <v>0</v>
      </c>
      <c r="R149" s="4" t="n">
        <v>0</v>
      </c>
      <c r="S149" s="4" t="n">
        <v>1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>
        <f>SUM(Q149:Y149)-Z149</f>
        <v/>
      </c>
      <c r="AC149" s="4">
        <f>IF(I149="","",IF(OR(LEFT(I149,3)="BKK",I149="LCH55"),"BKK",IF(LEFT(I149,3)="LCH","LCH","OTHER")))</f>
        <v/>
      </c>
      <c r="AD149" s="4">
        <f>MAX(0,Q149-MAX(0,Z149))</f>
        <v/>
      </c>
      <c r="AE149" s="4">
        <f>MAX(0,R149-MAX(0,Z149-SUM(Q149:Q149)))</f>
        <v/>
      </c>
      <c r="AF149" s="4">
        <f>MAX(0,S149-MAX(0,Z149-SUM(Q149:R149)))</f>
        <v/>
      </c>
      <c r="AG149" s="4">
        <f>MAX(0,T149-MAX(0,Z149-SUM(Q149:S149)))</f>
        <v/>
      </c>
      <c r="AH149" s="4">
        <f>MAX(0,U149-MAX(0,Z149-SUM(Q149:T149)))</f>
        <v/>
      </c>
      <c r="AI149" s="4">
        <f>MAX(0,V149-MAX(0,Z149-SUM(Q149:U149)))</f>
        <v/>
      </c>
      <c r="AJ149" s="4">
        <f>MAX(0,W149-MAX(0,Z149-SUM(Q149:V149)))</f>
        <v/>
      </c>
      <c r="AK149" s="4">
        <f>MAX(0,X149-MAX(0,Z149-SUM(Q149:W149)))</f>
        <v/>
      </c>
      <c r="AL149" s="4">
        <f>MAX(0,Y149-MAX(0,Z149-SUM(Q149:X149)))</f>
        <v/>
      </c>
    </row>
    <row r="150">
      <c r="A150" s="4" t="inlineStr">
        <is>
          <t>HASLS22260902063</t>
        </is>
      </c>
      <c r="B150" s="4" t="inlineStr">
        <is>
          <t>SWRG</t>
        </is>
      </c>
      <c r="C150" s="4" t="inlineStr">
        <is>
          <t>2609N</t>
        </is>
      </c>
      <c r="D150" s="4" t="inlineStr">
        <is>
          <t>202610141700</t>
        </is>
      </c>
      <c r="E150" s="4" t="inlineStr"/>
      <c r="F150" s="4" t="inlineStr">
        <is>
          <t>THLCH</t>
        </is>
      </c>
      <c r="G150" s="4" t="inlineStr">
        <is>
          <t>JPMOJ</t>
        </is>
      </c>
      <c r="H150" s="4" t="inlineStr">
        <is>
          <t xml:space="preserve">20'x5 </t>
        </is>
      </c>
      <c r="I150" s="4" t="inlineStr">
        <is>
          <t>LCHY5</t>
        </is>
      </c>
      <c r="J150" s="4" t="inlineStr">
        <is>
          <t>PW DEPOT CO., LTD.</t>
        </is>
      </c>
      <c r="K150" s="4" t="inlineStr">
        <is>
          <t>20261002</t>
        </is>
      </c>
      <c r="L150" s="4" t="inlineStr">
        <is>
          <t>SCGJWD LOGISTICS PUBLIC COMPANY LIMITED</t>
        </is>
      </c>
      <c r="M150" s="4" t="inlineStr">
        <is>
          <t>THAI POLYETHYLENE CO., LTD.</t>
        </is>
      </c>
      <c r="N150" s="4" t="inlineStr">
        <is>
          <t>RESIN</t>
        </is>
      </c>
      <c r="O150" s="4" t="inlineStr">
        <is>
          <t>RESIN-PALLET,NO RED WALL CONTAINER,CLEAN CONTAINER NO OIL STAINS , NO RUSTY ,NO CUT OR HOLE</t>
        </is>
      </c>
      <c r="P150" s="4" t="inlineStr">
        <is>
          <t>CY-RTN 02-05/10/26 (  INV  3031061853 ) 
*PLS CHECK OPEN GATE BEFORE RETURN CTNR*</t>
        </is>
      </c>
      <c r="Q150" s="4" t="n">
        <v>5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>
        <f>SUM(Q150:Y150)-Z150</f>
        <v/>
      </c>
      <c r="AC150" s="4">
        <f>IF(I150="","",IF(OR(LEFT(I150,3)="BKK",I150="LCH55"),"BKK",IF(LEFT(I150,3)="LCH","LCH","OTHER")))</f>
        <v/>
      </c>
      <c r="AD150" s="4">
        <f>MAX(0,Q150-MAX(0,Z150))</f>
        <v/>
      </c>
      <c r="AE150" s="4">
        <f>MAX(0,R150-MAX(0,Z150-SUM(Q150:Q150)))</f>
        <v/>
      </c>
      <c r="AF150" s="4">
        <f>MAX(0,S150-MAX(0,Z150-SUM(Q150:R150)))</f>
        <v/>
      </c>
      <c r="AG150" s="4">
        <f>MAX(0,T150-MAX(0,Z150-SUM(Q150:S150)))</f>
        <v/>
      </c>
      <c r="AH150" s="4">
        <f>MAX(0,U150-MAX(0,Z150-SUM(Q150:T150)))</f>
        <v/>
      </c>
      <c r="AI150" s="4">
        <f>MAX(0,V150-MAX(0,Z150-SUM(Q150:U150)))</f>
        <v/>
      </c>
      <c r="AJ150" s="4">
        <f>MAX(0,W150-MAX(0,Z150-SUM(Q150:V150)))</f>
        <v/>
      </c>
      <c r="AK150" s="4">
        <f>MAX(0,X150-MAX(0,Z150-SUM(Q150:W150)))</f>
        <v/>
      </c>
      <c r="AL150" s="4">
        <f>MAX(0,Y150-MAX(0,Z150-SUM(Q150:X150)))</f>
        <v/>
      </c>
    </row>
    <row r="151">
      <c r="A151" s="4" t="inlineStr">
        <is>
          <t>HASLS22260902071</t>
        </is>
      </c>
      <c r="B151" s="4" t="inlineStr">
        <is>
          <t>SWIC</t>
        </is>
      </c>
      <c r="C151" s="4" t="inlineStr">
        <is>
          <t>2611N</t>
        </is>
      </c>
      <c r="D151" s="4" t="inlineStr">
        <is>
          <t>202610160400</t>
        </is>
      </c>
      <c r="E151" s="4" t="inlineStr"/>
      <c r="F151" s="4" t="inlineStr">
        <is>
          <t>THLCH</t>
        </is>
      </c>
      <c r="G151" s="4" t="inlineStr">
        <is>
          <t>VNSGN</t>
        </is>
      </c>
      <c r="H151" s="4" t="inlineStr">
        <is>
          <t xml:space="preserve">40Hx2 </t>
        </is>
      </c>
      <c r="I151" s="4" t="inlineStr">
        <is>
          <t>LCHY5</t>
        </is>
      </c>
      <c r="J151" s="4" t="inlineStr">
        <is>
          <t>PW DEPOT CO., LTD.</t>
        </is>
      </c>
      <c r="K151" s="4" t="inlineStr">
        <is>
          <t>20261005</t>
        </is>
      </c>
      <c r="L151" s="4" t="inlineStr">
        <is>
          <t>IRPC PUBLIC COMPANY LIMITED</t>
        </is>
      </c>
      <c r="M151" s="4" t="inlineStr">
        <is>
          <t>IRPC PUBLIC COMPANY LIMITED</t>
        </is>
      </c>
      <c r="N151" s="4" t="inlineStr">
        <is>
          <t>RESIN</t>
        </is>
      </c>
      <c r="O151" s="4" t="inlineStr">
        <is>
          <t>GOOD AND CLEAN CTNR</t>
        </is>
      </c>
      <c r="P151" s="4" t="inlineStr">
        <is>
          <t>CY-RTN : 05-07/10/2026
REF : PI 26070081-1</t>
        </is>
      </c>
      <c r="Q151" s="4" t="n">
        <v>0</v>
      </c>
      <c r="R151" s="4" t="n">
        <v>0</v>
      </c>
      <c r="S151" s="4" t="n">
        <v>2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>
        <f>SUM(Q151:Y151)-Z151</f>
        <v/>
      </c>
      <c r="AC151" s="4">
        <f>IF(I151="","",IF(OR(LEFT(I151,3)="BKK",I151="LCH55"),"BKK",IF(LEFT(I151,3)="LCH","LCH","OTHER")))</f>
        <v/>
      </c>
      <c r="AD151" s="4">
        <f>MAX(0,Q151-MAX(0,Z151))</f>
        <v/>
      </c>
      <c r="AE151" s="4">
        <f>MAX(0,R151-MAX(0,Z151-SUM(Q151:Q151)))</f>
        <v/>
      </c>
      <c r="AF151" s="4">
        <f>MAX(0,S151-MAX(0,Z151-SUM(Q151:R151)))</f>
        <v/>
      </c>
      <c r="AG151" s="4">
        <f>MAX(0,T151-MAX(0,Z151-SUM(Q151:S151)))</f>
        <v/>
      </c>
      <c r="AH151" s="4">
        <f>MAX(0,U151-MAX(0,Z151-SUM(Q151:T151)))</f>
        <v/>
      </c>
      <c r="AI151" s="4">
        <f>MAX(0,V151-MAX(0,Z151-SUM(Q151:U151)))</f>
        <v/>
      </c>
      <c r="AJ151" s="4">
        <f>MAX(0,W151-MAX(0,Z151-SUM(Q151:V151)))</f>
        <v/>
      </c>
      <c r="AK151" s="4">
        <f>MAX(0,X151-MAX(0,Z151-SUM(Q151:W151)))</f>
        <v/>
      </c>
      <c r="AL151" s="4">
        <f>MAX(0,Y151-MAX(0,Z151-SUM(Q151:X151)))</f>
        <v/>
      </c>
    </row>
    <row r="152">
      <c r="A152" s="4" t="inlineStr">
        <is>
          <t>HASLS22260902153</t>
        </is>
      </c>
      <c r="B152" s="4" t="inlineStr">
        <is>
          <t>TBN</t>
        </is>
      </c>
      <c r="C152" s="4" t="inlineStr">
        <is>
          <t>001</t>
        </is>
      </c>
      <c r="D152" s="4" t="inlineStr"/>
      <c r="E152" s="4" t="inlineStr"/>
      <c r="F152" s="4" t="inlineStr">
        <is>
          <t>THLCH</t>
        </is>
      </c>
      <c r="G152" s="4" t="inlineStr">
        <is>
          <t>JPYKK</t>
        </is>
      </c>
      <c r="H152" s="4" t="inlineStr">
        <is>
          <t xml:space="preserve">20'x10 </t>
        </is>
      </c>
      <c r="I152" s="4" t="inlineStr">
        <is>
          <t>LCHY5</t>
        </is>
      </c>
      <c r="J152" s="4" t="inlineStr">
        <is>
          <t>PW DEPOT CO., LTD.</t>
        </is>
      </c>
      <c r="K152" s="4" t="inlineStr">
        <is>
          <t>20261005</t>
        </is>
      </c>
      <c r="L152" s="4" t="inlineStr">
        <is>
          <t>DOW CHEMICAL THAILAND LTD.</t>
        </is>
      </c>
      <c r="M152" s="4" t="inlineStr">
        <is>
          <t>DOW CHEMICAL THAILAND LTD.</t>
        </is>
      </c>
      <c r="N152" s="4" t="inlineStr">
        <is>
          <t>RESIN</t>
        </is>
      </c>
      <c r="O152" s="4" t="inlineStr">
        <is>
          <t>RQST CNTR SEABULK &amp; GRADE A</t>
        </is>
      </c>
      <c r="P152" s="4" t="inlineStr">
        <is>
          <t>CY CNTR DD.05/10/2026 RQST CNTR SEABULK &amp; GRADE A</t>
        </is>
      </c>
      <c r="Q152" s="4" t="n">
        <v>10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>
        <f>SUM(Q152:Y152)-Z152</f>
        <v/>
      </c>
      <c r="AC152" s="4">
        <f>IF(I152="","",IF(OR(LEFT(I152,3)="BKK",I152="LCH55"),"BKK",IF(LEFT(I152,3)="LCH","LCH","OTHER")))</f>
        <v/>
      </c>
      <c r="AD152" s="4">
        <f>MAX(0,Q152-MAX(0,Z152))</f>
        <v/>
      </c>
      <c r="AE152" s="4">
        <f>MAX(0,R152-MAX(0,Z152-SUM(Q152:Q152)))</f>
        <v/>
      </c>
      <c r="AF152" s="4">
        <f>MAX(0,S152-MAX(0,Z152-SUM(Q152:R152)))</f>
        <v/>
      </c>
      <c r="AG152" s="4">
        <f>MAX(0,T152-MAX(0,Z152-SUM(Q152:S152)))</f>
        <v/>
      </c>
      <c r="AH152" s="4">
        <f>MAX(0,U152-MAX(0,Z152-SUM(Q152:T152)))</f>
        <v/>
      </c>
      <c r="AI152" s="4">
        <f>MAX(0,V152-MAX(0,Z152-SUM(Q152:U152)))</f>
        <v/>
      </c>
      <c r="AJ152" s="4">
        <f>MAX(0,W152-MAX(0,Z152-SUM(Q152:V152)))</f>
        <v/>
      </c>
      <c r="AK152" s="4">
        <f>MAX(0,X152-MAX(0,Z152-SUM(Q152:W152)))</f>
        <v/>
      </c>
      <c r="AL152" s="4">
        <f>MAX(0,Y152-MAX(0,Z152-SUM(Q152:X152)))</f>
        <v/>
      </c>
    </row>
    <row r="153">
      <c r="A153" s="4" t="inlineStr">
        <is>
          <t>HASLS22260902206</t>
        </is>
      </c>
      <c r="B153" s="4" t="inlineStr">
        <is>
          <t>PCCP</t>
        </is>
      </c>
      <c r="C153" s="4" t="inlineStr">
        <is>
          <t>2610N</t>
        </is>
      </c>
      <c r="D153" s="4" t="inlineStr">
        <is>
          <t>202610121600</t>
        </is>
      </c>
      <c r="E153" s="4" t="inlineStr"/>
      <c r="F153" s="4" t="inlineStr">
        <is>
          <t>THLCH</t>
        </is>
      </c>
      <c r="G153" s="4" t="inlineStr">
        <is>
          <t>VNSGN</t>
        </is>
      </c>
      <c r="H153" s="4" t="inlineStr">
        <is>
          <t xml:space="preserve">20'x1 </t>
        </is>
      </c>
      <c r="I153" s="4" t="inlineStr">
        <is>
          <t>LCHY5</t>
        </is>
      </c>
      <c r="J153" s="4" t="inlineStr">
        <is>
          <t>PW DEPOT CO., LTD.</t>
        </is>
      </c>
      <c r="K153" s="4" t="inlineStr">
        <is>
          <t>20261002</t>
        </is>
      </c>
      <c r="L153" s="4" t="inlineStr">
        <is>
          <t>WHA GC LOGISTICS COMPANY LIMITED</t>
        </is>
      </c>
      <c r="M153" s="4" t="inlineStr">
        <is>
          <t>PTT GLOBAL CHEMICAL PUBLIC COMPANY LIMITED</t>
        </is>
      </c>
      <c r="N153" s="4" t="inlineStr">
        <is>
          <t xml:space="preserve">TRI ETHANOLAMINE </t>
        </is>
      </c>
      <c r="O153" s="4" t="inlineStr">
        <is>
          <t>GOOD AND CLEAN CONTAINER</t>
        </is>
      </c>
      <c r="P153" s="4" t="inlineStr">
        <is>
          <t xml:space="preserve">CY-RTN : 02-07/10/20206 *1ST RETURN CNTR DD.07/10/2026*
</t>
        </is>
      </c>
      <c r="Q153" s="4" t="n">
        <v>1</v>
      </c>
      <c r="R153" s="4" t="n">
        <v>0</v>
      </c>
      <c r="S153" s="4" t="n">
        <v>0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>
        <f>SUM(Q153:Y153)-Z153</f>
        <v/>
      </c>
      <c r="AC153" s="4">
        <f>IF(I153="","",IF(OR(LEFT(I153,3)="BKK",I153="LCH55"),"BKK",IF(LEFT(I153,3)="LCH","LCH","OTHER")))</f>
        <v/>
      </c>
      <c r="AD153" s="4">
        <f>MAX(0,Q153-MAX(0,Z153))</f>
        <v/>
      </c>
      <c r="AE153" s="4">
        <f>MAX(0,R153-MAX(0,Z153-SUM(Q153:Q153)))</f>
        <v/>
      </c>
      <c r="AF153" s="4">
        <f>MAX(0,S153-MAX(0,Z153-SUM(Q153:R153)))</f>
        <v/>
      </c>
      <c r="AG153" s="4">
        <f>MAX(0,T153-MAX(0,Z153-SUM(Q153:S153)))</f>
        <v/>
      </c>
      <c r="AH153" s="4">
        <f>MAX(0,U153-MAX(0,Z153-SUM(Q153:T153)))</f>
        <v/>
      </c>
      <c r="AI153" s="4">
        <f>MAX(0,V153-MAX(0,Z153-SUM(Q153:U153)))</f>
        <v/>
      </c>
      <c r="AJ153" s="4">
        <f>MAX(0,W153-MAX(0,Z153-SUM(Q153:V153)))</f>
        <v/>
      </c>
      <c r="AK153" s="4">
        <f>MAX(0,X153-MAX(0,Z153-SUM(Q153:W153)))</f>
        <v/>
      </c>
      <c r="AL153" s="4">
        <f>MAX(0,Y153-MAX(0,Z153-SUM(Q153:X153)))</f>
        <v/>
      </c>
    </row>
    <row r="154">
      <c r="A154" s="4" t="inlineStr">
        <is>
          <t>HASLS22260902217</t>
        </is>
      </c>
      <c r="B154" s="4" t="inlineStr">
        <is>
          <t>SWVG</t>
        </is>
      </c>
      <c r="C154" s="4" t="inlineStr">
        <is>
          <t>2612N</t>
        </is>
      </c>
      <c r="D154" s="4" t="inlineStr">
        <is>
          <t>202610070930</t>
        </is>
      </c>
      <c r="E154" s="4" t="inlineStr"/>
      <c r="F154" s="4" t="inlineStr">
        <is>
          <t>THLCH</t>
        </is>
      </c>
      <c r="G154" s="4" t="inlineStr">
        <is>
          <t>CNSHA</t>
        </is>
      </c>
      <c r="H154" s="4" t="inlineStr">
        <is>
          <t xml:space="preserve">20'x2 </t>
        </is>
      </c>
      <c r="I154" s="4" t="inlineStr">
        <is>
          <t>LCHY5</t>
        </is>
      </c>
      <c r="J154" s="4" t="inlineStr">
        <is>
          <t>PW DEPOT CO., LTD.</t>
        </is>
      </c>
      <c r="K154" s="4" t="inlineStr">
        <is>
          <t>20261002</t>
        </is>
      </c>
      <c r="L154" s="4" t="inlineStr">
        <is>
          <t>MITSUBISHI LOGISTICS (THAILAND) CO., LTD.</t>
        </is>
      </c>
      <c r="M154" s="4" t="inlineStr">
        <is>
          <t>SHIN-ETSU SILICONES (THAILAND) LTD.</t>
        </is>
      </c>
      <c r="N154" s="4" t="inlineStr">
        <is>
          <t>SILICONE</t>
        </is>
      </c>
      <c r="O154" s="4" t="inlineStr">
        <is>
          <t>Good , Clean, No smell container</t>
        </is>
      </c>
      <c r="P154" s="4" t="inlineStr">
        <is>
          <t xml:space="preserve">Pickup : 2026-10-02, Return : 2026-10-03 
 ** PLEASE CHECK OPEN GATE BEFORE RETURN CNTR **
</t>
        </is>
      </c>
      <c r="Q154" s="4" t="n">
        <v>2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>
        <f>SUM(Q154:Y154)-Z154</f>
        <v/>
      </c>
      <c r="AC154" s="4">
        <f>IF(I154="","",IF(OR(LEFT(I154,3)="BKK",I154="LCH55"),"BKK",IF(LEFT(I154,3)="LCH","LCH","OTHER")))</f>
        <v/>
      </c>
      <c r="AD154" s="4">
        <f>MAX(0,Q154-MAX(0,Z154))</f>
        <v/>
      </c>
      <c r="AE154" s="4">
        <f>MAX(0,R154-MAX(0,Z154-SUM(Q154:Q154)))</f>
        <v/>
      </c>
      <c r="AF154" s="4">
        <f>MAX(0,S154-MAX(0,Z154-SUM(Q154:R154)))</f>
        <v/>
      </c>
      <c r="AG154" s="4">
        <f>MAX(0,T154-MAX(0,Z154-SUM(Q154:S154)))</f>
        <v/>
      </c>
      <c r="AH154" s="4">
        <f>MAX(0,U154-MAX(0,Z154-SUM(Q154:T154)))</f>
        <v/>
      </c>
      <c r="AI154" s="4">
        <f>MAX(0,V154-MAX(0,Z154-SUM(Q154:U154)))</f>
        <v/>
      </c>
      <c r="AJ154" s="4">
        <f>MAX(0,W154-MAX(0,Z154-SUM(Q154:V154)))</f>
        <v/>
      </c>
      <c r="AK154" s="4">
        <f>MAX(0,X154-MAX(0,Z154-SUM(Q154:W154)))</f>
        <v/>
      </c>
      <c r="AL154" s="4">
        <f>MAX(0,Y154-MAX(0,Z154-SUM(Q154:X154)))</f>
        <v/>
      </c>
    </row>
    <row r="155">
      <c r="A155" s="4" t="inlineStr">
        <is>
          <t>HASLS22260902220</t>
        </is>
      </c>
      <c r="B155" s="4" t="inlineStr">
        <is>
          <t>KMTP</t>
        </is>
      </c>
      <c r="C155" s="4" t="inlineStr">
        <is>
          <t>2612N</t>
        </is>
      </c>
      <c r="D155" s="4" t="inlineStr">
        <is>
          <t>202610142200</t>
        </is>
      </c>
      <c r="E155" s="4" t="inlineStr"/>
      <c r="F155" s="4" t="inlineStr">
        <is>
          <t>THLCH</t>
        </is>
      </c>
      <c r="G155" s="4" t="inlineStr">
        <is>
          <t>HKHKG</t>
        </is>
      </c>
      <c r="H155" s="4" t="inlineStr">
        <is>
          <t xml:space="preserve">20'x1 </t>
        </is>
      </c>
      <c r="I155" s="4" t="inlineStr">
        <is>
          <t>LCHY5</t>
        </is>
      </c>
      <c r="J155" s="4" t="inlineStr">
        <is>
          <t>PW DEPOT CO., LTD.</t>
        </is>
      </c>
      <c r="K155" s="4" t="inlineStr">
        <is>
          <t>20261003</t>
        </is>
      </c>
      <c r="L155" s="4" t="inlineStr">
        <is>
          <t>PACIFIC FORWARDER INTERNATIONAL CO., LTD.</t>
        </is>
      </c>
      <c r="M155" s="4" t="inlineStr">
        <is>
          <t>DELTA DAIKI METAL (THAILAND) CO.,LTD.</t>
        </is>
      </c>
      <c r="N155" s="4" t="inlineStr">
        <is>
          <t>MIXED METAL</t>
        </is>
      </c>
      <c r="O155" s="4" t="inlineStr">
        <is>
          <t>RQST UPGRADE CNTR 30 TONS</t>
        </is>
      </c>
      <c r="P155" s="4" t="inlineStr">
        <is>
          <t xml:space="preserve">Pickup : 2026-10-03, Return : 2026-10-05 [1ST RTN 08/10/2026 W/O RENT]
** PLEASE CHECK OPEN GATE BEFORE RETURN CONTAINER ** </t>
        </is>
      </c>
      <c r="Q155" s="4" t="n">
        <v>1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>
        <f>SUM(Q155:Y155)-Z155</f>
        <v/>
      </c>
      <c r="AC155" s="4">
        <f>IF(I155="","",IF(OR(LEFT(I155,3)="BKK",I155="LCH55"),"BKK",IF(LEFT(I155,3)="LCH","LCH","OTHER")))</f>
        <v/>
      </c>
      <c r="AD155" s="4">
        <f>MAX(0,Q155-MAX(0,Z155))</f>
        <v/>
      </c>
      <c r="AE155" s="4">
        <f>MAX(0,R155-MAX(0,Z155-SUM(Q155:Q155)))</f>
        <v/>
      </c>
      <c r="AF155" s="4">
        <f>MAX(0,S155-MAX(0,Z155-SUM(Q155:R155)))</f>
        <v/>
      </c>
      <c r="AG155" s="4">
        <f>MAX(0,T155-MAX(0,Z155-SUM(Q155:S155)))</f>
        <v/>
      </c>
      <c r="AH155" s="4">
        <f>MAX(0,U155-MAX(0,Z155-SUM(Q155:T155)))</f>
        <v/>
      </c>
      <c r="AI155" s="4">
        <f>MAX(0,V155-MAX(0,Z155-SUM(Q155:U155)))</f>
        <v/>
      </c>
      <c r="AJ155" s="4">
        <f>MAX(0,W155-MAX(0,Z155-SUM(Q155:V155)))</f>
        <v/>
      </c>
      <c r="AK155" s="4">
        <f>MAX(0,X155-MAX(0,Z155-SUM(Q155:W155)))</f>
        <v/>
      </c>
      <c r="AL155" s="4">
        <f>MAX(0,Y155-MAX(0,Z155-SUM(Q155:X155)))</f>
        <v/>
      </c>
    </row>
    <row r="156">
      <c r="A156" s="4" t="inlineStr">
        <is>
          <t>HASLS22260902243</t>
        </is>
      </c>
      <c r="B156" s="4" t="inlineStr">
        <is>
          <t>SWVG</t>
        </is>
      </c>
      <c r="C156" s="4" t="inlineStr">
        <is>
          <t>2612N</t>
        </is>
      </c>
      <c r="D156" s="4" t="inlineStr">
        <is>
          <t>202610070930</t>
        </is>
      </c>
      <c r="E156" s="4" t="inlineStr"/>
      <c r="F156" s="4" t="inlineStr">
        <is>
          <t>THLCH</t>
        </is>
      </c>
      <c r="G156" s="4" t="inlineStr">
        <is>
          <t>CNSHA</t>
        </is>
      </c>
      <c r="H156" s="4" t="inlineStr">
        <is>
          <t xml:space="preserve">20'x1 </t>
        </is>
      </c>
      <c r="I156" s="4" t="inlineStr">
        <is>
          <t>LCHY5</t>
        </is>
      </c>
      <c r="J156" s="4" t="inlineStr">
        <is>
          <t>PW DEPOT CO., LTD.</t>
        </is>
      </c>
      <c r="K156" s="4" t="inlineStr">
        <is>
          <t>20261003</t>
        </is>
      </c>
      <c r="L156" s="4" t="inlineStr">
        <is>
          <t>MAJESTIC INTERNATIONAL LOGISTICS CO., LTD.</t>
        </is>
      </c>
      <c r="M156" s="4" t="inlineStr">
        <is>
          <t>MITSUBISHI ELECTRIC SIAM COMPRESSOR INDUSTRY CO., LTD.</t>
        </is>
      </c>
      <c r="N156" s="4" t="inlineStr">
        <is>
          <t>SCROLL COMPRESSOR FOR AIR CONDITIONER</t>
        </is>
      </c>
      <c r="O156" s="4" t="inlineStr">
        <is>
          <t>GOOD AND CLEAN CTNR</t>
        </is>
      </c>
      <c r="P156" s="4" t="inlineStr">
        <is>
          <t>Pickup : 2026-10-03, Return : 2026-10-05 
 ** PLEASE CHECK OPEN GATE BEFORE RETURN CNTR **</t>
        </is>
      </c>
      <c r="Q156" s="4" t="n">
        <v>1</v>
      </c>
      <c r="R156" s="4" t="n">
        <v>0</v>
      </c>
      <c r="S156" s="4" t="n">
        <v>0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>
        <f>SUM(Q156:Y156)-Z156</f>
        <v/>
      </c>
      <c r="AC156" s="4">
        <f>IF(I156="","",IF(OR(LEFT(I156,3)="BKK",I156="LCH55"),"BKK",IF(LEFT(I156,3)="LCH","LCH","OTHER")))</f>
        <v/>
      </c>
      <c r="AD156" s="4">
        <f>MAX(0,Q156-MAX(0,Z156))</f>
        <v/>
      </c>
      <c r="AE156" s="4">
        <f>MAX(0,R156-MAX(0,Z156-SUM(Q156:Q156)))</f>
        <v/>
      </c>
      <c r="AF156" s="4">
        <f>MAX(0,S156-MAX(0,Z156-SUM(Q156:R156)))</f>
        <v/>
      </c>
      <c r="AG156" s="4">
        <f>MAX(0,T156-MAX(0,Z156-SUM(Q156:S156)))</f>
        <v/>
      </c>
      <c r="AH156" s="4">
        <f>MAX(0,U156-MAX(0,Z156-SUM(Q156:T156)))</f>
        <v/>
      </c>
      <c r="AI156" s="4">
        <f>MAX(0,V156-MAX(0,Z156-SUM(Q156:U156)))</f>
        <v/>
      </c>
      <c r="AJ156" s="4">
        <f>MAX(0,W156-MAX(0,Z156-SUM(Q156:V156)))</f>
        <v/>
      </c>
      <c r="AK156" s="4">
        <f>MAX(0,X156-MAX(0,Z156-SUM(Q156:W156)))</f>
        <v/>
      </c>
      <c r="AL156" s="4">
        <f>MAX(0,Y156-MAX(0,Z156-SUM(Q156:X156)))</f>
        <v/>
      </c>
    </row>
    <row r="157">
      <c r="A157" s="4" t="inlineStr">
        <is>
          <t>HASLS22260902245</t>
        </is>
      </c>
      <c r="B157" s="4" t="inlineStr">
        <is>
          <t>SWRG</t>
        </is>
      </c>
      <c r="C157" s="4" t="inlineStr">
        <is>
          <t>2609N</t>
        </is>
      </c>
      <c r="D157" s="4" t="inlineStr">
        <is>
          <t>202610141700</t>
        </is>
      </c>
      <c r="E157" s="4" t="inlineStr"/>
      <c r="F157" s="4" t="inlineStr">
        <is>
          <t>THLCH</t>
        </is>
      </c>
      <c r="G157" s="4" t="inlineStr">
        <is>
          <t>JPKIJ</t>
        </is>
      </c>
      <c r="H157" s="4" t="inlineStr">
        <is>
          <t xml:space="preserve">40Hx1 </t>
        </is>
      </c>
      <c r="I157" s="4" t="inlineStr">
        <is>
          <t>LCHY5</t>
        </is>
      </c>
      <c r="J157" s="4" t="inlineStr">
        <is>
          <t>PW DEPOT CO., LTD.</t>
        </is>
      </c>
      <c r="K157" s="4" t="inlineStr">
        <is>
          <t>20260924</t>
        </is>
      </c>
      <c r="L157" s="4" t="inlineStr">
        <is>
          <t>WHA GC LOGISTICS COMPANY LIMITED</t>
        </is>
      </c>
      <c r="M157" s="4" t="inlineStr">
        <is>
          <t>PTT GLOBAL CHEMICAL PUBLIC COMPANY LIMITED</t>
        </is>
      </c>
      <c r="N157" s="4" t="inlineStr">
        <is>
          <t>RESIN</t>
        </is>
      </c>
      <c r="O157" s="4" t="inlineStr">
        <is>
          <t>GOOD AND CLEAN CTNR</t>
        </is>
      </c>
      <c r="P157" s="4" t="inlineStr">
        <is>
          <t>CY-RTN 24-27/09/26 (1ST RETURN DATE DD.04/10/26)
*PLS CHECK OPEN GATE BEFORE RETURN CTNR*</t>
        </is>
      </c>
      <c r="Q157" s="4" t="n">
        <v>0</v>
      </c>
      <c r="R157" s="4" t="n">
        <v>0</v>
      </c>
      <c r="S157" s="4" t="n">
        <v>1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>
        <f>SUM(Q157:Y157)-Z157</f>
        <v/>
      </c>
      <c r="AC157" s="4">
        <f>IF(I157="","",IF(OR(LEFT(I157,3)="BKK",I157="LCH55"),"BKK",IF(LEFT(I157,3)="LCH","LCH","OTHER")))</f>
        <v/>
      </c>
      <c r="AD157" s="4">
        <f>MAX(0,Q157-MAX(0,Z157))</f>
        <v/>
      </c>
      <c r="AE157" s="4">
        <f>MAX(0,R157-MAX(0,Z157-SUM(Q157:Q157)))</f>
        <v/>
      </c>
      <c r="AF157" s="4">
        <f>MAX(0,S157-MAX(0,Z157-SUM(Q157:R157)))</f>
        <v/>
      </c>
      <c r="AG157" s="4">
        <f>MAX(0,T157-MAX(0,Z157-SUM(Q157:S157)))</f>
        <v/>
      </c>
      <c r="AH157" s="4">
        <f>MAX(0,U157-MAX(0,Z157-SUM(Q157:T157)))</f>
        <v/>
      </c>
      <c r="AI157" s="4">
        <f>MAX(0,V157-MAX(0,Z157-SUM(Q157:U157)))</f>
        <v/>
      </c>
      <c r="AJ157" s="4">
        <f>MAX(0,W157-MAX(0,Z157-SUM(Q157:V157)))</f>
        <v/>
      </c>
      <c r="AK157" s="4">
        <f>MAX(0,X157-MAX(0,Z157-SUM(Q157:W157)))</f>
        <v/>
      </c>
      <c r="AL157" s="4">
        <f>MAX(0,Y157-MAX(0,Z157-SUM(Q157:X157)))</f>
        <v/>
      </c>
    </row>
    <row r="158">
      <c r="A158" s="4" t="inlineStr">
        <is>
          <t>HASLS22260902255</t>
        </is>
      </c>
      <c r="B158" s="4" t="inlineStr">
        <is>
          <t>SWSP</t>
        </is>
      </c>
      <c r="C158" s="4" t="inlineStr">
        <is>
          <t>2609N</t>
        </is>
      </c>
      <c r="D158" s="4" t="inlineStr">
        <is>
          <t>202610071530</t>
        </is>
      </c>
      <c r="E158" s="4" t="inlineStr"/>
      <c r="F158" s="4" t="inlineStr">
        <is>
          <t>THLCH</t>
        </is>
      </c>
      <c r="G158" s="4" t="inlineStr">
        <is>
          <t>VNSGN</t>
        </is>
      </c>
      <c r="H158" s="4" t="inlineStr">
        <is>
          <t xml:space="preserve">40Hx5 </t>
        </is>
      </c>
      <c r="I158" s="4" t="inlineStr">
        <is>
          <t>LCHY5</t>
        </is>
      </c>
      <c r="J158" s="4" t="inlineStr">
        <is>
          <t>PW DEPOT CO., LTD.</t>
        </is>
      </c>
      <c r="K158" s="4" t="inlineStr">
        <is>
          <t>20261002</t>
        </is>
      </c>
      <c r="L158" s="4" t="inlineStr">
        <is>
          <t>ACCORD PILOT LOGISTICS (THAILAND) CO., LTD.</t>
        </is>
      </c>
      <c r="M158" s="4" t="inlineStr">
        <is>
          <t>HMC POLYMERS CO., LTD.</t>
        </is>
      </c>
      <c r="N158" s="4" t="inlineStr">
        <is>
          <t>POLYPROPYLENE</t>
        </is>
      </c>
      <c r="O158" s="4" t="inlineStr">
        <is>
          <t>GOOD AND CLEAN CONTAINER</t>
        </is>
      </c>
      <c r="P158" s="4" t="inlineStr">
        <is>
          <t>Pickup : 2026-10-02, Return : 2026-10-04</t>
        </is>
      </c>
      <c r="Q158" s="4" t="n">
        <v>0</v>
      </c>
      <c r="R158" s="4" t="n">
        <v>0</v>
      </c>
      <c r="S158" s="4" t="n">
        <v>5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>
        <f>SUM(Q158:Y158)-Z158</f>
        <v/>
      </c>
      <c r="AC158" s="4">
        <f>IF(I158="","",IF(OR(LEFT(I158,3)="BKK",I158="LCH55"),"BKK",IF(LEFT(I158,3)="LCH","LCH","OTHER")))</f>
        <v/>
      </c>
      <c r="AD158" s="4">
        <f>MAX(0,Q158-MAX(0,Z158))</f>
        <v/>
      </c>
      <c r="AE158" s="4">
        <f>MAX(0,R158-MAX(0,Z158-SUM(Q158:Q158)))</f>
        <v/>
      </c>
      <c r="AF158" s="4">
        <f>MAX(0,S158-MAX(0,Z158-SUM(Q158:R158)))</f>
        <v/>
      </c>
      <c r="AG158" s="4">
        <f>MAX(0,T158-MAX(0,Z158-SUM(Q158:S158)))</f>
        <v/>
      </c>
      <c r="AH158" s="4">
        <f>MAX(0,U158-MAX(0,Z158-SUM(Q158:T158)))</f>
        <v/>
      </c>
      <c r="AI158" s="4">
        <f>MAX(0,V158-MAX(0,Z158-SUM(Q158:U158)))</f>
        <v/>
      </c>
      <c r="AJ158" s="4">
        <f>MAX(0,W158-MAX(0,Z158-SUM(Q158:V158)))</f>
        <v/>
      </c>
      <c r="AK158" s="4">
        <f>MAX(0,X158-MAX(0,Z158-SUM(Q158:W158)))</f>
        <v/>
      </c>
      <c r="AL158" s="4">
        <f>MAX(0,Y158-MAX(0,Z158-SUM(Q158:X158)))</f>
        <v/>
      </c>
    </row>
    <row r="159">
      <c r="A159" s="4" t="inlineStr">
        <is>
          <t>HASLS22260902295</t>
        </is>
      </c>
      <c r="B159" s="4" t="inlineStr">
        <is>
          <t>HMVY</t>
        </is>
      </c>
      <c r="C159" s="4" t="inlineStr">
        <is>
          <t>2609N</t>
        </is>
      </c>
      <c r="D159" s="4" t="inlineStr">
        <is>
          <t>202610200800</t>
        </is>
      </c>
      <c r="E159" s="4" t="inlineStr"/>
      <c r="F159" s="4" t="inlineStr">
        <is>
          <t>THLCH</t>
        </is>
      </c>
      <c r="G159" s="4" t="inlineStr">
        <is>
          <t>CNSHA</t>
        </is>
      </c>
      <c r="H159" s="4" t="inlineStr">
        <is>
          <t xml:space="preserve">20'x1 </t>
        </is>
      </c>
      <c r="I159" s="4" t="inlineStr">
        <is>
          <t>LCHY5</t>
        </is>
      </c>
      <c r="J159" s="4" t="inlineStr">
        <is>
          <t>PW DEPOT CO., LTD.</t>
        </is>
      </c>
      <c r="K159" s="4" t="inlineStr">
        <is>
          <t>20261002</t>
        </is>
      </c>
      <c r="L159" s="4" t="inlineStr">
        <is>
          <t>CS FREIGHT &amp; SERVICE  CO.,LTD.</t>
        </is>
      </c>
      <c r="M159" s="4" t="inlineStr">
        <is>
          <t>EURO-ORIENTAL TRADING CO., LTD.</t>
        </is>
      </c>
      <c r="N159" s="4" t="inlineStr">
        <is>
          <t>HEVEAGRAFT 5050 LATEX</t>
        </is>
      </c>
      <c r="O159" s="4" t="inlineStr">
        <is>
          <t>** APPROVED BY KIM JAE-HYUNG DD.24/09/2026 ** *FLEXIBAG ONDECK*
Survey : 2026-10-02</t>
        </is>
      </c>
      <c r="P159" s="4" t="inlineStr">
        <is>
          <t>** APPROVED BY KIM JAE-HYUNG DD.24/09/2026 ** *FLEXIBAG ONDECK*
Survey + Pickup : 2026-10-02, Return : 2026-10-15</t>
        </is>
      </c>
      <c r="Q159" s="4" t="n">
        <v>1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>
        <f>SUM(Q159:Y159)-Z159</f>
        <v/>
      </c>
      <c r="AC159" s="4">
        <f>IF(I159="","",IF(OR(LEFT(I159,3)="BKK",I159="LCH55"),"BKK",IF(LEFT(I159,3)="LCH","LCH","OTHER")))</f>
        <v/>
      </c>
      <c r="AD159" s="4">
        <f>MAX(0,Q159-MAX(0,Z159))</f>
        <v/>
      </c>
      <c r="AE159" s="4">
        <f>MAX(0,R159-MAX(0,Z159-SUM(Q159:Q159)))</f>
        <v/>
      </c>
      <c r="AF159" s="4">
        <f>MAX(0,S159-MAX(0,Z159-SUM(Q159:R159)))</f>
        <v/>
      </c>
      <c r="AG159" s="4">
        <f>MAX(0,T159-MAX(0,Z159-SUM(Q159:S159)))</f>
        <v/>
      </c>
      <c r="AH159" s="4">
        <f>MAX(0,U159-MAX(0,Z159-SUM(Q159:T159)))</f>
        <v/>
      </c>
      <c r="AI159" s="4">
        <f>MAX(0,V159-MAX(0,Z159-SUM(Q159:U159)))</f>
        <v/>
      </c>
      <c r="AJ159" s="4">
        <f>MAX(0,W159-MAX(0,Z159-SUM(Q159:V159)))</f>
        <v/>
      </c>
      <c r="AK159" s="4">
        <f>MAX(0,X159-MAX(0,Z159-SUM(Q159:W159)))</f>
        <v/>
      </c>
      <c r="AL159" s="4">
        <f>MAX(0,Y159-MAX(0,Z159-SUM(Q159:X159)))</f>
        <v/>
      </c>
    </row>
    <row r="160">
      <c r="A160" s="4" t="inlineStr">
        <is>
          <t>HASLS22260902297</t>
        </is>
      </c>
      <c r="B160" s="4" t="inlineStr">
        <is>
          <t>KUS</t>
        </is>
      </c>
      <c r="C160" s="4" t="inlineStr">
        <is>
          <t>2616N</t>
        </is>
      </c>
      <c r="D160" s="4" t="inlineStr">
        <is>
          <t>202610150400</t>
        </is>
      </c>
      <c r="E160" s="4" t="inlineStr"/>
      <c r="F160" s="4" t="inlineStr">
        <is>
          <t>THLCH</t>
        </is>
      </c>
      <c r="G160" s="4" t="inlineStr">
        <is>
          <t>VNSGN</t>
        </is>
      </c>
      <c r="H160" s="4" t="inlineStr">
        <is>
          <t xml:space="preserve">20'x6 </t>
        </is>
      </c>
      <c r="I160" s="4" t="inlineStr">
        <is>
          <t>LCHY5</t>
        </is>
      </c>
      <c r="J160" s="4" t="inlineStr">
        <is>
          <t>PW DEPOT CO., LTD.</t>
        </is>
      </c>
      <c r="K160" s="4" t="inlineStr">
        <is>
          <t>20261002</t>
        </is>
      </c>
      <c r="L160" s="4" t="inlineStr">
        <is>
          <t>WHA GC LOGISTICS COMPANY LIMITED</t>
        </is>
      </c>
      <c r="M160" s="4" t="inlineStr">
        <is>
          <t>PTT GLOBAL CHEMICAL PUBLIC COMPANY LIMITED</t>
        </is>
      </c>
      <c r="N160" s="4" t="inlineStr">
        <is>
          <t>RESIN</t>
        </is>
      </c>
      <c r="O160" s="4" t="inlineStr">
        <is>
          <t>*** REQ. GOOD &amp; CLEAN  CONT. .( NO SMELL)  ***</t>
        </is>
      </c>
      <c r="P160" s="4" t="inlineStr">
        <is>
          <t>CY-RTN : 02-09/10/2026</t>
        </is>
      </c>
      <c r="Q160" s="4" t="n">
        <v>6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>
        <f>SUM(Q160:Y160)-Z160</f>
        <v/>
      </c>
      <c r="AC160" s="4">
        <f>IF(I160="","",IF(OR(LEFT(I160,3)="BKK",I160="LCH55"),"BKK",IF(LEFT(I160,3)="LCH","LCH","OTHER")))</f>
        <v/>
      </c>
      <c r="AD160" s="4">
        <f>MAX(0,Q160-MAX(0,Z160))</f>
        <v/>
      </c>
      <c r="AE160" s="4">
        <f>MAX(0,R160-MAX(0,Z160-SUM(Q160:Q160)))</f>
        <v/>
      </c>
      <c r="AF160" s="4">
        <f>MAX(0,S160-MAX(0,Z160-SUM(Q160:R160)))</f>
        <v/>
      </c>
      <c r="AG160" s="4">
        <f>MAX(0,T160-MAX(0,Z160-SUM(Q160:S160)))</f>
        <v/>
      </c>
      <c r="AH160" s="4">
        <f>MAX(0,U160-MAX(0,Z160-SUM(Q160:T160)))</f>
        <v/>
      </c>
      <c r="AI160" s="4">
        <f>MAX(0,V160-MAX(0,Z160-SUM(Q160:U160)))</f>
        <v/>
      </c>
      <c r="AJ160" s="4">
        <f>MAX(0,W160-MAX(0,Z160-SUM(Q160:V160)))</f>
        <v/>
      </c>
      <c r="AK160" s="4">
        <f>MAX(0,X160-MAX(0,Z160-SUM(Q160:W160)))</f>
        <v/>
      </c>
      <c r="AL160" s="4">
        <f>MAX(0,Y160-MAX(0,Z160-SUM(Q160:X160)))</f>
        <v/>
      </c>
    </row>
    <row r="161">
      <c r="A161" s="4" t="inlineStr">
        <is>
          <t>HASLS22260902298</t>
        </is>
      </c>
      <c r="B161" s="4" t="inlineStr">
        <is>
          <t>KUS</t>
        </is>
      </c>
      <c r="C161" s="4" t="inlineStr">
        <is>
          <t>2616N</t>
        </is>
      </c>
      <c r="D161" s="4" t="inlineStr">
        <is>
          <t>202610150400</t>
        </is>
      </c>
      <c r="E161" s="4" t="inlineStr"/>
      <c r="F161" s="4" t="inlineStr">
        <is>
          <t>THLCH</t>
        </is>
      </c>
      <c r="G161" s="4" t="inlineStr">
        <is>
          <t>VNSGN</t>
        </is>
      </c>
      <c r="H161" s="4" t="inlineStr">
        <is>
          <t xml:space="preserve">40Hx2 </t>
        </is>
      </c>
      <c r="I161" s="4" t="inlineStr">
        <is>
          <t>LCHY5</t>
        </is>
      </c>
      <c r="J161" s="4" t="inlineStr">
        <is>
          <t>PW DEPOT CO., LTD.</t>
        </is>
      </c>
      <c r="K161" s="4" t="inlineStr">
        <is>
          <t>20261002</t>
        </is>
      </c>
      <c r="L161" s="4" t="inlineStr">
        <is>
          <t>WHA GC LOGISTICS COMPANY LIMITED</t>
        </is>
      </c>
      <c r="M161" s="4" t="inlineStr">
        <is>
          <t>PTT GLOBAL CHEMICAL PUBLIC COMPANY LIMITED</t>
        </is>
      </c>
      <c r="N161" s="4" t="inlineStr">
        <is>
          <t>RESIN</t>
        </is>
      </c>
      <c r="O161" s="4" t="inlineStr">
        <is>
          <t>*** REQ. GOOD &amp; CLEAN  CONT. .( NO SMELL)  ***</t>
        </is>
      </c>
      <c r="P161" s="4" t="inlineStr">
        <is>
          <t>CY-RTN : 02-09/10/2026</t>
        </is>
      </c>
      <c r="Q161" s="4" t="n">
        <v>0</v>
      </c>
      <c r="R161" s="4" t="n">
        <v>0</v>
      </c>
      <c r="S161" s="4" t="n">
        <v>2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>
        <f>SUM(Q161:Y161)-Z161</f>
        <v/>
      </c>
      <c r="AC161" s="4">
        <f>IF(I161="","",IF(OR(LEFT(I161,3)="BKK",I161="LCH55"),"BKK",IF(LEFT(I161,3)="LCH","LCH","OTHER")))</f>
        <v/>
      </c>
      <c r="AD161" s="4">
        <f>MAX(0,Q161-MAX(0,Z161))</f>
        <v/>
      </c>
      <c r="AE161" s="4">
        <f>MAX(0,R161-MAX(0,Z161-SUM(Q161:Q161)))</f>
        <v/>
      </c>
      <c r="AF161" s="4">
        <f>MAX(0,S161-MAX(0,Z161-SUM(Q161:R161)))</f>
        <v/>
      </c>
      <c r="AG161" s="4">
        <f>MAX(0,T161-MAX(0,Z161-SUM(Q161:S161)))</f>
        <v/>
      </c>
      <c r="AH161" s="4">
        <f>MAX(0,U161-MAX(0,Z161-SUM(Q161:T161)))</f>
        <v/>
      </c>
      <c r="AI161" s="4">
        <f>MAX(0,V161-MAX(0,Z161-SUM(Q161:U161)))</f>
        <v/>
      </c>
      <c r="AJ161" s="4">
        <f>MAX(0,W161-MAX(0,Z161-SUM(Q161:V161)))</f>
        <v/>
      </c>
      <c r="AK161" s="4">
        <f>MAX(0,X161-MAX(0,Z161-SUM(Q161:W161)))</f>
        <v/>
      </c>
      <c r="AL161" s="4">
        <f>MAX(0,Y161-MAX(0,Z161-SUM(Q161:X161)))</f>
        <v/>
      </c>
    </row>
    <row r="162">
      <c r="A162" s="4" t="inlineStr">
        <is>
          <t>HASLS22260902302</t>
        </is>
      </c>
      <c r="B162" s="4" t="inlineStr">
        <is>
          <t>SWIC</t>
        </is>
      </c>
      <c r="C162" s="4" t="inlineStr">
        <is>
          <t>2611N</t>
        </is>
      </c>
      <c r="D162" s="4" t="inlineStr">
        <is>
          <t>202610160400</t>
        </is>
      </c>
      <c r="E162" s="4" t="inlineStr"/>
      <c r="F162" s="4" t="inlineStr">
        <is>
          <t>THLCH</t>
        </is>
      </c>
      <c r="G162" s="4" t="inlineStr">
        <is>
          <t>VNSGN</t>
        </is>
      </c>
      <c r="H162" s="4" t="inlineStr">
        <is>
          <t xml:space="preserve">20'x2 </t>
        </is>
      </c>
      <c r="I162" s="4" t="inlineStr">
        <is>
          <t>LCHY5</t>
        </is>
      </c>
      <c r="J162" s="4" t="inlineStr">
        <is>
          <t>PW DEPOT CO., LTD.</t>
        </is>
      </c>
      <c r="K162" s="4" t="inlineStr">
        <is>
          <t>20261002</t>
        </is>
      </c>
      <c r="L162" s="4" t="inlineStr">
        <is>
          <t>WHA GC LOGISTICS COMPANY LIMITED</t>
        </is>
      </c>
      <c r="M162" s="4" t="inlineStr">
        <is>
          <t>PTT GLOBAL CHEMICAL PUBLIC COMPANY LIMITED</t>
        </is>
      </c>
      <c r="N162" s="4" t="inlineStr">
        <is>
          <t>RESIN</t>
        </is>
      </c>
      <c r="O162" s="4" t="inlineStr">
        <is>
          <t>*** REQ. GOOD &amp; CLEAN  CONT. .( NO SMELL)  ***</t>
        </is>
      </c>
      <c r="P162" s="4" t="inlineStr">
        <is>
          <t xml:space="preserve">CY : 02/10/26 , RTN : 04/10/26 [1ST RTN 08/10/2026 W/O RENT]
** PLEASE CHECK OPEN GATE BEFORE RETURN CONTAINER ** 
</t>
        </is>
      </c>
      <c r="Q162" s="4" t="n">
        <v>2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>
        <f>SUM(Q162:Y162)-Z162</f>
        <v/>
      </c>
      <c r="AC162" s="4">
        <f>IF(I162="","",IF(OR(LEFT(I162,3)="BKK",I162="LCH55"),"BKK",IF(LEFT(I162,3)="LCH","LCH","OTHER")))</f>
        <v/>
      </c>
      <c r="AD162" s="4">
        <f>MAX(0,Q162-MAX(0,Z162))</f>
        <v/>
      </c>
      <c r="AE162" s="4">
        <f>MAX(0,R162-MAX(0,Z162-SUM(Q162:Q162)))</f>
        <v/>
      </c>
      <c r="AF162" s="4">
        <f>MAX(0,S162-MAX(0,Z162-SUM(Q162:R162)))</f>
        <v/>
      </c>
      <c r="AG162" s="4">
        <f>MAX(0,T162-MAX(0,Z162-SUM(Q162:S162)))</f>
        <v/>
      </c>
      <c r="AH162" s="4">
        <f>MAX(0,U162-MAX(0,Z162-SUM(Q162:T162)))</f>
        <v/>
      </c>
      <c r="AI162" s="4">
        <f>MAX(0,V162-MAX(0,Z162-SUM(Q162:U162)))</f>
        <v/>
      </c>
      <c r="AJ162" s="4">
        <f>MAX(0,W162-MAX(0,Z162-SUM(Q162:V162)))</f>
        <v/>
      </c>
      <c r="AK162" s="4">
        <f>MAX(0,X162-MAX(0,Z162-SUM(Q162:W162)))</f>
        <v/>
      </c>
      <c r="AL162" s="4">
        <f>MAX(0,Y162-MAX(0,Z162-SUM(Q162:X162)))</f>
        <v/>
      </c>
    </row>
    <row r="163">
      <c r="A163" s="4" t="inlineStr">
        <is>
          <t>HASLS22260902303</t>
        </is>
      </c>
      <c r="B163" s="4" t="inlineStr">
        <is>
          <t>SWIC</t>
        </is>
      </c>
      <c r="C163" s="4" t="inlineStr">
        <is>
          <t>2611N</t>
        </is>
      </c>
      <c r="D163" s="4" t="inlineStr">
        <is>
          <t>202610160400</t>
        </is>
      </c>
      <c r="E163" s="4" t="inlineStr"/>
      <c r="F163" s="4" t="inlineStr">
        <is>
          <t>THLCH</t>
        </is>
      </c>
      <c r="G163" s="4" t="inlineStr">
        <is>
          <t>VNSGN</t>
        </is>
      </c>
      <c r="H163" s="4" t="inlineStr">
        <is>
          <t xml:space="preserve">20'x3 </t>
        </is>
      </c>
      <c r="I163" s="4" t="inlineStr">
        <is>
          <t>LCHY5</t>
        </is>
      </c>
      <c r="J163" s="4" t="inlineStr">
        <is>
          <t>PW DEPOT CO., LTD.</t>
        </is>
      </c>
      <c r="K163" s="4" t="inlineStr">
        <is>
          <t>20261002</t>
        </is>
      </c>
      <c r="L163" s="4" t="inlineStr">
        <is>
          <t>WHA GC LOGISTICS COMPANY LIMITED</t>
        </is>
      </c>
      <c r="M163" s="4" t="inlineStr">
        <is>
          <t>PTT GLOBAL CHEMICAL PUBLIC COMPANY LIMITED</t>
        </is>
      </c>
      <c r="N163" s="4" t="inlineStr">
        <is>
          <t>RESIN</t>
        </is>
      </c>
      <c r="O163" s="4" t="inlineStr">
        <is>
          <t>*** REQ. GOOD &amp; CLEAN  CONT. .( NO SMELL)  ***</t>
        </is>
      </c>
      <c r="P163" s="4" t="inlineStr">
        <is>
          <t xml:space="preserve">CY : 02/10/26 , RTN : 04/10/26 [1ST RTN 09/10/2026 W/O RENT]
** PLEASE CHECK OPEN GATE BEFORE RETURN CONTAINER ** 
</t>
        </is>
      </c>
      <c r="Q163" s="4" t="n">
        <v>3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>
        <f>SUM(Q163:Y163)-Z163</f>
        <v/>
      </c>
      <c r="AC163" s="4">
        <f>IF(I163="","",IF(OR(LEFT(I163,3)="BKK",I163="LCH55"),"BKK",IF(LEFT(I163,3)="LCH","LCH","OTHER")))</f>
        <v/>
      </c>
      <c r="AD163" s="4">
        <f>MAX(0,Q163-MAX(0,Z163))</f>
        <v/>
      </c>
      <c r="AE163" s="4">
        <f>MAX(0,R163-MAX(0,Z163-SUM(Q163:Q163)))</f>
        <v/>
      </c>
      <c r="AF163" s="4">
        <f>MAX(0,S163-MAX(0,Z163-SUM(Q163:R163)))</f>
        <v/>
      </c>
      <c r="AG163" s="4">
        <f>MAX(0,T163-MAX(0,Z163-SUM(Q163:S163)))</f>
        <v/>
      </c>
      <c r="AH163" s="4">
        <f>MAX(0,U163-MAX(0,Z163-SUM(Q163:T163)))</f>
        <v/>
      </c>
      <c r="AI163" s="4">
        <f>MAX(0,V163-MAX(0,Z163-SUM(Q163:U163)))</f>
        <v/>
      </c>
      <c r="AJ163" s="4">
        <f>MAX(0,W163-MAX(0,Z163-SUM(Q163:V163)))</f>
        <v/>
      </c>
      <c r="AK163" s="4">
        <f>MAX(0,X163-MAX(0,Z163-SUM(Q163:W163)))</f>
        <v/>
      </c>
      <c r="AL163" s="4">
        <f>MAX(0,Y163-MAX(0,Z163-SUM(Q163:X163)))</f>
        <v/>
      </c>
    </row>
    <row r="164">
      <c r="A164" s="4" t="inlineStr">
        <is>
          <t>HASLS22260902304</t>
        </is>
      </c>
      <c r="B164" s="4" t="inlineStr">
        <is>
          <t>SWIC</t>
        </is>
      </c>
      <c r="C164" s="4" t="inlineStr">
        <is>
          <t>2611N</t>
        </is>
      </c>
      <c r="D164" s="4" t="inlineStr">
        <is>
          <t>202610160400</t>
        </is>
      </c>
      <c r="E164" s="4" t="inlineStr"/>
      <c r="F164" s="4" t="inlineStr">
        <is>
          <t>THLCH</t>
        </is>
      </c>
      <c r="G164" s="4" t="inlineStr">
        <is>
          <t>VNSGN</t>
        </is>
      </c>
      <c r="H164" s="4" t="inlineStr">
        <is>
          <t xml:space="preserve">20'x1 </t>
        </is>
      </c>
      <c r="I164" s="4" t="inlineStr">
        <is>
          <t>LCHY5</t>
        </is>
      </c>
      <c r="J164" s="4" t="inlineStr">
        <is>
          <t>PW DEPOT CO., LTD.</t>
        </is>
      </c>
      <c r="K164" s="4" t="inlineStr">
        <is>
          <t>20261002</t>
        </is>
      </c>
      <c r="L164" s="4" t="inlineStr">
        <is>
          <t>WHA GC LOGISTICS COMPANY LIMITED</t>
        </is>
      </c>
      <c r="M164" s="4" t="inlineStr">
        <is>
          <t>PTT GLOBAL CHEMICAL PUBLIC COMPANY LIMITED</t>
        </is>
      </c>
      <c r="N164" s="4" t="inlineStr">
        <is>
          <t>RESIN</t>
        </is>
      </c>
      <c r="O164" s="4" t="inlineStr">
        <is>
          <t>*** REQ. GOOD &amp; CLEAN  CONT. .( NO SMELL)  ***</t>
        </is>
      </c>
      <c r="P164" s="4" t="inlineStr">
        <is>
          <t xml:space="preserve">CY : 02/10/26 , RTN : 04/10/26 [1ST RTN 09/10/2026 W/O RENT]
** PLEASE CHECK OPEN GATE BEFORE RETURN CONTAINER ** 
</t>
        </is>
      </c>
      <c r="Q164" s="4" t="n">
        <v>1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>
        <f>SUM(Q164:Y164)-Z164</f>
        <v/>
      </c>
      <c r="AC164" s="4">
        <f>IF(I164="","",IF(OR(LEFT(I164,3)="BKK",I164="LCH55"),"BKK",IF(LEFT(I164,3)="LCH","LCH","OTHER")))</f>
        <v/>
      </c>
      <c r="AD164" s="4">
        <f>MAX(0,Q164-MAX(0,Z164))</f>
        <v/>
      </c>
      <c r="AE164" s="4">
        <f>MAX(0,R164-MAX(0,Z164-SUM(Q164:Q164)))</f>
        <v/>
      </c>
      <c r="AF164" s="4">
        <f>MAX(0,S164-MAX(0,Z164-SUM(Q164:R164)))</f>
        <v/>
      </c>
      <c r="AG164" s="4">
        <f>MAX(0,T164-MAX(0,Z164-SUM(Q164:S164)))</f>
        <v/>
      </c>
      <c r="AH164" s="4">
        <f>MAX(0,U164-MAX(0,Z164-SUM(Q164:T164)))</f>
        <v/>
      </c>
      <c r="AI164" s="4">
        <f>MAX(0,V164-MAX(0,Z164-SUM(Q164:U164)))</f>
        <v/>
      </c>
      <c r="AJ164" s="4">
        <f>MAX(0,W164-MAX(0,Z164-SUM(Q164:V164)))</f>
        <v/>
      </c>
      <c r="AK164" s="4">
        <f>MAX(0,X164-MAX(0,Z164-SUM(Q164:W164)))</f>
        <v/>
      </c>
      <c r="AL164" s="4">
        <f>MAX(0,Y164-MAX(0,Z164-SUM(Q164:X164)))</f>
        <v/>
      </c>
    </row>
    <row r="165">
      <c r="A165" s="4" t="inlineStr">
        <is>
          <t>HASLS22260902328</t>
        </is>
      </c>
      <c r="B165" s="4" t="inlineStr">
        <is>
          <t>TBN</t>
        </is>
      </c>
      <c r="C165" s="4" t="inlineStr">
        <is>
          <t>001</t>
        </is>
      </c>
      <c r="D165" s="4" t="inlineStr"/>
      <c r="E165" s="4" t="inlineStr"/>
      <c r="F165" s="4" t="inlineStr">
        <is>
          <t>THLCH</t>
        </is>
      </c>
      <c r="G165" s="4" t="inlineStr">
        <is>
          <t>JPYKK</t>
        </is>
      </c>
      <c r="H165" s="4" t="inlineStr">
        <is>
          <t xml:space="preserve">20'x5 </t>
        </is>
      </c>
      <c r="I165" s="4" t="inlineStr">
        <is>
          <t>LCHY5</t>
        </is>
      </c>
      <c r="J165" s="4" t="inlineStr">
        <is>
          <t>PW DEPOT CO., LTD.</t>
        </is>
      </c>
      <c r="K165" s="4" t="inlineStr">
        <is>
          <t>20261003</t>
        </is>
      </c>
      <c r="L165" s="4" t="inlineStr">
        <is>
          <t>DOW CHEMICAL THAILAND LTD.</t>
        </is>
      </c>
      <c r="M165" s="4" t="inlineStr">
        <is>
          <t>DOW CHEMICAL THAILAND LTD.</t>
        </is>
      </c>
      <c r="N165" s="4" t="inlineStr">
        <is>
          <t>RESIN</t>
        </is>
      </c>
      <c r="O165" s="4" t="inlineStr">
        <is>
          <t>RQST CNTR SEABULK &amp; GRADE A</t>
        </is>
      </c>
      <c r="P165" s="4" t="inlineStr">
        <is>
          <t>CY CNTR DD.03/10/2026 RQST CNTR SEABULK &amp; GRADE A</t>
        </is>
      </c>
      <c r="Q165" s="4" t="n">
        <v>5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>
        <f>SUM(Q165:Y165)-Z165</f>
        <v/>
      </c>
      <c r="AC165" s="4">
        <f>IF(I165="","",IF(OR(LEFT(I165,3)="BKK",I165="LCH55"),"BKK",IF(LEFT(I165,3)="LCH","LCH","OTHER")))</f>
        <v/>
      </c>
      <c r="AD165" s="4">
        <f>MAX(0,Q165-MAX(0,Z165))</f>
        <v/>
      </c>
      <c r="AE165" s="4">
        <f>MAX(0,R165-MAX(0,Z165-SUM(Q165:Q165)))</f>
        <v/>
      </c>
      <c r="AF165" s="4">
        <f>MAX(0,S165-MAX(0,Z165-SUM(Q165:R165)))</f>
        <v/>
      </c>
      <c r="AG165" s="4">
        <f>MAX(0,T165-MAX(0,Z165-SUM(Q165:S165)))</f>
        <v/>
      </c>
      <c r="AH165" s="4">
        <f>MAX(0,U165-MAX(0,Z165-SUM(Q165:T165)))</f>
        <v/>
      </c>
      <c r="AI165" s="4">
        <f>MAX(0,V165-MAX(0,Z165-SUM(Q165:U165)))</f>
        <v/>
      </c>
      <c r="AJ165" s="4">
        <f>MAX(0,W165-MAX(0,Z165-SUM(Q165:V165)))</f>
        <v/>
      </c>
      <c r="AK165" s="4">
        <f>MAX(0,X165-MAX(0,Z165-SUM(Q165:W165)))</f>
        <v/>
      </c>
      <c r="AL165" s="4">
        <f>MAX(0,Y165-MAX(0,Z165-SUM(Q165:X165)))</f>
        <v/>
      </c>
    </row>
    <row r="166">
      <c r="A166" s="4" t="inlineStr">
        <is>
          <t>HASLS22260902351</t>
        </is>
      </c>
      <c r="B166" s="4" t="inlineStr">
        <is>
          <t>SWVG</t>
        </is>
      </c>
      <c r="C166" s="4" t="inlineStr">
        <is>
          <t>2612N</t>
        </is>
      </c>
      <c r="D166" s="4" t="inlineStr">
        <is>
          <t>202610070930</t>
        </is>
      </c>
      <c r="E166" s="4" t="inlineStr"/>
      <c r="F166" s="4" t="inlineStr">
        <is>
          <t>THLCH</t>
        </is>
      </c>
      <c r="G166" s="4" t="inlineStr">
        <is>
          <t>RUVVO</t>
        </is>
      </c>
      <c r="H166" s="4" t="inlineStr">
        <is>
          <t xml:space="preserve">40Hx1 </t>
        </is>
      </c>
      <c r="I166" s="4" t="inlineStr">
        <is>
          <t>LCHY5</t>
        </is>
      </c>
      <c r="J166" s="4" t="inlineStr">
        <is>
          <t>PW DEPOT CO., LTD.</t>
        </is>
      </c>
      <c r="K166" s="4" t="inlineStr">
        <is>
          <t>20261002</t>
        </is>
      </c>
      <c r="L166" s="4" t="inlineStr">
        <is>
          <t>SRITHAI TOYO LOGISTICS CO., LTD.</t>
        </is>
      </c>
      <c r="M166" s="4" t="inlineStr">
        <is>
          <t>YOKOHAMA TIRE MANUFACTURING (THAILAND) CO., LTD.</t>
        </is>
      </c>
      <c r="N166" s="4" t="inlineStr">
        <is>
          <t>NEW TIRE</t>
        </is>
      </c>
      <c r="O166" s="4" t="inlineStr">
        <is>
          <t>RQST CNTR GRADE A</t>
        </is>
      </c>
      <c r="P166" s="4" t="inlineStr">
        <is>
          <t xml:space="preserve">CY-RTN : 02-05/10/2026 
RQST CNTR GRADE A
REF : WK41
</t>
        </is>
      </c>
      <c r="Q166" s="4" t="n">
        <v>0</v>
      </c>
      <c r="R166" s="4" t="n">
        <v>0</v>
      </c>
      <c r="S166" s="4" t="n">
        <v>1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>
        <f>SUM(Q166:Y166)-Z166</f>
        <v/>
      </c>
      <c r="AC166" s="4">
        <f>IF(I166="","",IF(OR(LEFT(I166,3)="BKK",I166="LCH55"),"BKK",IF(LEFT(I166,3)="LCH","LCH","OTHER")))</f>
        <v/>
      </c>
      <c r="AD166" s="4">
        <f>MAX(0,Q166-MAX(0,Z166))</f>
        <v/>
      </c>
      <c r="AE166" s="4">
        <f>MAX(0,R166-MAX(0,Z166-SUM(Q166:Q166)))</f>
        <v/>
      </c>
      <c r="AF166" s="4">
        <f>MAX(0,S166-MAX(0,Z166-SUM(Q166:R166)))</f>
        <v/>
      </c>
      <c r="AG166" s="4">
        <f>MAX(0,T166-MAX(0,Z166-SUM(Q166:S166)))</f>
        <v/>
      </c>
      <c r="AH166" s="4">
        <f>MAX(0,U166-MAX(0,Z166-SUM(Q166:T166)))</f>
        <v/>
      </c>
      <c r="AI166" s="4">
        <f>MAX(0,V166-MAX(0,Z166-SUM(Q166:U166)))</f>
        <v/>
      </c>
      <c r="AJ166" s="4">
        <f>MAX(0,W166-MAX(0,Z166-SUM(Q166:V166)))</f>
        <v/>
      </c>
      <c r="AK166" s="4">
        <f>MAX(0,X166-MAX(0,Z166-SUM(Q166:W166)))</f>
        <v/>
      </c>
      <c r="AL166" s="4">
        <f>MAX(0,Y166-MAX(0,Z166-SUM(Q166:X166)))</f>
        <v/>
      </c>
    </row>
    <row r="167">
      <c r="A167" s="4" t="inlineStr">
        <is>
          <t>HASLS22260902358</t>
        </is>
      </c>
      <c r="B167" s="4" t="inlineStr">
        <is>
          <t>SWRG</t>
        </is>
      </c>
      <c r="C167" s="4" t="inlineStr">
        <is>
          <t>2609N</t>
        </is>
      </c>
      <c r="D167" s="4" t="inlineStr">
        <is>
          <t>202610141700</t>
        </is>
      </c>
      <c r="E167" s="4" t="inlineStr"/>
      <c r="F167" s="4" t="inlineStr">
        <is>
          <t>THLCH</t>
        </is>
      </c>
      <c r="G167" s="4" t="inlineStr">
        <is>
          <t>CNSHA</t>
        </is>
      </c>
      <c r="H167" s="4" t="inlineStr">
        <is>
          <t xml:space="preserve">40Hx8 </t>
        </is>
      </c>
      <c r="I167" s="4" t="inlineStr">
        <is>
          <t>LCHY5</t>
        </is>
      </c>
      <c r="J167" s="4" t="inlineStr">
        <is>
          <t>PW DEPOT CO., LTD.</t>
        </is>
      </c>
      <c r="K167" s="4" t="inlineStr">
        <is>
          <t>20261002</t>
        </is>
      </c>
      <c r="L167" s="4" t="inlineStr">
        <is>
          <t>WHA GC LOGISTICS COMPANY LIMITED</t>
        </is>
      </c>
      <c r="M167" s="4" t="inlineStr">
        <is>
          <t>PTT GLOBAL CHEMICAL PUBLIC COMPANY LIMITED</t>
        </is>
      </c>
      <c r="N167" s="4" t="inlineStr">
        <is>
          <t>RESIN</t>
        </is>
      </c>
      <c r="O167" s="4" t="inlineStr">
        <is>
          <t>GOOD AND CLEAN CONTAINER</t>
        </is>
      </c>
      <c r="P167" s="4" t="inlineStr">
        <is>
          <t xml:space="preserve">CY-RTN : 02-05/10/2026
 </t>
        </is>
      </c>
      <c r="Q167" s="4" t="n">
        <v>0</v>
      </c>
      <c r="R167" s="4" t="n">
        <v>0</v>
      </c>
      <c r="S167" s="4" t="n">
        <v>8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>
        <f>SUM(Q167:Y167)-Z167</f>
        <v/>
      </c>
      <c r="AC167" s="4">
        <f>IF(I167="","",IF(OR(LEFT(I167,3)="BKK",I167="LCH55"),"BKK",IF(LEFT(I167,3)="LCH","LCH","OTHER")))</f>
        <v/>
      </c>
      <c r="AD167" s="4">
        <f>MAX(0,Q167-MAX(0,Z167))</f>
        <v/>
      </c>
      <c r="AE167" s="4">
        <f>MAX(0,R167-MAX(0,Z167-SUM(Q167:Q167)))</f>
        <v/>
      </c>
      <c r="AF167" s="4">
        <f>MAX(0,S167-MAX(0,Z167-SUM(Q167:R167)))</f>
        <v/>
      </c>
      <c r="AG167" s="4">
        <f>MAX(0,T167-MAX(0,Z167-SUM(Q167:S167)))</f>
        <v/>
      </c>
      <c r="AH167" s="4">
        <f>MAX(0,U167-MAX(0,Z167-SUM(Q167:T167)))</f>
        <v/>
      </c>
      <c r="AI167" s="4">
        <f>MAX(0,V167-MAX(0,Z167-SUM(Q167:U167)))</f>
        <v/>
      </c>
      <c r="AJ167" s="4">
        <f>MAX(0,W167-MAX(0,Z167-SUM(Q167:V167)))</f>
        <v/>
      </c>
      <c r="AK167" s="4">
        <f>MAX(0,X167-MAX(0,Z167-SUM(Q167:W167)))</f>
        <v/>
      </c>
      <c r="AL167" s="4">
        <f>MAX(0,Y167-MAX(0,Z167-SUM(Q167:X167)))</f>
        <v/>
      </c>
    </row>
    <row r="168">
      <c r="A168" s="4" t="inlineStr">
        <is>
          <t>HASLS22260902370</t>
        </is>
      </c>
      <c r="B168" s="4" t="inlineStr">
        <is>
          <t>SWSR</t>
        </is>
      </c>
      <c r="C168" s="4" t="inlineStr">
        <is>
          <t>2611N</t>
        </is>
      </c>
      <c r="D168" s="4" t="inlineStr">
        <is>
          <t>202610130600</t>
        </is>
      </c>
      <c r="E168" s="4" t="inlineStr"/>
      <c r="F168" s="4" t="inlineStr">
        <is>
          <t>THLCH</t>
        </is>
      </c>
      <c r="G168" s="4" t="inlineStr">
        <is>
          <t>HKHKG</t>
        </is>
      </c>
      <c r="H168" s="4" t="inlineStr">
        <is>
          <t xml:space="preserve">20'x2 </t>
        </is>
      </c>
      <c r="I168" s="4" t="inlineStr">
        <is>
          <t>LCHY5</t>
        </is>
      </c>
      <c r="J168" s="4" t="inlineStr">
        <is>
          <t>PW DEPOT CO., LTD.</t>
        </is>
      </c>
      <c r="K168" s="4" t="inlineStr">
        <is>
          <t>20261003</t>
        </is>
      </c>
      <c r="L168" s="4" t="inlineStr">
        <is>
          <t>DOUBLE A (1991) PUBLIC COMPANY LIMITED</t>
        </is>
      </c>
      <c r="M168" s="4" t="inlineStr">
        <is>
          <t>DOUBLE A (1991) PUBLIC COMPANY LIMITED</t>
        </is>
      </c>
      <c r="N168" s="4" t="inlineStr">
        <is>
          <t>PAPER</t>
        </is>
      </c>
      <c r="O168" s="4" t="inlineStr">
        <is>
          <t>GOOD AND CLEAN CTNR</t>
        </is>
      </c>
      <c r="P168" s="4" t="inlineStr">
        <is>
          <t>CY-RTN : 03-06/10/2026
REF : PI-HK-TH-DA-26100003
FRT $35, FREE TIME 14/14, DTHC(HKD)2000</t>
        </is>
      </c>
      <c r="Q168" s="4" t="n">
        <v>2</v>
      </c>
      <c r="R168" s="4" t="n">
        <v>0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>
        <f>SUM(Q168:Y168)-Z168</f>
        <v/>
      </c>
      <c r="AC168" s="4">
        <f>IF(I168="","",IF(OR(LEFT(I168,3)="BKK",I168="LCH55"),"BKK",IF(LEFT(I168,3)="LCH","LCH","OTHER")))</f>
        <v/>
      </c>
      <c r="AD168" s="4">
        <f>MAX(0,Q168-MAX(0,Z168))</f>
        <v/>
      </c>
      <c r="AE168" s="4">
        <f>MAX(0,R168-MAX(0,Z168-SUM(Q168:Q168)))</f>
        <v/>
      </c>
      <c r="AF168" s="4">
        <f>MAX(0,S168-MAX(0,Z168-SUM(Q168:R168)))</f>
        <v/>
      </c>
      <c r="AG168" s="4">
        <f>MAX(0,T168-MAX(0,Z168-SUM(Q168:S168)))</f>
        <v/>
      </c>
      <c r="AH168" s="4">
        <f>MAX(0,U168-MAX(0,Z168-SUM(Q168:T168)))</f>
        <v/>
      </c>
      <c r="AI168" s="4">
        <f>MAX(0,V168-MAX(0,Z168-SUM(Q168:U168)))</f>
        <v/>
      </c>
      <c r="AJ168" s="4">
        <f>MAX(0,W168-MAX(0,Z168-SUM(Q168:V168)))</f>
        <v/>
      </c>
      <c r="AK168" s="4">
        <f>MAX(0,X168-MAX(0,Z168-SUM(Q168:W168)))</f>
        <v/>
      </c>
      <c r="AL168" s="4">
        <f>MAX(0,Y168-MAX(0,Z168-SUM(Q168:X168)))</f>
        <v/>
      </c>
    </row>
    <row r="169">
      <c r="A169" s="4" t="inlineStr">
        <is>
          <t>HASLS22260902390</t>
        </is>
      </c>
      <c r="B169" s="4" t="inlineStr">
        <is>
          <t>SWRG</t>
        </is>
      </c>
      <c r="C169" s="4" t="inlineStr">
        <is>
          <t>2609N</t>
        </is>
      </c>
      <c r="D169" s="4" t="inlineStr">
        <is>
          <t>202610141700</t>
        </is>
      </c>
      <c r="E169" s="4" t="inlineStr"/>
      <c r="F169" s="4" t="inlineStr">
        <is>
          <t>THLCH</t>
        </is>
      </c>
      <c r="G169" s="4" t="inlineStr">
        <is>
          <t>JPKIJ</t>
        </is>
      </c>
      <c r="H169" s="4" t="inlineStr">
        <is>
          <t xml:space="preserve">20'x2 </t>
        </is>
      </c>
      <c r="I169" s="4" t="inlineStr">
        <is>
          <t>LCHY5</t>
        </is>
      </c>
      <c r="J169" s="4" t="inlineStr">
        <is>
          <t>PW DEPOT CO., LTD.</t>
        </is>
      </c>
      <c r="K169" s="4" t="inlineStr">
        <is>
          <t>20261005</t>
        </is>
      </c>
      <c r="L169" s="4" t="inlineStr">
        <is>
          <t>IRPC PUBLIC COMPANY LIMITED</t>
        </is>
      </c>
      <c r="M169" s="4" t="inlineStr">
        <is>
          <t>IRPC PUBLIC COMPANY LIMITED</t>
        </is>
      </c>
      <c r="N169" s="4" t="inlineStr">
        <is>
          <t>RESIN</t>
        </is>
      </c>
      <c r="O169" s="4" t="inlineStr">
        <is>
          <t>GOOD AND CLEAN CTNR</t>
        </is>
      </c>
      <c r="P169" s="4" t="inlineStr">
        <is>
          <t>CY-RTN 05-07/10/26 (PI26090085-1)</t>
        </is>
      </c>
      <c r="Q169" s="4" t="n">
        <v>2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>
        <f>SUM(Q169:Y169)-Z169</f>
        <v/>
      </c>
      <c r="AC169" s="4">
        <f>IF(I169="","",IF(OR(LEFT(I169,3)="BKK",I169="LCH55"),"BKK",IF(LEFT(I169,3)="LCH","LCH","OTHER")))</f>
        <v/>
      </c>
      <c r="AD169" s="4">
        <f>MAX(0,Q169-MAX(0,Z169))</f>
        <v/>
      </c>
      <c r="AE169" s="4">
        <f>MAX(0,R169-MAX(0,Z169-SUM(Q169:Q169)))</f>
        <v/>
      </c>
      <c r="AF169" s="4">
        <f>MAX(0,S169-MAX(0,Z169-SUM(Q169:R169)))</f>
        <v/>
      </c>
      <c r="AG169" s="4">
        <f>MAX(0,T169-MAX(0,Z169-SUM(Q169:S169)))</f>
        <v/>
      </c>
      <c r="AH169" s="4">
        <f>MAX(0,U169-MAX(0,Z169-SUM(Q169:T169)))</f>
        <v/>
      </c>
      <c r="AI169" s="4">
        <f>MAX(0,V169-MAX(0,Z169-SUM(Q169:U169)))</f>
        <v/>
      </c>
      <c r="AJ169" s="4">
        <f>MAX(0,W169-MAX(0,Z169-SUM(Q169:V169)))</f>
        <v/>
      </c>
      <c r="AK169" s="4">
        <f>MAX(0,X169-MAX(0,Z169-SUM(Q169:W169)))</f>
        <v/>
      </c>
      <c r="AL169" s="4">
        <f>MAX(0,Y169-MAX(0,Z169-SUM(Q169:X169)))</f>
        <v/>
      </c>
    </row>
    <row r="170">
      <c r="A170" s="4" t="inlineStr">
        <is>
          <t>HASLS22260902432</t>
        </is>
      </c>
      <c r="B170" s="4" t="inlineStr">
        <is>
          <t>KXM</t>
        </is>
      </c>
      <c r="C170" s="4" t="inlineStr">
        <is>
          <t>2608S</t>
        </is>
      </c>
      <c r="D170" s="4" t="inlineStr">
        <is>
          <t>202610101500</t>
        </is>
      </c>
      <c r="E170" s="4" t="inlineStr"/>
      <c r="F170" s="4" t="inlineStr">
        <is>
          <t>THLCH</t>
        </is>
      </c>
      <c r="G170" s="4" t="inlineStr">
        <is>
          <t>IDJKT</t>
        </is>
      </c>
      <c r="H170" s="4" t="inlineStr">
        <is>
          <t xml:space="preserve">20'x1 </t>
        </is>
      </c>
      <c r="I170" s="4" t="inlineStr">
        <is>
          <t>LCHY5</t>
        </is>
      </c>
      <c r="J170" s="4" t="inlineStr">
        <is>
          <t>PW DEPOT CO., LTD.</t>
        </is>
      </c>
      <c r="K170" s="4" t="inlineStr">
        <is>
          <t>20261002</t>
        </is>
      </c>
      <c r="L170" s="4" t="inlineStr">
        <is>
          <t>UBE CHEMICALS (ASIA) PUBLIC COMPANY LIMITED</t>
        </is>
      </c>
      <c r="M170" s="4" t="inlineStr">
        <is>
          <t>UBE CHEMICALS (ASIA) PUBLIC COMPANY LIMITED</t>
        </is>
      </c>
      <c r="N170" s="4" t="inlineStr">
        <is>
          <t xml:space="preserve">POLYAMIDE RESIN </t>
        </is>
      </c>
      <c r="O170" s="4" t="inlineStr">
        <is>
          <t>Sound and Clean</t>
        </is>
      </c>
      <c r="P170" s="4" t="inlineStr">
        <is>
          <t>CY -RTN : 02-05/10/2026 (2002054616)</t>
        </is>
      </c>
      <c r="Q170" s="4" t="n">
        <v>1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>
        <f>SUM(Q170:Y170)-Z170</f>
        <v/>
      </c>
      <c r="AC170" s="4">
        <f>IF(I170="","",IF(OR(LEFT(I170,3)="BKK",I170="LCH55"),"BKK",IF(LEFT(I170,3)="LCH","LCH","OTHER")))</f>
        <v/>
      </c>
      <c r="AD170" s="4">
        <f>MAX(0,Q170-MAX(0,Z170))</f>
        <v/>
      </c>
      <c r="AE170" s="4">
        <f>MAX(0,R170-MAX(0,Z170-SUM(Q170:Q170)))</f>
        <v/>
      </c>
      <c r="AF170" s="4">
        <f>MAX(0,S170-MAX(0,Z170-SUM(Q170:R170)))</f>
        <v/>
      </c>
      <c r="AG170" s="4">
        <f>MAX(0,T170-MAX(0,Z170-SUM(Q170:S170)))</f>
        <v/>
      </c>
      <c r="AH170" s="4">
        <f>MAX(0,U170-MAX(0,Z170-SUM(Q170:T170)))</f>
        <v/>
      </c>
      <c r="AI170" s="4">
        <f>MAX(0,V170-MAX(0,Z170-SUM(Q170:U170)))</f>
        <v/>
      </c>
      <c r="AJ170" s="4">
        <f>MAX(0,W170-MAX(0,Z170-SUM(Q170:V170)))</f>
        <v/>
      </c>
      <c r="AK170" s="4">
        <f>MAX(0,X170-MAX(0,Z170-SUM(Q170:W170)))</f>
        <v/>
      </c>
      <c r="AL170" s="4">
        <f>MAX(0,Y170-MAX(0,Z170-SUM(Q170:X170)))</f>
        <v/>
      </c>
    </row>
    <row r="171">
      <c r="A171" s="4" t="inlineStr">
        <is>
          <t>HASLS22260902438</t>
        </is>
      </c>
      <c r="B171" s="4" t="inlineStr">
        <is>
          <t>SWSP</t>
        </is>
      </c>
      <c r="C171" s="4" t="inlineStr">
        <is>
          <t>2609N</t>
        </is>
      </c>
      <c r="D171" s="4" t="inlineStr">
        <is>
          <t>202610071530</t>
        </is>
      </c>
      <c r="E171" s="4" t="inlineStr"/>
      <c r="F171" s="4" t="inlineStr">
        <is>
          <t>THLCH</t>
        </is>
      </c>
      <c r="G171" s="4" t="inlineStr">
        <is>
          <t>JPTOS</t>
        </is>
      </c>
      <c r="H171" s="4" t="inlineStr">
        <is>
          <t xml:space="preserve">20'x6 </t>
        </is>
      </c>
      <c r="I171" s="4" t="inlineStr">
        <is>
          <t>LCHY5</t>
        </is>
      </c>
      <c r="J171" s="4" t="inlineStr">
        <is>
          <t>PW DEPOT CO., LTD.</t>
        </is>
      </c>
      <c r="K171" s="4" t="inlineStr">
        <is>
          <t>20261003</t>
        </is>
      </c>
      <c r="L171" s="4" t="inlineStr">
        <is>
          <t>AWOT GLOBAL LOGISTICS (THAILAND) CO., LTD.</t>
        </is>
      </c>
      <c r="M171" s="4" t="inlineStr">
        <is>
          <t>DELTA DAIKI METAL (THAILAND) CO.,LTD.</t>
        </is>
      </c>
      <c r="N171" s="4" t="inlineStr">
        <is>
          <t>ALUMINUM</t>
        </is>
      </c>
      <c r="O171" s="4" t="inlineStr">
        <is>
          <t>GOOD AND CLEAN CONTAINER</t>
        </is>
      </c>
      <c r="P171" s="4" t="inlineStr">
        <is>
          <t>Pickup : 2026-10-03, Return : 2026-10-05</t>
        </is>
      </c>
      <c r="Q171" s="4" t="n">
        <v>6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>
        <f>SUM(Q171:Y171)-Z171</f>
        <v/>
      </c>
      <c r="AC171" s="4">
        <f>IF(I171="","",IF(OR(LEFT(I171,3)="BKK",I171="LCH55"),"BKK",IF(LEFT(I171,3)="LCH","LCH","OTHER")))</f>
        <v/>
      </c>
      <c r="AD171" s="4">
        <f>MAX(0,Q171-MAX(0,Z171))</f>
        <v/>
      </c>
      <c r="AE171" s="4">
        <f>MAX(0,R171-MAX(0,Z171-SUM(Q171:Q171)))</f>
        <v/>
      </c>
      <c r="AF171" s="4">
        <f>MAX(0,S171-MAX(0,Z171-SUM(Q171:R171)))</f>
        <v/>
      </c>
      <c r="AG171" s="4">
        <f>MAX(0,T171-MAX(0,Z171-SUM(Q171:S171)))</f>
        <v/>
      </c>
      <c r="AH171" s="4">
        <f>MAX(0,U171-MAX(0,Z171-SUM(Q171:T171)))</f>
        <v/>
      </c>
      <c r="AI171" s="4">
        <f>MAX(0,V171-MAX(0,Z171-SUM(Q171:U171)))</f>
        <v/>
      </c>
      <c r="AJ171" s="4">
        <f>MAX(0,W171-MAX(0,Z171-SUM(Q171:V171)))</f>
        <v/>
      </c>
      <c r="AK171" s="4">
        <f>MAX(0,X171-MAX(0,Z171-SUM(Q171:W171)))</f>
        <v/>
      </c>
      <c r="AL171" s="4">
        <f>MAX(0,Y171-MAX(0,Z171-SUM(Q171:X171)))</f>
        <v/>
      </c>
    </row>
    <row r="172">
      <c r="A172" s="4" t="inlineStr">
        <is>
          <t>HASLS22260902440</t>
        </is>
      </c>
      <c r="B172" s="4" t="inlineStr">
        <is>
          <t>KXM</t>
        </is>
      </c>
      <c r="C172" s="4" t="inlineStr">
        <is>
          <t>2608S</t>
        </is>
      </c>
      <c r="D172" s="4" t="inlineStr">
        <is>
          <t>202610101500</t>
        </is>
      </c>
      <c r="E172" s="4" t="inlineStr"/>
      <c r="F172" s="4" t="inlineStr">
        <is>
          <t>THLCH</t>
        </is>
      </c>
      <c r="G172" s="4" t="inlineStr">
        <is>
          <t>IDJKT</t>
        </is>
      </c>
      <c r="H172" s="4" t="inlineStr">
        <is>
          <t xml:space="preserve">20'x1 </t>
        </is>
      </c>
      <c r="I172" s="4" t="inlineStr">
        <is>
          <t>LCHY5</t>
        </is>
      </c>
      <c r="J172" s="4" t="inlineStr">
        <is>
          <t>PW DEPOT CO., LTD.</t>
        </is>
      </c>
      <c r="K172" s="4" t="inlineStr">
        <is>
          <t>20261002</t>
        </is>
      </c>
      <c r="L172" s="4" t="inlineStr">
        <is>
          <t>UBE CHEMICALS (ASIA) PUBLIC COMPANY LIMITED</t>
        </is>
      </c>
      <c r="M172" s="4" t="inlineStr">
        <is>
          <t>UBE CHEMICALS (ASIA) PUBLIC COMPANY LIMITED</t>
        </is>
      </c>
      <c r="N172" s="4" t="inlineStr">
        <is>
          <t xml:space="preserve">POLYAMIDE RESIN </t>
        </is>
      </c>
      <c r="O172" s="4" t="inlineStr">
        <is>
          <t>Sound and Clean</t>
        </is>
      </c>
      <c r="P172" s="4" t="inlineStr">
        <is>
          <t>CY -RTN : 02-05/10/2026 (2002054572)</t>
        </is>
      </c>
      <c r="Q172" s="4" t="n">
        <v>1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>
        <f>SUM(Q172:Y172)-Z172</f>
        <v/>
      </c>
      <c r="AC172" s="4">
        <f>IF(I172="","",IF(OR(LEFT(I172,3)="BKK",I172="LCH55"),"BKK",IF(LEFT(I172,3)="LCH","LCH","OTHER")))</f>
        <v/>
      </c>
      <c r="AD172" s="4">
        <f>MAX(0,Q172-MAX(0,Z172))</f>
        <v/>
      </c>
      <c r="AE172" s="4">
        <f>MAX(0,R172-MAX(0,Z172-SUM(Q172:Q172)))</f>
        <v/>
      </c>
      <c r="AF172" s="4">
        <f>MAX(0,S172-MAX(0,Z172-SUM(Q172:R172)))</f>
        <v/>
      </c>
      <c r="AG172" s="4">
        <f>MAX(0,T172-MAX(0,Z172-SUM(Q172:S172)))</f>
        <v/>
      </c>
      <c r="AH172" s="4">
        <f>MAX(0,U172-MAX(0,Z172-SUM(Q172:T172)))</f>
        <v/>
      </c>
      <c r="AI172" s="4">
        <f>MAX(0,V172-MAX(0,Z172-SUM(Q172:U172)))</f>
        <v/>
      </c>
      <c r="AJ172" s="4">
        <f>MAX(0,W172-MAX(0,Z172-SUM(Q172:V172)))</f>
        <v/>
      </c>
      <c r="AK172" s="4">
        <f>MAX(0,X172-MAX(0,Z172-SUM(Q172:W172)))</f>
        <v/>
      </c>
      <c r="AL172" s="4">
        <f>MAX(0,Y172-MAX(0,Z172-SUM(Q172:X172)))</f>
        <v/>
      </c>
    </row>
    <row r="173">
      <c r="A173" s="4" t="inlineStr">
        <is>
          <t>HASLS22260902445</t>
        </is>
      </c>
      <c r="B173" s="4" t="inlineStr">
        <is>
          <t>KXM</t>
        </is>
      </c>
      <c r="C173" s="4" t="inlineStr">
        <is>
          <t>2608S</t>
        </is>
      </c>
      <c r="D173" s="4" t="inlineStr">
        <is>
          <t>202610101500</t>
        </is>
      </c>
      <c r="E173" s="4" t="inlineStr"/>
      <c r="F173" s="4" t="inlineStr">
        <is>
          <t>THLCH</t>
        </is>
      </c>
      <c r="G173" s="4" t="inlineStr">
        <is>
          <t>IDJKT</t>
        </is>
      </c>
      <c r="H173" s="4" t="inlineStr">
        <is>
          <t xml:space="preserve">20'x1 </t>
        </is>
      </c>
      <c r="I173" s="4" t="inlineStr">
        <is>
          <t>LCHY5</t>
        </is>
      </c>
      <c r="J173" s="4" t="inlineStr">
        <is>
          <t>PW DEPOT CO., LTD.</t>
        </is>
      </c>
      <c r="K173" s="4" t="inlineStr">
        <is>
          <t>20261005</t>
        </is>
      </c>
      <c r="L173" s="4" t="inlineStr">
        <is>
          <t>UBE CHEMICALS (ASIA) PUBLIC COMPANY LIMITED</t>
        </is>
      </c>
      <c r="M173" s="4" t="inlineStr">
        <is>
          <t>UBE CHEMICALS (ASIA) PUBLIC COMPANY LIMITED</t>
        </is>
      </c>
      <c r="N173" s="4" t="inlineStr">
        <is>
          <t xml:space="preserve">POLYAMIDE RESIN </t>
        </is>
      </c>
      <c r="O173" s="4" t="inlineStr">
        <is>
          <t>Sound and Clean</t>
        </is>
      </c>
      <c r="P173" s="4" t="inlineStr">
        <is>
          <t>CY -RTN : 05-06/10/2026 (2002054256)</t>
        </is>
      </c>
      <c r="Q173" s="4" t="n">
        <v>1</v>
      </c>
      <c r="R173" s="4" t="n">
        <v>0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>
        <f>SUM(Q173:Y173)-Z173</f>
        <v/>
      </c>
      <c r="AC173" s="4">
        <f>IF(I173="","",IF(OR(LEFT(I173,3)="BKK",I173="LCH55"),"BKK",IF(LEFT(I173,3)="LCH","LCH","OTHER")))</f>
        <v/>
      </c>
      <c r="AD173" s="4">
        <f>MAX(0,Q173-MAX(0,Z173))</f>
        <v/>
      </c>
      <c r="AE173" s="4">
        <f>MAX(0,R173-MAX(0,Z173-SUM(Q173:Q173)))</f>
        <v/>
      </c>
      <c r="AF173" s="4">
        <f>MAX(0,S173-MAX(0,Z173-SUM(Q173:R173)))</f>
        <v/>
      </c>
      <c r="AG173" s="4">
        <f>MAX(0,T173-MAX(0,Z173-SUM(Q173:S173)))</f>
        <v/>
      </c>
      <c r="AH173" s="4">
        <f>MAX(0,U173-MAX(0,Z173-SUM(Q173:T173)))</f>
        <v/>
      </c>
      <c r="AI173" s="4">
        <f>MAX(0,V173-MAX(0,Z173-SUM(Q173:U173)))</f>
        <v/>
      </c>
      <c r="AJ173" s="4">
        <f>MAX(0,W173-MAX(0,Z173-SUM(Q173:V173)))</f>
        <v/>
      </c>
      <c r="AK173" s="4">
        <f>MAX(0,X173-MAX(0,Z173-SUM(Q173:W173)))</f>
        <v/>
      </c>
      <c r="AL173" s="4">
        <f>MAX(0,Y173-MAX(0,Z173-SUM(Q173:X173)))</f>
        <v/>
      </c>
    </row>
    <row r="174">
      <c r="A174" s="4" t="inlineStr">
        <is>
          <t>HASLS22260902446</t>
        </is>
      </c>
      <c r="B174" s="4" t="inlineStr">
        <is>
          <t>KXM</t>
        </is>
      </c>
      <c r="C174" s="4" t="inlineStr">
        <is>
          <t>2608S</t>
        </is>
      </c>
      <c r="D174" s="4" t="inlineStr">
        <is>
          <t>202610101500</t>
        </is>
      </c>
      <c r="E174" s="4" t="inlineStr"/>
      <c r="F174" s="4" t="inlineStr">
        <is>
          <t>THLCH</t>
        </is>
      </c>
      <c r="G174" s="4" t="inlineStr">
        <is>
          <t>IDJKT</t>
        </is>
      </c>
      <c r="H174" s="4" t="inlineStr">
        <is>
          <t xml:space="preserve">20'x1 </t>
        </is>
      </c>
      <c r="I174" s="4" t="inlineStr">
        <is>
          <t>LCHY5</t>
        </is>
      </c>
      <c r="J174" s="4" t="inlineStr">
        <is>
          <t>PW DEPOT CO., LTD.</t>
        </is>
      </c>
      <c r="K174" s="4" t="inlineStr">
        <is>
          <t>20261005</t>
        </is>
      </c>
      <c r="L174" s="4" t="inlineStr">
        <is>
          <t>UBE CHEMICALS (ASIA) PUBLIC COMPANY LIMITED</t>
        </is>
      </c>
      <c r="M174" s="4" t="inlineStr">
        <is>
          <t>UBE CHEMICALS (ASIA) PUBLIC COMPANY LIMITED</t>
        </is>
      </c>
      <c r="N174" s="4" t="inlineStr">
        <is>
          <t xml:space="preserve">POLYAMIDE RESIN </t>
        </is>
      </c>
      <c r="O174" s="4" t="inlineStr">
        <is>
          <t>Sound and Clean</t>
        </is>
      </c>
      <c r="P174" s="4" t="inlineStr">
        <is>
          <t>CY -RTN : 05-06/10/2026 (2002054254)</t>
        </is>
      </c>
      <c r="Q174" s="4" t="n">
        <v>1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>
        <f>SUM(Q174:Y174)-Z174</f>
        <v/>
      </c>
      <c r="AC174" s="4">
        <f>IF(I174="","",IF(OR(LEFT(I174,3)="BKK",I174="LCH55"),"BKK",IF(LEFT(I174,3)="LCH","LCH","OTHER")))</f>
        <v/>
      </c>
      <c r="AD174" s="4">
        <f>MAX(0,Q174-MAX(0,Z174))</f>
        <v/>
      </c>
      <c r="AE174" s="4">
        <f>MAX(0,R174-MAX(0,Z174-SUM(Q174:Q174)))</f>
        <v/>
      </c>
      <c r="AF174" s="4">
        <f>MAX(0,S174-MAX(0,Z174-SUM(Q174:R174)))</f>
        <v/>
      </c>
      <c r="AG174" s="4">
        <f>MAX(0,T174-MAX(0,Z174-SUM(Q174:S174)))</f>
        <v/>
      </c>
      <c r="AH174" s="4">
        <f>MAX(0,U174-MAX(0,Z174-SUM(Q174:T174)))</f>
        <v/>
      </c>
      <c r="AI174" s="4">
        <f>MAX(0,V174-MAX(0,Z174-SUM(Q174:U174)))</f>
        <v/>
      </c>
      <c r="AJ174" s="4">
        <f>MAX(0,W174-MAX(0,Z174-SUM(Q174:V174)))</f>
        <v/>
      </c>
      <c r="AK174" s="4">
        <f>MAX(0,X174-MAX(0,Z174-SUM(Q174:W174)))</f>
        <v/>
      </c>
      <c r="AL174" s="4">
        <f>MAX(0,Y174-MAX(0,Z174-SUM(Q174:X174)))</f>
        <v/>
      </c>
    </row>
    <row r="175">
      <c r="A175" s="4" t="inlineStr">
        <is>
          <t>HASLS22260902450</t>
        </is>
      </c>
      <c r="B175" s="4" t="inlineStr">
        <is>
          <t>KXM</t>
        </is>
      </c>
      <c r="C175" s="4" t="inlineStr">
        <is>
          <t>2608S</t>
        </is>
      </c>
      <c r="D175" s="4" t="inlineStr">
        <is>
          <t>202610101500</t>
        </is>
      </c>
      <c r="E175" s="4" t="inlineStr"/>
      <c r="F175" s="4" t="inlineStr">
        <is>
          <t>THLCH</t>
        </is>
      </c>
      <c r="G175" s="4" t="inlineStr">
        <is>
          <t>IDJKT</t>
        </is>
      </c>
      <c r="H175" s="4" t="inlineStr">
        <is>
          <t xml:space="preserve">20'x2 </t>
        </is>
      </c>
      <c r="I175" s="4" t="inlineStr">
        <is>
          <t>LCHY5</t>
        </is>
      </c>
      <c r="J175" s="4" t="inlineStr">
        <is>
          <t>PW DEPOT CO., LTD.</t>
        </is>
      </c>
      <c r="K175" s="4" t="inlineStr">
        <is>
          <t>20261005</t>
        </is>
      </c>
      <c r="L175" s="4" t="inlineStr">
        <is>
          <t>UBE CHEMICALS (ASIA) PUBLIC COMPANY LIMITED</t>
        </is>
      </c>
      <c r="M175" s="4" t="inlineStr">
        <is>
          <t>UBE CHEMICALS (ASIA) PUBLIC COMPANY LIMITED</t>
        </is>
      </c>
      <c r="N175" s="4" t="inlineStr">
        <is>
          <t xml:space="preserve">POLYAMIDE RESIN </t>
        </is>
      </c>
      <c r="O175" s="4" t="inlineStr">
        <is>
          <t>Sound and Clean</t>
        </is>
      </c>
      <c r="P175" s="4" t="inlineStr">
        <is>
          <t>CY -RTN : 05-06/10/2026 (2002054253)</t>
        </is>
      </c>
      <c r="Q175" s="4" t="n">
        <v>2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>
        <f>SUM(Q175:Y175)-Z175</f>
        <v/>
      </c>
      <c r="AC175" s="4">
        <f>IF(I175="","",IF(OR(LEFT(I175,3)="BKK",I175="LCH55"),"BKK",IF(LEFT(I175,3)="LCH","LCH","OTHER")))</f>
        <v/>
      </c>
      <c r="AD175" s="4">
        <f>MAX(0,Q175-MAX(0,Z175))</f>
        <v/>
      </c>
      <c r="AE175" s="4">
        <f>MAX(0,R175-MAX(0,Z175-SUM(Q175:Q175)))</f>
        <v/>
      </c>
      <c r="AF175" s="4">
        <f>MAX(0,S175-MAX(0,Z175-SUM(Q175:R175)))</f>
        <v/>
      </c>
      <c r="AG175" s="4">
        <f>MAX(0,T175-MAX(0,Z175-SUM(Q175:S175)))</f>
        <v/>
      </c>
      <c r="AH175" s="4">
        <f>MAX(0,U175-MAX(0,Z175-SUM(Q175:T175)))</f>
        <v/>
      </c>
      <c r="AI175" s="4">
        <f>MAX(0,V175-MAX(0,Z175-SUM(Q175:U175)))</f>
        <v/>
      </c>
      <c r="AJ175" s="4">
        <f>MAX(0,W175-MAX(0,Z175-SUM(Q175:V175)))</f>
        <v/>
      </c>
      <c r="AK175" s="4">
        <f>MAX(0,X175-MAX(0,Z175-SUM(Q175:W175)))</f>
        <v/>
      </c>
      <c r="AL175" s="4">
        <f>MAX(0,Y175-MAX(0,Z175-SUM(Q175:X175)))</f>
        <v/>
      </c>
    </row>
    <row r="176">
      <c r="A176" s="4" t="inlineStr">
        <is>
          <t>HASLS22260902511</t>
        </is>
      </c>
      <c r="B176" s="4" t="inlineStr">
        <is>
          <t>SWSP</t>
        </is>
      </c>
      <c r="C176" s="4" t="inlineStr">
        <is>
          <t>2609N</t>
        </is>
      </c>
      <c r="D176" s="4" t="inlineStr">
        <is>
          <t>202610071530</t>
        </is>
      </c>
      <c r="E176" s="4" t="inlineStr"/>
      <c r="F176" s="4" t="inlineStr">
        <is>
          <t>THLCH</t>
        </is>
      </c>
      <c r="G176" s="4" t="inlineStr">
        <is>
          <t>VNSGN</t>
        </is>
      </c>
      <c r="H176" s="4" t="inlineStr">
        <is>
          <t xml:space="preserve">40Hx1 </t>
        </is>
      </c>
      <c r="I176" s="4" t="inlineStr">
        <is>
          <t>LCHY5</t>
        </is>
      </c>
      <c r="J176" s="4" t="inlineStr">
        <is>
          <t>PW DEPOT CO., LTD.</t>
        </is>
      </c>
      <c r="K176" s="4" t="inlineStr">
        <is>
          <t>20261003</t>
        </is>
      </c>
      <c r="L176" s="4" t="inlineStr">
        <is>
          <t>BEE LOGISTICS (THAILAND) CO., LTD.</t>
        </is>
      </c>
      <c r="M176" s="4" t="inlineStr">
        <is>
          <t>GOODSCOUR INDUSTRIAL CO., LTD.</t>
        </is>
      </c>
      <c r="N176" s="4" t="inlineStr">
        <is>
          <t>HOUSEHOLD PRODUCTS SCOURING PAD (POLYESTER)</t>
        </is>
      </c>
      <c r="O176" s="4" t="inlineStr">
        <is>
          <t>GOOD AND CLEAN CTNR</t>
        </is>
      </c>
      <c r="P176" s="4" t="inlineStr">
        <is>
          <t xml:space="preserve">Pickup : 2026-10-03, Return : 2026-10-05
 ** PLEASE CHECK OPEN GATE BEFORE RETURN CNTR **
</t>
        </is>
      </c>
      <c r="Q176" s="4" t="n">
        <v>0</v>
      </c>
      <c r="R176" s="4" t="n">
        <v>0</v>
      </c>
      <c r="S176" s="4" t="n">
        <v>1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>
        <f>SUM(Q176:Y176)-Z176</f>
        <v/>
      </c>
      <c r="AC176" s="4">
        <f>IF(I176="","",IF(OR(LEFT(I176,3)="BKK",I176="LCH55"),"BKK",IF(LEFT(I176,3)="LCH","LCH","OTHER")))</f>
        <v/>
      </c>
      <c r="AD176" s="4">
        <f>MAX(0,Q176-MAX(0,Z176))</f>
        <v/>
      </c>
      <c r="AE176" s="4">
        <f>MAX(0,R176-MAX(0,Z176-SUM(Q176:Q176)))</f>
        <v/>
      </c>
      <c r="AF176" s="4">
        <f>MAX(0,S176-MAX(0,Z176-SUM(Q176:R176)))</f>
        <v/>
      </c>
      <c r="AG176" s="4">
        <f>MAX(0,T176-MAX(0,Z176-SUM(Q176:S176)))</f>
        <v/>
      </c>
      <c r="AH176" s="4">
        <f>MAX(0,U176-MAX(0,Z176-SUM(Q176:T176)))</f>
        <v/>
      </c>
      <c r="AI176" s="4">
        <f>MAX(0,V176-MAX(0,Z176-SUM(Q176:U176)))</f>
        <v/>
      </c>
      <c r="AJ176" s="4">
        <f>MAX(0,W176-MAX(0,Z176-SUM(Q176:V176)))</f>
        <v/>
      </c>
      <c r="AK176" s="4">
        <f>MAX(0,X176-MAX(0,Z176-SUM(Q176:W176)))</f>
        <v/>
      </c>
      <c r="AL176" s="4">
        <f>MAX(0,Y176-MAX(0,Z176-SUM(Q176:X176)))</f>
        <v/>
      </c>
    </row>
    <row r="177">
      <c r="A177" s="4" t="inlineStr">
        <is>
          <t>HASLS22260902549</t>
        </is>
      </c>
      <c r="B177" s="4" t="inlineStr">
        <is>
          <t>SWAT</t>
        </is>
      </c>
      <c r="C177" s="4" t="inlineStr">
        <is>
          <t>2611N</t>
        </is>
      </c>
      <c r="D177" s="4" t="inlineStr">
        <is>
          <t>202610300100</t>
        </is>
      </c>
      <c r="E177" s="4" t="inlineStr"/>
      <c r="F177" s="4" t="inlineStr">
        <is>
          <t>THLCH</t>
        </is>
      </c>
      <c r="G177" s="4" t="inlineStr">
        <is>
          <t>CNSHK</t>
        </is>
      </c>
      <c r="H177" s="4" t="inlineStr">
        <is>
          <t xml:space="preserve">40Hx1 </t>
        </is>
      </c>
      <c r="I177" s="4" t="inlineStr">
        <is>
          <t>LCHY5</t>
        </is>
      </c>
      <c r="J177" s="4" t="inlineStr">
        <is>
          <t>PW DEPOT CO., LTD.</t>
        </is>
      </c>
      <c r="K177" s="4" t="inlineStr">
        <is>
          <t>20260926</t>
        </is>
      </c>
      <c r="L177" s="4" t="inlineStr">
        <is>
          <t>AWOT GLOBAL LOGISTICS (THAILAND) CO., LTD.</t>
        </is>
      </c>
      <c r="M177" s="4" t="inlineStr">
        <is>
          <t>THAIXING CIRCUITS CO., LTD.</t>
        </is>
      </c>
      <c r="N177" s="4" t="inlineStr">
        <is>
          <t>MULTILAYER PRINTED CIRCUIT BOARD</t>
        </is>
      </c>
      <c r="O177" s="4" t="inlineStr">
        <is>
          <t>GOOD AND CLEAN CONTAINER</t>
        </is>
      </c>
      <c r="P177" s="4" t="inlineStr">
        <is>
          <t>Pickup : 2026-09-26, Return : 2026-09-27</t>
        </is>
      </c>
      <c r="Q177" s="4" t="n">
        <v>0</v>
      </c>
      <c r="R177" s="4" t="n">
        <v>0</v>
      </c>
      <c r="S177" s="4" t="n">
        <v>1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>
        <f>SUM(Q177:Y177)-Z177</f>
        <v/>
      </c>
      <c r="AC177" s="4">
        <f>IF(I177="","",IF(OR(LEFT(I177,3)="BKK",I177="LCH55"),"BKK",IF(LEFT(I177,3)="LCH","LCH","OTHER")))</f>
        <v/>
      </c>
      <c r="AD177" s="4">
        <f>MAX(0,Q177-MAX(0,Z177))</f>
        <v/>
      </c>
      <c r="AE177" s="4">
        <f>MAX(0,R177-MAX(0,Z177-SUM(Q177:Q177)))</f>
        <v/>
      </c>
      <c r="AF177" s="4">
        <f>MAX(0,S177-MAX(0,Z177-SUM(Q177:R177)))</f>
        <v/>
      </c>
      <c r="AG177" s="4">
        <f>MAX(0,T177-MAX(0,Z177-SUM(Q177:S177)))</f>
        <v/>
      </c>
      <c r="AH177" s="4">
        <f>MAX(0,U177-MAX(0,Z177-SUM(Q177:T177)))</f>
        <v/>
      </c>
      <c r="AI177" s="4">
        <f>MAX(0,V177-MAX(0,Z177-SUM(Q177:U177)))</f>
        <v/>
      </c>
      <c r="AJ177" s="4">
        <f>MAX(0,W177-MAX(0,Z177-SUM(Q177:V177)))</f>
        <v/>
      </c>
      <c r="AK177" s="4">
        <f>MAX(0,X177-MAX(0,Z177-SUM(Q177:W177)))</f>
        <v/>
      </c>
      <c r="AL177" s="4">
        <f>MAX(0,Y177-MAX(0,Z177-SUM(Q177:X177)))</f>
        <v/>
      </c>
    </row>
    <row r="178">
      <c r="A178" s="4" t="inlineStr">
        <is>
          <t>HASLS22260902569</t>
        </is>
      </c>
      <c r="B178" s="4" t="inlineStr">
        <is>
          <t>SWSP</t>
        </is>
      </c>
      <c r="C178" s="4" t="inlineStr">
        <is>
          <t>2609N</t>
        </is>
      </c>
      <c r="D178" s="4" t="inlineStr">
        <is>
          <t>202610071530</t>
        </is>
      </c>
      <c r="E178" s="4" t="inlineStr"/>
      <c r="F178" s="4" t="inlineStr">
        <is>
          <t>THLCH</t>
        </is>
      </c>
      <c r="G178" s="4" t="inlineStr">
        <is>
          <t>KRPUS</t>
        </is>
      </c>
      <c r="H178" s="4" t="inlineStr">
        <is>
          <t xml:space="preserve">40Hx1 </t>
        </is>
      </c>
      <c r="I178" s="4" t="inlineStr">
        <is>
          <t>LCHY5</t>
        </is>
      </c>
      <c r="J178" s="4" t="inlineStr">
        <is>
          <t>PW DEPOT CO., LTD.</t>
        </is>
      </c>
      <c r="K178" s="4" t="inlineStr">
        <is>
          <t>20261003</t>
        </is>
      </c>
      <c r="L178" s="4" t="inlineStr">
        <is>
          <t>FREIGHT LINKS EXPRESS (THAILAND) CO., LTD.</t>
        </is>
      </c>
      <c r="M178" s="4" t="inlineStr">
        <is>
          <t>JOYSON-TOA SAFETY SYSTEMS CO., LTD.</t>
        </is>
      </c>
      <c r="N178" s="4" t="inlineStr">
        <is>
          <t>MAGNESIUM SCRAP</t>
        </is>
      </c>
      <c r="O178" s="4" t="inlineStr">
        <is>
          <t>GOOD AND CLEAN CTNR</t>
        </is>
      </c>
      <c r="P178" s="4" t="inlineStr">
        <is>
          <t xml:space="preserve">Pickup : 2026-10-03, Return : 2026-10-05
** PLEASE CHECK OPEN GATE BEFORE RETURN CONTAINER **
 </t>
        </is>
      </c>
      <c r="Q178" s="4" t="n">
        <v>0</v>
      </c>
      <c r="R178" s="4" t="n">
        <v>0</v>
      </c>
      <c r="S178" s="4" t="n">
        <v>1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>
        <f>SUM(Q178:Y178)-Z178</f>
        <v/>
      </c>
      <c r="AC178" s="4">
        <f>IF(I178="","",IF(OR(LEFT(I178,3)="BKK",I178="LCH55"),"BKK",IF(LEFT(I178,3)="LCH","LCH","OTHER")))</f>
        <v/>
      </c>
      <c r="AD178" s="4">
        <f>MAX(0,Q178-MAX(0,Z178))</f>
        <v/>
      </c>
      <c r="AE178" s="4">
        <f>MAX(0,R178-MAX(0,Z178-SUM(Q178:Q178)))</f>
        <v/>
      </c>
      <c r="AF178" s="4">
        <f>MAX(0,S178-MAX(0,Z178-SUM(Q178:R178)))</f>
        <v/>
      </c>
      <c r="AG178" s="4">
        <f>MAX(0,T178-MAX(0,Z178-SUM(Q178:S178)))</f>
        <v/>
      </c>
      <c r="AH178" s="4">
        <f>MAX(0,U178-MAX(0,Z178-SUM(Q178:T178)))</f>
        <v/>
      </c>
      <c r="AI178" s="4">
        <f>MAX(0,V178-MAX(0,Z178-SUM(Q178:U178)))</f>
        <v/>
      </c>
      <c r="AJ178" s="4">
        <f>MAX(0,W178-MAX(0,Z178-SUM(Q178:V178)))</f>
        <v/>
      </c>
      <c r="AK178" s="4">
        <f>MAX(0,X178-MAX(0,Z178-SUM(Q178:W178)))</f>
        <v/>
      </c>
      <c r="AL178" s="4">
        <f>MAX(0,Y178-MAX(0,Z178-SUM(Q178:X178)))</f>
        <v/>
      </c>
    </row>
    <row r="179">
      <c r="A179" s="4" t="inlineStr">
        <is>
          <t>HASLS22260902621</t>
        </is>
      </c>
      <c r="B179" s="4" t="inlineStr">
        <is>
          <t>SWSP</t>
        </is>
      </c>
      <c r="C179" s="4" t="inlineStr">
        <is>
          <t>2609N</t>
        </is>
      </c>
      <c r="D179" s="4" t="inlineStr">
        <is>
          <t>202610071530</t>
        </is>
      </c>
      <c r="E179" s="4" t="inlineStr"/>
      <c r="F179" s="4" t="inlineStr">
        <is>
          <t>THLCH</t>
        </is>
      </c>
      <c r="G179" s="4" t="inlineStr">
        <is>
          <t>VNSGN</t>
        </is>
      </c>
      <c r="H179" s="4" t="inlineStr">
        <is>
          <t xml:space="preserve">40Hx6 </t>
        </is>
      </c>
      <c r="I179" s="4" t="inlineStr">
        <is>
          <t>LCHY5</t>
        </is>
      </c>
      <c r="J179" s="4" t="inlineStr">
        <is>
          <t>PW DEPOT CO., LTD.</t>
        </is>
      </c>
      <c r="K179" s="4" t="inlineStr">
        <is>
          <t>20261003</t>
        </is>
      </c>
      <c r="L179" s="4" t="inlineStr">
        <is>
          <t>TOSHIBA LOGISTICS (THAILAND) CO., LTD.</t>
        </is>
      </c>
      <c r="M179" s="4" t="inlineStr">
        <is>
          <t>MIDEA INTELLIGENT MANUFACTURING (THAILAND) CO., LTD.</t>
        </is>
      </c>
      <c r="N179" s="4" t="inlineStr">
        <is>
          <t>REFRIGERATOR</t>
        </is>
      </c>
      <c r="O179" s="4" t="inlineStr">
        <is>
          <t>GOOD AND CLEAN CTNR</t>
        </is>
      </c>
      <c r="P179" s="4" t="inlineStr">
        <is>
          <t>Pickup : 2026-10-03, Return : 2026-10-04</t>
        </is>
      </c>
      <c r="Q179" s="4" t="n">
        <v>0</v>
      </c>
      <c r="R179" s="4" t="n">
        <v>0</v>
      </c>
      <c r="S179" s="4" t="n">
        <v>6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>
        <f>SUM(Q179:Y179)-Z179</f>
        <v/>
      </c>
      <c r="AC179" s="4">
        <f>IF(I179="","",IF(OR(LEFT(I179,3)="BKK",I179="LCH55"),"BKK",IF(LEFT(I179,3)="LCH","LCH","OTHER")))</f>
        <v/>
      </c>
      <c r="AD179" s="4">
        <f>MAX(0,Q179-MAX(0,Z179))</f>
        <v/>
      </c>
      <c r="AE179" s="4">
        <f>MAX(0,R179-MAX(0,Z179-SUM(Q179:Q179)))</f>
        <v/>
      </c>
      <c r="AF179" s="4">
        <f>MAX(0,S179-MAX(0,Z179-SUM(Q179:R179)))</f>
        <v/>
      </c>
      <c r="AG179" s="4">
        <f>MAX(0,T179-MAX(0,Z179-SUM(Q179:S179)))</f>
        <v/>
      </c>
      <c r="AH179" s="4">
        <f>MAX(0,U179-MAX(0,Z179-SUM(Q179:T179)))</f>
        <v/>
      </c>
      <c r="AI179" s="4">
        <f>MAX(0,V179-MAX(0,Z179-SUM(Q179:U179)))</f>
        <v/>
      </c>
      <c r="AJ179" s="4">
        <f>MAX(0,W179-MAX(0,Z179-SUM(Q179:V179)))</f>
        <v/>
      </c>
      <c r="AK179" s="4">
        <f>MAX(0,X179-MAX(0,Z179-SUM(Q179:W179)))</f>
        <v/>
      </c>
      <c r="AL179" s="4">
        <f>MAX(0,Y179-MAX(0,Z179-SUM(Q179:X179)))</f>
        <v/>
      </c>
    </row>
    <row r="180">
      <c r="A180" s="4" t="inlineStr">
        <is>
          <t>HASLS22260902629</t>
        </is>
      </c>
      <c r="B180" s="4" t="inlineStr">
        <is>
          <t>KUS</t>
        </is>
      </c>
      <c r="C180" s="4" t="inlineStr">
        <is>
          <t>2616N</t>
        </is>
      </c>
      <c r="D180" s="4" t="inlineStr">
        <is>
          <t>202610150400</t>
        </is>
      </c>
      <c r="E180" s="4" t="inlineStr"/>
      <c r="F180" s="4" t="inlineStr">
        <is>
          <t>THLCH</t>
        </is>
      </c>
      <c r="G180" s="4" t="inlineStr">
        <is>
          <t>VNSGN</t>
        </is>
      </c>
      <c r="H180" s="4" t="inlineStr">
        <is>
          <t xml:space="preserve">40Hx2 </t>
        </is>
      </c>
      <c r="I180" s="4" t="inlineStr">
        <is>
          <t>LCHY5</t>
        </is>
      </c>
      <c r="J180" s="4" t="inlineStr">
        <is>
          <t>PW DEPOT CO., LTD.</t>
        </is>
      </c>
      <c r="K180" s="4" t="inlineStr">
        <is>
          <t>20261002</t>
        </is>
      </c>
      <c r="L180" s="4" t="inlineStr">
        <is>
          <t>WHA GC LOGISTICS COMPANY LIMITED</t>
        </is>
      </c>
      <c r="M180" s="4" t="inlineStr">
        <is>
          <t>PTT GLOBAL CHEMICAL PUBLIC COMPANY LIMITED</t>
        </is>
      </c>
      <c r="N180" s="4" t="inlineStr">
        <is>
          <t>RESIN</t>
        </is>
      </c>
      <c r="O180" s="4" t="inlineStr">
        <is>
          <t>*** REQ. GOOD &amp; CLEAN  CONT. .( NO SMELL)  ***</t>
        </is>
      </c>
      <c r="P180" s="4" t="inlineStr">
        <is>
          <t>CY-RTN : 02-09/10/2026</t>
        </is>
      </c>
      <c r="Q180" s="4" t="n">
        <v>0</v>
      </c>
      <c r="R180" s="4" t="n">
        <v>0</v>
      </c>
      <c r="S180" s="4" t="n">
        <v>2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>
        <f>SUM(Q180:Y180)-Z180</f>
        <v/>
      </c>
      <c r="AC180" s="4">
        <f>IF(I180="","",IF(OR(LEFT(I180,3)="BKK",I180="LCH55"),"BKK",IF(LEFT(I180,3)="LCH","LCH","OTHER")))</f>
        <v/>
      </c>
      <c r="AD180" s="4">
        <f>MAX(0,Q180-MAX(0,Z180))</f>
        <v/>
      </c>
      <c r="AE180" s="4">
        <f>MAX(0,R180-MAX(0,Z180-SUM(Q180:Q180)))</f>
        <v/>
      </c>
      <c r="AF180" s="4">
        <f>MAX(0,S180-MAX(0,Z180-SUM(Q180:R180)))</f>
        <v/>
      </c>
      <c r="AG180" s="4">
        <f>MAX(0,T180-MAX(0,Z180-SUM(Q180:S180)))</f>
        <v/>
      </c>
      <c r="AH180" s="4">
        <f>MAX(0,U180-MAX(0,Z180-SUM(Q180:T180)))</f>
        <v/>
      </c>
      <c r="AI180" s="4">
        <f>MAX(0,V180-MAX(0,Z180-SUM(Q180:U180)))</f>
        <v/>
      </c>
      <c r="AJ180" s="4">
        <f>MAX(0,W180-MAX(0,Z180-SUM(Q180:V180)))</f>
        <v/>
      </c>
      <c r="AK180" s="4">
        <f>MAX(0,X180-MAX(0,Z180-SUM(Q180:W180)))</f>
        <v/>
      </c>
      <c r="AL180" s="4">
        <f>MAX(0,Y180-MAX(0,Z180-SUM(Q180:X180)))</f>
        <v/>
      </c>
    </row>
    <row r="181">
      <c r="A181" s="4" t="inlineStr">
        <is>
          <t>HASLS22260902669</t>
        </is>
      </c>
      <c r="B181" s="4" t="inlineStr">
        <is>
          <t>HMVY</t>
        </is>
      </c>
      <c r="C181" s="4" t="inlineStr">
        <is>
          <t>2609N</t>
        </is>
      </c>
      <c r="D181" s="4" t="inlineStr">
        <is>
          <t>202610200800</t>
        </is>
      </c>
      <c r="E181" s="4" t="inlineStr"/>
      <c r="F181" s="4" t="inlineStr">
        <is>
          <t>THLCH</t>
        </is>
      </c>
      <c r="G181" s="4" t="inlineStr">
        <is>
          <t>JPNGO</t>
        </is>
      </c>
      <c r="H181" s="4" t="inlineStr">
        <is>
          <t xml:space="preserve">20'x6 </t>
        </is>
      </c>
      <c r="I181" s="4" t="inlineStr">
        <is>
          <t>LCHY5</t>
        </is>
      </c>
      <c r="J181" s="4" t="inlineStr">
        <is>
          <t>PW DEPOT CO., LTD.</t>
        </is>
      </c>
      <c r="K181" s="4" t="inlineStr">
        <is>
          <t>20261005</t>
        </is>
      </c>
      <c r="L181" s="4" t="inlineStr">
        <is>
          <t>WHA GC LOGISTICS COMPANY LIMITED</t>
        </is>
      </c>
      <c r="M181" s="4" t="inlineStr">
        <is>
          <t>PTT GLOBAL CHEMICAL PUBLIC COMPANY LIMITED</t>
        </is>
      </c>
      <c r="N181" s="4" t="inlineStr">
        <is>
          <t>RESIN</t>
        </is>
      </c>
      <c r="O181" s="4" t="inlineStr">
        <is>
          <t>REQUEST SEA BULK CONTAIER + SURVEY DD.19/09/2026 EMPTY BEFORE PICK UP</t>
        </is>
      </c>
      <c r="P181" s="4" t="inlineStr">
        <is>
          <t xml:space="preserve">SURVEY+CY :05/10/2026 RTN :10/10/2026
REQUEST SEA BULK CONTAIER + SURVEY EMPTY BEFORE PICK UP
</t>
        </is>
      </c>
      <c r="Q181" s="4" t="n">
        <v>6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>
        <f>SUM(Q181:Y181)-Z181</f>
        <v/>
      </c>
      <c r="AC181" s="4">
        <f>IF(I181="","",IF(OR(LEFT(I181,3)="BKK",I181="LCH55"),"BKK",IF(LEFT(I181,3)="LCH","LCH","OTHER")))</f>
        <v/>
      </c>
      <c r="AD181" s="4">
        <f>MAX(0,Q181-MAX(0,Z181))</f>
        <v/>
      </c>
      <c r="AE181" s="4">
        <f>MAX(0,R181-MAX(0,Z181-SUM(Q181:Q181)))</f>
        <v/>
      </c>
      <c r="AF181" s="4">
        <f>MAX(0,S181-MAX(0,Z181-SUM(Q181:R181)))</f>
        <v/>
      </c>
      <c r="AG181" s="4">
        <f>MAX(0,T181-MAX(0,Z181-SUM(Q181:S181)))</f>
        <v/>
      </c>
      <c r="AH181" s="4">
        <f>MAX(0,U181-MAX(0,Z181-SUM(Q181:T181)))</f>
        <v/>
      </c>
      <c r="AI181" s="4">
        <f>MAX(0,V181-MAX(0,Z181-SUM(Q181:U181)))</f>
        <v/>
      </c>
      <c r="AJ181" s="4">
        <f>MAX(0,W181-MAX(0,Z181-SUM(Q181:V181)))</f>
        <v/>
      </c>
      <c r="AK181" s="4">
        <f>MAX(0,X181-MAX(0,Z181-SUM(Q181:W181)))</f>
        <v/>
      </c>
      <c r="AL181" s="4">
        <f>MAX(0,Y181-MAX(0,Z181-SUM(Q181:X181)))</f>
        <v/>
      </c>
    </row>
    <row r="182">
      <c r="A182" s="4" t="inlineStr">
        <is>
          <t>HASLS22260902707</t>
        </is>
      </c>
      <c r="B182" s="4" t="inlineStr">
        <is>
          <t>DJCF</t>
        </is>
      </c>
      <c r="C182" s="4" t="inlineStr">
        <is>
          <t>0152N</t>
        </is>
      </c>
      <c r="D182" s="4" t="inlineStr">
        <is>
          <t>202610112300</t>
        </is>
      </c>
      <c r="E182" s="4" t="inlineStr"/>
      <c r="F182" s="4" t="inlineStr">
        <is>
          <t>THLCH</t>
        </is>
      </c>
      <c r="G182" s="4" t="inlineStr">
        <is>
          <t>VNSGN</t>
        </is>
      </c>
      <c r="H182" s="4" t="inlineStr">
        <is>
          <t xml:space="preserve">20'x1 </t>
        </is>
      </c>
      <c r="I182" s="4" t="inlineStr">
        <is>
          <t>LCHY5</t>
        </is>
      </c>
      <c r="J182" s="4" t="inlineStr">
        <is>
          <t>PW DEPOT CO., LTD.</t>
        </is>
      </c>
      <c r="K182" s="4" t="inlineStr">
        <is>
          <t>20261005</t>
        </is>
      </c>
      <c r="L182" s="4" t="inlineStr">
        <is>
          <t>SCGJWD LOGISTICS PUBLIC COMPANY LIMITED</t>
        </is>
      </c>
      <c r="M182" s="4" t="inlineStr">
        <is>
          <t>THAI POLYETHYLENE CO., LTD.</t>
        </is>
      </c>
      <c r="N182" s="4" t="inlineStr">
        <is>
          <t>RESIN</t>
        </is>
      </c>
      <c r="O182" s="4" t="inlineStr">
        <is>
          <t>REQ. RESIN-NON PALLET,CLEAN CONTAINER NO OIL STAINS</t>
        </is>
      </c>
      <c r="P182" s="4" t="inlineStr">
        <is>
          <t xml:space="preserve">CY-RTN 05-06/10/26 (Ref. 3031061986)
</t>
        </is>
      </c>
      <c r="Q182" s="4" t="n">
        <v>1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>
        <f>SUM(Q182:Y182)-Z182</f>
        <v/>
      </c>
      <c r="AC182" s="4">
        <f>IF(I182="","",IF(OR(LEFT(I182,3)="BKK",I182="LCH55"),"BKK",IF(LEFT(I182,3)="LCH","LCH","OTHER")))</f>
        <v/>
      </c>
      <c r="AD182" s="4">
        <f>MAX(0,Q182-MAX(0,Z182))</f>
        <v/>
      </c>
      <c r="AE182" s="4">
        <f>MAX(0,R182-MAX(0,Z182-SUM(Q182:Q182)))</f>
        <v/>
      </c>
      <c r="AF182" s="4">
        <f>MAX(0,S182-MAX(0,Z182-SUM(Q182:R182)))</f>
        <v/>
      </c>
      <c r="AG182" s="4">
        <f>MAX(0,T182-MAX(0,Z182-SUM(Q182:S182)))</f>
        <v/>
      </c>
      <c r="AH182" s="4">
        <f>MAX(0,U182-MAX(0,Z182-SUM(Q182:T182)))</f>
        <v/>
      </c>
      <c r="AI182" s="4">
        <f>MAX(0,V182-MAX(0,Z182-SUM(Q182:U182)))</f>
        <v/>
      </c>
      <c r="AJ182" s="4">
        <f>MAX(0,W182-MAX(0,Z182-SUM(Q182:V182)))</f>
        <v/>
      </c>
      <c r="AK182" s="4">
        <f>MAX(0,X182-MAX(0,Z182-SUM(Q182:W182)))</f>
        <v/>
      </c>
      <c r="AL182" s="4">
        <f>MAX(0,Y182-MAX(0,Z182-SUM(Q182:X182)))</f>
        <v/>
      </c>
    </row>
    <row r="183">
      <c r="A183" s="4" t="inlineStr">
        <is>
          <t>HASLS22260902725</t>
        </is>
      </c>
      <c r="B183" s="4" t="inlineStr">
        <is>
          <t>SWAL</t>
        </is>
      </c>
      <c r="C183" s="4" t="inlineStr">
        <is>
          <t>2609N</t>
        </is>
      </c>
      <c r="D183" s="4" t="inlineStr">
        <is>
          <t>202610200800</t>
        </is>
      </c>
      <c r="E183" s="4" t="inlineStr"/>
      <c r="F183" s="4" t="inlineStr">
        <is>
          <t>THLCH</t>
        </is>
      </c>
      <c r="G183" s="4" t="inlineStr">
        <is>
          <t>VNSGN</t>
        </is>
      </c>
      <c r="H183" s="4" t="inlineStr">
        <is>
          <t xml:space="preserve">20'x1 </t>
        </is>
      </c>
      <c r="I183" s="4" t="inlineStr">
        <is>
          <t>LCHY5</t>
        </is>
      </c>
      <c r="J183" s="4" t="inlineStr">
        <is>
          <t>PW DEPOT CO., LTD.</t>
        </is>
      </c>
      <c r="K183" s="4" t="inlineStr">
        <is>
          <t>20260914</t>
        </is>
      </c>
      <c r="L183" s="4" t="inlineStr">
        <is>
          <t>FAIR AND FAST COMPANY LIMITED</t>
        </is>
      </c>
      <c r="M183" s="4" t="inlineStr">
        <is>
          <t>PACIFIC SUGAR CORPORATION LIMITED</t>
        </is>
      </c>
      <c r="N183" s="4" t="inlineStr">
        <is>
          <t>Sugar</t>
        </is>
      </c>
      <c r="O183" s="4" t="inlineStr">
        <is>
          <t>REQUEST GOOD AND CLEAN CONTAINER FOR FOOD</t>
        </is>
      </c>
      <c r="P183" s="4" t="inlineStr">
        <is>
          <t>Pickup : 2026-09-14, Return : 2026-09-15
**CHECK OPENGATE BEFORE RETURN CNTR**</t>
        </is>
      </c>
      <c r="Q183" s="4" t="n">
        <v>1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>
        <f>SUM(Q183:Y183)-Z183</f>
        <v/>
      </c>
      <c r="AC183" s="4">
        <f>IF(I183="","",IF(OR(LEFT(I183,3)="BKK",I183="LCH55"),"BKK",IF(LEFT(I183,3)="LCH","LCH","OTHER")))</f>
        <v/>
      </c>
      <c r="AD183" s="4">
        <f>MAX(0,Q183-MAX(0,Z183))</f>
        <v/>
      </c>
      <c r="AE183" s="4">
        <f>MAX(0,R183-MAX(0,Z183-SUM(Q183:Q183)))</f>
        <v/>
      </c>
      <c r="AF183" s="4">
        <f>MAX(0,S183-MAX(0,Z183-SUM(Q183:R183)))</f>
        <v/>
      </c>
      <c r="AG183" s="4">
        <f>MAX(0,T183-MAX(0,Z183-SUM(Q183:S183)))</f>
        <v/>
      </c>
      <c r="AH183" s="4">
        <f>MAX(0,U183-MAX(0,Z183-SUM(Q183:T183)))</f>
        <v/>
      </c>
      <c r="AI183" s="4">
        <f>MAX(0,V183-MAX(0,Z183-SUM(Q183:U183)))</f>
        <v/>
      </c>
      <c r="AJ183" s="4">
        <f>MAX(0,W183-MAX(0,Z183-SUM(Q183:V183)))</f>
        <v/>
      </c>
      <c r="AK183" s="4">
        <f>MAX(0,X183-MAX(0,Z183-SUM(Q183:W183)))</f>
        <v/>
      </c>
      <c r="AL183" s="4">
        <f>MAX(0,Y183-MAX(0,Z183-SUM(Q183:X183)))</f>
        <v/>
      </c>
    </row>
    <row r="184">
      <c r="A184" s="4" t="inlineStr">
        <is>
          <t>HASLS22260902741</t>
        </is>
      </c>
      <c r="B184" s="4" t="inlineStr">
        <is>
          <t>SWRG</t>
        </is>
      </c>
      <c r="C184" s="4" t="inlineStr">
        <is>
          <t>2609N</t>
        </is>
      </c>
      <c r="D184" s="4" t="inlineStr">
        <is>
          <t>202610141700</t>
        </is>
      </c>
      <c r="E184" s="4" t="inlineStr"/>
      <c r="F184" s="4" t="inlineStr">
        <is>
          <t>THLCH</t>
        </is>
      </c>
      <c r="G184" s="4" t="inlineStr">
        <is>
          <t>CNSHA</t>
        </is>
      </c>
      <c r="H184" s="4" t="inlineStr">
        <is>
          <t xml:space="preserve">40Hx8 </t>
        </is>
      </c>
      <c r="I184" s="4" t="inlineStr">
        <is>
          <t>LCHY5</t>
        </is>
      </c>
      <c r="J184" s="4" t="inlineStr">
        <is>
          <t>PW DEPOT CO., LTD.</t>
        </is>
      </c>
      <c r="K184" s="4" t="inlineStr">
        <is>
          <t>20261005</t>
        </is>
      </c>
      <c r="L184" s="4" t="inlineStr">
        <is>
          <t>SCGJWD LOGISTICS PUBLIC COMPANY LIMITED</t>
        </is>
      </c>
      <c r="M184" s="4" t="inlineStr">
        <is>
          <t>THAI POLYETHYLENE CO., LTD.</t>
        </is>
      </c>
      <c r="N184" s="4" t="inlineStr">
        <is>
          <t>RESIN</t>
        </is>
      </c>
      <c r="O184" s="4" t="inlineStr">
        <is>
          <t>GOOD AND CLEAN CTNR</t>
        </is>
      </c>
      <c r="P184" s="4" t="inlineStr">
        <is>
          <t xml:space="preserve">CY-RTN : 05-07/10/2026 *INV : 3031062620*
REQ GOOD AND CLEAN CONT., NO OIL, NO RUSTY
</t>
        </is>
      </c>
      <c r="Q184" s="4" t="n">
        <v>0</v>
      </c>
      <c r="R184" s="4" t="n">
        <v>0</v>
      </c>
      <c r="S184" s="4" t="n">
        <v>8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>
        <f>SUM(Q184:Y184)-Z184</f>
        <v/>
      </c>
      <c r="AC184" s="4">
        <f>IF(I184="","",IF(OR(LEFT(I184,3)="BKK",I184="LCH55"),"BKK",IF(LEFT(I184,3)="LCH","LCH","OTHER")))</f>
        <v/>
      </c>
      <c r="AD184" s="4">
        <f>MAX(0,Q184-MAX(0,Z184))</f>
        <v/>
      </c>
      <c r="AE184" s="4">
        <f>MAX(0,R184-MAX(0,Z184-SUM(Q184:Q184)))</f>
        <v/>
      </c>
      <c r="AF184" s="4">
        <f>MAX(0,S184-MAX(0,Z184-SUM(Q184:R184)))</f>
        <v/>
      </c>
      <c r="AG184" s="4">
        <f>MAX(0,T184-MAX(0,Z184-SUM(Q184:S184)))</f>
        <v/>
      </c>
      <c r="AH184" s="4">
        <f>MAX(0,U184-MAX(0,Z184-SUM(Q184:T184)))</f>
        <v/>
      </c>
      <c r="AI184" s="4">
        <f>MAX(0,V184-MAX(0,Z184-SUM(Q184:U184)))</f>
        <v/>
      </c>
      <c r="AJ184" s="4">
        <f>MAX(0,W184-MAX(0,Z184-SUM(Q184:V184)))</f>
        <v/>
      </c>
      <c r="AK184" s="4">
        <f>MAX(0,X184-MAX(0,Z184-SUM(Q184:W184)))</f>
        <v/>
      </c>
      <c r="AL184" s="4">
        <f>MAX(0,Y184-MAX(0,Z184-SUM(Q184:X184)))</f>
        <v/>
      </c>
    </row>
    <row r="185">
      <c r="A185" s="4" t="inlineStr">
        <is>
          <t>HASLS22260902816</t>
        </is>
      </c>
      <c r="B185" s="4" t="inlineStr">
        <is>
          <t>KUS</t>
        </is>
      </c>
      <c r="C185" s="4" t="inlineStr">
        <is>
          <t>2616N</t>
        </is>
      </c>
      <c r="D185" s="4" t="inlineStr">
        <is>
          <t>202610150400</t>
        </is>
      </c>
      <c r="E185" s="4" t="inlineStr"/>
      <c r="F185" s="4" t="inlineStr">
        <is>
          <t>THLCH</t>
        </is>
      </c>
      <c r="G185" s="4" t="inlineStr">
        <is>
          <t>VNSGN</t>
        </is>
      </c>
      <c r="H185" s="4" t="inlineStr">
        <is>
          <t xml:space="preserve">20'x8 </t>
        </is>
      </c>
      <c r="I185" s="4" t="inlineStr">
        <is>
          <t>LCHY5</t>
        </is>
      </c>
      <c r="J185" s="4" t="inlineStr">
        <is>
          <t>PW DEPOT CO., LTD.</t>
        </is>
      </c>
      <c r="K185" s="4" t="inlineStr">
        <is>
          <t>20261002</t>
        </is>
      </c>
      <c r="L185" s="4" t="inlineStr">
        <is>
          <t>WHA GC LOGISTICS COMPANY LIMITED</t>
        </is>
      </c>
      <c r="M185" s="4" t="inlineStr">
        <is>
          <t>PTT GLOBAL CHEMICAL PUBLIC COMPANY LIMITED</t>
        </is>
      </c>
      <c r="N185" s="4" t="inlineStr">
        <is>
          <t>RESIN</t>
        </is>
      </c>
      <c r="O185" s="4" t="inlineStr">
        <is>
          <t>*** REQ. GOOD &amp; CLEAN  CONT. .( NO SMELL)  ***</t>
        </is>
      </c>
      <c r="P185" s="4" t="inlineStr">
        <is>
          <t>CY-RTN : 02-09/10/2026</t>
        </is>
      </c>
      <c r="Q185" s="4" t="n">
        <v>8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0</v>
      </c>
      <c r="AB185" s="4">
        <f>SUM(Q185:Y185)-Z185</f>
        <v/>
      </c>
      <c r="AC185" s="4">
        <f>IF(I185="","",IF(OR(LEFT(I185,3)="BKK",I185="LCH55"),"BKK",IF(LEFT(I185,3)="LCH","LCH","OTHER")))</f>
        <v/>
      </c>
      <c r="AD185" s="4">
        <f>MAX(0,Q185-MAX(0,Z185))</f>
        <v/>
      </c>
      <c r="AE185" s="4">
        <f>MAX(0,R185-MAX(0,Z185-SUM(Q185:Q185)))</f>
        <v/>
      </c>
      <c r="AF185" s="4">
        <f>MAX(0,S185-MAX(0,Z185-SUM(Q185:R185)))</f>
        <v/>
      </c>
      <c r="AG185" s="4">
        <f>MAX(0,T185-MAX(0,Z185-SUM(Q185:S185)))</f>
        <v/>
      </c>
      <c r="AH185" s="4">
        <f>MAX(0,U185-MAX(0,Z185-SUM(Q185:T185)))</f>
        <v/>
      </c>
      <c r="AI185" s="4">
        <f>MAX(0,V185-MAX(0,Z185-SUM(Q185:U185)))</f>
        <v/>
      </c>
      <c r="AJ185" s="4">
        <f>MAX(0,W185-MAX(0,Z185-SUM(Q185:V185)))</f>
        <v/>
      </c>
      <c r="AK185" s="4">
        <f>MAX(0,X185-MAX(0,Z185-SUM(Q185:W185)))</f>
        <v/>
      </c>
      <c r="AL185" s="4">
        <f>MAX(0,Y185-MAX(0,Z185-SUM(Q185:X185)))</f>
        <v/>
      </c>
    </row>
    <row r="186">
      <c r="A186" s="4" t="inlineStr">
        <is>
          <t>HASLS22260902818</t>
        </is>
      </c>
      <c r="B186" s="4" t="inlineStr">
        <is>
          <t>PGPO</t>
        </is>
      </c>
      <c r="C186" s="4" t="inlineStr">
        <is>
          <t>2612N</t>
        </is>
      </c>
      <c r="D186" s="4" t="inlineStr">
        <is>
          <t>202610151900</t>
        </is>
      </c>
      <c r="E186" s="4" t="inlineStr"/>
      <c r="F186" s="4" t="inlineStr">
        <is>
          <t>THLCH</t>
        </is>
      </c>
      <c r="G186" s="4" t="inlineStr">
        <is>
          <t>VNSGN</t>
        </is>
      </c>
      <c r="H186" s="4" t="inlineStr">
        <is>
          <t xml:space="preserve">20'x6 </t>
        </is>
      </c>
      <c r="I186" s="4" t="inlineStr">
        <is>
          <t>LCHY5</t>
        </is>
      </c>
      <c r="J186" s="4" t="inlineStr">
        <is>
          <t>PW DEPOT CO., LTD.</t>
        </is>
      </c>
      <c r="K186" s="4" t="inlineStr">
        <is>
          <t>20261002</t>
        </is>
      </c>
      <c r="L186" s="4" t="inlineStr">
        <is>
          <t>WHA GC LOGISTICS COMPANY LIMITED</t>
        </is>
      </c>
      <c r="M186" s="4" t="inlineStr">
        <is>
          <t>PTT GLOBAL CHEMICAL PUBLIC COMPANY LIMITED</t>
        </is>
      </c>
      <c r="N186" s="4" t="inlineStr">
        <is>
          <t>RESIN</t>
        </is>
      </c>
      <c r="O186" s="4" t="inlineStr">
        <is>
          <t>*** REQ. GOOD &amp; CLEAN  CONT. .( NO SMELL)  ***</t>
        </is>
      </c>
      <c r="P186" s="4" t="inlineStr">
        <is>
          <t>CY 02/10/26 , RTN 08/10/26
*PLS CHECK OPEN GATE BEFOER RETURN CTNR*</t>
        </is>
      </c>
      <c r="Q186" s="4" t="n">
        <v>6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>
        <f>SUM(Q186:Y186)-Z186</f>
        <v/>
      </c>
      <c r="AC186" s="4">
        <f>IF(I186="","",IF(OR(LEFT(I186,3)="BKK",I186="LCH55"),"BKK",IF(LEFT(I186,3)="LCH","LCH","OTHER")))</f>
        <v/>
      </c>
      <c r="AD186" s="4">
        <f>MAX(0,Q186-MAX(0,Z186))</f>
        <v/>
      </c>
      <c r="AE186" s="4">
        <f>MAX(0,R186-MAX(0,Z186-SUM(Q186:Q186)))</f>
        <v/>
      </c>
      <c r="AF186" s="4">
        <f>MAX(0,S186-MAX(0,Z186-SUM(Q186:R186)))</f>
        <v/>
      </c>
      <c r="AG186" s="4">
        <f>MAX(0,T186-MAX(0,Z186-SUM(Q186:S186)))</f>
        <v/>
      </c>
      <c r="AH186" s="4">
        <f>MAX(0,U186-MAX(0,Z186-SUM(Q186:T186)))</f>
        <v/>
      </c>
      <c r="AI186" s="4">
        <f>MAX(0,V186-MAX(0,Z186-SUM(Q186:U186)))</f>
        <v/>
      </c>
      <c r="AJ186" s="4">
        <f>MAX(0,W186-MAX(0,Z186-SUM(Q186:V186)))</f>
        <v/>
      </c>
      <c r="AK186" s="4">
        <f>MAX(0,X186-MAX(0,Z186-SUM(Q186:W186)))</f>
        <v/>
      </c>
      <c r="AL186" s="4">
        <f>MAX(0,Y186-MAX(0,Z186-SUM(Q186:X186)))</f>
        <v/>
      </c>
    </row>
    <row r="187">
      <c r="A187" s="4" t="inlineStr">
        <is>
          <t>HASLS22260902819</t>
        </is>
      </c>
      <c r="B187" s="4" t="inlineStr">
        <is>
          <t>PGPO</t>
        </is>
      </c>
      <c r="C187" s="4" t="inlineStr">
        <is>
          <t>2612N</t>
        </is>
      </c>
      <c r="D187" s="4" t="inlineStr">
        <is>
          <t>202610151900</t>
        </is>
      </c>
      <c r="E187" s="4" t="inlineStr"/>
      <c r="F187" s="4" t="inlineStr">
        <is>
          <t>THLCH</t>
        </is>
      </c>
      <c r="G187" s="4" t="inlineStr">
        <is>
          <t>VNSGN</t>
        </is>
      </c>
      <c r="H187" s="4" t="inlineStr">
        <is>
          <t xml:space="preserve">20'x4 </t>
        </is>
      </c>
      <c r="I187" s="4" t="inlineStr">
        <is>
          <t>LCHY5</t>
        </is>
      </c>
      <c r="J187" s="4" t="inlineStr">
        <is>
          <t>PW DEPOT CO., LTD.</t>
        </is>
      </c>
      <c r="K187" s="4" t="inlineStr">
        <is>
          <t>20261002</t>
        </is>
      </c>
      <c r="L187" s="4" t="inlineStr">
        <is>
          <t>WHA GC LOGISTICS COMPANY LIMITED</t>
        </is>
      </c>
      <c r="M187" s="4" t="inlineStr">
        <is>
          <t>PTT GLOBAL CHEMICAL PUBLIC COMPANY LIMITED</t>
        </is>
      </c>
      <c r="N187" s="4" t="inlineStr">
        <is>
          <t>RESIN</t>
        </is>
      </c>
      <c r="O187" s="4" t="inlineStr">
        <is>
          <t>*** REQ. GOOD &amp; CLEAN  CONT. .( NO SMELL)  ***</t>
        </is>
      </c>
      <c r="P187" s="4" t="inlineStr">
        <is>
          <t>CY 02/10/26 , RTN 08/10/26
*PLS CHECK OPEN GATE BEFOER RETURN CTNR*</t>
        </is>
      </c>
      <c r="Q187" s="4" t="n">
        <v>4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0</v>
      </c>
      <c r="AA187" s="4" t="n">
        <v>0</v>
      </c>
      <c r="AB187" s="4">
        <f>SUM(Q187:Y187)-Z187</f>
        <v/>
      </c>
      <c r="AC187" s="4">
        <f>IF(I187="","",IF(OR(LEFT(I187,3)="BKK",I187="LCH55"),"BKK",IF(LEFT(I187,3)="LCH","LCH","OTHER")))</f>
        <v/>
      </c>
      <c r="AD187" s="4">
        <f>MAX(0,Q187-MAX(0,Z187))</f>
        <v/>
      </c>
      <c r="AE187" s="4">
        <f>MAX(0,R187-MAX(0,Z187-SUM(Q187:Q187)))</f>
        <v/>
      </c>
      <c r="AF187" s="4">
        <f>MAX(0,S187-MAX(0,Z187-SUM(Q187:R187)))</f>
        <v/>
      </c>
      <c r="AG187" s="4">
        <f>MAX(0,T187-MAX(0,Z187-SUM(Q187:S187)))</f>
        <v/>
      </c>
      <c r="AH187" s="4">
        <f>MAX(0,U187-MAX(0,Z187-SUM(Q187:T187)))</f>
        <v/>
      </c>
      <c r="AI187" s="4">
        <f>MAX(0,V187-MAX(0,Z187-SUM(Q187:U187)))</f>
        <v/>
      </c>
      <c r="AJ187" s="4">
        <f>MAX(0,W187-MAX(0,Z187-SUM(Q187:V187)))</f>
        <v/>
      </c>
      <c r="AK187" s="4">
        <f>MAX(0,X187-MAX(0,Z187-SUM(Q187:W187)))</f>
        <v/>
      </c>
      <c r="AL187" s="4">
        <f>MAX(0,Y187-MAX(0,Z187-SUM(Q187:X187)))</f>
        <v/>
      </c>
    </row>
    <row r="188">
      <c r="A188" s="4" t="inlineStr">
        <is>
          <t>HASLS22261000076</t>
        </is>
      </c>
      <c r="B188" s="4" t="inlineStr">
        <is>
          <t>SWAT</t>
        </is>
      </c>
      <c r="C188" s="4" t="inlineStr">
        <is>
          <t>2610N</t>
        </is>
      </c>
      <c r="D188" s="4" t="inlineStr">
        <is>
          <t>202610090100</t>
        </is>
      </c>
      <c r="E188" s="4" t="inlineStr"/>
      <c r="F188" s="4" t="inlineStr">
        <is>
          <t>THLCH</t>
        </is>
      </c>
      <c r="G188" s="4" t="inlineStr">
        <is>
          <t>TWKEL</t>
        </is>
      </c>
      <c r="H188" s="4" t="inlineStr">
        <is>
          <t xml:space="preserve">20'x1 </t>
        </is>
      </c>
      <c r="I188" s="4" t="inlineStr">
        <is>
          <t>LCHY5</t>
        </is>
      </c>
      <c r="J188" s="4" t="inlineStr">
        <is>
          <t>PW DEPOT CO., LTD.</t>
        </is>
      </c>
      <c r="K188" s="4" t="inlineStr">
        <is>
          <t>20261003</t>
        </is>
      </c>
      <c r="L188" s="4" t="inlineStr">
        <is>
          <t>UBE CHEMICALS (ASIA) PUBLIC COMPANY LIMITED</t>
        </is>
      </c>
      <c r="M188" s="4" t="inlineStr">
        <is>
          <t>UBE CHEMICALS (ASIA) PUBLIC COMPANY LIMITED</t>
        </is>
      </c>
      <c r="N188" s="4" t="inlineStr">
        <is>
          <t>RESIN</t>
        </is>
      </c>
      <c r="O188" s="4" t="inlineStr">
        <is>
          <t>GOOD AND CLEAN CTNR</t>
        </is>
      </c>
      <c r="P188" s="4" t="inlineStr">
        <is>
          <t>CY-RTN 03-05/10/26 (2002054662)</t>
        </is>
      </c>
      <c r="Q188" s="4" t="n">
        <v>1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0</v>
      </c>
      <c r="AA188" s="4" t="n">
        <v>0</v>
      </c>
      <c r="AB188" s="4">
        <f>SUM(Q188:Y188)-Z188</f>
        <v/>
      </c>
      <c r="AC188" s="4">
        <f>IF(I188="","",IF(OR(LEFT(I188,3)="BKK",I188="LCH55"),"BKK",IF(LEFT(I188,3)="LCH","LCH","OTHER")))</f>
        <v/>
      </c>
      <c r="AD188" s="4">
        <f>MAX(0,Q188-MAX(0,Z188))</f>
        <v/>
      </c>
      <c r="AE188" s="4">
        <f>MAX(0,R188-MAX(0,Z188-SUM(Q188:Q188)))</f>
        <v/>
      </c>
      <c r="AF188" s="4">
        <f>MAX(0,S188-MAX(0,Z188-SUM(Q188:R188)))</f>
        <v/>
      </c>
      <c r="AG188" s="4">
        <f>MAX(0,T188-MAX(0,Z188-SUM(Q188:S188)))</f>
        <v/>
      </c>
      <c r="AH188" s="4">
        <f>MAX(0,U188-MAX(0,Z188-SUM(Q188:T188)))</f>
        <v/>
      </c>
      <c r="AI188" s="4">
        <f>MAX(0,V188-MAX(0,Z188-SUM(Q188:U188)))</f>
        <v/>
      </c>
      <c r="AJ188" s="4">
        <f>MAX(0,W188-MAX(0,Z188-SUM(Q188:V188)))</f>
        <v/>
      </c>
      <c r="AK188" s="4">
        <f>MAX(0,X188-MAX(0,Z188-SUM(Q188:W188)))</f>
        <v/>
      </c>
      <c r="AL188" s="4">
        <f>MAX(0,Y188-MAX(0,Z188-SUM(Q188:X188)))</f>
        <v/>
      </c>
    </row>
    <row r="189">
      <c r="A189" s="4" t="inlineStr">
        <is>
          <t>HASLS22261000190</t>
        </is>
      </c>
      <c r="B189" s="4" t="inlineStr">
        <is>
          <t>SWAT</t>
        </is>
      </c>
      <c r="C189" s="4" t="inlineStr">
        <is>
          <t>2610N</t>
        </is>
      </c>
      <c r="D189" s="4" t="inlineStr">
        <is>
          <t>202610090100</t>
        </is>
      </c>
      <c r="E189" s="4" t="inlineStr"/>
      <c r="F189" s="4" t="inlineStr">
        <is>
          <t>THLCH</t>
        </is>
      </c>
      <c r="G189" s="4" t="inlineStr">
        <is>
          <t>HKHKG</t>
        </is>
      </c>
      <c r="H189" s="4" t="inlineStr">
        <is>
          <t xml:space="preserve">20'x1 </t>
        </is>
      </c>
      <c r="I189" s="4" t="inlineStr">
        <is>
          <t>LCHY5</t>
        </is>
      </c>
      <c r="J189" s="4" t="inlineStr">
        <is>
          <t>PW DEPOT CO., LTD.</t>
        </is>
      </c>
      <c r="K189" s="4" t="inlineStr">
        <is>
          <t>20261002</t>
        </is>
      </c>
      <c r="L189" s="4" t="inlineStr">
        <is>
          <t>SS EXCELLENT NETWORK CO.,LTD</t>
        </is>
      </c>
      <c r="M189" s="4" t="inlineStr">
        <is>
          <t>SS EXCELLENT NETWORK CO.,LTD</t>
        </is>
      </c>
      <c r="N189" s="4" t="inlineStr">
        <is>
          <t>COPPER INGOT</t>
        </is>
      </c>
      <c r="O189" s="4" t="inlineStr">
        <is>
          <t>RQST CONTAINER 30 TONS</t>
        </is>
      </c>
      <c r="P189" s="4" t="inlineStr">
        <is>
          <t xml:space="preserve">Pickup : 2026-10-02, Return : 2026-10-03
  ** PLEASE CHECK OPEN GATE BEFORE RETURN CNTR **
</t>
        </is>
      </c>
      <c r="Q189" s="4" t="n">
        <v>1</v>
      </c>
      <c r="R189" s="4" t="n">
        <v>0</v>
      </c>
      <c r="S189" s="4" t="n">
        <v>0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 t="n">
        <v>0</v>
      </c>
      <c r="AA189" s="4" t="n">
        <v>0</v>
      </c>
      <c r="AB189" s="4">
        <f>SUM(Q189:Y189)-Z189</f>
        <v/>
      </c>
      <c r="AC189" s="4">
        <f>IF(I189="","",IF(OR(LEFT(I189,3)="BKK",I189="LCH55"),"BKK",IF(LEFT(I189,3)="LCH","LCH","OTHER")))</f>
        <v/>
      </c>
      <c r="AD189" s="4">
        <f>MAX(0,Q189-MAX(0,Z189))</f>
        <v/>
      </c>
      <c r="AE189" s="4">
        <f>MAX(0,R189-MAX(0,Z189-SUM(Q189:Q189)))</f>
        <v/>
      </c>
      <c r="AF189" s="4">
        <f>MAX(0,S189-MAX(0,Z189-SUM(Q189:R189)))</f>
        <v/>
      </c>
      <c r="AG189" s="4">
        <f>MAX(0,T189-MAX(0,Z189-SUM(Q189:S189)))</f>
        <v/>
      </c>
      <c r="AH189" s="4">
        <f>MAX(0,U189-MAX(0,Z189-SUM(Q189:T189)))</f>
        <v/>
      </c>
      <c r="AI189" s="4">
        <f>MAX(0,V189-MAX(0,Z189-SUM(Q189:U189)))</f>
        <v/>
      </c>
      <c r="AJ189" s="4">
        <f>MAX(0,W189-MAX(0,Z189-SUM(Q189:V189)))</f>
        <v/>
      </c>
      <c r="AK189" s="4">
        <f>MAX(0,X189-MAX(0,Z189-SUM(Q189:W189)))</f>
        <v/>
      </c>
      <c r="AL189" s="4">
        <f>MAX(0,Y189-MAX(0,Z189-SUM(Q189:X189)))</f>
        <v/>
      </c>
    </row>
    <row r="190">
      <c r="A190" s="4" t="inlineStr">
        <is>
          <t>HASLS22260801961</t>
        </is>
      </c>
      <c r="B190" s="4" t="inlineStr">
        <is>
          <t>SWAL</t>
        </is>
      </c>
      <c r="C190" s="4" t="inlineStr">
        <is>
          <t>2609N</t>
        </is>
      </c>
      <c r="D190" s="4" t="inlineStr">
        <is>
          <t>202610191500</t>
        </is>
      </c>
      <c r="E190" s="4" t="inlineStr"/>
      <c r="F190" s="4" t="inlineStr">
        <is>
          <t>THBKK</t>
        </is>
      </c>
      <c r="G190" s="4" t="inlineStr">
        <is>
          <t>VNSGN</t>
        </is>
      </c>
      <c r="H190" s="4" t="inlineStr">
        <is>
          <t xml:space="preserve">20'x10 </t>
        </is>
      </c>
      <c r="I190" s="4" t="inlineStr">
        <is>
          <t>BKK25</t>
        </is>
      </c>
      <c r="J190" s="4" t="inlineStr">
        <is>
          <t xml:space="preserve">Smart Logistics Service (Thailand ) Co.,Ltd. </t>
        </is>
      </c>
      <c r="K190" s="4" t="inlineStr">
        <is>
          <t>20261003</t>
        </is>
      </c>
      <c r="L190" s="4" t="inlineStr">
        <is>
          <t>SCGJWD LOGISTICS PUBLIC COMPANY LIMITED</t>
        </is>
      </c>
      <c r="M190" s="4" t="inlineStr">
        <is>
          <t>SCG INTERNATIONAL CORPORATION CO., LTD.</t>
        </is>
      </c>
      <c r="N190" s="4" t="inlineStr">
        <is>
          <t>WHITE CLINKER</t>
        </is>
      </c>
      <c r="O190" s="4" t="inlineStr">
        <is>
          <t>Container clean, No Oil, No Rust and Loading by Forklift</t>
        </is>
      </c>
      <c r="P190" s="4" t="inlineStr">
        <is>
          <t xml:space="preserve">CY 03/10/26, RTN 05/10/26 (26IHWCL77)  / </t>
        </is>
      </c>
      <c r="Q190" s="4" t="n">
        <v>10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>
        <f>SUM(Q190:Y190)-Z190</f>
        <v/>
      </c>
      <c r="AC190" s="4">
        <f>IF(I190="","",IF(OR(LEFT(I190,3)="BKK",I190="LCH55"),"BKK",IF(LEFT(I190,3)="LCH","LCH","OTHER")))</f>
        <v/>
      </c>
      <c r="AD190" s="4">
        <f>MAX(0,Q190-MAX(0,Z190))</f>
        <v/>
      </c>
      <c r="AE190" s="4">
        <f>MAX(0,R190-MAX(0,Z190-SUM(Q190:Q190)))</f>
        <v/>
      </c>
      <c r="AF190" s="4">
        <f>MAX(0,S190-MAX(0,Z190-SUM(Q190:R190)))</f>
        <v/>
      </c>
      <c r="AG190" s="4">
        <f>MAX(0,T190-MAX(0,Z190-SUM(Q190:S190)))</f>
        <v/>
      </c>
      <c r="AH190" s="4">
        <f>MAX(0,U190-MAX(0,Z190-SUM(Q190:T190)))</f>
        <v/>
      </c>
      <c r="AI190" s="4">
        <f>MAX(0,V190-MAX(0,Z190-SUM(Q190:U190)))</f>
        <v/>
      </c>
      <c r="AJ190" s="4">
        <f>MAX(0,W190-MAX(0,Z190-SUM(Q190:V190)))</f>
        <v/>
      </c>
      <c r="AK190" s="4">
        <f>MAX(0,X190-MAX(0,Z190-SUM(Q190:W190)))</f>
        <v/>
      </c>
      <c r="AL190" s="4">
        <f>MAX(0,Y190-MAX(0,Z190-SUM(Q190:X190)))</f>
        <v/>
      </c>
    </row>
    <row r="191">
      <c r="A191" s="4" t="inlineStr">
        <is>
          <t>HASLS22260900541</t>
        </is>
      </c>
      <c r="B191" s="4" t="inlineStr">
        <is>
          <t>PGPO</t>
        </is>
      </c>
      <c r="C191" s="4" t="inlineStr">
        <is>
          <t>2612N</t>
        </is>
      </c>
      <c r="D191" s="4" t="inlineStr">
        <is>
          <t>202610150100</t>
        </is>
      </c>
      <c r="E191" s="4" t="inlineStr"/>
      <c r="F191" s="4" t="inlineStr">
        <is>
          <t>THBKK</t>
        </is>
      </c>
      <c r="G191" s="4" t="inlineStr">
        <is>
          <t>VNSGN</t>
        </is>
      </c>
      <c r="H191" s="4" t="inlineStr">
        <is>
          <t xml:space="preserve">20'x2 </t>
        </is>
      </c>
      <c r="I191" s="4" t="inlineStr">
        <is>
          <t>BKK25</t>
        </is>
      </c>
      <c r="J191" s="4" t="inlineStr">
        <is>
          <t xml:space="preserve">Smart Logistics Service (Thailand ) Co.,Ltd. </t>
        </is>
      </c>
      <c r="K191" s="4" t="inlineStr">
        <is>
          <t>20260908</t>
        </is>
      </c>
      <c r="L191" s="4" t="inlineStr">
        <is>
          <t>MERCURIAL LOGISTICS  CO.,LTD</t>
        </is>
      </c>
      <c r="M191" s="4" t="inlineStr">
        <is>
          <t>UENO FINE CHEMICALS INDUSTRY (THAILAND) LTD.</t>
        </is>
      </c>
      <c r="N191" s="4" t="inlineStr">
        <is>
          <t>MALTITOL SYRUP</t>
        </is>
      </c>
      <c r="O191" s="4" t="inlineStr">
        <is>
          <t>GOOD AND CLEAN CONTAINER</t>
        </is>
      </c>
      <c r="P191" s="4" t="inlineStr">
        <is>
          <t>Pickup : 2026-09-08, Return : 2026-09-09</t>
        </is>
      </c>
      <c r="Q191" s="4" t="n">
        <v>2</v>
      </c>
      <c r="R191" s="4" t="n">
        <v>0</v>
      </c>
      <c r="S191" s="4" t="n">
        <v>0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0</v>
      </c>
      <c r="AA191" s="4" t="n">
        <v>0</v>
      </c>
      <c r="AB191" s="4">
        <f>SUM(Q191:Y191)-Z191</f>
        <v/>
      </c>
      <c r="AC191" s="4">
        <f>IF(I191="","",IF(OR(LEFT(I191,3)="BKK",I191="LCH55"),"BKK",IF(LEFT(I191,3)="LCH","LCH","OTHER")))</f>
        <v/>
      </c>
      <c r="AD191" s="4">
        <f>MAX(0,Q191-MAX(0,Z191))</f>
        <v/>
      </c>
      <c r="AE191" s="4">
        <f>MAX(0,R191-MAX(0,Z191-SUM(Q191:Q191)))</f>
        <v/>
      </c>
      <c r="AF191" s="4">
        <f>MAX(0,S191-MAX(0,Z191-SUM(Q191:R191)))</f>
        <v/>
      </c>
      <c r="AG191" s="4">
        <f>MAX(0,T191-MAX(0,Z191-SUM(Q191:S191)))</f>
        <v/>
      </c>
      <c r="AH191" s="4">
        <f>MAX(0,U191-MAX(0,Z191-SUM(Q191:T191)))</f>
        <v/>
      </c>
      <c r="AI191" s="4">
        <f>MAX(0,V191-MAX(0,Z191-SUM(Q191:U191)))</f>
        <v/>
      </c>
      <c r="AJ191" s="4">
        <f>MAX(0,W191-MAX(0,Z191-SUM(Q191:V191)))</f>
        <v/>
      </c>
      <c r="AK191" s="4">
        <f>MAX(0,X191-MAX(0,Z191-SUM(Q191:W191)))</f>
        <v/>
      </c>
      <c r="AL191" s="4">
        <f>MAX(0,Y191-MAX(0,Z191-SUM(Q191:X191)))</f>
        <v/>
      </c>
    </row>
    <row r="192">
      <c r="A192" s="4" t="inlineStr">
        <is>
          <t>HASLS22260900554</t>
        </is>
      </c>
      <c r="B192" s="4" t="inlineStr">
        <is>
          <t>DJCF</t>
        </is>
      </c>
      <c r="C192" s="4" t="inlineStr">
        <is>
          <t>0152N</t>
        </is>
      </c>
      <c r="D192" s="4" t="inlineStr">
        <is>
          <t>202610110500</t>
        </is>
      </c>
      <c r="E192" s="4" t="inlineStr"/>
      <c r="F192" s="4" t="inlineStr">
        <is>
          <t>THBKK</t>
        </is>
      </c>
      <c r="G192" s="4" t="inlineStr">
        <is>
          <t>KRINC</t>
        </is>
      </c>
      <c r="H192" s="4" t="inlineStr">
        <is>
          <t xml:space="preserve">20'x1 </t>
        </is>
      </c>
      <c r="I192" s="4" t="inlineStr">
        <is>
          <t>BKK25</t>
        </is>
      </c>
      <c r="J192" s="4" t="inlineStr">
        <is>
          <t xml:space="preserve">Smart Logistics Service (Thailand ) Co.,Ltd. </t>
        </is>
      </c>
      <c r="K192" s="4" t="inlineStr">
        <is>
          <t>20261005</t>
        </is>
      </c>
      <c r="L192" s="4" t="inlineStr">
        <is>
          <t>KORCHINA FREIGHT (THAILAND) CO., LTD.</t>
        </is>
      </c>
      <c r="M192" s="4" t="inlineStr">
        <is>
          <t>PANTAINORASINGH MANUFACTURER CO.,LTD.</t>
        </is>
      </c>
      <c r="N192" s="4" t="inlineStr">
        <is>
          <t>FOODSTUFFS</t>
        </is>
      </c>
      <c r="O192" s="4" t="inlineStr">
        <is>
          <t>Please notify us of the first day of return of the container free of charge.
The container must be used for food storage, be in new condition, clean,</t>
        </is>
      </c>
      <c r="P192" s="4" t="inlineStr">
        <is>
          <t>Pickup : 2026-10-05, Return : 2026-10-06</t>
        </is>
      </c>
      <c r="Q192" s="4" t="n">
        <v>1</v>
      </c>
      <c r="R192" s="4" t="n">
        <v>0</v>
      </c>
      <c r="S192" s="4" t="n">
        <v>0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>
        <f>SUM(Q192:Y192)-Z192</f>
        <v/>
      </c>
      <c r="AC192" s="4">
        <f>IF(I192="","",IF(OR(LEFT(I192,3)="BKK",I192="LCH55"),"BKK",IF(LEFT(I192,3)="LCH","LCH","OTHER")))</f>
        <v/>
      </c>
      <c r="AD192" s="4">
        <f>MAX(0,Q192-MAX(0,Z192))</f>
        <v/>
      </c>
      <c r="AE192" s="4">
        <f>MAX(0,R192-MAX(0,Z192-SUM(Q192:Q192)))</f>
        <v/>
      </c>
      <c r="AF192" s="4">
        <f>MAX(0,S192-MAX(0,Z192-SUM(Q192:R192)))</f>
        <v/>
      </c>
      <c r="AG192" s="4">
        <f>MAX(0,T192-MAX(0,Z192-SUM(Q192:S192)))</f>
        <v/>
      </c>
      <c r="AH192" s="4">
        <f>MAX(0,U192-MAX(0,Z192-SUM(Q192:T192)))</f>
        <v/>
      </c>
      <c r="AI192" s="4">
        <f>MAX(0,V192-MAX(0,Z192-SUM(Q192:U192)))</f>
        <v/>
      </c>
      <c r="AJ192" s="4">
        <f>MAX(0,W192-MAX(0,Z192-SUM(Q192:V192)))</f>
        <v/>
      </c>
      <c r="AK192" s="4">
        <f>MAX(0,X192-MAX(0,Z192-SUM(Q192:W192)))</f>
        <v/>
      </c>
      <c r="AL192" s="4">
        <f>MAX(0,Y192-MAX(0,Z192-SUM(Q192:X192)))</f>
        <v/>
      </c>
    </row>
    <row r="193">
      <c r="A193" s="4" t="inlineStr">
        <is>
          <t>HASLS22260900591</t>
        </is>
      </c>
      <c r="B193" s="4" t="inlineStr">
        <is>
          <t>SWAL</t>
        </is>
      </c>
      <c r="C193" s="4" t="inlineStr">
        <is>
          <t>2609N</t>
        </is>
      </c>
      <c r="D193" s="4" t="inlineStr">
        <is>
          <t>202610191500</t>
        </is>
      </c>
      <c r="E193" s="4" t="inlineStr"/>
      <c r="F193" s="4" t="inlineStr">
        <is>
          <t>THBKK</t>
        </is>
      </c>
      <c r="G193" s="4" t="inlineStr">
        <is>
          <t>KRINC</t>
        </is>
      </c>
      <c r="H193" s="4" t="inlineStr">
        <is>
          <t xml:space="preserve">20'x25 </t>
        </is>
      </c>
      <c r="I193" s="4" t="inlineStr">
        <is>
          <t>BKK25</t>
        </is>
      </c>
      <c r="J193" s="4" t="inlineStr">
        <is>
          <t xml:space="preserve">Smart Logistics Service (Thailand ) Co.,Ltd. </t>
        </is>
      </c>
      <c r="K193" s="4" t="inlineStr">
        <is>
          <t>20260912</t>
        </is>
      </c>
      <c r="L193" s="4" t="inlineStr">
        <is>
          <t>DP WORLD LOGISTICS SOLUTIONS (THAILAND) COMPANY LIMITED</t>
        </is>
      </c>
      <c r="M193" s="4" t="inlineStr">
        <is>
          <t>DP WORLD LOGISTICS SOLUTIONS (THAILAND) COMPANY LIMITED</t>
        </is>
      </c>
      <c r="N193" s="4" t="inlineStr">
        <is>
          <t>SOYBEAN OIL</t>
        </is>
      </c>
      <c r="O193" s="4" t="inlineStr">
        <is>
          <t>**APPROVAL BY MR.SANGJUN KIM DD.23/09/2026** *FLEXIBAG* SERVEY 2026-10-12</t>
        </is>
      </c>
      <c r="P193" s="4" t="inlineStr">
        <is>
          <t>**APPROVAL BY MR.SANGJUN KIM DD.23/09/2026** *FLEXIBAG*
SERVEY 2026-10-12 , Pickup : 2026-09-14, Return : 2026-09-15</t>
        </is>
      </c>
      <c r="Q193" s="4" t="n">
        <v>25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>
        <f>SUM(Q193:Y193)-Z193</f>
        <v/>
      </c>
      <c r="AC193" s="4">
        <f>IF(I193="","",IF(OR(LEFT(I193,3)="BKK",I193="LCH55"),"BKK",IF(LEFT(I193,3)="LCH","LCH","OTHER")))</f>
        <v/>
      </c>
      <c r="AD193" s="4">
        <f>MAX(0,Q193-MAX(0,Z193))</f>
        <v/>
      </c>
      <c r="AE193" s="4">
        <f>MAX(0,R193-MAX(0,Z193-SUM(Q193:Q193)))</f>
        <v/>
      </c>
      <c r="AF193" s="4">
        <f>MAX(0,S193-MAX(0,Z193-SUM(Q193:R193)))</f>
        <v/>
      </c>
      <c r="AG193" s="4">
        <f>MAX(0,T193-MAX(0,Z193-SUM(Q193:S193)))</f>
        <v/>
      </c>
      <c r="AH193" s="4">
        <f>MAX(0,U193-MAX(0,Z193-SUM(Q193:T193)))</f>
        <v/>
      </c>
      <c r="AI193" s="4">
        <f>MAX(0,V193-MAX(0,Z193-SUM(Q193:U193)))</f>
        <v/>
      </c>
      <c r="AJ193" s="4">
        <f>MAX(0,W193-MAX(0,Z193-SUM(Q193:V193)))</f>
        <v/>
      </c>
      <c r="AK193" s="4">
        <f>MAX(0,X193-MAX(0,Z193-SUM(Q193:W193)))</f>
        <v/>
      </c>
      <c r="AL193" s="4">
        <f>MAX(0,Y193-MAX(0,Z193-SUM(Q193:X193)))</f>
        <v/>
      </c>
    </row>
    <row r="194">
      <c r="A194" s="4" t="inlineStr">
        <is>
          <t>HASLS22260900657</t>
        </is>
      </c>
      <c r="B194" s="4" t="inlineStr">
        <is>
          <t>SWIC</t>
        </is>
      </c>
      <c r="C194" s="4" t="inlineStr">
        <is>
          <t>2611N</t>
        </is>
      </c>
      <c r="D194" s="4" t="inlineStr">
        <is>
          <t>202610151200</t>
        </is>
      </c>
      <c r="E194" s="4" t="inlineStr"/>
      <c r="F194" s="4" t="inlineStr">
        <is>
          <t>THBKK</t>
        </is>
      </c>
      <c r="G194" s="4" t="inlineStr">
        <is>
          <t>KRPUS</t>
        </is>
      </c>
      <c r="H194" s="4" t="inlineStr">
        <is>
          <t xml:space="preserve">20'x5 </t>
        </is>
      </c>
      <c r="I194" s="4" t="inlineStr">
        <is>
          <t>BKK25</t>
        </is>
      </c>
      <c r="J194" s="4" t="inlineStr">
        <is>
          <t xml:space="preserve">Smart Logistics Service (Thailand ) Co.,Ltd. </t>
        </is>
      </c>
      <c r="K194" s="4" t="inlineStr">
        <is>
          <t>20261002</t>
        </is>
      </c>
      <c r="L194" s="4" t="inlineStr">
        <is>
          <t>ORIENT STAR INTERNATIONAL LOGISTICS CO., LTD.</t>
        </is>
      </c>
      <c r="M194" s="4" t="inlineStr">
        <is>
          <t>WIDE WATER GATE CO.,LTD</t>
        </is>
      </c>
      <c r="N194" s="4" t="inlineStr">
        <is>
          <t>ALOE VERA GEL SAPS</t>
        </is>
      </c>
      <c r="O194" s="4" t="inlineStr">
        <is>
          <t>GOOD AND CLEAN CONTAINER</t>
        </is>
      </c>
      <c r="P194" s="4" t="inlineStr">
        <is>
          <t>Pickup : 2026-10-02, Return : 2026-10-06 // FM DJCF 0152N BY HAL DD.28/09
(1ST RETURN 06/10 W/O RENT)</t>
        </is>
      </c>
      <c r="Q194" s="4" t="n">
        <v>5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>
        <f>SUM(Q194:Y194)-Z194</f>
        <v/>
      </c>
      <c r="AC194" s="4">
        <f>IF(I194="","",IF(OR(LEFT(I194,3)="BKK",I194="LCH55"),"BKK",IF(LEFT(I194,3)="LCH","LCH","OTHER")))</f>
        <v/>
      </c>
      <c r="AD194" s="4">
        <f>MAX(0,Q194-MAX(0,Z194))</f>
        <v/>
      </c>
      <c r="AE194" s="4">
        <f>MAX(0,R194-MAX(0,Z194-SUM(Q194:Q194)))</f>
        <v/>
      </c>
      <c r="AF194" s="4">
        <f>MAX(0,S194-MAX(0,Z194-SUM(Q194:R194)))</f>
        <v/>
      </c>
      <c r="AG194" s="4">
        <f>MAX(0,T194-MAX(0,Z194-SUM(Q194:S194)))</f>
        <v/>
      </c>
      <c r="AH194" s="4">
        <f>MAX(0,U194-MAX(0,Z194-SUM(Q194:T194)))</f>
        <v/>
      </c>
      <c r="AI194" s="4">
        <f>MAX(0,V194-MAX(0,Z194-SUM(Q194:U194)))</f>
        <v/>
      </c>
      <c r="AJ194" s="4">
        <f>MAX(0,W194-MAX(0,Z194-SUM(Q194:V194)))</f>
        <v/>
      </c>
      <c r="AK194" s="4">
        <f>MAX(0,X194-MAX(0,Z194-SUM(Q194:W194)))</f>
        <v/>
      </c>
      <c r="AL194" s="4">
        <f>MAX(0,Y194-MAX(0,Z194-SUM(Q194:X194)))</f>
        <v/>
      </c>
    </row>
    <row r="195">
      <c r="A195" s="4" t="inlineStr">
        <is>
          <t>HASLS22260900835</t>
        </is>
      </c>
      <c r="B195" s="4" t="inlineStr">
        <is>
          <t>DJCF</t>
        </is>
      </c>
      <c r="C195" s="4" t="inlineStr">
        <is>
          <t>0152N</t>
        </is>
      </c>
      <c r="D195" s="4" t="inlineStr">
        <is>
          <t>202610110500</t>
        </is>
      </c>
      <c r="E195" s="4" t="inlineStr"/>
      <c r="F195" s="4" t="inlineStr">
        <is>
          <t>THBKK</t>
        </is>
      </c>
      <c r="G195" s="4" t="inlineStr">
        <is>
          <t>VNSGN</t>
        </is>
      </c>
      <c r="H195" s="4" t="inlineStr">
        <is>
          <t xml:space="preserve">20'x1 </t>
        </is>
      </c>
      <c r="I195" s="4" t="inlineStr">
        <is>
          <t>BKK25</t>
        </is>
      </c>
      <c r="J195" s="4" t="inlineStr">
        <is>
          <t xml:space="preserve">Smart Logistics Service (Thailand ) Co.,Ltd. </t>
        </is>
      </c>
      <c r="K195" s="4" t="inlineStr">
        <is>
          <t>20261005</t>
        </is>
      </c>
      <c r="L195" s="4" t="inlineStr">
        <is>
          <t>YAMATO UNYU (THAILAND) CO., LTD.</t>
        </is>
      </c>
      <c r="M195" s="4" t="inlineStr">
        <is>
          <t>LOGTHAI-OROTEX CO,LTD</t>
        </is>
      </c>
      <c r="N195" s="4" t="inlineStr">
        <is>
          <t>RUBBER PARTS</t>
        </is>
      </c>
      <c r="O195" s="4" t="inlineStr">
        <is>
          <t>Request good and clean container , not damage , none any hole , smooth floor , ceiling &amp; wall not deforme</t>
        </is>
      </c>
      <c r="P195" s="4" t="inlineStr">
        <is>
          <t>Pickup : 2026-10-05, Return : 2026-10-06</t>
        </is>
      </c>
      <c r="Q195" s="4" t="n">
        <v>1</v>
      </c>
      <c r="R195" s="4" t="n">
        <v>0</v>
      </c>
      <c r="S195" s="4" t="n">
        <v>0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 t="n">
        <v>0</v>
      </c>
      <c r="AA195" s="4" t="n">
        <v>0</v>
      </c>
      <c r="AB195" s="4">
        <f>SUM(Q195:Y195)-Z195</f>
        <v/>
      </c>
      <c r="AC195" s="4">
        <f>IF(I195="","",IF(OR(LEFT(I195,3)="BKK",I195="LCH55"),"BKK",IF(LEFT(I195,3)="LCH","LCH","OTHER")))</f>
        <v/>
      </c>
      <c r="AD195" s="4">
        <f>MAX(0,Q195-MAX(0,Z195))</f>
        <v/>
      </c>
      <c r="AE195" s="4">
        <f>MAX(0,R195-MAX(0,Z195-SUM(Q195:Q195)))</f>
        <v/>
      </c>
      <c r="AF195" s="4">
        <f>MAX(0,S195-MAX(0,Z195-SUM(Q195:R195)))</f>
        <v/>
      </c>
      <c r="AG195" s="4">
        <f>MAX(0,T195-MAX(0,Z195-SUM(Q195:S195)))</f>
        <v/>
      </c>
      <c r="AH195" s="4">
        <f>MAX(0,U195-MAX(0,Z195-SUM(Q195:T195)))</f>
        <v/>
      </c>
      <c r="AI195" s="4">
        <f>MAX(0,V195-MAX(0,Z195-SUM(Q195:U195)))</f>
        <v/>
      </c>
      <c r="AJ195" s="4">
        <f>MAX(0,W195-MAX(0,Z195-SUM(Q195:V195)))</f>
        <v/>
      </c>
      <c r="AK195" s="4">
        <f>MAX(0,X195-MAX(0,Z195-SUM(Q195:W195)))</f>
        <v/>
      </c>
      <c r="AL195" s="4">
        <f>MAX(0,Y195-MAX(0,Z195-SUM(Q195:X195)))</f>
        <v/>
      </c>
    </row>
    <row r="196">
      <c r="A196" s="4" t="inlineStr">
        <is>
          <t>HASLS22260901039</t>
        </is>
      </c>
      <c r="B196" s="4" t="inlineStr">
        <is>
          <t>DJCF</t>
        </is>
      </c>
      <c r="C196" s="4" t="inlineStr">
        <is>
          <t>0152N</t>
        </is>
      </c>
      <c r="D196" s="4" t="inlineStr">
        <is>
          <t>202610110500</t>
        </is>
      </c>
      <c r="E196" s="4" t="inlineStr"/>
      <c r="F196" s="4" t="inlineStr">
        <is>
          <t>THBKK</t>
        </is>
      </c>
      <c r="G196" s="4" t="inlineStr">
        <is>
          <t>JPMYJ</t>
        </is>
      </c>
      <c r="H196" s="4" t="inlineStr">
        <is>
          <t xml:space="preserve">40Hx1 </t>
        </is>
      </c>
      <c r="I196" s="4" t="inlineStr">
        <is>
          <t>BKK25</t>
        </is>
      </c>
      <c r="J196" s="4" t="inlineStr">
        <is>
          <t xml:space="preserve">Smart Logistics Service (Thailand ) Co.,Ltd. </t>
        </is>
      </c>
      <c r="K196" s="4" t="inlineStr">
        <is>
          <t>20261005</t>
        </is>
      </c>
      <c r="L196" s="4" t="inlineStr">
        <is>
          <t>C.P. INTERTRADE CO., LTD.</t>
        </is>
      </c>
      <c r="M196" s="4" t="inlineStr">
        <is>
          <t>PERFECT COMPANION GROUP CO., LTD.</t>
        </is>
      </c>
      <c r="N196" s="4" t="inlineStr">
        <is>
          <t>PET FOOD</t>
        </is>
      </c>
      <c r="O196" s="4" t="inlineStr">
        <is>
          <t>GOOD AND CLEAN CTNR</t>
        </is>
      </c>
      <c r="P196" s="4" t="inlineStr">
        <is>
          <t>Pickup : 2026-10-05, Return : 2026-10-07</t>
        </is>
      </c>
      <c r="Q196" s="4" t="n">
        <v>0</v>
      </c>
      <c r="R196" s="4" t="n">
        <v>0</v>
      </c>
      <c r="S196" s="4" t="n">
        <v>1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 t="n">
        <v>0</v>
      </c>
      <c r="AA196" s="4" t="n">
        <v>0</v>
      </c>
      <c r="AB196" s="4">
        <f>SUM(Q196:Y196)-Z196</f>
        <v/>
      </c>
      <c r="AC196" s="4">
        <f>IF(I196="","",IF(OR(LEFT(I196,3)="BKK",I196="LCH55"),"BKK",IF(LEFT(I196,3)="LCH","LCH","OTHER")))</f>
        <v/>
      </c>
      <c r="AD196" s="4">
        <f>MAX(0,Q196-MAX(0,Z196))</f>
        <v/>
      </c>
      <c r="AE196" s="4">
        <f>MAX(0,R196-MAX(0,Z196-SUM(Q196:Q196)))</f>
        <v/>
      </c>
      <c r="AF196" s="4">
        <f>MAX(0,S196-MAX(0,Z196-SUM(Q196:R196)))</f>
        <v/>
      </c>
      <c r="AG196" s="4">
        <f>MAX(0,T196-MAX(0,Z196-SUM(Q196:S196)))</f>
        <v/>
      </c>
      <c r="AH196" s="4">
        <f>MAX(0,U196-MAX(0,Z196-SUM(Q196:T196)))</f>
        <v/>
      </c>
      <c r="AI196" s="4">
        <f>MAX(0,V196-MAX(0,Z196-SUM(Q196:U196)))</f>
        <v/>
      </c>
      <c r="AJ196" s="4">
        <f>MAX(0,W196-MAX(0,Z196-SUM(Q196:V196)))</f>
        <v/>
      </c>
      <c r="AK196" s="4">
        <f>MAX(0,X196-MAX(0,Z196-SUM(Q196:W196)))</f>
        <v/>
      </c>
      <c r="AL196" s="4">
        <f>MAX(0,Y196-MAX(0,Z196-SUM(Q196:X196)))</f>
        <v/>
      </c>
    </row>
    <row r="197">
      <c r="A197" s="4" t="inlineStr">
        <is>
          <t>HASLS22260901077</t>
        </is>
      </c>
      <c r="B197" s="4" t="inlineStr">
        <is>
          <t>SWSP</t>
        </is>
      </c>
      <c r="C197" s="4" t="inlineStr">
        <is>
          <t>2609N</t>
        </is>
      </c>
      <c r="D197" s="4" t="inlineStr">
        <is>
          <t>202610062230</t>
        </is>
      </c>
      <c r="E197" s="4" t="inlineStr"/>
      <c r="F197" s="4" t="inlineStr">
        <is>
          <t>THBKK</t>
        </is>
      </c>
      <c r="G197" s="4" t="inlineStr">
        <is>
          <t>VNSGN</t>
        </is>
      </c>
      <c r="H197" s="4" t="inlineStr">
        <is>
          <t xml:space="preserve">20'x1 </t>
        </is>
      </c>
      <c r="I197" s="4" t="inlineStr">
        <is>
          <t>BKK25</t>
        </is>
      </c>
      <c r="J197" s="4" t="inlineStr">
        <is>
          <t xml:space="preserve">Smart Logistics Service (Thailand ) Co.,Ltd. </t>
        </is>
      </c>
      <c r="K197" s="4" t="inlineStr">
        <is>
          <t>20261002</t>
        </is>
      </c>
      <c r="L197" s="4" t="inlineStr">
        <is>
          <t>EAST-LINK CORPORATION CO., LTD.</t>
        </is>
      </c>
      <c r="M197" s="4" t="inlineStr">
        <is>
          <t>SIAM FUKOKU CO.,LTD.</t>
        </is>
      </c>
      <c r="N197" s="4" t="inlineStr">
        <is>
          <t>BLADE RUBBER</t>
        </is>
      </c>
      <c r="O197" s="4" t="inlineStr">
        <is>
          <t>RQS CLEAN &amp; GOOD CONTAINER CONDITION.</t>
        </is>
      </c>
      <c r="P197" s="4" t="inlineStr">
        <is>
          <t>Pickup : 2026-10-02, Return : 2026-10-03  *CLS TIME DD.05/10/2026 @23.59*</t>
        </is>
      </c>
      <c r="Q197" s="4" t="n">
        <v>1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>
        <f>SUM(Q197:Y197)-Z197</f>
        <v/>
      </c>
      <c r="AC197" s="4">
        <f>IF(I197="","",IF(OR(LEFT(I197,3)="BKK",I197="LCH55"),"BKK",IF(LEFT(I197,3)="LCH","LCH","OTHER")))</f>
        <v/>
      </c>
      <c r="AD197" s="4">
        <f>MAX(0,Q197-MAX(0,Z197))</f>
        <v/>
      </c>
      <c r="AE197" s="4">
        <f>MAX(0,R197-MAX(0,Z197-SUM(Q197:Q197)))</f>
        <v/>
      </c>
      <c r="AF197" s="4">
        <f>MAX(0,S197-MAX(0,Z197-SUM(Q197:R197)))</f>
        <v/>
      </c>
      <c r="AG197" s="4">
        <f>MAX(0,T197-MAX(0,Z197-SUM(Q197:S197)))</f>
        <v/>
      </c>
      <c r="AH197" s="4">
        <f>MAX(0,U197-MAX(0,Z197-SUM(Q197:T197)))</f>
        <v/>
      </c>
      <c r="AI197" s="4">
        <f>MAX(0,V197-MAX(0,Z197-SUM(Q197:U197)))</f>
        <v/>
      </c>
      <c r="AJ197" s="4">
        <f>MAX(0,W197-MAX(0,Z197-SUM(Q197:V197)))</f>
        <v/>
      </c>
      <c r="AK197" s="4">
        <f>MAX(0,X197-MAX(0,Z197-SUM(Q197:W197)))</f>
        <v/>
      </c>
      <c r="AL197" s="4">
        <f>MAX(0,Y197-MAX(0,Z197-SUM(Q197:X197)))</f>
        <v/>
      </c>
    </row>
    <row r="198">
      <c r="A198" s="4" t="inlineStr">
        <is>
          <t>HASLS22260901166</t>
        </is>
      </c>
      <c r="B198" s="4" t="inlineStr">
        <is>
          <t>SWSR</t>
        </is>
      </c>
      <c r="C198" s="4" t="inlineStr">
        <is>
          <t>2611N</t>
        </is>
      </c>
      <c r="D198" s="4" t="inlineStr">
        <is>
          <t>202610121900</t>
        </is>
      </c>
      <c r="E198" s="4" t="inlineStr"/>
      <c r="F198" s="4" t="inlineStr">
        <is>
          <t>THBKK</t>
        </is>
      </c>
      <c r="G198" s="4" t="inlineStr">
        <is>
          <t>HKHKG</t>
        </is>
      </c>
      <c r="H198" s="4" t="inlineStr">
        <is>
          <t xml:space="preserve">20'x2 </t>
        </is>
      </c>
      <c r="I198" s="4" t="inlineStr">
        <is>
          <t>BKK25</t>
        </is>
      </c>
      <c r="J198" s="4" t="inlineStr">
        <is>
          <t xml:space="preserve">Smart Logistics Service (Thailand ) Co.,Ltd. </t>
        </is>
      </c>
      <c r="K198" s="4" t="inlineStr">
        <is>
          <t>20261005</t>
        </is>
      </c>
      <c r="L198" s="4" t="inlineStr">
        <is>
          <t>KUEHNE + NAGEL LIMITED</t>
        </is>
      </c>
      <c r="M198" s="4" t="inlineStr">
        <is>
          <t>SINGHA WORLDWIDE INTERNATIONAL CO., LTD.</t>
        </is>
      </c>
      <c r="N198" s="4" t="inlineStr">
        <is>
          <t>SODA WATER</t>
        </is>
      </c>
      <c r="O198" s="4" t="inlineStr">
        <is>
          <t>REQ under desk cargo and food grade container</t>
        </is>
      </c>
      <c r="P198" s="4" t="inlineStr">
        <is>
          <t>Pickup : 2026-10-05, Return : 2026-10-06</t>
        </is>
      </c>
      <c r="Q198" s="4" t="n">
        <v>2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0</v>
      </c>
      <c r="AA198" s="4" t="n">
        <v>0</v>
      </c>
      <c r="AB198" s="4">
        <f>SUM(Q198:Y198)-Z198</f>
        <v/>
      </c>
      <c r="AC198" s="4">
        <f>IF(I198="","",IF(OR(LEFT(I198,3)="BKK",I198="LCH55"),"BKK",IF(LEFT(I198,3)="LCH","LCH","OTHER")))</f>
        <v/>
      </c>
      <c r="AD198" s="4">
        <f>MAX(0,Q198-MAX(0,Z198))</f>
        <v/>
      </c>
      <c r="AE198" s="4">
        <f>MAX(0,R198-MAX(0,Z198-SUM(Q198:Q198)))</f>
        <v/>
      </c>
      <c r="AF198" s="4">
        <f>MAX(0,S198-MAX(0,Z198-SUM(Q198:R198)))</f>
        <v/>
      </c>
      <c r="AG198" s="4">
        <f>MAX(0,T198-MAX(0,Z198-SUM(Q198:S198)))</f>
        <v/>
      </c>
      <c r="AH198" s="4">
        <f>MAX(0,U198-MAX(0,Z198-SUM(Q198:T198)))</f>
        <v/>
      </c>
      <c r="AI198" s="4">
        <f>MAX(0,V198-MAX(0,Z198-SUM(Q198:U198)))</f>
        <v/>
      </c>
      <c r="AJ198" s="4">
        <f>MAX(0,W198-MAX(0,Z198-SUM(Q198:V198)))</f>
        <v/>
      </c>
      <c r="AK198" s="4">
        <f>MAX(0,X198-MAX(0,Z198-SUM(Q198:W198)))</f>
        <v/>
      </c>
      <c r="AL198" s="4">
        <f>MAX(0,Y198-MAX(0,Z198-SUM(Q198:X198)))</f>
        <v/>
      </c>
    </row>
    <row r="199">
      <c r="A199" s="4" t="inlineStr">
        <is>
          <t>HASLS22260901191</t>
        </is>
      </c>
      <c r="B199" s="4" t="inlineStr">
        <is>
          <t>DJCF</t>
        </is>
      </c>
      <c r="C199" s="4" t="inlineStr">
        <is>
          <t>0152N</t>
        </is>
      </c>
      <c r="D199" s="4" t="inlineStr">
        <is>
          <t>202610110500</t>
        </is>
      </c>
      <c r="E199" s="4" t="inlineStr"/>
      <c r="F199" s="4" t="inlineStr">
        <is>
          <t>THBKK</t>
        </is>
      </c>
      <c r="G199" s="4" t="inlineStr">
        <is>
          <t>KRINC</t>
        </is>
      </c>
      <c r="H199" s="4" t="inlineStr">
        <is>
          <t xml:space="preserve">20'x1 </t>
        </is>
      </c>
      <c r="I199" s="4" t="inlineStr">
        <is>
          <t>BKK25</t>
        </is>
      </c>
      <c r="J199" s="4" t="inlineStr">
        <is>
          <t xml:space="preserve">Smart Logistics Service (Thailand ) Co.,Ltd. </t>
        </is>
      </c>
      <c r="K199" s="4" t="inlineStr">
        <is>
          <t>20261005</t>
        </is>
      </c>
      <c r="L199" s="4" t="inlineStr">
        <is>
          <t>CELESTIAL XPRESS LOGISTICS (THAILAND) CO., LTD.</t>
        </is>
      </c>
      <c r="M199" s="4" t="inlineStr">
        <is>
          <t>I-TAIL CORPORATION PUBLIC COMPANY LIMITED</t>
        </is>
      </c>
      <c r="N199" s="4" t="inlineStr">
        <is>
          <t>PET FOOD</t>
        </is>
      </c>
      <c r="O199" s="4" t="inlineStr">
        <is>
          <t>GOOD AND CLEAN CTNR</t>
        </is>
      </c>
      <c r="P199" s="4" t="inlineStr">
        <is>
          <t>Pickup : 2026-10-05, Return : 2026-10-06</t>
        </is>
      </c>
      <c r="Q199" s="4" t="n">
        <v>1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>
        <f>SUM(Q199:Y199)-Z199</f>
        <v/>
      </c>
      <c r="AC199" s="4">
        <f>IF(I199="","",IF(OR(LEFT(I199,3)="BKK",I199="LCH55"),"BKK",IF(LEFT(I199,3)="LCH","LCH","OTHER")))</f>
        <v/>
      </c>
      <c r="AD199" s="4">
        <f>MAX(0,Q199-MAX(0,Z199))</f>
        <v/>
      </c>
      <c r="AE199" s="4">
        <f>MAX(0,R199-MAX(0,Z199-SUM(Q199:Q199)))</f>
        <v/>
      </c>
      <c r="AF199" s="4">
        <f>MAX(0,S199-MAX(0,Z199-SUM(Q199:R199)))</f>
        <v/>
      </c>
      <c r="AG199" s="4">
        <f>MAX(0,T199-MAX(0,Z199-SUM(Q199:S199)))</f>
        <v/>
      </c>
      <c r="AH199" s="4">
        <f>MAX(0,U199-MAX(0,Z199-SUM(Q199:T199)))</f>
        <v/>
      </c>
      <c r="AI199" s="4">
        <f>MAX(0,V199-MAX(0,Z199-SUM(Q199:U199)))</f>
        <v/>
      </c>
      <c r="AJ199" s="4">
        <f>MAX(0,W199-MAX(0,Z199-SUM(Q199:V199)))</f>
        <v/>
      </c>
      <c r="AK199" s="4">
        <f>MAX(0,X199-MAX(0,Z199-SUM(Q199:W199)))</f>
        <v/>
      </c>
      <c r="AL199" s="4">
        <f>MAX(0,Y199-MAX(0,Z199-SUM(Q199:X199)))</f>
        <v/>
      </c>
    </row>
    <row r="200">
      <c r="A200" s="4" t="inlineStr">
        <is>
          <t>HASLS22260901354</t>
        </is>
      </c>
      <c r="B200" s="4" t="inlineStr">
        <is>
          <t>DJCF</t>
        </is>
      </c>
      <c r="C200" s="4" t="inlineStr">
        <is>
          <t>0152N</t>
        </is>
      </c>
      <c r="D200" s="4" t="inlineStr">
        <is>
          <t>202610110500</t>
        </is>
      </c>
      <c r="E200" s="4" t="inlineStr"/>
      <c r="F200" s="4" t="inlineStr">
        <is>
          <t>THBKK</t>
        </is>
      </c>
      <c r="G200" s="4" t="inlineStr">
        <is>
          <t>KRINC</t>
        </is>
      </c>
      <c r="H200" s="4" t="inlineStr">
        <is>
          <t xml:space="preserve">20'x1 </t>
        </is>
      </c>
      <c r="I200" s="4" t="inlineStr">
        <is>
          <t>BKK25</t>
        </is>
      </c>
      <c r="J200" s="4" t="inlineStr">
        <is>
          <t xml:space="preserve">Smart Logistics Service (Thailand ) Co.,Ltd. </t>
        </is>
      </c>
      <c r="K200" s="4" t="inlineStr">
        <is>
          <t>20261005</t>
        </is>
      </c>
      <c r="L200" s="4" t="inlineStr">
        <is>
          <t>KORCHINA FREIGHT (THAILAND) CO., LTD.</t>
        </is>
      </c>
      <c r="M200" s="4" t="inlineStr">
        <is>
          <t>ORIENTAL FOODS LIMITED PARTNERSHIP</t>
        </is>
      </c>
      <c r="N200" s="4" t="inlineStr">
        <is>
          <t>RICE STICK</t>
        </is>
      </c>
      <c r="O200" s="4" t="inlineStr">
        <is>
          <t>GOOD AND CLEAN CTNR</t>
        </is>
      </c>
      <c r="P200" s="4" t="inlineStr">
        <is>
          <t>CY-RTN : 05-06/10/2026</t>
        </is>
      </c>
      <c r="Q200" s="4" t="n">
        <v>1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0</v>
      </c>
      <c r="Z200" s="4" t="n">
        <v>0</v>
      </c>
      <c r="AA200" s="4" t="n">
        <v>0</v>
      </c>
      <c r="AB200" s="4">
        <f>SUM(Q200:Y200)-Z200</f>
        <v/>
      </c>
      <c r="AC200" s="4">
        <f>IF(I200="","",IF(OR(LEFT(I200,3)="BKK",I200="LCH55"),"BKK",IF(LEFT(I200,3)="LCH","LCH","OTHER")))</f>
        <v/>
      </c>
      <c r="AD200" s="4">
        <f>MAX(0,Q200-MAX(0,Z200))</f>
        <v/>
      </c>
      <c r="AE200" s="4">
        <f>MAX(0,R200-MAX(0,Z200-SUM(Q200:Q200)))</f>
        <v/>
      </c>
      <c r="AF200" s="4">
        <f>MAX(0,S200-MAX(0,Z200-SUM(Q200:R200)))</f>
        <v/>
      </c>
      <c r="AG200" s="4">
        <f>MAX(0,T200-MAX(0,Z200-SUM(Q200:S200)))</f>
        <v/>
      </c>
      <c r="AH200" s="4">
        <f>MAX(0,U200-MAX(0,Z200-SUM(Q200:T200)))</f>
        <v/>
      </c>
      <c r="AI200" s="4">
        <f>MAX(0,V200-MAX(0,Z200-SUM(Q200:U200)))</f>
        <v/>
      </c>
      <c r="AJ200" s="4">
        <f>MAX(0,W200-MAX(0,Z200-SUM(Q200:V200)))</f>
        <v/>
      </c>
      <c r="AK200" s="4">
        <f>MAX(0,X200-MAX(0,Z200-SUM(Q200:W200)))</f>
        <v/>
      </c>
      <c r="AL200" s="4">
        <f>MAX(0,Y200-MAX(0,Z200-SUM(Q200:X200)))</f>
        <v/>
      </c>
    </row>
    <row r="201">
      <c r="A201" s="4" t="inlineStr">
        <is>
          <t>HASLS22260901358</t>
        </is>
      </c>
      <c r="B201" s="4" t="inlineStr">
        <is>
          <t>SWSR</t>
        </is>
      </c>
      <c r="C201" s="4" t="inlineStr">
        <is>
          <t>2611N</t>
        </is>
      </c>
      <c r="D201" s="4" t="inlineStr">
        <is>
          <t>202610121900</t>
        </is>
      </c>
      <c r="E201" s="4" t="inlineStr"/>
      <c r="F201" s="4" t="inlineStr">
        <is>
          <t>THBKK</t>
        </is>
      </c>
      <c r="G201" s="4" t="inlineStr">
        <is>
          <t>HKHKG</t>
        </is>
      </c>
      <c r="H201" s="4" t="inlineStr">
        <is>
          <t xml:space="preserve">20'x1 </t>
        </is>
      </c>
      <c r="I201" s="4" t="inlineStr">
        <is>
          <t>BKK25</t>
        </is>
      </c>
      <c r="J201" s="4" t="inlineStr">
        <is>
          <t xml:space="preserve">Smart Logistics Service (Thailand ) Co.,Ltd. </t>
        </is>
      </c>
      <c r="K201" s="4" t="inlineStr">
        <is>
          <t>20261005</t>
        </is>
      </c>
      <c r="L201" s="4" t="inlineStr">
        <is>
          <t>DYNAMIC INTERTRANSPORT CO., LTD.</t>
        </is>
      </c>
      <c r="M201" s="4" t="inlineStr">
        <is>
          <t>FRUIT ORGANIC CO., LTD.</t>
        </is>
      </c>
      <c r="N201" s="4" t="inlineStr">
        <is>
          <t>SNACK</t>
        </is>
      </c>
      <c r="O201" s="4" t="inlineStr">
        <is>
          <t>CLEAN AND GRADE A CTNR</t>
        </is>
      </c>
      <c r="P201" s="4" t="inlineStr">
        <is>
          <t xml:space="preserve">Pickup : 2026-10-05, Return : 2026-10-06 </t>
        </is>
      </c>
      <c r="Q201" s="4" t="n">
        <v>1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0</v>
      </c>
      <c r="AA201" s="4" t="n">
        <v>0</v>
      </c>
      <c r="AB201" s="4">
        <f>SUM(Q201:Y201)-Z201</f>
        <v/>
      </c>
      <c r="AC201" s="4">
        <f>IF(I201="","",IF(OR(LEFT(I201,3)="BKK",I201="LCH55"),"BKK",IF(LEFT(I201,3)="LCH","LCH","OTHER")))</f>
        <v/>
      </c>
      <c r="AD201" s="4">
        <f>MAX(0,Q201-MAX(0,Z201))</f>
        <v/>
      </c>
      <c r="AE201" s="4">
        <f>MAX(0,R201-MAX(0,Z201-SUM(Q201:Q201)))</f>
        <v/>
      </c>
      <c r="AF201" s="4">
        <f>MAX(0,S201-MAX(0,Z201-SUM(Q201:R201)))</f>
        <v/>
      </c>
      <c r="AG201" s="4">
        <f>MAX(0,T201-MAX(0,Z201-SUM(Q201:S201)))</f>
        <v/>
      </c>
      <c r="AH201" s="4">
        <f>MAX(0,U201-MAX(0,Z201-SUM(Q201:T201)))</f>
        <v/>
      </c>
      <c r="AI201" s="4">
        <f>MAX(0,V201-MAX(0,Z201-SUM(Q201:U201)))</f>
        <v/>
      </c>
      <c r="AJ201" s="4">
        <f>MAX(0,W201-MAX(0,Z201-SUM(Q201:V201)))</f>
        <v/>
      </c>
      <c r="AK201" s="4">
        <f>MAX(0,X201-MAX(0,Z201-SUM(Q201:W201)))</f>
        <v/>
      </c>
      <c r="AL201" s="4">
        <f>MAX(0,Y201-MAX(0,Z201-SUM(Q201:X201)))</f>
        <v/>
      </c>
    </row>
    <row r="202">
      <c r="A202" s="4" t="inlineStr">
        <is>
          <t>HASLS22260901418</t>
        </is>
      </c>
      <c r="B202" s="4" t="inlineStr">
        <is>
          <t>SWRG</t>
        </is>
      </c>
      <c r="C202" s="4" t="inlineStr">
        <is>
          <t>2609N</t>
        </is>
      </c>
      <c r="D202" s="4" t="inlineStr">
        <is>
          <t>202610141700</t>
        </is>
      </c>
      <c r="E202" s="4" t="inlineStr">
        <is>
          <t>THSRP</t>
        </is>
      </c>
      <c r="F202" s="4" t="inlineStr">
        <is>
          <t>THLCH</t>
        </is>
      </c>
      <c r="G202" s="4" t="inlineStr">
        <is>
          <t>CNSHA</t>
        </is>
      </c>
      <c r="H202" s="4" t="inlineStr">
        <is>
          <t xml:space="preserve">20'x5 </t>
        </is>
      </c>
      <c r="I202" s="4" t="inlineStr">
        <is>
          <t>BKK25</t>
        </is>
      </c>
      <c r="J202" s="4" t="inlineStr">
        <is>
          <t xml:space="preserve">Smart Logistics Service (Thailand ) Co.,Ltd. </t>
        </is>
      </c>
      <c r="K202" s="4" t="inlineStr">
        <is>
          <t>20261002</t>
        </is>
      </c>
      <c r="L202" s="4" t="inlineStr">
        <is>
          <t>RCL LOGISTICS CO., LTD.</t>
        </is>
      </c>
      <c r="M202" s="4" t="inlineStr">
        <is>
          <t>SMS CORPORATION CO., LTD.</t>
        </is>
      </c>
      <c r="N202" s="4" t="inlineStr">
        <is>
          <t>MODIFIED TAPIOCA STARCH</t>
        </is>
      </c>
      <c r="O202" s="4" t="inlineStr">
        <is>
          <t>FOOD GRADE CONTAINER / DO NOT RELEASE RED WALL CONTAINER</t>
        </is>
      </c>
      <c r="P202" s="4" t="inlineStr">
        <is>
          <t xml:space="preserve">Pickup : 2026-10-02, Return @SRP : 2026-10-06 (PAPERLESS CODE : 2829)
CLS TIME @SRP : 06/10/2026 @23.59 </t>
        </is>
      </c>
      <c r="Q202" s="4" t="n">
        <v>5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>
        <f>SUM(Q202:Y202)-Z202</f>
        <v/>
      </c>
      <c r="AC202" s="4">
        <f>IF(I202="","",IF(OR(LEFT(I202,3)="BKK",I202="LCH55"),"BKK",IF(LEFT(I202,3)="LCH","LCH","OTHER")))</f>
        <v/>
      </c>
      <c r="AD202" s="4">
        <f>MAX(0,Q202-MAX(0,Z202))</f>
        <v/>
      </c>
      <c r="AE202" s="4">
        <f>MAX(0,R202-MAX(0,Z202-SUM(Q202:Q202)))</f>
        <v/>
      </c>
      <c r="AF202" s="4">
        <f>MAX(0,S202-MAX(0,Z202-SUM(Q202:R202)))</f>
        <v/>
      </c>
      <c r="AG202" s="4">
        <f>MAX(0,T202-MAX(0,Z202-SUM(Q202:S202)))</f>
        <v/>
      </c>
      <c r="AH202" s="4">
        <f>MAX(0,U202-MAX(0,Z202-SUM(Q202:T202)))</f>
        <v/>
      </c>
      <c r="AI202" s="4">
        <f>MAX(0,V202-MAX(0,Z202-SUM(Q202:U202)))</f>
        <v/>
      </c>
      <c r="AJ202" s="4">
        <f>MAX(0,W202-MAX(0,Z202-SUM(Q202:V202)))</f>
        <v/>
      </c>
      <c r="AK202" s="4">
        <f>MAX(0,X202-MAX(0,Z202-SUM(Q202:W202)))</f>
        <v/>
      </c>
      <c r="AL202" s="4">
        <f>MAX(0,Y202-MAX(0,Z202-SUM(Q202:X202)))</f>
        <v/>
      </c>
    </row>
    <row r="203">
      <c r="A203" s="4" t="inlineStr">
        <is>
          <t>HASLS22260901491</t>
        </is>
      </c>
      <c r="B203" s="4" t="inlineStr">
        <is>
          <t>SWMM</t>
        </is>
      </c>
      <c r="C203" s="4" t="inlineStr">
        <is>
          <t>2610N</t>
        </is>
      </c>
      <c r="D203" s="4" t="inlineStr">
        <is>
          <t>202610221330</t>
        </is>
      </c>
      <c r="E203" s="4" t="inlineStr"/>
      <c r="F203" s="4" t="inlineStr">
        <is>
          <t>THBKK</t>
        </is>
      </c>
      <c r="G203" s="4" t="inlineStr">
        <is>
          <t>VNSGN</t>
        </is>
      </c>
      <c r="H203" s="4" t="inlineStr">
        <is>
          <t xml:space="preserve">40Hx1 20'x1 </t>
        </is>
      </c>
      <c r="I203" s="4" t="inlineStr">
        <is>
          <t>BKK25</t>
        </is>
      </c>
      <c r="J203" s="4" t="inlineStr">
        <is>
          <t xml:space="preserve">Smart Logistics Service (Thailand ) Co.,Ltd. </t>
        </is>
      </c>
      <c r="K203" s="4" t="inlineStr">
        <is>
          <t>20260914</t>
        </is>
      </c>
      <c r="L203" s="4" t="inlineStr">
        <is>
          <t>DYNAMIC INTERTRANSPORT CO., LTD.</t>
        </is>
      </c>
      <c r="M203" s="4" t="inlineStr">
        <is>
          <t>UCHIYAMA(THAILAND)CO.,LTD.</t>
        </is>
      </c>
      <c r="N203" s="4" t="inlineStr">
        <is>
          <t>SPARE PART</t>
        </is>
      </c>
      <c r="O203" s="4" t="inlineStr">
        <is>
          <t>REQ CLEAN CONTAINER AND GRADE A</t>
        </is>
      </c>
      <c r="P203" s="4" t="inlineStr">
        <is>
          <t>Pickup : 2026-09-14, Return : 2026-09-15</t>
        </is>
      </c>
      <c r="Q203" s="4" t="n">
        <v>1</v>
      </c>
      <c r="R203" s="4" t="n">
        <v>0</v>
      </c>
      <c r="S203" s="4" t="n">
        <v>1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0</v>
      </c>
      <c r="AA203" s="4" t="n">
        <v>0</v>
      </c>
      <c r="AB203" s="4">
        <f>SUM(Q203:Y203)-Z203</f>
        <v/>
      </c>
      <c r="AC203" s="4">
        <f>IF(I203="","",IF(OR(LEFT(I203,3)="BKK",I203="LCH55"),"BKK",IF(LEFT(I203,3)="LCH","LCH","OTHER")))</f>
        <v/>
      </c>
      <c r="AD203" s="4">
        <f>MAX(0,Q203-MAX(0,Z203))</f>
        <v/>
      </c>
      <c r="AE203" s="4">
        <f>MAX(0,R203-MAX(0,Z203-SUM(Q203:Q203)))</f>
        <v/>
      </c>
      <c r="AF203" s="4">
        <f>MAX(0,S203-MAX(0,Z203-SUM(Q203:R203)))</f>
        <v/>
      </c>
      <c r="AG203" s="4">
        <f>MAX(0,T203-MAX(0,Z203-SUM(Q203:S203)))</f>
        <v/>
      </c>
      <c r="AH203" s="4">
        <f>MAX(0,U203-MAX(0,Z203-SUM(Q203:T203)))</f>
        <v/>
      </c>
      <c r="AI203" s="4">
        <f>MAX(0,V203-MAX(0,Z203-SUM(Q203:U203)))</f>
        <v/>
      </c>
      <c r="AJ203" s="4">
        <f>MAX(0,W203-MAX(0,Z203-SUM(Q203:V203)))</f>
        <v/>
      </c>
      <c r="AK203" s="4">
        <f>MAX(0,X203-MAX(0,Z203-SUM(Q203:W203)))</f>
        <v/>
      </c>
      <c r="AL203" s="4">
        <f>MAX(0,Y203-MAX(0,Z203-SUM(Q203:X203)))</f>
        <v/>
      </c>
    </row>
  </sheetData>
  <autoFilter ref="A2:AL203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4">
        <f>Data!A127</f>
        <v/>
      </c>
      <c r="B128" s="4">
        <f>Data!B127</f>
        <v/>
      </c>
      <c r="C128" s="4">
        <f>Data!C127</f>
        <v/>
      </c>
      <c r="D128" s="4">
        <f>Data!I127</f>
        <v/>
      </c>
      <c r="E128" s="4">
        <f>Data!J127</f>
        <v/>
      </c>
      <c r="F128" s="4">
        <f>Data!H127</f>
        <v/>
      </c>
      <c r="G128" s="4">
        <f>SUM(Data!Q127:Data!Y127)</f>
        <v/>
      </c>
      <c r="H128" s="4">
        <f>Data!Z127</f>
        <v/>
      </c>
      <c r="I128" s="4">
        <f>Data!AB127</f>
        <v/>
      </c>
      <c r="J128" s="4">
        <f>Data!AD127</f>
        <v/>
      </c>
      <c r="K128" s="4">
        <f>Data!AE127</f>
        <v/>
      </c>
      <c r="L128" s="4">
        <f>Data!AF127</f>
        <v/>
      </c>
      <c r="M128" s="4">
        <f>Data!AG127</f>
        <v/>
      </c>
      <c r="N128" s="4">
        <f>Data!AH127</f>
        <v/>
      </c>
      <c r="O128" s="4">
        <f>Data!AI127</f>
        <v/>
      </c>
      <c r="P128" s="4">
        <f>Data!AJ127</f>
        <v/>
      </c>
      <c r="Q128" s="4">
        <f>Data!AK127</f>
        <v/>
      </c>
      <c r="R128" s="4">
        <f>Data!AL127</f>
        <v/>
      </c>
    </row>
    <row r="129">
      <c r="A129" s="4">
        <f>Data!A128</f>
        <v/>
      </c>
      <c r="B129" s="4">
        <f>Data!B128</f>
        <v/>
      </c>
      <c r="C129" s="4">
        <f>Data!C128</f>
        <v/>
      </c>
      <c r="D129" s="4">
        <f>Data!I128</f>
        <v/>
      </c>
      <c r="E129" s="4">
        <f>Data!J128</f>
        <v/>
      </c>
      <c r="F129" s="4">
        <f>Data!H128</f>
        <v/>
      </c>
      <c r="G129" s="4">
        <f>SUM(Data!Q128:Data!Y128)</f>
        <v/>
      </c>
      <c r="H129" s="4">
        <f>Data!Z128</f>
        <v/>
      </c>
      <c r="I129" s="4">
        <f>Data!AB128</f>
        <v/>
      </c>
      <c r="J129" s="4">
        <f>Data!AD128</f>
        <v/>
      </c>
      <c r="K129" s="4">
        <f>Data!AE128</f>
        <v/>
      </c>
      <c r="L129" s="4">
        <f>Data!AF128</f>
        <v/>
      </c>
      <c r="M129" s="4">
        <f>Data!AG128</f>
        <v/>
      </c>
      <c r="N129" s="4">
        <f>Data!AH128</f>
        <v/>
      </c>
      <c r="O129" s="4">
        <f>Data!AI128</f>
        <v/>
      </c>
      <c r="P129" s="4">
        <f>Data!AJ128</f>
        <v/>
      </c>
      <c r="Q129" s="4">
        <f>Data!AK128</f>
        <v/>
      </c>
      <c r="R129" s="4">
        <f>Data!AL128</f>
        <v/>
      </c>
    </row>
    <row r="130">
      <c r="A130" s="4">
        <f>Data!A129</f>
        <v/>
      </c>
      <c r="B130" s="4">
        <f>Data!B129</f>
        <v/>
      </c>
      <c r="C130" s="4">
        <f>Data!C129</f>
        <v/>
      </c>
      <c r="D130" s="4">
        <f>Data!I129</f>
        <v/>
      </c>
      <c r="E130" s="4">
        <f>Data!J129</f>
        <v/>
      </c>
      <c r="F130" s="4">
        <f>Data!H129</f>
        <v/>
      </c>
      <c r="G130" s="4">
        <f>SUM(Data!Q129:Data!Y129)</f>
        <v/>
      </c>
      <c r="H130" s="4">
        <f>Data!Z129</f>
        <v/>
      </c>
      <c r="I130" s="4">
        <f>Data!AB129</f>
        <v/>
      </c>
      <c r="J130" s="4">
        <f>Data!AD129</f>
        <v/>
      </c>
      <c r="K130" s="4">
        <f>Data!AE129</f>
        <v/>
      </c>
      <c r="L130" s="4">
        <f>Data!AF129</f>
        <v/>
      </c>
      <c r="M130" s="4">
        <f>Data!AG129</f>
        <v/>
      </c>
      <c r="N130" s="4">
        <f>Data!AH129</f>
        <v/>
      </c>
      <c r="O130" s="4">
        <f>Data!AI129</f>
        <v/>
      </c>
      <c r="P130" s="4">
        <f>Data!AJ129</f>
        <v/>
      </c>
      <c r="Q130" s="4">
        <f>Data!AK129</f>
        <v/>
      </c>
      <c r="R130" s="4">
        <f>Data!AL129</f>
        <v/>
      </c>
    </row>
    <row r="131">
      <c r="A131" s="4">
        <f>Data!A130</f>
        <v/>
      </c>
      <c r="B131" s="4">
        <f>Data!B130</f>
        <v/>
      </c>
      <c r="C131" s="4">
        <f>Data!C130</f>
        <v/>
      </c>
      <c r="D131" s="4">
        <f>Data!I130</f>
        <v/>
      </c>
      <c r="E131" s="4">
        <f>Data!J130</f>
        <v/>
      </c>
      <c r="F131" s="4">
        <f>Data!H130</f>
        <v/>
      </c>
      <c r="G131" s="4">
        <f>SUM(Data!Q130:Data!Y130)</f>
        <v/>
      </c>
      <c r="H131" s="4">
        <f>Data!Z130</f>
        <v/>
      </c>
      <c r="I131" s="4">
        <f>Data!AB130</f>
        <v/>
      </c>
      <c r="J131" s="4">
        <f>Data!AD130</f>
        <v/>
      </c>
      <c r="K131" s="4">
        <f>Data!AE130</f>
        <v/>
      </c>
      <c r="L131" s="4">
        <f>Data!AF130</f>
        <v/>
      </c>
      <c r="M131" s="4">
        <f>Data!AG130</f>
        <v/>
      </c>
      <c r="N131" s="4">
        <f>Data!AH130</f>
        <v/>
      </c>
      <c r="O131" s="4">
        <f>Data!AI130</f>
        <v/>
      </c>
      <c r="P131" s="4">
        <f>Data!AJ130</f>
        <v/>
      </c>
      <c r="Q131" s="4">
        <f>Data!AK130</f>
        <v/>
      </c>
      <c r="R131" s="4">
        <f>Data!AL130</f>
        <v/>
      </c>
    </row>
    <row r="132">
      <c r="A132" s="4">
        <f>Data!A131</f>
        <v/>
      </c>
      <c r="B132" s="4">
        <f>Data!B131</f>
        <v/>
      </c>
      <c r="C132" s="4">
        <f>Data!C131</f>
        <v/>
      </c>
      <c r="D132" s="4">
        <f>Data!I131</f>
        <v/>
      </c>
      <c r="E132" s="4">
        <f>Data!J131</f>
        <v/>
      </c>
      <c r="F132" s="4">
        <f>Data!H131</f>
        <v/>
      </c>
      <c r="G132" s="4">
        <f>SUM(Data!Q131:Data!Y131)</f>
        <v/>
      </c>
      <c r="H132" s="4">
        <f>Data!Z131</f>
        <v/>
      </c>
      <c r="I132" s="4">
        <f>Data!AB131</f>
        <v/>
      </c>
      <c r="J132" s="4">
        <f>Data!AD131</f>
        <v/>
      </c>
      <c r="K132" s="4">
        <f>Data!AE131</f>
        <v/>
      </c>
      <c r="L132" s="4">
        <f>Data!AF131</f>
        <v/>
      </c>
      <c r="M132" s="4">
        <f>Data!AG131</f>
        <v/>
      </c>
      <c r="N132" s="4">
        <f>Data!AH131</f>
        <v/>
      </c>
      <c r="O132" s="4">
        <f>Data!AI131</f>
        <v/>
      </c>
      <c r="P132" s="4">
        <f>Data!AJ131</f>
        <v/>
      </c>
      <c r="Q132" s="4">
        <f>Data!AK131</f>
        <v/>
      </c>
      <c r="R132" s="4">
        <f>Data!AL131</f>
        <v/>
      </c>
    </row>
    <row r="133">
      <c r="A133" s="4">
        <f>Data!A132</f>
        <v/>
      </c>
      <c r="B133" s="4">
        <f>Data!B132</f>
        <v/>
      </c>
      <c r="C133" s="4">
        <f>Data!C132</f>
        <v/>
      </c>
      <c r="D133" s="4">
        <f>Data!I132</f>
        <v/>
      </c>
      <c r="E133" s="4">
        <f>Data!J132</f>
        <v/>
      </c>
      <c r="F133" s="4">
        <f>Data!H132</f>
        <v/>
      </c>
      <c r="G133" s="4">
        <f>SUM(Data!Q132:Data!Y132)</f>
        <v/>
      </c>
      <c r="H133" s="4">
        <f>Data!Z132</f>
        <v/>
      </c>
      <c r="I133" s="4">
        <f>Data!AB132</f>
        <v/>
      </c>
      <c r="J133" s="4">
        <f>Data!AD132</f>
        <v/>
      </c>
      <c r="K133" s="4">
        <f>Data!AE132</f>
        <v/>
      </c>
      <c r="L133" s="4">
        <f>Data!AF132</f>
        <v/>
      </c>
      <c r="M133" s="4">
        <f>Data!AG132</f>
        <v/>
      </c>
      <c r="N133" s="4">
        <f>Data!AH132</f>
        <v/>
      </c>
      <c r="O133" s="4">
        <f>Data!AI132</f>
        <v/>
      </c>
      <c r="P133" s="4">
        <f>Data!AJ132</f>
        <v/>
      </c>
      <c r="Q133" s="4">
        <f>Data!AK132</f>
        <v/>
      </c>
      <c r="R133" s="4">
        <f>Data!AL132</f>
        <v/>
      </c>
    </row>
    <row r="134">
      <c r="A134" s="4">
        <f>Data!A133</f>
        <v/>
      </c>
      <c r="B134" s="4">
        <f>Data!B133</f>
        <v/>
      </c>
      <c r="C134" s="4">
        <f>Data!C133</f>
        <v/>
      </c>
      <c r="D134" s="4">
        <f>Data!I133</f>
        <v/>
      </c>
      <c r="E134" s="4">
        <f>Data!J133</f>
        <v/>
      </c>
      <c r="F134" s="4">
        <f>Data!H133</f>
        <v/>
      </c>
      <c r="G134" s="4">
        <f>SUM(Data!Q133:Data!Y133)</f>
        <v/>
      </c>
      <c r="H134" s="4">
        <f>Data!Z133</f>
        <v/>
      </c>
      <c r="I134" s="4">
        <f>Data!AB133</f>
        <v/>
      </c>
      <c r="J134" s="4">
        <f>Data!AD133</f>
        <v/>
      </c>
      <c r="K134" s="4">
        <f>Data!AE133</f>
        <v/>
      </c>
      <c r="L134" s="4">
        <f>Data!AF133</f>
        <v/>
      </c>
      <c r="M134" s="4">
        <f>Data!AG133</f>
        <v/>
      </c>
      <c r="N134" s="4">
        <f>Data!AH133</f>
        <v/>
      </c>
      <c r="O134" s="4">
        <f>Data!AI133</f>
        <v/>
      </c>
      <c r="P134" s="4">
        <f>Data!AJ133</f>
        <v/>
      </c>
      <c r="Q134" s="4">
        <f>Data!AK133</f>
        <v/>
      </c>
      <c r="R134" s="4">
        <f>Data!AL133</f>
        <v/>
      </c>
    </row>
    <row r="135">
      <c r="A135" s="4">
        <f>Data!A134</f>
        <v/>
      </c>
      <c r="B135" s="4">
        <f>Data!B134</f>
        <v/>
      </c>
      <c r="C135" s="4">
        <f>Data!C134</f>
        <v/>
      </c>
      <c r="D135" s="4">
        <f>Data!I134</f>
        <v/>
      </c>
      <c r="E135" s="4">
        <f>Data!J134</f>
        <v/>
      </c>
      <c r="F135" s="4">
        <f>Data!H134</f>
        <v/>
      </c>
      <c r="G135" s="4">
        <f>SUM(Data!Q134:Data!Y134)</f>
        <v/>
      </c>
      <c r="H135" s="4">
        <f>Data!Z134</f>
        <v/>
      </c>
      <c r="I135" s="4">
        <f>Data!AB134</f>
        <v/>
      </c>
      <c r="J135" s="4">
        <f>Data!AD134</f>
        <v/>
      </c>
      <c r="K135" s="4">
        <f>Data!AE134</f>
        <v/>
      </c>
      <c r="L135" s="4">
        <f>Data!AF134</f>
        <v/>
      </c>
      <c r="M135" s="4">
        <f>Data!AG134</f>
        <v/>
      </c>
      <c r="N135" s="4">
        <f>Data!AH134</f>
        <v/>
      </c>
      <c r="O135" s="4">
        <f>Data!AI134</f>
        <v/>
      </c>
      <c r="P135" s="4">
        <f>Data!AJ134</f>
        <v/>
      </c>
      <c r="Q135" s="4">
        <f>Data!AK134</f>
        <v/>
      </c>
      <c r="R135" s="4">
        <f>Data!AL134</f>
        <v/>
      </c>
    </row>
    <row r="136">
      <c r="A136" s="4">
        <f>Data!A135</f>
        <v/>
      </c>
      <c r="B136" s="4">
        <f>Data!B135</f>
        <v/>
      </c>
      <c r="C136" s="4">
        <f>Data!C135</f>
        <v/>
      </c>
      <c r="D136" s="4">
        <f>Data!I135</f>
        <v/>
      </c>
      <c r="E136" s="4">
        <f>Data!J135</f>
        <v/>
      </c>
      <c r="F136" s="4">
        <f>Data!H135</f>
        <v/>
      </c>
      <c r="G136" s="4">
        <f>SUM(Data!Q135:Data!Y135)</f>
        <v/>
      </c>
      <c r="H136" s="4">
        <f>Data!Z135</f>
        <v/>
      </c>
      <c r="I136" s="4">
        <f>Data!AB135</f>
        <v/>
      </c>
      <c r="J136" s="4">
        <f>Data!AD135</f>
        <v/>
      </c>
      <c r="K136" s="4">
        <f>Data!AE135</f>
        <v/>
      </c>
      <c r="L136" s="4">
        <f>Data!AF135</f>
        <v/>
      </c>
      <c r="M136" s="4">
        <f>Data!AG135</f>
        <v/>
      </c>
      <c r="N136" s="4">
        <f>Data!AH135</f>
        <v/>
      </c>
      <c r="O136" s="4">
        <f>Data!AI135</f>
        <v/>
      </c>
      <c r="P136" s="4">
        <f>Data!AJ135</f>
        <v/>
      </c>
      <c r="Q136" s="4">
        <f>Data!AK135</f>
        <v/>
      </c>
      <c r="R136" s="4">
        <f>Data!AL135</f>
        <v/>
      </c>
    </row>
    <row r="137">
      <c r="A137" s="4">
        <f>Data!A136</f>
        <v/>
      </c>
      <c r="B137" s="4">
        <f>Data!B136</f>
        <v/>
      </c>
      <c r="C137" s="4">
        <f>Data!C136</f>
        <v/>
      </c>
      <c r="D137" s="4">
        <f>Data!I136</f>
        <v/>
      </c>
      <c r="E137" s="4">
        <f>Data!J136</f>
        <v/>
      </c>
      <c r="F137" s="4">
        <f>Data!H136</f>
        <v/>
      </c>
      <c r="G137" s="4">
        <f>SUM(Data!Q136:Data!Y136)</f>
        <v/>
      </c>
      <c r="H137" s="4">
        <f>Data!Z136</f>
        <v/>
      </c>
      <c r="I137" s="4">
        <f>Data!AB136</f>
        <v/>
      </c>
      <c r="J137" s="4">
        <f>Data!AD136</f>
        <v/>
      </c>
      <c r="K137" s="4">
        <f>Data!AE136</f>
        <v/>
      </c>
      <c r="L137" s="4">
        <f>Data!AF136</f>
        <v/>
      </c>
      <c r="M137" s="4">
        <f>Data!AG136</f>
        <v/>
      </c>
      <c r="N137" s="4">
        <f>Data!AH136</f>
        <v/>
      </c>
      <c r="O137" s="4">
        <f>Data!AI136</f>
        <v/>
      </c>
      <c r="P137" s="4">
        <f>Data!AJ136</f>
        <v/>
      </c>
      <c r="Q137" s="4">
        <f>Data!AK136</f>
        <v/>
      </c>
      <c r="R137" s="4">
        <f>Data!AL136</f>
        <v/>
      </c>
    </row>
    <row r="138">
      <c r="A138" s="4">
        <f>Data!A137</f>
        <v/>
      </c>
      <c r="B138" s="4">
        <f>Data!B137</f>
        <v/>
      </c>
      <c r="C138" s="4">
        <f>Data!C137</f>
        <v/>
      </c>
      <c r="D138" s="4">
        <f>Data!I137</f>
        <v/>
      </c>
      <c r="E138" s="4">
        <f>Data!J137</f>
        <v/>
      </c>
      <c r="F138" s="4">
        <f>Data!H137</f>
        <v/>
      </c>
      <c r="G138" s="4">
        <f>SUM(Data!Q137:Data!Y137)</f>
        <v/>
      </c>
      <c r="H138" s="4">
        <f>Data!Z137</f>
        <v/>
      </c>
      <c r="I138" s="4">
        <f>Data!AB137</f>
        <v/>
      </c>
      <c r="J138" s="4">
        <f>Data!AD137</f>
        <v/>
      </c>
      <c r="K138" s="4">
        <f>Data!AE137</f>
        <v/>
      </c>
      <c r="L138" s="4">
        <f>Data!AF137</f>
        <v/>
      </c>
      <c r="M138" s="4">
        <f>Data!AG137</f>
        <v/>
      </c>
      <c r="N138" s="4">
        <f>Data!AH137</f>
        <v/>
      </c>
      <c r="O138" s="4">
        <f>Data!AI137</f>
        <v/>
      </c>
      <c r="P138" s="4">
        <f>Data!AJ137</f>
        <v/>
      </c>
      <c r="Q138" s="4">
        <f>Data!AK137</f>
        <v/>
      </c>
      <c r="R138" s="4">
        <f>Data!AL137</f>
        <v/>
      </c>
    </row>
    <row r="139">
      <c r="A139" s="4">
        <f>Data!A138</f>
        <v/>
      </c>
      <c r="B139" s="4">
        <f>Data!B138</f>
        <v/>
      </c>
      <c r="C139" s="4">
        <f>Data!C138</f>
        <v/>
      </c>
      <c r="D139" s="4">
        <f>Data!I138</f>
        <v/>
      </c>
      <c r="E139" s="4">
        <f>Data!J138</f>
        <v/>
      </c>
      <c r="F139" s="4">
        <f>Data!H138</f>
        <v/>
      </c>
      <c r="G139" s="4">
        <f>SUM(Data!Q138:Data!Y138)</f>
        <v/>
      </c>
      <c r="H139" s="4">
        <f>Data!Z138</f>
        <v/>
      </c>
      <c r="I139" s="4">
        <f>Data!AB138</f>
        <v/>
      </c>
      <c r="J139" s="4">
        <f>Data!AD138</f>
        <v/>
      </c>
      <c r="K139" s="4">
        <f>Data!AE138</f>
        <v/>
      </c>
      <c r="L139" s="4">
        <f>Data!AF138</f>
        <v/>
      </c>
      <c r="M139" s="4">
        <f>Data!AG138</f>
        <v/>
      </c>
      <c r="N139" s="4">
        <f>Data!AH138</f>
        <v/>
      </c>
      <c r="O139" s="4">
        <f>Data!AI138</f>
        <v/>
      </c>
      <c r="P139" s="4">
        <f>Data!AJ138</f>
        <v/>
      </c>
      <c r="Q139" s="4">
        <f>Data!AK138</f>
        <v/>
      </c>
      <c r="R139" s="4">
        <f>Data!AL138</f>
        <v/>
      </c>
    </row>
    <row r="140">
      <c r="A140" s="4">
        <f>Data!A139</f>
        <v/>
      </c>
      <c r="B140" s="4">
        <f>Data!B139</f>
        <v/>
      </c>
      <c r="C140" s="4">
        <f>Data!C139</f>
        <v/>
      </c>
      <c r="D140" s="4">
        <f>Data!I139</f>
        <v/>
      </c>
      <c r="E140" s="4">
        <f>Data!J139</f>
        <v/>
      </c>
      <c r="F140" s="4">
        <f>Data!H139</f>
        <v/>
      </c>
      <c r="G140" s="4">
        <f>SUM(Data!Q139:Data!Y139)</f>
        <v/>
      </c>
      <c r="H140" s="4">
        <f>Data!Z139</f>
        <v/>
      </c>
      <c r="I140" s="4">
        <f>Data!AB139</f>
        <v/>
      </c>
      <c r="J140" s="4">
        <f>Data!AD139</f>
        <v/>
      </c>
      <c r="K140" s="4">
        <f>Data!AE139</f>
        <v/>
      </c>
      <c r="L140" s="4">
        <f>Data!AF139</f>
        <v/>
      </c>
      <c r="M140" s="4">
        <f>Data!AG139</f>
        <v/>
      </c>
      <c r="N140" s="4">
        <f>Data!AH139</f>
        <v/>
      </c>
      <c r="O140" s="4">
        <f>Data!AI139</f>
        <v/>
      </c>
      <c r="P140" s="4">
        <f>Data!AJ139</f>
        <v/>
      </c>
      <c r="Q140" s="4">
        <f>Data!AK139</f>
        <v/>
      </c>
      <c r="R140" s="4">
        <f>Data!AL139</f>
        <v/>
      </c>
    </row>
    <row r="141">
      <c r="A141" s="4">
        <f>Data!A140</f>
        <v/>
      </c>
      <c r="B141" s="4">
        <f>Data!B140</f>
        <v/>
      </c>
      <c r="C141" s="4">
        <f>Data!C140</f>
        <v/>
      </c>
      <c r="D141" s="4">
        <f>Data!I140</f>
        <v/>
      </c>
      <c r="E141" s="4">
        <f>Data!J140</f>
        <v/>
      </c>
      <c r="F141" s="4">
        <f>Data!H140</f>
        <v/>
      </c>
      <c r="G141" s="4">
        <f>SUM(Data!Q140:Data!Y140)</f>
        <v/>
      </c>
      <c r="H141" s="4">
        <f>Data!Z140</f>
        <v/>
      </c>
      <c r="I141" s="4">
        <f>Data!AB140</f>
        <v/>
      </c>
      <c r="J141" s="4">
        <f>Data!AD140</f>
        <v/>
      </c>
      <c r="K141" s="4">
        <f>Data!AE140</f>
        <v/>
      </c>
      <c r="L141" s="4">
        <f>Data!AF140</f>
        <v/>
      </c>
      <c r="M141" s="4">
        <f>Data!AG140</f>
        <v/>
      </c>
      <c r="N141" s="4">
        <f>Data!AH140</f>
        <v/>
      </c>
      <c r="O141" s="4">
        <f>Data!AI140</f>
        <v/>
      </c>
      <c r="P141" s="4">
        <f>Data!AJ140</f>
        <v/>
      </c>
      <c r="Q141" s="4">
        <f>Data!AK140</f>
        <v/>
      </c>
      <c r="R141" s="4">
        <f>Data!AL140</f>
        <v/>
      </c>
    </row>
    <row r="142">
      <c r="A142" s="4">
        <f>Data!A141</f>
        <v/>
      </c>
      <c r="B142" s="4">
        <f>Data!B141</f>
        <v/>
      </c>
      <c r="C142" s="4">
        <f>Data!C141</f>
        <v/>
      </c>
      <c r="D142" s="4">
        <f>Data!I141</f>
        <v/>
      </c>
      <c r="E142" s="4">
        <f>Data!J141</f>
        <v/>
      </c>
      <c r="F142" s="4">
        <f>Data!H141</f>
        <v/>
      </c>
      <c r="G142" s="4">
        <f>SUM(Data!Q141:Data!Y141)</f>
        <v/>
      </c>
      <c r="H142" s="4">
        <f>Data!Z141</f>
        <v/>
      </c>
      <c r="I142" s="4">
        <f>Data!AB141</f>
        <v/>
      </c>
      <c r="J142" s="4">
        <f>Data!AD141</f>
        <v/>
      </c>
      <c r="K142" s="4">
        <f>Data!AE141</f>
        <v/>
      </c>
      <c r="L142" s="4">
        <f>Data!AF141</f>
        <v/>
      </c>
      <c r="M142" s="4">
        <f>Data!AG141</f>
        <v/>
      </c>
      <c r="N142" s="4">
        <f>Data!AH141</f>
        <v/>
      </c>
      <c r="O142" s="4">
        <f>Data!AI141</f>
        <v/>
      </c>
      <c r="P142" s="4">
        <f>Data!AJ141</f>
        <v/>
      </c>
      <c r="Q142" s="4">
        <f>Data!AK141</f>
        <v/>
      </c>
      <c r="R142" s="4">
        <f>Data!AL141</f>
        <v/>
      </c>
    </row>
    <row r="143">
      <c r="A143" s="4">
        <f>Data!A142</f>
        <v/>
      </c>
      <c r="B143" s="4">
        <f>Data!B142</f>
        <v/>
      </c>
      <c r="C143" s="4">
        <f>Data!C142</f>
        <v/>
      </c>
      <c r="D143" s="4">
        <f>Data!I142</f>
        <v/>
      </c>
      <c r="E143" s="4">
        <f>Data!J142</f>
        <v/>
      </c>
      <c r="F143" s="4">
        <f>Data!H142</f>
        <v/>
      </c>
      <c r="G143" s="4">
        <f>SUM(Data!Q142:Data!Y142)</f>
        <v/>
      </c>
      <c r="H143" s="4">
        <f>Data!Z142</f>
        <v/>
      </c>
      <c r="I143" s="4">
        <f>Data!AB142</f>
        <v/>
      </c>
      <c r="J143" s="4">
        <f>Data!AD142</f>
        <v/>
      </c>
      <c r="K143" s="4">
        <f>Data!AE142</f>
        <v/>
      </c>
      <c r="L143" s="4">
        <f>Data!AF142</f>
        <v/>
      </c>
      <c r="M143" s="4">
        <f>Data!AG142</f>
        <v/>
      </c>
      <c r="N143" s="4">
        <f>Data!AH142</f>
        <v/>
      </c>
      <c r="O143" s="4">
        <f>Data!AI142</f>
        <v/>
      </c>
      <c r="P143" s="4">
        <f>Data!AJ142</f>
        <v/>
      </c>
      <c r="Q143" s="4">
        <f>Data!AK142</f>
        <v/>
      </c>
      <c r="R143" s="4">
        <f>Data!AL142</f>
        <v/>
      </c>
    </row>
    <row r="144">
      <c r="A144" s="4">
        <f>Data!A143</f>
        <v/>
      </c>
      <c r="B144" s="4">
        <f>Data!B143</f>
        <v/>
      </c>
      <c r="C144" s="4">
        <f>Data!C143</f>
        <v/>
      </c>
      <c r="D144" s="4">
        <f>Data!I143</f>
        <v/>
      </c>
      <c r="E144" s="4">
        <f>Data!J143</f>
        <v/>
      </c>
      <c r="F144" s="4">
        <f>Data!H143</f>
        <v/>
      </c>
      <c r="G144" s="4">
        <f>SUM(Data!Q143:Data!Y143)</f>
        <v/>
      </c>
      <c r="H144" s="4">
        <f>Data!Z143</f>
        <v/>
      </c>
      <c r="I144" s="4">
        <f>Data!AB143</f>
        <v/>
      </c>
      <c r="J144" s="4">
        <f>Data!AD143</f>
        <v/>
      </c>
      <c r="K144" s="4">
        <f>Data!AE143</f>
        <v/>
      </c>
      <c r="L144" s="4">
        <f>Data!AF143</f>
        <v/>
      </c>
      <c r="M144" s="4">
        <f>Data!AG143</f>
        <v/>
      </c>
      <c r="N144" s="4">
        <f>Data!AH143</f>
        <v/>
      </c>
      <c r="O144" s="4">
        <f>Data!AI143</f>
        <v/>
      </c>
      <c r="P144" s="4">
        <f>Data!AJ143</f>
        <v/>
      </c>
      <c r="Q144" s="4">
        <f>Data!AK143</f>
        <v/>
      </c>
      <c r="R144" s="4">
        <f>Data!AL143</f>
        <v/>
      </c>
    </row>
    <row r="145">
      <c r="A145" s="4">
        <f>Data!A144</f>
        <v/>
      </c>
      <c r="B145" s="4">
        <f>Data!B144</f>
        <v/>
      </c>
      <c r="C145" s="4">
        <f>Data!C144</f>
        <v/>
      </c>
      <c r="D145" s="4">
        <f>Data!I144</f>
        <v/>
      </c>
      <c r="E145" s="4">
        <f>Data!J144</f>
        <v/>
      </c>
      <c r="F145" s="4">
        <f>Data!H144</f>
        <v/>
      </c>
      <c r="G145" s="4">
        <f>SUM(Data!Q144:Data!Y144)</f>
        <v/>
      </c>
      <c r="H145" s="4">
        <f>Data!Z144</f>
        <v/>
      </c>
      <c r="I145" s="4">
        <f>Data!AB144</f>
        <v/>
      </c>
      <c r="J145" s="4">
        <f>Data!AD144</f>
        <v/>
      </c>
      <c r="K145" s="4">
        <f>Data!AE144</f>
        <v/>
      </c>
      <c r="L145" s="4">
        <f>Data!AF144</f>
        <v/>
      </c>
      <c r="M145" s="4">
        <f>Data!AG144</f>
        <v/>
      </c>
      <c r="N145" s="4">
        <f>Data!AH144</f>
        <v/>
      </c>
      <c r="O145" s="4">
        <f>Data!AI144</f>
        <v/>
      </c>
      <c r="P145" s="4">
        <f>Data!AJ144</f>
        <v/>
      </c>
      <c r="Q145" s="4">
        <f>Data!AK144</f>
        <v/>
      </c>
      <c r="R145" s="4">
        <f>Data!AL144</f>
        <v/>
      </c>
    </row>
    <row r="146">
      <c r="A146" s="4">
        <f>Data!A145</f>
        <v/>
      </c>
      <c r="B146" s="4">
        <f>Data!B145</f>
        <v/>
      </c>
      <c r="C146" s="4">
        <f>Data!C145</f>
        <v/>
      </c>
      <c r="D146" s="4">
        <f>Data!I145</f>
        <v/>
      </c>
      <c r="E146" s="4">
        <f>Data!J145</f>
        <v/>
      </c>
      <c r="F146" s="4">
        <f>Data!H145</f>
        <v/>
      </c>
      <c r="G146" s="4">
        <f>SUM(Data!Q145:Data!Y145)</f>
        <v/>
      </c>
      <c r="H146" s="4">
        <f>Data!Z145</f>
        <v/>
      </c>
      <c r="I146" s="4">
        <f>Data!AB145</f>
        <v/>
      </c>
      <c r="J146" s="4">
        <f>Data!AD145</f>
        <v/>
      </c>
      <c r="K146" s="4">
        <f>Data!AE145</f>
        <v/>
      </c>
      <c r="L146" s="4">
        <f>Data!AF145</f>
        <v/>
      </c>
      <c r="M146" s="4">
        <f>Data!AG145</f>
        <v/>
      </c>
      <c r="N146" s="4">
        <f>Data!AH145</f>
        <v/>
      </c>
      <c r="O146" s="4">
        <f>Data!AI145</f>
        <v/>
      </c>
      <c r="P146" s="4">
        <f>Data!AJ145</f>
        <v/>
      </c>
      <c r="Q146" s="4">
        <f>Data!AK145</f>
        <v/>
      </c>
      <c r="R146" s="4">
        <f>Data!AL145</f>
        <v/>
      </c>
    </row>
    <row r="147">
      <c r="A147" s="4">
        <f>Data!A146</f>
        <v/>
      </c>
      <c r="B147" s="4">
        <f>Data!B146</f>
        <v/>
      </c>
      <c r="C147" s="4">
        <f>Data!C146</f>
        <v/>
      </c>
      <c r="D147" s="4">
        <f>Data!I146</f>
        <v/>
      </c>
      <c r="E147" s="4">
        <f>Data!J146</f>
        <v/>
      </c>
      <c r="F147" s="4">
        <f>Data!H146</f>
        <v/>
      </c>
      <c r="G147" s="4">
        <f>SUM(Data!Q146:Data!Y146)</f>
        <v/>
      </c>
      <c r="H147" s="4">
        <f>Data!Z146</f>
        <v/>
      </c>
      <c r="I147" s="4">
        <f>Data!AB146</f>
        <v/>
      </c>
      <c r="J147" s="4">
        <f>Data!AD146</f>
        <v/>
      </c>
      <c r="K147" s="4">
        <f>Data!AE146</f>
        <v/>
      </c>
      <c r="L147" s="4">
        <f>Data!AF146</f>
        <v/>
      </c>
      <c r="M147" s="4">
        <f>Data!AG146</f>
        <v/>
      </c>
      <c r="N147" s="4">
        <f>Data!AH146</f>
        <v/>
      </c>
      <c r="O147" s="4">
        <f>Data!AI146</f>
        <v/>
      </c>
      <c r="P147" s="4">
        <f>Data!AJ146</f>
        <v/>
      </c>
      <c r="Q147" s="4">
        <f>Data!AK146</f>
        <v/>
      </c>
      <c r="R147" s="4">
        <f>Data!AL146</f>
        <v/>
      </c>
    </row>
    <row r="148">
      <c r="A148" s="4">
        <f>Data!A147</f>
        <v/>
      </c>
      <c r="B148" s="4">
        <f>Data!B147</f>
        <v/>
      </c>
      <c r="C148" s="4">
        <f>Data!C147</f>
        <v/>
      </c>
      <c r="D148" s="4">
        <f>Data!I147</f>
        <v/>
      </c>
      <c r="E148" s="4">
        <f>Data!J147</f>
        <v/>
      </c>
      <c r="F148" s="4">
        <f>Data!H147</f>
        <v/>
      </c>
      <c r="G148" s="4">
        <f>SUM(Data!Q147:Data!Y147)</f>
        <v/>
      </c>
      <c r="H148" s="4">
        <f>Data!Z147</f>
        <v/>
      </c>
      <c r="I148" s="4">
        <f>Data!AB147</f>
        <v/>
      </c>
      <c r="J148" s="4">
        <f>Data!AD147</f>
        <v/>
      </c>
      <c r="K148" s="4">
        <f>Data!AE147</f>
        <v/>
      </c>
      <c r="L148" s="4">
        <f>Data!AF147</f>
        <v/>
      </c>
      <c r="M148" s="4">
        <f>Data!AG147</f>
        <v/>
      </c>
      <c r="N148" s="4">
        <f>Data!AH147</f>
        <v/>
      </c>
      <c r="O148" s="4">
        <f>Data!AI147</f>
        <v/>
      </c>
      <c r="P148" s="4">
        <f>Data!AJ147</f>
        <v/>
      </c>
      <c r="Q148" s="4">
        <f>Data!AK147</f>
        <v/>
      </c>
      <c r="R148" s="4">
        <f>Data!AL147</f>
        <v/>
      </c>
    </row>
    <row r="149">
      <c r="A149" s="4">
        <f>Data!A148</f>
        <v/>
      </c>
      <c r="B149" s="4">
        <f>Data!B148</f>
        <v/>
      </c>
      <c r="C149" s="4">
        <f>Data!C148</f>
        <v/>
      </c>
      <c r="D149" s="4">
        <f>Data!I148</f>
        <v/>
      </c>
      <c r="E149" s="4">
        <f>Data!J148</f>
        <v/>
      </c>
      <c r="F149" s="4">
        <f>Data!H148</f>
        <v/>
      </c>
      <c r="G149" s="4">
        <f>SUM(Data!Q148:Data!Y148)</f>
        <v/>
      </c>
      <c r="H149" s="4">
        <f>Data!Z148</f>
        <v/>
      </c>
      <c r="I149" s="4">
        <f>Data!AB148</f>
        <v/>
      </c>
      <c r="J149" s="4">
        <f>Data!AD148</f>
        <v/>
      </c>
      <c r="K149" s="4">
        <f>Data!AE148</f>
        <v/>
      </c>
      <c r="L149" s="4">
        <f>Data!AF148</f>
        <v/>
      </c>
      <c r="M149" s="4">
        <f>Data!AG148</f>
        <v/>
      </c>
      <c r="N149" s="4">
        <f>Data!AH148</f>
        <v/>
      </c>
      <c r="O149" s="4">
        <f>Data!AI148</f>
        <v/>
      </c>
      <c r="P149" s="4">
        <f>Data!AJ148</f>
        <v/>
      </c>
      <c r="Q149" s="4">
        <f>Data!AK148</f>
        <v/>
      </c>
      <c r="R149" s="4">
        <f>Data!AL148</f>
        <v/>
      </c>
    </row>
    <row r="150">
      <c r="A150" s="4">
        <f>Data!A149</f>
        <v/>
      </c>
      <c r="B150" s="4">
        <f>Data!B149</f>
        <v/>
      </c>
      <c r="C150" s="4">
        <f>Data!C149</f>
        <v/>
      </c>
      <c r="D150" s="4">
        <f>Data!I149</f>
        <v/>
      </c>
      <c r="E150" s="4">
        <f>Data!J149</f>
        <v/>
      </c>
      <c r="F150" s="4">
        <f>Data!H149</f>
        <v/>
      </c>
      <c r="G150" s="4">
        <f>SUM(Data!Q149:Data!Y149)</f>
        <v/>
      </c>
      <c r="H150" s="4">
        <f>Data!Z149</f>
        <v/>
      </c>
      <c r="I150" s="4">
        <f>Data!AB149</f>
        <v/>
      </c>
      <c r="J150" s="4">
        <f>Data!AD149</f>
        <v/>
      </c>
      <c r="K150" s="4">
        <f>Data!AE149</f>
        <v/>
      </c>
      <c r="L150" s="4">
        <f>Data!AF149</f>
        <v/>
      </c>
      <c r="M150" s="4">
        <f>Data!AG149</f>
        <v/>
      </c>
      <c r="N150" s="4">
        <f>Data!AH149</f>
        <v/>
      </c>
      <c r="O150" s="4">
        <f>Data!AI149</f>
        <v/>
      </c>
      <c r="P150" s="4">
        <f>Data!AJ149</f>
        <v/>
      </c>
      <c r="Q150" s="4">
        <f>Data!AK149</f>
        <v/>
      </c>
      <c r="R150" s="4">
        <f>Data!AL149</f>
        <v/>
      </c>
    </row>
    <row r="151">
      <c r="A151" s="4">
        <f>Data!A150</f>
        <v/>
      </c>
      <c r="B151" s="4">
        <f>Data!B150</f>
        <v/>
      </c>
      <c r="C151" s="4">
        <f>Data!C150</f>
        <v/>
      </c>
      <c r="D151" s="4">
        <f>Data!I150</f>
        <v/>
      </c>
      <c r="E151" s="4">
        <f>Data!J150</f>
        <v/>
      </c>
      <c r="F151" s="4">
        <f>Data!H150</f>
        <v/>
      </c>
      <c r="G151" s="4">
        <f>SUM(Data!Q150:Data!Y150)</f>
        <v/>
      </c>
      <c r="H151" s="4">
        <f>Data!Z150</f>
        <v/>
      </c>
      <c r="I151" s="4">
        <f>Data!AB150</f>
        <v/>
      </c>
      <c r="J151" s="4">
        <f>Data!AD150</f>
        <v/>
      </c>
      <c r="K151" s="4">
        <f>Data!AE150</f>
        <v/>
      </c>
      <c r="L151" s="4">
        <f>Data!AF150</f>
        <v/>
      </c>
      <c r="M151" s="4">
        <f>Data!AG150</f>
        <v/>
      </c>
      <c r="N151" s="4">
        <f>Data!AH150</f>
        <v/>
      </c>
      <c r="O151" s="4">
        <f>Data!AI150</f>
        <v/>
      </c>
      <c r="P151" s="4">
        <f>Data!AJ150</f>
        <v/>
      </c>
      <c r="Q151" s="4">
        <f>Data!AK150</f>
        <v/>
      </c>
      <c r="R151" s="4">
        <f>Data!AL150</f>
        <v/>
      </c>
    </row>
    <row r="152">
      <c r="A152" s="4">
        <f>Data!A151</f>
        <v/>
      </c>
      <c r="B152" s="4">
        <f>Data!B151</f>
        <v/>
      </c>
      <c r="C152" s="4">
        <f>Data!C151</f>
        <v/>
      </c>
      <c r="D152" s="4">
        <f>Data!I151</f>
        <v/>
      </c>
      <c r="E152" s="4">
        <f>Data!J151</f>
        <v/>
      </c>
      <c r="F152" s="4">
        <f>Data!H151</f>
        <v/>
      </c>
      <c r="G152" s="4">
        <f>SUM(Data!Q151:Data!Y151)</f>
        <v/>
      </c>
      <c r="H152" s="4">
        <f>Data!Z151</f>
        <v/>
      </c>
      <c r="I152" s="4">
        <f>Data!AB151</f>
        <v/>
      </c>
      <c r="J152" s="4">
        <f>Data!AD151</f>
        <v/>
      </c>
      <c r="K152" s="4">
        <f>Data!AE151</f>
        <v/>
      </c>
      <c r="L152" s="4">
        <f>Data!AF151</f>
        <v/>
      </c>
      <c r="M152" s="4">
        <f>Data!AG151</f>
        <v/>
      </c>
      <c r="N152" s="4">
        <f>Data!AH151</f>
        <v/>
      </c>
      <c r="O152" s="4">
        <f>Data!AI151</f>
        <v/>
      </c>
      <c r="P152" s="4">
        <f>Data!AJ151</f>
        <v/>
      </c>
      <c r="Q152" s="4">
        <f>Data!AK151</f>
        <v/>
      </c>
      <c r="R152" s="4">
        <f>Data!AL151</f>
        <v/>
      </c>
    </row>
    <row r="153">
      <c r="A153" s="4">
        <f>Data!A152</f>
        <v/>
      </c>
      <c r="B153" s="4">
        <f>Data!B152</f>
        <v/>
      </c>
      <c r="C153" s="4">
        <f>Data!C152</f>
        <v/>
      </c>
      <c r="D153" s="4">
        <f>Data!I152</f>
        <v/>
      </c>
      <c r="E153" s="4">
        <f>Data!J152</f>
        <v/>
      </c>
      <c r="F153" s="4">
        <f>Data!H152</f>
        <v/>
      </c>
      <c r="G153" s="4">
        <f>SUM(Data!Q152:Data!Y152)</f>
        <v/>
      </c>
      <c r="H153" s="4">
        <f>Data!Z152</f>
        <v/>
      </c>
      <c r="I153" s="4">
        <f>Data!AB152</f>
        <v/>
      </c>
      <c r="J153" s="4">
        <f>Data!AD152</f>
        <v/>
      </c>
      <c r="K153" s="4">
        <f>Data!AE152</f>
        <v/>
      </c>
      <c r="L153" s="4">
        <f>Data!AF152</f>
        <v/>
      </c>
      <c r="M153" s="4">
        <f>Data!AG152</f>
        <v/>
      </c>
      <c r="N153" s="4">
        <f>Data!AH152</f>
        <v/>
      </c>
      <c r="O153" s="4">
        <f>Data!AI152</f>
        <v/>
      </c>
      <c r="P153" s="4">
        <f>Data!AJ152</f>
        <v/>
      </c>
      <c r="Q153" s="4">
        <f>Data!AK152</f>
        <v/>
      </c>
      <c r="R153" s="4">
        <f>Data!AL152</f>
        <v/>
      </c>
    </row>
    <row r="154">
      <c r="A154" s="4">
        <f>Data!A153</f>
        <v/>
      </c>
      <c r="B154" s="4">
        <f>Data!B153</f>
        <v/>
      </c>
      <c r="C154" s="4">
        <f>Data!C153</f>
        <v/>
      </c>
      <c r="D154" s="4">
        <f>Data!I153</f>
        <v/>
      </c>
      <c r="E154" s="4">
        <f>Data!J153</f>
        <v/>
      </c>
      <c r="F154" s="4">
        <f>Data!H153</f>
        <v/>
      </c>
      <c r="G154" s="4">
        <f>SUM(Data!Q153:Data!Y153)</f>
        <v/>
      </c>
      <c r="H154" s="4">
        <f>Data!Z153</f>
        <v/>
      </c>
      <c r="I154" s="4">
        <f>Data!AB153</f>
        <v/>
      </c>
      <c r="J154" s="4">
        <f>Data!AD153</f>
        <v/>
      </c>
      <c r="K154" s="4">
        <f>Data!AE153</f>
        <v/>
      </c>
      <c r="L154" s="4">
        <f>Data!AF153</f>
        <v/>
      </c>
      <c r="M154" s="4">
        <f>Data!AG153</f>
        <v/>
      </c>
      <c r="N154" s="4">
        <f>Data!AH153</f>
        <v/>
      </c>
      <c r="O154" s="4">
        <f>Data!AI153</f>
        <v/>
      </c>
      <c r="P154" s="4">
        <f>Data!AJ153</f>
        <v/>
      </c>
      <c r="Q154" s="4">
        <f>Data!AK153</f>
        <v/>
      </c>
      <c r="R154" s="4">
        <f>Data!AL153</f>
        <v/>
      </c>
    </row>
    <row r="155">
      <c r="A155" s="4">
        <f>Data!A154</f>
        <v/>
      </c>
      <c r="B155" s="4">
        <f>Data!B154</f>
        <v/>
      </c>
      <c r="C155" s="4">
        <f>Data!C154</f>
        <v/>
      </c>
      <c r="D155" s="4">
        <f>Data!I154</f>
        <v/>
      </c>
      <c r="E155" s="4">
        <f>Data!J154</f>
        <v/>
      </c>
      <c r="F155" s="4">
        <f>Data!H154</f>
        <v/>
      </c>
      <c r="G155" s="4">
        <f>SUM(Data!Q154:Data!Y154)</f>
        <v/>
      </c>
      <c r="H155" s="4">
        <f>Data!Z154</f>
        <v/>
      </c>
      <c r="I155" s="4">
        <f>Data!AB154</f>
        <v/>
      </c>
      <c r="J155" s="4">
        <f>Data!AD154</f>
        <v/>
      </c>
      <c r="K155" s="4">
        <f>Data!AE154</f>
        <v/>
      </c>
      <c r="L155" s="4">
        <f>Data!AF154</f>
        <v/>
      </c>
      <c r="M155" s="4">
        <f>Data!AG154</f>
        <v/>
      </c>
      <c r="N155" s="4">
        <f>Data!AH154</f>
        <v/>
      </c>
      <c r="O155" s="4">
        <f>Data!AI154</f>
        <v/>
      </c>
      <c r="P155" s="4">
        <f>Data!AJ154</f>
        <v/>
      </c>
      <c r="Q155" s="4">
        <f>Data!AK154</f>
        <v/>
      </c>
      <c r="R155" s="4">
        <f>Data!AL154</f>
        <v/>
      </c>
    </row>
    <row r="156">
      <c r="A156" s="4">
        <f>Data!A155</f>
        <v/>
      </c>
      <c r="B156" s="4">
        <f>Data!B155</f>
        <v/>
      </c>
      <c r="C156" s="4">
        <f>Data!C155</f>
        <v/>
      </c>
      <c r="D156" s="4">
        <f>Data!I155</f>
        <v/>
      </c>
      <c r="E156" s="4">
        <f>Data!J155</f>
        <v/>
      </c>
      <c r="F156" s="4">
        <f>Data!H155</f>
        <v/>
      </c>
      <c r="G156" s="4">
        <f>SUM(Data!Q155:Data!Y155)</f>
        <v/>
      </c>
      <c r="H156" s="4">
        <f>Data!Z155</f>
        <v/>
      </c>
      <c r="I156" s="4">
        <f>Data!AB155</f>
        <v/>
      </c>
      <c r="J156" s="4">
        <f>Data!AD155</f>
        <v/>
      </c>
      <c r="K156" s="4">
        <f>Data!AE155</f>
        <v/>
      </c>
      <c r="L156" s="4">
        <f>Data!AF155</f>
        <v/>
      </c>
      <c r="M156" s="4">
        <f>Data!AG155</f>
        <v/>
      </c>
      <c r="N156" s="4">
        <f>Data!AH155</f>
        <v/>
      </c>
      <c r="O156" s="4">
        <f>Data!AI155</f>
        <v/>
      </c>
      <c r="P156" s="4">
        <f>Data!AJ155</f>
        <v/>
      </c>
      <c r="Q156" s="4">
        <f>Data!AK155</f>
        <v/>
      </c>
      <c r="R156" s="4">
        <f>Data!AL155</f>
        <v/>
      </c>
    </row>
    <row r="157">
      <c r="A157" s="4">
        <f>Data!A156</f>
        <v/>
      </c>
      <c r="B157" s="4">
        <f>Data!B156</f>
        <v/>
      </c>
      <c r="C157" s="4">
        <f>Data!C156</f>
        <v/>
      </c>
      <c r="D157" s="4">
        <f>Data!I156</f>
        <v/>
      </c>
      <c r="E157" s="4">
        <f>Data!J156</f>
        <v/>
      </c>
      <c r="F157" s="4">
        <f>Data!H156</f>
        <v/>
      </c>
      <c r="G157" s="4">
        <f>SUM(Data!Q156:Data!Y156)</f>
        <v/>
      </c>
      <c r="H157" s="4">
        <f>Data!Z156</f>
        <v/>
      </c>
      <c r="I157" s="4">
        <f>Data!AB156</f>
        <v/>
      </c>
      <c r="J157" s="4">
        <f>Data!AD156</f>
        <v/>
      </c>
      <c r="K157" s="4">
        <f>Data!AE156</f>
        <v/>
      </c>
      <c r="L157" s="4">
        <f>Data!AF156</f>
        <v/>
      </c>
      <c r="M157" s="4">
        <f>Data!AG156</f>
        <v/>
      </c>
      <c r="N157" s="4">
        <f>Data!AH156</f>
        <v/>
      </c>
      <c r="O157" s="4">
        <f>Data!AI156</f>
        <v/>
      </c>
      <c r="P157" s="4">
        <f>Data!AJ156</f>
        <v/>
      </c>
      <c r="Q157" s="4">
        <f>Data!AK156</f>
        <v/>
      </c>
      <c r="R157" s="4">
        <f>Data!AL156</f>
        <v/>
      </c>
    </row>
    <row r="158">
      <c r="A158" s="4">
        <f>Data!A157</f>
        <v/>
      </c>
      <c r="B158" s="4">
        <f>Data!B157</f>
        <v/>
      </c>
      <c r="C158" s="4">
        <f>Data!C157</f>
        <v/>
      </c>
      <c r="D158" s="4">
        <f>Data!I157</f>
        <v/>
      </c>
      <c r="E158" s="4">
        <f>Data!J157</f>
        <v/>
      </c>
      <c r="F158" s="4">
        <f>Data!H157</f>
        <v/>
      </c>
      <c r="G158" s="4">
        <f>SUM(Data!Q157:Data!Y157)</f>
        <v/>
      </c>
      <c r="H158" s="4">
        <f>Data!Z157</f>
        <v/>
      </c>
      <c r="I158" s="4">
        <f>Data!AB157</f>
        <v/>
      </c>
      <c r="J158" s="4">
        <f>Data!AD157</f>
        <v/>
      </c>
      <c r="K158" s="4">
        <f>Data!AE157</f>
        <v/>
      </c>
      <c r="L158" s="4">
        <f>Data!AF157</f>
        <v/>
      </c>
      <c r="M158" s="4">
        <f>Data!AG157</f>
        <v/>
      </c>
      <c r="N158" s="4">
        <f>Data!AH157</f>
        <v/>
      </c>
      <c r="O158" s="4">
        <f>Data!AI157</f>
        <v/>
      </c>
      <c r="P158" s="4">
        <f>Data!AJ157</f>
        <v/>
      </c>
      <c r="Q158" s="4">
        <f>Data!AK157</f>
        <v/>
      </c>
      <c r="R158" s="4">
        <f>Data!AL157</f>
        <v/>
      </c>
    </row>
    <row r="159">
      <c r="A159" s="4">
        <f>Data!A158</f>
        <v/>
      </c>
      <c r="B159" s="4">
        <f>Data!B158</f>
        <v/>
      </c>
      <c r="C159" s="4">
        <f>Data!C158</f>
        <v/>
      </c>
      <c r="D159" s="4">
        <f>Data!I158</f>
        <v/>
      </c>
      <c r="E159" s="4">
        <f>Data!J158</f>
        <v/>
      </c>
      <c r="F159" s="4">
        <f>Data!H158</f>
        <v/>
      </c>
      <c r="G159" s="4">
        <f>SUM(Data!Q158:Data!Y158)</f>
        <v/>
      </c>
      <c r="H159" s="4">
        <f>Data!Z158</f>
        <v/>
      </c>
      <c r="I159" s="4">
        <f>Data!AB158</f>
        <v/>
      </c>
      <c r="J159" s="4">
        <f>Data!AD158</f>
        <v/>
      </c>
      <c r="K159" s="4">
        <f>Data!AE158</f>
        <v/>
      </c>
      <c r="L159" s="4">
        <f>Data!AF158</f>
        <v/>
      </c>
      <c r="M159" s="4">
        <f>Data!AG158</f>
        <v/>
      </c>
      <c r="N159" s="4">
        <f>Data!AH158</f>
        <v/>
      </c>
      <c r="O159" s="4">
        <f>Data!AI158</f>
        <v/>
      </c>
      <c r="P159" s="4">
        <f>Data!AJ158</f>
        <v/>
      </c>
      <c r="Q159" s="4">
        <f>Data!AK158</f>
        <v/>
      </c>
      <c r="R159" s="4">
        <f>Data!AL158</f>
        <v/>
      </c>
    </row>
    <row r="160">
      <c r="A160" s="4">
        <f>Data!A159</f>
        <v/>
      </c>
      <c r="B160" s="4">
        <f>Data!B159</f>
        <v/>
      </c>
      <c r="C160" s="4">
        <f>Data!C159</f>
        <v/>
      </c>
      <c r="D160" s="4">
        <f>Data!I159</f>
        <v/>
      </c>
      <c r="E160" s="4">
        <f>Data!J159</f>
        <v/>
      </c>
      <c r="F160" s="4">
        <f>Data!H159</f>
        <v/>
      </c>
      <c r="G160" s="4">
        <f>SUM(Data!Q159:Data!Y159)</f>
        <v/>
      </c>
      <c r="H160" s="4">
        <f>Data!Z159</f>
        <v/>
      </c>
      <c r="I160" s="4">
        <f>Data!AB159</f>
        <v/>
      </c>
      <c r="J160" s="4">
        <f>Data!AD159</f>
        <v/>
      </c>
      <c r="K160" s="4">
        <f>Data!AE159</f>
        <v/>
      </c>
      <c r="L160" s="4">
        <f>Data!AF159</f>
        <v/>
      </c>
      <c r="M160" s="4">
        <f>Data!AG159</f>
        <v/>
      </c>
      <c r="N160" s="4">
        <f>Data!AH159</f>
        <v/>
      </c>
      <c r="O160" s="4">
        <f>Data!AI159</f>
        <v/>
      </c>
      <c r="P160" s="4">
        <f>Data!AJ159</f>
        <v/>
      </c>
      <c r="Q160" s="4">
        <f>Data!AK159</f>
        <v/>
      </c>
      <c r="R160" s="4">
        <f>Data!AL159</f>
        <v/>
      </c>
    </row>
    <row r="161">
      <c r="A161" s="4">
        <f>Data!A160</f>
        <v/>
      </c>
      <c r="B161" s="4">
        <f>Data!B160</f>
        <v/>
      </c>
      <c r="C161" s="4">
        <f>Data!C160</f>
        <v/>
      </c>
      <c r="D161" s="4">
        <f>Data!I160</f>
        <v/>
      </c>
      <c r="E161" s="4">
        <f>Data!J160</f>
        <v/>
      </c>
      <c r="F161" s="4">
        <f>Data!H160</f>
        <v/>
      </c>
      <c r="G161" s="4">
        <f>SUM(Data!Q160:Data!Y160)</f>
        <v/>
      </c>
      <c r="H161" s="4">
        <f>Data!Z160</f>
        <v/>
      </c>
      <c r="I161" s="4">
        <f>Data!AB160</f>
        <v/>
      </c>
      <c r="J161" s="4">
        <f>Data!AD160</f>
        <v/>
      </c>
      <c r="K161" s="4">
        <f>Data!AE160</f>
        <v/>
      </c>
      <c r="L161" s="4">
        <f>Data!AF160</f>
        <v/>
      </c>
      <c r="M161" s="4">
        <f>Data!AG160</f>
        <v/>
      </c>
      <c r="N161" s="4">
        <f>Data!AH160</f>
        <v/>
      </c>
      <c r="O161" s="4">
        <f>Data!AI160</f>
        <v/>
      </c>
      <c r="P161" s="4">
        <f>Data!AJ160</f>
        <v/>
      </c>
      <c r="Q161" s="4">
        <f>Data!AK160</f>
        <v/>
      </c>
      <c r="R161" s="4">
        <f>Data!AL160</f>
        <v/>
      </c>
    </row>
    <row r="162">
      <c r="A162" s="4">
        <f>Data!A161</f>
        <v/>
      </c>
      <c r="B162" s="4">
        <f>Data!B161</f>
        <v/>
      </c>
      <c r="C162" s="4">
        <f>Data!C161</f>
        <v/>
      </c>
      <c r="D162" s="4">
        <f>Data!I161</f>
        <v/>
      </c>
      <c r="E162" s="4">
        <f>Data!J161</f>
        <v/>
      </c>
      <c r="F162" s="4">
        <f>Data!H161</f>
        <v/>
      </c>
      <c r="G162" s="4">
        <f>SUM(Data!Q161:Data!Y161)</f>
        <v/>
      </c>
      <c r="H162" s="4">
        <f>Data!Z161</f>
        <v/>
      </c>
      <c r="I162" s="4">
        <f>Data!AB161</f>
        <v/>
      </c>
      <c r="J162" s="4">
        <f>Data!AD161</f>
        <v/>
      </c>
      <c r="K162" s="4">
        <f>Data!AE161</f>
        <v/>
      </c>
      <c r="L162" s="4">
        <f>Data!AF161</f>
        <v/>
      </c>
      <c r="M162" s="4">
        <f>Data!AG161</f>
        <v/>
      </c>
      <c r="N162" s="4">
        <f>Data!AH161</f>
        <v/>
      </c>
      <c r="O162" s="4">
        <f>Data!AI161</f>
        <v/>
      </c>
      <c r="P162" s="4">
        <f>Data!AJ161</f>
        <v/>
      </c>
      <c r="Q162" s="4">
        <f>Data!AK161</f>
        <v/>
      </c>
      <c r="R162" s="4">
        <f>Data!AL161</f>
        <v/>
      </c>
    </row>
    <row r="163">
      <c r="A163" s="4">
        <f>Data!A162</f>
        <v/>
      </c>
      <c r="B163" s="4">
        <f>Data!B162</f>
        <v/>
      </c>
      <c r="C163" s="4">
        <f>Data!C162</f>
        <v/>
      </c>
      <c r="D163" s="4">
        <f>Data!I162</f>
        <v/>
      </c>
      <c r="E163" s="4">
        <f>Data!J162</f>
        <v/>
      </c>
      <c r="F163" s="4">
        <f>Data!H162</f>
        <v/>
      </c>
      <c r="G163" s="4">
        <f>SUM(Data!Q162:Data!Y162)</f>
        <v/>
      </c>
      <c r="H163" s="4">
        <f>Data!Z162</f>
        <v/>
      </c>
      <c r="I163" s="4">
        <f>Data!AB162</f>
        <v/>
      </c>
      <c r="J163" s="4">
        <f>Data!AD162</f>
        <v/>
      </c>
      <c r="K163" s="4">
        <f>Data!AE162</f>
        <v/>
      </c>
      <c r="L163" s="4">
        <f>Data!AF162</f>
        <v/>
      </c>
      <c r="M163" s="4">
        <f>Data!AG162</f>
        <v/>
      </c>
      <c r="N163" s="4">
        <f>Data!AH162</f>
        <v/>
      </c>
      <c r="O163" s="4">
        <f>Data!AI162</f>
        <v/>
      </c>
      <c r="P163" s="4">
        <f>Data!AJ162</f>
        <v/>
      </c>
      <c r="Q163" s="4">
        <f>Data!AK162</f>
        <v/>
      </c>
      <c r="R163" s="4">
        <f>Data!AL162</f>
        <v/>
      </c>
    </row>
    <row r="164">
      <c r="A164" s="4">
        <f>Data!A163</f>
        <v/>
      </c>
      <c r="B164" s="4">
        <f>Data!B163</f>
        <v/>
      </c>
      <c r="C164" s="4">
        <f>Data!C163</f>
        <v/>
      </c>
      <c r="D164" s="4">
        <f>Data!I163</f>
        <v/>
      </c>
      <c r="E164" s="4">
        <f>Data!J163</f>
        <v/>
      </c>
      <c r="F164" s="4">
        <f>Data!H163</f>
        <v/>
      </c>
      <c r="G164" s="4">
        <f>SUM(Data!Q163:Data!Y163)</f>
        <v/>
      </c>
      <c r="H164" s="4">
        <f>Data!Z163</f>
        <v/>
      </c>
      <c r="I164" s="4">
        <f>Data!AB163</f>
        <v/>
      </c>
      <c r="J164" s="4">
        <f>Data!AD163</f>
        <v/>
      </c>
      <c r="K164" s="4">
        <f>Data!AE163</f>
        <v/>
      </c>
      <c r="L164" s="4">
        <f>Data!AF163</f>
        <v/>
      </c>
      <c r="M164" s="4">
        <f>Data!AG163</f>
        <v/>
      </c>
      <c r="N164" s="4">
        <f>Data!AH163</f>
        <v/>
      </c>
      <c r="O164" s="4">
        <f>Data!AI163</f>
        <v/>
      </c>
      <c r="P164" s="4">
        <f>Data!AJ163</f>
        <v/>
      </c>
      <c r="Q164" s="4">
        <f>Data!AK163</f>
        <v/>
      </c>
      <c r="R164" s="4">
        <f>Data!AL163</f>
        <v/>
      </c>
    </row>
    <row r="165">
      <c r="A165" s="4">
        <f>Data!A164</f>
        <v/>
      </c>
      <c r="B165" s="4">
        <f>Data!B164</f>
        <v/>
      </c>
      <c r="C165" s="4">
        <f>Data!C164</f>
        <v/>
      </c>
      <c r="D165" s="4">
        <f>Data!I164</f>
        <v/>
      </c>
      <c r="E165" s="4">
        <f>Data!J164</f>
        <v/>
      </c>
      <c r="F165" s="4">
        <f>Data!H164</f>
        <v/>
      </c>
      <c r="G165" s="4">
        <f>SUM(Data!Q164:Data!Y164)</f>
        <v/>
      </c>
      <c r="H165" s="4">
        <f>Data!Z164</f>
        <v/>
      </c>
      <c r="I165" s="4">
        <f>Data!AB164</f>
        <v/>
      </c>
      <c r="J165" s="4">
        <f>Data!AD164</f>
        <v/>
      </c>
      <c r="K165" s="4">
        <f>Data!AE164</f>
        <v/>
      </c>
      <c r="L165" s="4">
        <f>Data!AF164</f>
        <v/>
      </c>
      <c r="M165" s="4">
        <f>Data!AG164</f>
        <v/>
      </c>
      <c r="N165" s="4">
        <f>Data!AH164</f>
        <v/>
      </c>
      <c r="O165" s="4">
        <f>Data!AI164</f>
        <v/>
      </c>
      <c r="P165" s="4">
        <f>Data!AJ164</f>
        <v/>
      </c>
      <c r="Q165" s="4">
        <f>Data!AK164</f>
        <v/>
      </c>
      <c r="R165" s="4">
        <f>Data!AL164</f>
        <v/>
      </c>
    </row>
    <row r="166">
      <c r="A166" s="4">
        <f>Data!A165</f>
        <v/>
      </c>
      <c r="B166" s="4">
        <f>Data!B165</f>
        <v/>
      </c>
      <c r="C166" s="4">
        <f>Data!C165</f>
        <v/>
      </c>
      <c r="D166" s="4">
        <f>Data!I165</f>
        <v/>
      </c>
      <c r="E166" s="4">
        <f>Data!J165</f>
        <v/>
      </c>
      <c r="F166" s="4">
        <f>Data!H165</f>
        <v/>
      </c>
      <c r="G166" s="4">
        <f>SUM(Data!Q165:Data!Y165)</f>
        <v/>
      </c>
      <c r="H166" s="4">
        <f>Data!Z165</f>
        <v/>
      </c>
      <c r="I166" s="4">
        <f>Data!AB165</f>
        <v/>
      </c>
      <c r="J166" s="4">
        <f>Data!AD165</f>
        <v/>
      </c>
      <c r="K166" s="4">
        <f>Data!AE165</f>
        <v/>
      </c>
      <c r="L166" s="4">
        <f>Data!AF165</f>
        <v/>
      </c>
      <c r="M166" s="4">
        <f>Data!AG165</f>
        <v/>
      </c>
      <c r="N166" s="4">
        <f>Data!AH165</f>
        <v/>
      </c>
      <c r="O166" s="4">
        <f>Data!AI165</f>
        <v/>
      </c>
      <c r="P166" s="4">
        <f>Data!AJ165</f>
        <v/>
      </c>
      <c r="Q166" s="4">
        <f>Data!AK165</f>
        <v/>
      </c>
      <c r="R166" s="4">
        <f>Data!AL165</f>
        <v/>
      </c>
    </row>
    <row r="167">
      <c r="A167" s="4">
        <f>Data!A166</f>
        <v/>
      </c>
      <c r="B167" s="4">
        <f>Data!B166</f>
        <v/>
      </c>
      <c r="C167" s="4">
        <f>Data!C166</f>
        <v/>
      </c>
      <c r="D167" s="4">
        <f>Data!I166</f>
        <v/>
      </c>
      <c r="E167" s="4">
        <f>Data!J166</f>
        <v/>
      </c>
      <c r="F167" s="4">
        <f>Data!H166</f>
        <v/>
      </c>
      <c r="G167" s="4">
        <f>SUM(Data!Q166:Data!Y166)</f>
        <v/>
      </c>
      <c r="H167" s="4">
        <f>Data!Z166</f>
        <v/>
      </c>
      <c r="I167" s="4">
        <f>Data!AB166</f>
        <v/>
      </c>
      <c r="J167" s="4">
        <f>Data!AD166</f>
        <v/>
      </c>
      <c r="K167" s="4">
        <f>Data!AE166</f>
        <v/>
      </c>
      <c r="L167" s="4">
        <f>Data!AF166</f>
        <v/>
      </c>
      <c r="M167" s="4">
        <f>Data!AG166</f>
        <v/>
      </c>
      <c r="N167" s="4">
        <f>Data!AH166</f>
        <v/>
      </c>
      <c r="O167" s="4">
        <f>Data!AI166</f>
        <v/>
      </c>
      <c r="P167" s="4">
        <f>Data!AJ166</f>
        <v/>
      </c>
      <c r="Q167" s="4">
        <f>Data!AK166</f>
        <v/>
      </c>
      <c r="R167" s="4">
        <f>Data!AL166</f>
        <v/>
      </c>
    </row>
    <row r="168">
      <c r="A168" s="4">
        <f>Data!A167</f>
        <v/>
      </c>
      <c r="B168" s="4">
        <f>Data!B167</f>
        <v/>
      </c>
      <c r="C168" s="4">
        <f>Data!C167</f>
        <v/>
      </c>
      <c r="D168" s="4">
        <f>Data!I167</f>
        <v/>
      </c>
      <c r="E168" s="4">
        <f>Data!J167</f>
        <v/>
      </c>
      <c r="F168" s="4">
        <f>Data!H167</f>
        <v/>
      </c>
      <c r="G168" s="4">
        <f>SUM(Data!Q167:Data!Y167)</f>
        <v/>
      </c>
      <c r="H168" s="4">
        <f>Data!Z167</f>
        <v/>
      </c>
      <c r="I168" s="4">
        <f>Data!AB167</f>
        <v/>
      </c>
      <c r="J168" s="4">
        <f>Data!AD167</f>
        <v/>
      </c>
      <c r="K168" s="4">
        <f>Data!AE167</f>
        <v/>
      </c>
      <c r="L168" s="4">
        <f>Data!AF167</f>
        <v/>
      </c>
      <c r="M168" s="4">
        <f>Data!AG167</f>
        <v/>
      </c>
      <c r="N168" s="4">
        <f>Data!AH167</f>
        <v/>
      </c>
      <c r="O168" s="4">
        <f>Data!AI167</f>
        <v/>
      </c>
      <c r="P168" s="4">
        <f>Data!AJ167</f>
        <v/>
      </c>
      <c r="Q168" s="4">
        <f>Data!AK167</f>
        <v/>
      </c>
      <c r="R168" s="4">
        <f>Data!AL167</f>
        <v/>
      </c>
    </row>
    <row r="169">
      <c r="A169" s="4">
        <f>Data!A168</f>
        <v/>
      </c>
      <c r="B169" s="4">
        <f>Data!B168</f>
        <v/>
      </c>
      <c r="C169" s="4">
        <f>Data!C168</f>
        <v/>
      </c>
      <c r="D169" s="4">
        <f>Data!I168</f>
        <v/>
      </c>
      <c r="E169" s="4">
        <f>Data!J168</f>
        <v/>
      </c>
      <c r="F169" s="4">
        <f>Data!H168</f>
        <v/>
      </c>
      <c r="G169" s="4">
        <f>SUM(Data!Q168:Data!Y168)</f>
        <v/>
      </c>
      <c r="H169" s="4">
        <f>Data!Z168</f>
        <v/>
      </c>
      <c r="I169" s="4">
        <f>Data!AB168</f>
        <v/>
      </c>
      <c r="J169" s="4">
        <f>Data!AD168</f>
        <v/>
      </c>
      <c r="K169" s="4">
        <f>Data!AE168</f>
        <v/>
      </c>
      <c r="L169" s="4">
        <f>Data!AF168</f>
        <v/>
      </c>
      <c r="M169" s="4">
        <f>Data!AG168</f>
        <v/>
      </c>
      <c r="N169" s="4">
        <f>Data!AH168</f>
        <v/>
      </c>
      <c r="O169" s="4">
        <f>Data!AI168</f>
        <v/>
      </c>
      <c r="P169" s="4">
        <f>Data!AJ168</f>
        <v/>
      </c>
      <c r="Q169" s="4">
        <f>Data!AK168</f>
        <v/>
      </c>
      <c r="R169" s="4">
        <f>Data!AL168</f>
        <v/>
      </c>
    </row>
    <row r="170">
      <c r="A170" s="4">
        <f>Data!A169</f>
        <v/>
      </c>
      <c r="B170" s="4">
        <f>Data!B169</f>
        <v/>
      </c>
      <c r="C170" s="4">
        <f>Data!C169</f>
        <v/>
      </c>
      <c r="D170" s="4">
        <f>Data!I169</f>
        <v/>
      </c>
      <c r="E170" s="4">
        <f>Data!J169</f>
        <v/>
      </c>
      <c r="F170" s="4">
        <f>Data!H169</f>
        <v/>
      </c>
      <c r="G170" s="4">
        <f>SUM(Data!Q169:Data!Y169)</f>
        <v/>
      </c>
      <c r="H170" s="4">
        <f>Data!Z169</f>
        <v/>
      </c>
      <c r="I170" s="4">
        <f>Data!AB169</f>
        <v/>
      </c>
      <c r="J170" s="4">
        <f>Data!AD169</f>
        <v/>
      </c>
      <c r="K170" s="4">
        <f>Data!AE169</f>
        <v/>
      </c>
      <c r="L170" s="4">
        <f>Data!AF169</f>
        <v/>
      </c>
      <c r="M170" s="4">
        <f>Data!AG169</f>
        <v/>
      </c>
      <c r="N170" s="4">
        <f>Data!AH169</f>
        <v/>
      </c>
      <c r="O170" s="4">
        <f>Data!AI169</f>
        <v/>
      </c>
      <c r="P170" s="4">
        <f>Data!AJ169</f>
        <v/>
      </c>
      <c r="Q170" s="4">
        <f>Data!AK169</f>
        <v/>
      </c>
      <c r="R170" s="4">
        <f>Data!AL169</f>
        <v/>
      </c>
    </row>
    <row r="171">
      <c r="A171" s="4">
        <f>Data!A170</f>
        <v/>
      </c>
      <c r="B171" s="4">
        <f>Data!B170</f>
        <v/>
      </c>
      <c r="C171" s="4">
        <f>Data!C170</f>
        <v/>
      </c>
      <c r="D171" s="4">
        <f>Data!I170</f>
        <v/>
      </c>
      <c r="E171" s="4">
        <f>Data!J170</f>
        <v/>
      </c>
      <c r="F171" s="4">
        <f>Data!H170</f>
        <v/>
      </c>
      <c r="G171" s="4">
        <f>SUM(Data!Q170:Data!Y170)</f>
        <v/>
      </c>
      <c r="H171" s="4">
        <f>Data!Z170</f>
        <v/>
      </c>
      <c r="I171" s="4">
        <f>Data!AB170</f>
        <v/>
      </c>
      <c r="J171" s="4">
        <f>Data!AD170</f>
        <v/>
      </c>
      <c r="K171" s="4">
        <f>Data!AE170</f>
        <v/>
      </c>
      <c r="L171" s="4">
        <f>Data!AF170</f>
        <v/>
      </c>
      <c r="M171" s="4">
        <f>Data!AG170</f>
        <v/>
      </c>
      <c r="N171" s="4">
        <f>Data!AH170</f>
        <v/>
      </c>
      <c r="O171" s="4">
        <f>Data!AI170</f>
        <v/>
      </c>
      <c r="P171" s="4">
        <f>Data!AJ170</f>
        <v/>
      </c>
      <c r="Q171" s="4">
        <f>Data!AK170</f>
        <v/>
      </c>
      <c r="R171" s="4">
        <f>Data!AL170</f>
        <v/>
      </c>
    </row>
    <row r="172">
      <c r="A172" s="4">
        <f>Data!A171</f>
        <v/>
      </c>
      <c r="B172" s="4">
        <f>Data!B171</f>
        <v/>
      </c>
      <c r="C172" s="4">
        <f>Data!C171</f>
        <v/>
      </c>
      <c r="D172" s="4">
        <f>Data!I171</f>
        <v/>
      </c>
      <c r="E172" s="4">
        <f>Data!J171</f>
        <v/>
      </c>
      <c r="F172" s="4">
        <f>Data!H171</f>
        <v/>
      </c>
      <c r="G172" s="4">
        <f>SUM(Data!Q171:Data!Y171)</f>
        <v/>
      </c>
      <c r="H172" s="4">
        <f>Data!Z171</f>
        <v/>
      </c>
      <c r="I172" s="4">
        <f>Data!AB171</f>
        <v/>
      </c>
      <c r="J172" s="4">
        <f>Data!AD171</f>
        <v/>
      </c>
      <c r="K172" s="4">
        <f>Data!AE171</f>
        <v/>
      </c>
      <c r="L172" s="4">
        <f>Data!AF171</f>
        <v/>
      </c>
      <c r="M172" s="4">
        <f>Data!AG171</f>
        <v/>
      </c>
      <c r="N172" s="4">
        <f>Data!AH171</f>
        <v/>
      </c>
      <c r="O172" s="4">
        <f>Data!AI171</f>
        <v/>
      </c>
      <c r="P172" s="4">
        <f>Data!AJ171</f>
        <v/>
      </c>
      <c r="Q172" s="4">
        <f>Data!AK171</f>
        <v/>
      </c>
      <c r="R172" s="4">
        <f>Data!AL171</f>
        <v/>
      </c>
    </row>
    <row r="173">
      <c r="A173" s="4">
        <f>Data!A172</f>
        <v/>
      </c>
      <c r="B173" s="4">
        <f>Data!B172</f>
        <v/>
      </c>
      <c r="C173" s="4">
        <f>Data!C172</f>
        <v/>
      </c>
      <c r="D173" s="4">
        <f>Data!I172</f>
        <v/>
      </c>
      <c r="E173" s="4">
        <f>Data!J172</f>
        <v/>
      </c>
      <c r="F173" s="4">
        <f>Data!H172</f>
        <v/>
      </c>
      <c r="G173" s="4">
        <f>SUM(Data!Q172:Data!Y172)</f>
        <v/>
      </c>
      <c r="H173" s="4">
        <f>Data!Z172</f>
        <v/>
      </c>
      <c r="I173" s="4">
        <f>Data!AB172</f>
        <v/>
      </c>
      <c r="J173" s="4">
        <f>Data!AD172</f>
        <v/>
      </c>
      <c r="K173" s="4">
        <f>Data!AE172</f>
        <v/>
      </c>
      <c r="L173" s="4">
        <f>Data!AF172</f>
        <v/>
      </c>
      <c r="M173" s="4">
        <f>Data!AG172</f>
        <v/>
      </c>
      <c r="N173" s="4">
        <f>Data!AH172</f>
        <v/>
      </c>
      <c r="O173" s="4">
        <f>Data!AI172</f>
        <v/>
      </c>
      <c r="P173" s="4">
        <f>Data!AJ172</f>
        <v/>
      </c>
      <c r="Q173" s="4">
        <f>Data!AK172</f>
        <v/>
      </c>
      <c r="R173" s="4">
        <f>Data!AL172</f>
        <v/>
      </c>
    </row>
    <row r="174">
      <c r="A174" s="4">
        <f>Data!A173</f>
        <v/>
      </c>
      <c r="B174" s="4">
        <f>Data!B173</f>
        <v/>
      </c>
      <c r="C174" s="4">
        <f>Data!C173</f>
        <v/>
      </c>
      <c r="D174" s="4">
        <f>Data!I173</f>
        <v/>
      </c>
      <c r="E174" s="4">
        <f>Data!J173</f>
        <v/>
      </c>
      <c r="F174" s="4">
        <f>Data!H173</f>
        <v/>
      </c>
      <c r="G174" s="4">
        <f>SUM(Data!Q173:Data!Y173)</f>
        <v/>
      </c>
      <c r="H174" s="4">
        <f>Data!Z173</f>
        <v/>
      </c>
      <c r="I174" s="4">
        <f>Data!AB173</f>
        <v/>
      </c>
      <c r="J174" s="4">
        <f>Data!AD173</f>
        <v/>
      </c>
      <c r="K174" s="4">
        <f>Data!AE173</f>
        <v/>
      </c>
      <c r="L174" s="4">
        <f>Data!AF173</f>
        <v/>
      </c>
      <c r="M174" s="4">
        <f>Data!AG173</f>
        <v/>
      </c>
      <c r="N174" s="4">
        <f>Data!AH173</f>
        <v/>
      </c>
      <c r="O174" s="4">
        <f>Data!AI173</f>
        <v/>
      </c>
      <c r="P174" s="4">
        <f>Data!AJ173</f>
        <v/>
      </c>
      <c r="Q174" s="4">
        <f>Data!AK173</f>
        <v/>
      </c>
      <c r="R174" s="4">
        <f>Data!AL173</f>
        <v/>
      </c>
    </row>
    <row r="175">
      <c r="A175" s="4">
        <f>Data!A174</f>
        <v/>
      </c>
      <c r="B175" s="4">
        <f>Data!B174</f>
        <v/>
      </c>
      <c r="C175" s="4">
        <f>Data!C174</f>
        <v/>
      </c>
      <c r="D175" s="4">
        <f>Data!I174</f>
        <v/>
      </c>
      <c r="E175" s="4">
        <f>Data!J174</f>
        <v/>
      </c>
      <c r="F175" s="4">
        <f>Data!H174</f>
        <v/>
      </c>
      <c r="G175" s="4">
        <f>SUM(Data!Q174:Data!Y174)</f>
        <v/>
      </c>
      <c r="H175" s="4">
        <f>Data!Z174</f>
        <v/>
      </c>
      <c r="I175" s="4">
        <f>Data!AB174</f>
        <v/>
      </c>
      <c r="J175" s="4">
        <f>Data!AD174</f>
        <v/>
      </c>
      <c r="K175" s="4">
        <f>Data!AE174</f>
        <v/>
      </c>
      <c r="L175" s="4">
        <f>Data!AF174</f>
        <v/>
      </c>
      <c r="M175" s="4">
        <f>Data!AG174</f>
        <v/>
      </c>
      <c r="N175" s="4">
        <f>Data!AH174</f>
        <v/>
      </c>
      <c r="O175" s="4">
        <f>Data!AI174</f>
        <v/>
      </c>
      <c r="P175" s="4">
        <f>Data!AJ174</f>
        <v/>
      </c>
      <c r="Q175" s="4">
        <f>Data!AK174</f>
        <v/>
      </c>
      <c r="R175" s="4">
        <f>Data!AL174</f>
        <v/>
      </c>
    </row>
    <row r="176">
      <c r="A176" s="4">
        <f>Data!A175</f>
        <v/>
      </c>
      <c r="B176" s="4">
        <f>Data!B175</f>
        <v/>
      </c>
      <c r="C176" s="4">
        <f>Data!C175</f>
        <v/>
      </c>
      <c r="D176" s="4">
        <f>Data!I175</f>
        <v/>
      </c>
      <c r="E176" s="4">
        <f>Data!J175</f>
        <v/>
      </c>
      <c r="F176" s="4">
        <f>Data!H175</f>
        <v/>
      </c>
      <c r="G176" s="4">
        <f>SUM(Data!Q175:Data!Y175)</f>
        <v/>
      </c>
      <c r="H176" s="4">
        <f>Data!Z175</f>
        <v/>
      </c>
      <c r="I176" s="4">
        <f>Data!AB175</f>
        <v/>
      </c>
      <c r="J176" s="4">
        <f>Data!AD175</f>
        <v/>
      </c>
      <c r="K176" s="4">
        <f>Data!AE175</f>
        <v/>
      </c>
      <c r="L176" s="4">
        <f>Data!AF175</f>
        <v/>
      </c>
      <c r="M176" s="4">
        <f>Data!AG175</f>
        <v/>
      </c>
      <c r="N176" s="4">
        <f>Data!AH175</f>
        <v/>
      </c>
      <c r="O176" s="4">
        <f>Data!AI175</f>
        <v/>
      </c>
      <c r="P176" s="4">
        <f>Data!AJ175</f>
        <v/>
      </c>
      <c r="Q176" s="4">
        <f>Data!AK175</f>
        <v/>
      </c>
      <c r="R176" s="4">
        <f>Data!AL175</f>
        <v/>
      </c>
    </row>
    <row r="177">
      <c r="A177" s="4">
        <f>Data!A176</f>
        <v/>
      </c>
      <c r="B177" s="4">
        <f>Data!B176</f>
        <v/>
      </c>
      <c r="C177" s="4">
        <f>Data!C176</f>
        <v/>
      </c>
      <c r="D177" s="4">
        <f>Data!I176</f>
        <v/>
      </c>
      <c r="E177" s="4">
        <f>Data!J176</f>
        <v/>
      </c>
      <c r="F177" s="4">
        <f>Data!H176</f>
        <v/>
      </c>
      <c r="G177" s="4">
        <f>SUM(Data!Q176:Data!Y176)</f>
        <v/>
      </c>
      <c r="H177" s="4">
        <f>Data!Z176</f>
        <v/>
      </c>
      <c r="I177" s="4">
        <f>Data!AB176</f>
        <v/>
      </c>
      <c r="J177" s="4">
        <f>Data!AD176</f>
        <v/>
      </c>
      <c r="K177" s="4">
        <f>Data!AE176</f>
        <v/>
      </c>
      <c r="L177" s="4">
        <f>Data!AF176</f>
        <v/>
      </c>
      <c r="M177" s="4">
        <f>Data!AG176</f>
        <v/>
      </c>
      <c r="N177" s="4">
        <f>Data!AH176</f>
        <v/>
      </c>
      <c r="O177" s="4">
        <f>Data!AI176</f>
        <v/>
      </c>
      <c r="P177" s="4">
        <f>Data!AJ176</f>
        <v/>
      </c>
      <c r="Q177" s="4">
        <f>Data!AK176</f>
        <v/>
      </c>
      <c r="R177" s="4">
        <f>Data!AL176</f>
        <v/>
      </c>
    </row>
    <row r="178">
      <c r="A178" s="4">
        <f>Data!A177</f>
        <v/>
      </c>
      <c r="B178" s="4">
        <f>Data!B177</f>
        <v/>
      </c>
      <c r="C178" s="4">
        <f>Data!C177</f>
        <v/>
      </c>
      <c r="D178" s="4">
        <f>Data!I177</f>
        <v/>
      </c>
      <c r="E178" s="4">
        <f>Data!J177</f>
        <v/>
      </c>
      <c r="F178" s="4">
        <f>Data!H177</f>
        <v/>
      </c>
      <c r="G178" s="4">
        <f>SUM(Data!Q177:Data!Y177)</f>
        <v/>
      </c>
      <c r="H178" s="4">
        <f>Data!Z177</f>
        <v/>
      </c>
      <c r="I178" s="4">
        <f>Data!AB177</f>
        <v/>
      </c>
      <c r="J178" s="4">
        <f>Data!AD177</f>
        <v/>
      </c>
      <c r="K178" s="4">
        <f>Data!AE177</f>
        <v/>
      </c>
      <c r="L178" s="4">
        <f>Data!AF177</f>
        <v/>
      </c>
      <c r="M178" s="4">
        <f>Data!AG177</f>
        <v/>
      </c>
      <c r="N178" s="4">
        <f>Data!AH177</f>
        <v/>
      </c>
      <c r="O178" s="4">
        <f>Data!AI177</f>
        <v/>
      </c>
      <c r="P178" s="4">
        <f>Data!AJ177</f>
        <v/>
      </c>
      <c r="Q178" s="4">
        <f>Data!AK177</f>
        <v/>
      </c>
      <c r="R178" s="4">
        <f>Data!AL177</f>
        <v/>
      </c>
    </row>
    <row r="179">
      <c r="A179" s="4">
        <f>Data!A178</f>
        <v/>
      </c>
      <c r="B179" s="4">
        <f>Data!B178</f>
        <v/>
      </c>
      <c r="C179" s="4">
        <f>Data!C178</f>
        <v/>
      </c>
      <c r="D179" s="4">
        <f>Data!I178</f>
        <v/>
      </c>
      <c r="E179" s="4">
        <f>Data!J178</f>
        <v/>
      </c>
      <c r="F179" s="4">
        <f>Data!H178</f>
        <v/>
      </c>
      <c r="G179" s="4">
        <f>SUM(Data!Q178:Data!Y178)</f>
        <v/>
      </c>
      <c r="H179" s="4">
        <f>Data!Z178</f>
        <v/>
      </c>
      <c r="I179" s="4">
        <f>Data!AB178</f>
        <v/>
      </c>
      <c r="J179" s="4">
        <f>Data!AD178</f>
        <v/>
      </c>
      <c r="K179" s="4">
        <f>Data!AE178</f>
        <v/>
      </c>
      <c r="L179" s="4">
        <f>Data!AF178</f>
        <v/>
      </c>
      <c r="M179" s="4">
        <f>Data!AG178</f>
        <v/>
      </c>
      <c r="N179" s="4">
        <f>Data!AH178</f>
        <v/>
      </c>
      <c r="O179" s="4">
        <f>Data!AI178</f>
        <v/>
      </c>
      <c r="P179" s="4">
        <f>Data!AJ178</f>
        <v/>
      </c>
      <c r="Q179" s="4">
        <f>Data!AK178</f>
        <v/>
      </c>
      <c r="R179" s="4">
        <f>Data!AL178</f>
        <v/>
      </c>
    </row>
    <row r="180">
      <c r="A180" s="4">
        <f>Data!A179</f>
        <v/>
      </c>
      <c r="B180" s="4">
        <f>Data!B179</f>
        <v/>
      </c>
      <c r="C180" s="4">
        <f>Data!C179</f>
        <v/>
      </c>
      <c r="D180" s="4">
        <f>Data!I179</f>
        <v/>
      </c>
      <c r="E180" s="4">
        <f>Data!J179</f>
        <v/>
      </c>
      <c r="F180" s="4">
        <f>Data!H179</f>
        <v/>
      </c>
      <c r="G180" s="4">
        <f>SUM(Data!Q179:Data!Y179)</f>
        <v/>
      </c>
      <c r="H180" s="4">
        <f>Data!Z179</f>
        <v/>
      </c>
      <c r="I180" s="4">
        <f>Data!AB179</f>
        <v/>
      </c>
      <c r="J180" s="4">
        <f>Data!AD179</f>
        <v/>
      </c>
      <c r="K180" s="4">
        <f>Data!AE179</f>
        <v/>
      </c>
      <c r="L180" s="4">
        <f>Data!AF179</f>
        <v/>
      </c>
      <c r="M180" s="4">
        <f>Data!AG179</f>
        <v/>
      </c>
      <c r="N180" s="4">
        <f>Data!AH179</f>
        <v/>
      </c>
      <c r="O180" s="4">
        <f>Data!AI179</f>
        <v/>
      </c>
      <c r="P180" s="4">
        <f>Data!AJ179</f>
        <v/>
      </c>
      <c r="Q180" s="4">
        <f>Data!AK179</f>
        <v/>
      </c>
      <c r="R180" s="4">
        <f>Data!AL179</f>
        <v/>
      </c>
    </row>
    <row r="181">
      <c r="A181" s="4">
        <f>Data!A180</f>
        <v/>
      </c>
      <c r="B181" s="4">
        <f>Data!B180</f>
        <v/>
      </c>
      <c r="C181" s="4">
        <f>Data!C180</f>
        <v/>
      </c>
      <c r="D181" s="4">
        <f>Data!I180</f>
        <v/>
      </c>
      <c r="E181" s="4">
        <f>Data!J180</f>
        <v/>
      </c>
      <c r="F181" s="4">
        <f>Data!H180</f>
        <v/>
      </c>
      <c r="G181" s="4">
        <f>SUM(Data!Q180:Data!Y180)</f>
        <v/>
      </c>
      <c r="H181" s="4">
        <f>Data!Z180</f>
        <v/>
      </c>
      <c r="I181" s="4">
        <f>Data!AB180</f>
        <v/>
      </c>
      <c r="J181" s="4">
        <f>Data!AD180</f>
        <v/>
      </c>
      <c r="K181" s="4">
        <f>Data!AE180</f>
        <v/>
      </c>
      <c r="L181" s="4">
        <f>Data!AF180</f>
        <v/>
      </c>
      <c r="M181" s="4">
        <f>Data!AG180</f>
        <v/>
      </c>
      <c r="N181" s="4">
        <f>Data!AH180</f>
        <v/>
      </c>
      <c r="O181" s="4">
        <f>Data!AI180</f>
        <v/>
      </c>
      <c r="P181" s="4">
        <f>Data!AJ180</f>
        <v/>
      </c>
      <c r="Q181" s="4">
        <f>Data!AK180</f>
        <v/>
      </c>
      <c r="R181" s="4">
        <f>Data!AL180</f>
        <v/>
      </c>
    </row>
    <row r="182">
      <c r="A182" s="4">
        <f>Data!A181</f>
        <v/>
      </c>
      <c r="B182" s="4">
        <f>Data!B181</f>
        <v/>
      </c>
      <c r="C182" s="4">
        <f>Data!C181</f>
        <v/>
      </c>
      <c r="D182" s="4">
        <f>Data!I181</f>
        <v/>
      </c>
      <c r="E182" s="4">
        <f>Data!J181</f>
        <v/>
      </c>
      <c r="F182" s="4">
        <f>Data!H181</f>
        <v/>
      </c>
      <c r="G182" s="4">
        <f>SUM(Data!Q181:Data!Y181)</f>
        <v/>
      </c>
      <c r="H182" s="4">
        <f>Data!Z181</f>
        <v/>
      </c>
      <c r="I182" s="4">
        <f>Data!AB181</f>
        <v/>
      </c>
      <c r="J182" s="4">
        <f>Data!AD181</f>
        <v/>
      </c>
      <c r="K182" s="4">
        <f>Data!AE181</f>
        <v/>
      </c>
      <c r="L182" s="4">
        <f>Data!AF181</f>
        <v/>
      </c>
      <c r="M182" s="4">
        <f>Data!AG181</f>
        <v/>
      </c>
      <c r="N182" s="4">
        <f>Data!AH181</f>
        <v/>
      </c>
      <c r="O182" s="4">
        <f>Data!AI181</f>
        <v/>
      </c>
      <c r="P182" s="4">
        <f>Data!AJ181</f>
        <v/>
      </c>
      <c r="Q182" s="4">
        <f>Data!AK181</f>
        <v/>
      </c>
      <c r="R182" s="4">
        <f>Data!AL181</f>
        <v/>
      </c>
    </row>
    <row r="183">
      <c r="A183" s="4">
        <f>Data!A182</f>
        <v/>
      </c>
      <c r="B183" s="4">
        <f>Data!B182</f>
        <v/>
      </c>
      <c r="C183" s="4">
        <f>Data!C182</f>
        <v/>
      </c>
      <c r="D183" s="4">
        <f>Data!I182</f>
        <v/>
      </c>
      <c r="E183" s="4">
        <f>Data!J182</f>
        <v/>
      </c>
      <c r="F183" s="4">
        <f>Data!H182</f>
        <v/>
      </c>
      <c r="G183" s="4">
        <f>SUM(Data!Q182:Data!Y182)</f>
        <v/>
      </c>
      <c r="H183" s="4">
        <f>Data!Z182</f>
        <v/>
      </c>
      <c r="I183" s="4">
        <f>Data!AB182</f>
        <v/>
      </c>
      <c r="J183" s="4">
        <f>Data!AD182</f>
        <v/>
      </c>
      <c r="K183" s="4">
        <f>Data!AE182</f>
        <v/>
      </c>
      <c r="L183" s="4">
        <f>Data!AF182</f>
        <v/>
      </c>
      <c r="M183" s="4">
        <f>Data!AG182</f>
        <v/>
      </c>
      <c r="N183" s="4">
        <f>Data!AH182</f>
        <v/>
      </c>
      <c r="O183" s="4">
        <f>Data!AI182</f>
        <v/>
      </c>
      <c r="P183" s="4">
        <f>Data!AJ182</f>
        <v/>
      </c>
      <c r="Q183" s="4">
        <f>Data!AK182</f>
        <v/>
      </c>
      <c r="R183" s="4">
        <f>Data!AL182</f>
        <v/>
      </c>
    </row>
    <row r="184">
      <c r="A184" s="4">
        <f>Data!A183</f>
        <v/>
      </c>
      <c r="B184" s="4">
        <f>Data!B183</f>
        <v/>
      </c>
      <c r="C184" s="4">
        <f>Data!C183</f>
        <v/>
      </c>
      <c r="D184" s="4">
        <f>Data!I183</f>
        <v/>
      </c>
      <c r="E184" s="4">
        <f>Data!J183</f>
        <v/>
      </c>
      <c r="F184" s="4">
        <f>Data!H183</f>
        <v/>
      </c>
      <c r="G184" s="4">
        <f>SUM(Data!Q183:Data!Y183)</f>
        <v/>
      </c>
      <c r="H184" s="4">
        <f>Data!Z183</f>
        <v/>
      </c>
      <c r="I184" s="4">
        <f>Data!AB183</f>
        <v/>
      </c>
      <c r="J184" s="4">
        <f>Data!AD183</f>
        <v/>
      </c>
      <c r="K184" s="4">
        <f>Data!AE183</f>
        <v/>
      </c>
      <c r="L184" s="4">
        <f>Data!AF183</f>
        <v/>
      </c>
      <c r="M184" s="4">
        <f>Data!AG183</f>
        <v/>
      </c>
      <c r="N184" s="4">
        <f>Data!AH183</f>
        <v/>
      </c>
      <c r="O184" s="4">
        <f>Data!AI183</f>
        <v/>
      </c>
      <c r="P184" s="4">
        <f>Data!AJ183</f>
        <v/>
      </c>
      <c r="Q184" s="4">
        <f>Data!AK183</f>
        <v/>
      </c>
      <c r="R184" s="4">
        <f>Data!AL183</f>
        <v/>
      </c>
    </row>
    <row r="185">
      <c r="A185" s="4">
        <f>Data!A184</f>
        <v/>
      </c>
      <c r="B185" s="4">
        <f>Data!B184</f>
        <v/>
      </c>
      <c r="C185" s="4">
        <f>Data!C184</f>
        <v/>
      </c>
      <c r="D185" s="4">
        <f>Data!I184</f>
        <v/>
      </c>
      <c r="E185" s="4">
        <f>Data!J184</f>
        <v/>
      </c>
      <c r="F185" s="4">
        <f>Data!H184</f>
        <v/>
      </c>
      <c r="G185" s="4">
        <f>SUM(Data!Q184:Data!Y184)</f>
        <v/>
      </c>
      <c r="H185" s="4">
        <f>Data!Z184</f>
        <v/>
      </c>
      <c r="I185" s="4">
        <f>Data!AB184</f>
        <v/>
      </c>
      <c r="J185" s="4">
        <f>Data!AD184</f>
        <v/>
      </c>
      <c r="K185" s="4">
        <f>Data!AE184</f>
        <v/>
      </c>
      <c r="L185" s="4">
        <f>Data!AF184</f>
        <v/>
      </c>
      <c r="M185" s="4">
        <f>Data!AG184</f>
        <v/>
      </c>
      <c r="N185" s="4">
        <f>Data!AH184</f>
        <v/>
      </c>
      <c r="O185" s="4">
        <f>Data!AI184</f>
        <v/>
      </c>
      <c r="P185" s="4">
        <f>Data!AJ184</f>
        <v/>
      </c>
      <c r="Q185" s="4">
        <f>Data!AK184</f>
        <v/>
      </c>
      <c r="R185" s="4">
        <f>Data!AL184</f>
        <v/>
      </c>
    </row>
    <row r="186">
      <c r="A186" s="4">
        <f>Data!A185</f>
        <v/>
      </c>
      <c r="B186" s="4">
        <f>Data!B185</f>
        <v/>
      </c>
      <c r="C186" s="4">
        <f>Data!C185</f>
        <v/>
      </c>
      <c r="D186" s="4">
        <f>Data!I185</f>
        <v/>
      </c>
      <c r="E186" s="4">
        <f>Data!J185</f>
        <v/>
      </c>
      <c r="F186" s="4">
        <f>Data!H185</f>
        <v/>
      </c>
      <c r="G186" s="4">
        <f>SUM(Data!Q185:Data!Y185)</f>
        <v/>
      </c>
      <c r="H186" s="4">
        <f>Data!Z185</f>
        <v/>
      </c>
      <c r="I186" s="4">
        <f>Data!AB185</f>
        <v/>
      </c>
      <c r="J186" s="4">
        <f>Data!AD185</f>
        <v/>
      </c>
      <c r="K186" s="4">
        <f>Data!AE185</f>
        <v/>
      </c>
      <c r="L186" s="4">
        <f>Data!AF185</f>
        <v/>
      </c>
      <c r="M186" s="4">
        <f>Data!AG185</f>
        <v/>
      </c>
      <c r="N186" s="4">
        <f>Data!AH185</f>
        <v/>
      </c>
      <c r="O186" s="4">
        <f>Data!AI185</f>
        <v/>
      </c>
      <c r="P186" s="4">
        <f>Data!AJ185</f>
        <v/>
      </c>
      <c r="Q186" s="4">
        <f>Data!AK185</f>
        <v/>
      </c>
      <c r="R186" s="4">
        <f>Data!AL185</f>
        <v/>
      </c>
    </row>
    <row r="187">
      <c r="A187" s="4">
        <f>Data!A186</f>
        <v/>
      </c>
      <c r="B187" s="4">
        <f>Data!B186</f>
        <v/>
      </c>
      <c r="C187" s="4">
        <f>Data!C186</f>
        <v/>
      </c>
      <c r="D187" s="4">
        <f>Data!I186</f>
        <v/>
      </c>
      <c r="E187" s="4">
        <f>Data!J186</f>
        <v/>
      </c>
      <c r="F187" s="4">
        <f>Data!H186</f>
        <v/>
      </c>
      <c r="G187" s="4">
        <f>SUM(Data!Q186:Data!Y186)</f>
        <v/>
      </c>
      <c r="H187" s="4">
        <f>Data!Z186</f>
        <v/>
      </c>
      <c r="I187" s="4">
        <f>Data!AB186</f>
        <v/>
      </c>
      <c r="J187" s="4">
        <f>Data!AD186</f>
        <v/>
      </c>
      <c r="K187" s="4">
        <f>Data!AE186</f>
        <v/>
      </c>
      <c r="L187" s="4">
        <f>Data!AF186</f>
        <v/>
      </c>
      <c r="M187" s="4">
        <f>Data!AG186</f>
        <v/>
      </c>
      <c r="N187" s="4">
        <f>Data!AH186</f>
        <v/>
      </c>
      <c r="O187" s="4">
        <f>Data!AI186</f>
        <v/>
      </c>
      <c r="P187" s="4">
        <f>Data!AJ186</f>
        <v/>
      </c>
      <c r="Q187" s="4">
        <f>Data!AK186</f>
        <v/>
      </c>
      <c r="R187" s="4">
        <f>Data!AL186</f>
        <v/>
      </c>
    </row>
    <row r="188">
      <c r="A188" s="4">
        <f>Data!A187</f>
        <v/>
      </c>
      <c r="B188" s="4">
        <f>Data!B187</f>
        <v/>
      </c>
      <c r="C188" s="4">
        <f>Data!C187</f>
        <v/>
      </c>
      <c r="D188" s="4">
        <f>Data!I187</f>
        <v/>
      </c>
      <c r="E188" s="4">
        <f>Data!J187</f>
        <v/>
      </c>
      <c r="F188" s="4">
        <f>Data!H187</f>
        <v/>
      </c>
      <c r="G188" s="4">
        <f>SUM(Data!Q187:Data!Y187)</f>
        <v/>
      </c>
      <c r="H188" s="4">
        <f>Data!Z187</f>
        <v/>
      </c>
      <c r="I188" s="4">
        <f>Data!AB187</f>
        <v/>
      </c>
      <c r="J188" s="4">
        <f>Data!AD187</f>
        <v/>
      </c>
      <c r="K188" s="4">
        <f>Data!AE187</f>
        <v/>
      </c>
      <c r="L188" s="4">
        <f>Data!AF187</f>
        <v/>
      </c>
      <c r="M188" s="4">
        <f>Data!AG187</f>
        <v/>
      </c>
      <c r="N188" s="4">
        <f>Data!AH187</f>
        <v/>
      </c>
      <c r="O188" s="4">
        <f>Data!AI187</f>
        <v/>
      </c>
      <c r="P188" s="4">
        <f>Data!AJ187</f>
        <v/>
      </c>
      <c r="Q188" s="4">
        <f>Data!AK187</f>
        <v/>
      </c>
      <c r="R188" s="4">
        <f>Data!AL187</f>
        <v/>
      </c>
    </row>
    <row r="189">
      <c r="A189" s="4">
        <f>Data!A188</f>
        <v/>
      </c>
      <c r="B189" s="4">
        <f>Data!B188</f>
        <v/>
      </c>
      <c r="C189" s="4">
        <f>Data!C188</f>
        <v/>
      </c>
      <c r="D189" s="4">
        <f>Data!I188</f>
        <v/>
      </c>
      <c r="E189" s="4">
        <f>Data!J188</f>
        <v/>
      </c>
      <c r="F189" s="4">
        <f>Data!H188</f>
        <v/>
      </c>
      <c r="G189" s="4">
        <f>SUM(Data!Q188:Data!Y188)</f>
        <v/>
      </c>
      <c r="H189" s="4">
        <f>Data!Z188</f>
        <v/>
      </c>
      <c r="I189" s="4">
        <f>Data!AB188</f>
        <v/>
      </c>
      <c r="J189" s="4">
        <f>Data!AD188</f>
        <v/>
      </c>
      <c r="K189" s="4">
        <f>Data!AE188</f>
        <v/>
      </c>
      <c r="L189" s="4">
        <f>Data!AF188</f>
        <v/>
      </c>
      <c r="M189" s="4">
        <f>Data!AG188</f>
        <v/>
      </c>
      <c r="N189" s="4">
        <f>Data!AH188</f>
        <v/>
      </c>
      <c r="O189" s="4">
        <f>Data!AI188</f>
        <v/>
      </c>
      <c r="P189" s="4">
        <f>Data!AJ188</f>
        <v/>
      </c>
      <c r="Q189" s="4">
        <f>Data!AK188</f>
        <v/>
      </c>
      <c r="R189" s="4">
        <f>Data!AL188</f>
        <v/>
      </c>
    </row>
    <row r="190">
      <c r="A190" s="4">
        <f>Data!A189</f>
        <v/>
      </c>
      <c r="B190" s="4">
        <f>Data!B189</f>
        <v/>
      </c>
      <c r="C190" s="4">
        <f>Data!C189</f>
        <v/>
      </c>
      <c r="D190" s="4">
        <f>Data!I189</f>
        <v/>
      </c>
      <c r="E190" s="4">
        <f>Data!J189</f>
        <v/>
      </c>
      <c r="F190" s="4">
        <f>Data!H189</f>
        <v/>
      </c>
      <c r="G190" s="4">
        <f>SUM(Data!Q189:Data!Y189)</f>
        <v/>
      </c>
      <c r="H190" s="4">
        <f>Data!Z189</f>
        <v/>
      </c>
      <c r="I190" s="4">
        <f>Data!AB189</f>
        <v/>
      </c>
      <c r="J190" s="4">
        <f>Data!AD189</f>
        <v/>
      </c>
      <c r="K190" s="4">
        <f>Data!AE189</f>
        <v/>
      </c>
      <c r="L190" s="4">
        <f>Data!AF189</f>
        <v/>
      </c>
      <c r="M190" s="4">
        <f>Data!AG189</f>
        <v/>
      </c>
      <c r="N190" s="4">
        <f>Data!AH189</f>
        <v/>
      </c>
      <c r="O190" s="4">
        <f>Data!AI189</f>
        <v/>
      </c>
      <c r="P190" s="4">
        <f>Data!AJ189</f>
        <v/>
      </c>
      <c r="Q190" s="4">
        <f>Data!AK189</f>
        <v/>
      </c>
      <c r="R190" s="4">
        <f>Data!AL189</f>
        <v/>
      </c>
    </row>
    <row r="191">
      <c r="A191" s="4">
        <f>Data!A190</f>
        <v/>
      </c>
      <c r="B191" s="4">
        <f>Data!B190</f>
        <v/>
      </c>
      <c r="C191" s="4">
        <f>Data!C190</f>
        <v/>
      </c>
      <c r="D191" s="4">
        <f>Data!I190</f>
        <v/>
      </c>
      <c r="E191" s="4">
        <f>Data!J190</f>
        <v/>
      </c>
      <c r="F191" s="4">
        <f>Data!H190</f>
        <v/>
      </c>
      <c r="G191" s="4">
        <f>SUM(Data!Q190:Data!Y190)</f>
        <v/>
      </c>
      <c r="H191" s="4">
        <f>Data!Z190</f>
        <v/>
      </c>
      <c r="I191" s="4">
        <f>Data!AB190</f>
        <v/>
      </c>
      <c r="J191" s="4">
        <f>Data!AD190</f>
        <v/>
      </c>
      <c r="K191" s="4">
        <f>Data!AE190</f>
        <v/>
      </c>
      <c r="L191" s="4">
        <f>Data!AF190</f>
        <v/>
      </c>
      <c r="M191" s="4">
        <f>Data!AG190</f>
        <v/>
      </c>
      <c r="N191" s="4">
        <f>Data!AH190</f>
        <v/>
      </c>
      <c r="O191" s="4">
        <f>Data!AI190</f>
        <v/>
      </c>
      <c r="P191" s="4">
        <f>Data!AJ190</f>
        <v/>
      </c>
      <c r="Q191" s="4">
        <f>Data!AK190</f>
        <v/>
      </c>
      <c r="R191" s="4">
        <f>Data!AL190</f>
        <v/>
      </c>
    </row>
    <row r="192">
      <c r="A192" s="4">
        <f>Data!A191</f>
        <v/>
      </c>
      <c r="B192" s="4">
        <f>Data!B191</f>
        <v/>
      </c>
      <c r="C192" s="4">
        <f>Data!C191</f>
        <v/>
      </c>
      <c r="D192" s="4">
        <f>Data!I191</f>
        <v/>
      </c>
      <c r="E192" s="4">
        <f>Data!J191</f>
        <v/>
      </c>
      <c r="F192" s="4">
        <f>Data!H191</f>
        <v/>
      </c>
      <c r="G192" s="4">
        <f>SUM(Data!Q191:Data!Y191)</f>
        <v/>
      </c>
      <c r="H192" s="4">
        <f>Data!Z191</f>
        <v/>
      </c>
      <c r="I192" s="4">
        <f>Data!AB191</f>
        <v/>
      </c>
      <c r="J192" s="4">
        <f>Data!AD191</f>
        <v/>
      </c>
      <c r="K192" s="4">
        <f>Data!AE191</f>
        <v/>
      </c>
      <c r="L192" s="4">
        <f>Data!AF191</f>
        <v/>
      </c>
      <c r="M192" s="4">
        <f>Data!AG191</f>
        <v/>
      </c>
      <c r="N192" s="4">
        <f>Data!AH191</f>
        <v/>
      </c>
      <c r="O192" s="4">
        <f>Data!AI191</f>
        <v/>
      </c>
      <c r="P192" s="4">
        <f>Data!AJ191</f>
        <v/>
      </c>
      <c r="Q192" s="4">
        <f>Data!AK191</f>
        <v/>
      </c>
      <c r="R192" s="4">
        <f>Data!AL191</f>
        <v/>
      </c>
    </row>
    <row r="193">
      <c r="A193" s="4">
        <f>Data!A192</f>
        <v/>
      </c>
      <c r="B193" s="4">
        <f>Data!B192</f>
        <v/>
      </c>
      <c r="C193" s="4">
        <f>Data!C192</f>
        <v/>
      </c>
      <c r="D193" s="4">
        <f>Data!I192</f>
        <v/>
      </c>
      <c r="E193" s="4">
        <f>Data!J192</f>
        <v/>
      </c>
      <c r="F193" s="4">
        <f>Data!H192</f>
        <v/>
      </c>
      <c r="G193" s="4">
        <f>SUM(Data!Q192:Data!Y192)</f>
        <v/>
      </c>
      <c r="H193" s="4">
        <f>Data!Z192</f>
        <v/>
      </c>
      <c r="I193" s="4">
        <f>Data!AB192</f>
        <v/>
      </c>
      <c r="J193" s="4">
        <f>Data!AD192</f>
        <v/>
      </c>
      <c r="K193" s="4">
        <f>Data!AE192</f>
        <v/>
      </c>
      <c r="L193" s="4">
        <f>Data!AF192</f>
        <v/>
      </c>
      <c r="M193" s="4">
        <f>Data!AG192</f>
        <v/>
      </c>
      <c r="N193" s="4">
        <f>Data!AH192</f>
        <v/>
      </c>
      <c r="O193" s="4">
        <f>Data!AI192</f>
        <v/>
      </c>
      <c r="P193" s="4">
        <f>Data!AJ192</f>
        <v/>
      </c>
      <c r="Q193" s="4">
        <f>Data!AK192</f>
        <v/>
      </c>
      <c r="R193" s="4">
        <f>Data!AL192</f>
        <v/>
      </c>
    </row>
    <row r="194">
      <c r="A194" s="4">
        <f>Data!A193</f>
        <v/>
      </c>
      <c r="B194" s="4">
        <f>Data!B193</f>
        <v/>
      </c>
      <c r="C194" s="4">
        <f>Data!C193</f>
        <v/>
      </c>
      <c r="D194" s="4">
        <f>Data!I193</f>
        <v/>
      </c>
      <c r="E194" s="4">
        <f>Data!J193</f>
        <v/>
      </c>
      <c r="F194" s="4">
        <f>Data!H193</f>
        <v/>
      </c>
      <c r="G194" s="4">
        <f>SUM(Data!Q193:Data!Y193)</f>
        <v/>
      </c>
      <c r="H194" s="4">
        <f>Data!Z193</f>
        <v/>
      </c>
      <c r="I194" s="4">
        <f>Data!AB193</f>
        <v/>
      </c>
      <c r="J194" s="4">
        <f>Data!AD193</f>
        <v/>
      </c>
      <c r="K194" s="4">
        <f>Data!AE193</f>
        <v/>
      </c>
      <c r="L194" s="4">
        <f>Data!AF193</f>
        <v/>
      </c>
      <c r="M194" s="4">
        <f>Data!AG193</f>
        <v/>
      </c>
      <c r="N194" s="4">
        <f>Data!AH193</f>
        <v/>
      </c>
      <c r="O194" s="4">
        <f>Data!AI193</f>
        <v/>
      </c>
      <c r="P194" s="4">
        <f>Data!AJ193</f>
        <v/>
      </c>
      <c r="Q194" s="4">
        <f>Data!AK193</f>
        <v/>
      </c>
      <c r="R194" s="4">
        <f>Data!AL193</f>
        <v/>
      </c>
    </row>
    <row r="195">
      <c r="A195" s="4">
        <f>Data!A194</f>
        <v/>
      </c>
      <c r="B195" s="4">
        <f>Data!B194</f>
        <v/>
      </c>
      <c r="C195" s="4">
        <f>Data!C194</f>
        <v/>
      </c>
      <c r="D195" s="4">
        <f>Data!I194</f>
        <v/>
      </c>
      <c r="E195" s="4">
        <f>Data!J194</f>
        <v/>
      </c>
      <c r="F195" s="4">
        <f>Data!H194</f>
        <v/>
      </c>
      <c r="G195" s="4">
        <f>SUM(Data!Q194:Data!Y194)</f>
        <v/>
      </c>
      <c r="H195" s="4">
        <f>Data!Z194</f>
        <v/>
      </c>
      <c r="I195" s="4">
        <f>Data!AB194</f>
        <v/>
      </c>
      <c r="J195" s="4">
        <f>Data!AD194</f>
        <v/>
      </c>
      <c r="K195" s="4">
        <f>Data!AE194</f>
        <v/>
      </c>
      <c r="L195" s="4">
        <f>Data!AF194</f>
        <v/>
      </c>
      <c r="M195" s="4">
        <f>Data!AG194</f>
        <v/>
      </c>
      <c r="N195" s="4">
        <f>Data!AH194</f>
        <v/>
      </c>
      <c r="O195" s="4">
        <f>Data!AI194</f>
        <v/>
      </c>
      <c r="P195" s="4">
        <f>Data!AJ194</f>
        <v/>
      </c>
      <c r="Q195" s="4">
        <f>Data!AK194</f>
        <v/>
      </c>
      <c r="R195" s="4">
        <f>Data!AL194</f>
        <v/>
      </c>
    </row>
    <row r="196">
      <c r="A196" s="4">
        <f>Data!A195</f>
        <v/>
      </c>
      <c r="B196" s="4">
        <f>Data!B195</f>
        <v/>
      </c>
      <c r="C196" s="4">
        <f>Data!C195</f>
        <v/>
      </c>
      <c r="D196" s="4">
        <f>Data!I195</f>
        <v/>
      </c>
      <c r="E196" s="4">
        <f>Data!J195</f>
        <v/>
      </c>
      <c r="F196" s="4">
        <f>Data!H195</f>
        <v/>
      </c>
      <c r="G196" s="4">
        <f>SUM(Data!Q195:Data!Y195)</f>
        <v/>
      </c>
      <c r="H196" s="4">
        <f>Data!Z195</f>
        <v/>
      </c>
      <c r="I196" s="4">
        <f>Data!AB195</f>
        <v/>
      </c>
      <c r="J196" s="4">
        <f>Data!AD195</f>
        <v/>
      </c>
      <c r="K196" s="4">
        <f>Data!AE195</f>
        <v/>
      </c>
      <c r="L196" s="4">
        <f>Data!AF195</f>
        <v/>
      </c>
      <c r="M196" s="4">
        <f>Data!AG195</f>
        <v/>
      </c>
      <c r="N196" s="4">
        <f>Data!AH195</f>
        <v/>
      </c>
      <c r="O196" s="4">
        <f>Data!AI195</f>
        <v/>
      </c>
      <c r="P196" s="4">
        <f>Data!AJ195</f>
        <v/>
      </c>
      <c r="Q196" s="4">
        <f>Data!AK195</f>
        <v/>
      </c>
      <c r="R196" s="4">
        <f>Data!AL195</f>
        <v/>
      </c>
    </row>
    <row r="197">
      <c r="A197" s="4">
        <f>Data!A196</f>
        <v/>
      </c>
      <c r="B197" s="4">
        <f>Data!B196</f>
        <v/>
      </c>
      <c r="C197" s="4">
        <f>Data!C196</f>
        <v/>
      </c>
      <c r="D197" s="4">
        <f>Data!I196</f>
        <v/>
      </c>
      <c r="E197" s="4">
        <f>Data!J196</f>
        <v/>
      </c>
      <c r="F197" s="4">
        <f>Data!H196</f>
        <v/>
      </c>
      <c r="G197" s="4">
        <f>SUM(Data!Q196:Data!Y196)</f>
        <v/>
      </c>
      <c r="H197" s="4">
        <f>Data!Z196</f>
        <v/>
      </c>
      <c r="I197" s="4">
        <f>Data!AB196</f>
        <v/>
      </c>
      <c r="J197" s="4">
        <f>Data!AD196</f>
        <v/>
      </c>
      <c r="K197" s="4">
        <f>Data!AE196</f>
        <v/>
      </c>
      <c r="L197" s="4">
        <f>Data!AF196</f>
        <v/>
      </c>
      <c r="M197" s="4">
        <f>Data!AG196</f>
        <v/>
      </c>
      <c r="N197" s="4">
        <f>Data!AH196</f>
        <v/>
      </c>
      <c r="O197" s="4">
        <f>Data!AI196</f>
        <v/>
      </c>
      <c r="P197" s="4">
        <f>Data!AJ196</f>
        <v/>
      </c>
      <c r="Q197" s="4">
        <f>Data!AK196</f>
        <v/>
      </c>
      <c r="R197" s="4">
        <f>Data!AL196</f>
        <v/>
      </c>
    </row>
    <row r="198">
      <c r="A198" s="4">
        <f>Data!A197</f>
        <v/>
      </c>
      <c r="B198" s="4">
        <f>Data!B197</f>
        <v/>
      </c>
      <c r="C198" s="4">
        <f>Data!C197</f>
        <v/>
      </c>
      <c r="D198" s="4">
        <f>Data!I197</f>
        <v/>
      </c>
      <c r="E198" s="4">
        <f>Data!J197</f>
        <v/>
      </c>
      <c r="F198" s="4">
        <f>Data!H197</f>
        <v/>
      </c>
      <c r="G198" s="4">
        <f>SUM(Data!Q197:Data!Y197)</f>
        <v/>
      </c>
      <c r="H198" s="4">
        <f>Data!Z197</f>
        <v/>
      </c>
      <c r="I198" s="4">
        <f>Data!AB197</f>
        <v/>
      </c>
      <c r="J198" s="4">
        <f>Data!AD197</f>
        <v/>
      </c>
      <c r="K198" s="4">
        <f>Data!AE197</f>
        <v/>
      </c>
      <c r="L198" s="4">
        <f>Data!AF197</f>
        <v/>
      </c>
      <c r="M198" s="4">
        <f>Data!AG197</f>
        <v/>
      </c>
      <c r="N198" s="4">
        <f>Data!AH197</f>
        <v/>
      </c>
      <c r="O198" s="4">
        <f>Data!AI197</f>
        <v/>
      </c>
      <c r="P198" s="4">
        <f>Data!AJ197</f>
        <v/>
      </c>
      <c r="Q198" s="4">
        <f>Data!AK197</f>
        <v/>
      </c>
      <c r="R198" s="4">
        <f>Data!AL197</f>
        <v/>
      </c>
    </row>
    <row r="199">
      <c r="A199" s="4">
        <f>Data!A198</f>
        <v/>
      </c>
      <c r="B199" s="4">
        <f>Data!B198</f>
        <v/>
      </c>
      <c r="C199" s="4">
        <f>Data!C198</f>
        <v/>
      </c>
      <c r="D199" s="4">
        <f>Data!I198</f>
        <v/>
      </c>
      <c r="E199" s="4">
        <f>Data!J198</f>
        <v/>
      </c>
      <c r="F199" s="4">
        <f>Data!H198</f>
        <v/>
      </c>
      <c r="G199" s="4">
        <f>SUM(Data!Q198:Data!Y198)</f>
        <v/>
      </c>
      <c r="H199" s="4">
        <f>Data!Z198</f>
        <v/>
      </c>
      <c r="I199" s="4">
        <f>Data!AB198</f>
        <v/>
      </c>
      <c r="J199" s="4">
        <f>Data!AD198</f>
        <v/>
      </c>
      <c r="K199" s="4">
        <f>Data!AE198</f>
        <v/>
      </c>
      <c r="L199" s="4">
        <f>Data!AF198</f>
        <v/>
      </c>
      <c r="M199" s="4">
        <f>Data!AG198</f>
        <v/>
      </c>
      <c r="N199" s="4">
        <f>Data!AH198</f>
        <v/>
      </c>
      <c r="O199" s="4">
        <f>Data!AI198</f>
        <v/>
      </c>
      <c r="P199" s="4">
        <f>Data!AJ198</f>
        <v/>
      </c>
      <c r="Q199" s="4">
        <f>Data!AK198</f>
        <v/>
      </c>
      <c r="R199" s="4">
        <f>Data!AL198</f>
        <v/>
      </c>
    </row>
    <row r="200">
      <c r="A200" s="4">
        <f>Data!A199</f>
        <v/>
      </c>
      <c r="B200" s="4">
        <f>Data!B199</f>
        <v/>
      </c>
      <c r="C200" s="4">
        <f>Data!C199</f>
        <v/>
      </c>
      <c r="D200" s="4">
        <f>Data!I199</f>
        <v/>
      </c>
      <c r="E200" s="4">
        <f>Data!J199</f>
        <v/>
      </c>
      <c r="F200" s="4">
        <f>Data!H199</f>
        <v/>
      </c>
      <c r="G200" s="4">
        <f>SUM(Data!Q199:Data!Y199)</f>
        <v/>
      </c>
      <c r="H200" s="4">
        <f>Data!Z199</f>
        <v/>
      </c>
      <c r="I200" s="4">
        <f>Data!AB199</f>
        <v/>
      </c>
      <c r="J200" s="4">
        <f>Data!AD199</f>
        <v/>
      </c>
      <c r="K200" s="4">
        <f>Data!AE199</f>
        <v/>
      </c>
      <c r="L200" s="4">
        <f>Data!AF199</f>
        <v/>
      </c>
      <c r="M200" s="4">
        <f>Data!AG199</f>
        <v/>
      </c>
      <c r="N200" s="4">
        <f>Data!AH199</f>
        <v/>
      </c>
      <c r="O200" s="4">
        <f>Data!AI199</f>
        <v/>
      </c>
      <c r="P200" s="4">
        <f>Data!AJ199</f>
        <v/>
      </c>
      <c r="Q200" s="4">
        <f>Data!AK199</f>
        <v/>
      </c>
      <c r="R200" s="4">
        <f>Data!AL199</f>
        <v/>
      </c>
    </row>
    <row r="201">
      <c r="A201" s="4">
        <f>Data!A200</f>
        <v/>
      </c>
      <c r="B201" s="4">
        <f>Data!B200</f>
        <v/>
      </c>
      <c r="C201" s="4">
        <f>Data!C200</f>
        <v/>
      </c>
      <c r="D201" s="4">
        <f>Data!I200</f>
        <v/>
      </c>
      <c r="E201" s="4">
        <f>Data!J200</f>
        <v/>
      </c>
      <c r="F201" s="4">
        <f>Data!H200</f>
        <v/>
      </c>
      <c r="G201" s="4">
        <f>SUM(Data!Q200:Data!Y200)</f>
        <v/>
      </c>
      <c r="H201" s="4">
        <f>Data!Z200</f>
        <v/>
      </c>
      <c r="I201" s="4">
        <f>Data!AB200</f>
        <v/>
      </c>
      <c r="J201" s="4">
        <f>Data!AD200</f>
        <v/>
      </c>
      <c r="K201" s="4">
        <f>Data!AE200</f>
        <v/>
      </c>
      <c r="L201" s="4">
        <f>Data!AF200</f>
        <v/>
      </c>
      <c r="M201" s="4">
        <f>Data!AG200</f>
        <v/>
      </c>
      <c r="N201" s="4">
        <f>Data!AH200</f>
        <v/>
      </c>
      <c r="O201" s="4">
        <f>Data!AI200</f>
        <v/>
      </c>
      <c r="P201" s="4">
        <f>Data!AJ200</f>
        <v/>
      </c>
      <c r="Q201" s="4">
        <f>Data!AK200</f>
        <v/>
      </c>
      <c r="R201" s="4">
        <f>Data!AL200</f>
        <v/>
      </c>
    </row>
    <row r="202">
      <c r="A202" s="4">
        <f>Data!A201</f>
        <v/>
      </c>
      <c r="B202" s="4">
        <f>Data!B201</f>
        <v/>
      </c>
      <c r="C202" s="4">
        <f>Data!C201</f>
        <v/>
      </c>
      <c r="D202" s="4">
        <f>Data!I201</f>
        <v/>
      </c>
      <c r="E202" s="4">
        <f>Data!J201</f>
        <v/>
      </c>
      <c r="F202" s="4">
        <f>Data!H201</f>
        <v/>
      </c>
      <c r="G202" s="4">
        <f>SUM(Data!Q201:Data!Y201)</f>
        <v/>
      </c>
      <c r="H202" s="4">
        <f>Data!Z201</f>
        <v/>
      </c>
      <c r="I202" s="4">
        <f>Data!AB201</f>
        <v/>
      </c>
      <c r="J202" s="4">
        <f>Data!AD201</f>
        <v/>
      </c>
      <c r="K202" s="4">
        <f>Data!AE201</f>
        <v/>
      </c>
      <c r="L202" s="4">
        <f>Data!AF201</f>
        <v/>
      </c>
      <c r="M202" s="4">
        <f>Data!AG201</f>
        <v/>
      </c>
      <c r="N202" s="4">
        <f>Data!AH201</f>
        <v/>
      </c>
      <c r="O202" s="4">
        <f>Data!AI201</f>
        <v/>
      </c>
      <c r="P202" s="4">
        <f>Data!AJ201</f>
        <v/>
      </c>
      <c r="Q202" s="4">
        <f>Data!AK201</f>
        <v/>
      </c>
      <c r="R202" s="4">
        <f>Data!AL201</f>
        <v/>
      </c>
    </row>
    <row r="203">
      <c r="A203" s="4">
        <f>Data!A202</f>
        <v/>
      </c>
      <c r="B203" s="4">
        <f>Data!B202</f>
        <v/>
      </c>
      <c r="C203" s="4">
        <f>Data!C202</f>
        <v/>
      </c>
      <c r="D203" s="4">
        <f>Data!I202</f>
        <v/>
      </c>
      <c r="E203" s="4">
        <f>Data!J202</f>
        <v/>
      </c>
      <c r="F203" s="4">
        <f>Data!H202</f>
        <v/>
      </c>
      <c r="G203" s="4">
        <f>SUM(Data!Q202:Data!Y202)</f>
        <v/>
      </c>
      <c r="H203" s="4">
        <f>Data!Z202</f>
        <v/>
      </c>
      <c r="I203" s="4">
        <f>Data!AB202</f>
        <v/>
      </c>
      <c r="J203" s="4">
        <f>Data!AD202</f>
        <v/>
      </c>
      <c r="K203" s="4">
        <f>Data!AE202</f>
        <v/>
      </c>
      <c r="L203" s="4">
        <f>Data!AF202</f>
        <v/>
      </c>
      <c r="M203" s="4">
        <f>Data!AG202</f>
        <v/>
      </c>
      <c r="N203" s="4">
        <f>Data!AH202</f>
        <v/>
      </c>
      <c r="O203" s="4">
        <f>Data!AI202</f>
        <v/>
      </c>
      <c r="P203" s="4">
        <f>Data!AJ202</f>
        <v/>
      </c>
      <c r="Q203" s="4">
        <f>Data!AK202</f>
        <v/>
      </c>
      <c r="R203" s="4">
        <f>Data!AL202</f>
        <v/>
      </c>
    </row>
    <row r="204">
      <c r="A204" s="4">
        <f>Data!A203</f>
        <v/>
      </c>
      <c r="B204" s="4">
        <f>Data!B203</f>
        <v/>
      </c>
      <c r="C204" s="4">
        <f>Data!C203</f>
        <v/>
      </c>
      <c r="D204" s="4">
        <f>Data!I203</f>
        <v/>
      </c>
      <c r="E204" s="4">
        <f>Data!J203</f>
        <v/>
      </c>
      <c r="F204" s="4">
        <f>Data!H203</f>
        <v/>
      </c>
      <c r="G204" s="4">
        <f>SUM(Data!Q203:Data!Y203)</f>
        <v/>
      </c>
      <c r="H204" s="4">
        <f>Data!Z203</f>
        <v/>
      </c>
      <c r="I204" s="4">
        <f>Data!AB203</f>
        <v/>
      </c>
      <c r="J204" s="4">
        <f>Data!AD203</f>
        <v/>
      </c>
      <c r="K204" s="4">
        <f>Data!AE203</f>
        <v/>
      </c>
      <c r="L204" s="4">
        <f>Data!AF203</f>
        <v/>
      </c>
      <c r="M204" s="4">
        <f>Data!AG203</f>
        <v/>
      </c>
      <c r="N204" s="4">
        <f>Data!AH203</f>
        <v/>
      </c>
      <c r="O204" s="4">
        <f>Data!AI203</f>
        <v/>
      </c>
      <c r="P204" s="4">
        <f>Data!AJ203</f>
        <v/>
      </c>
      <c r="Q204" s="4">
        <f>Data!AK203</f>
        <v/>
      </c>
      <c r="R204" s="4">
        <f>Data!AL203</f>
        <v/>
      </c>
    </row>
    <row r="205">
      <c r="A205" s="6" t="inlineStr">
        <is>
          <t>TOTAL</t>
        </is>
      </c>
      <c r="B205" s="6" t="n"/>
      <c r="C205" s="6" t="n"/>
      <c r="D205" s="6" t="n"/>
      <c r="E205" s="6" t="n"/>
      <c r="F205" s="6" t="n"/>
      <c r="G205" s="6">
        <f>SUM(G4:G204)</f>
        <v/>
      </c>
      <c r="H205" s="6">
        <f>SUM(H4:H204)</f>
        <v/>
      </c>
      <c r="I205" s="6">
        <f>SUM(I4:I204)</f>
        <v/>
      </c>
      <c r="J205" s="6">
        <f>SUM(J4:J204)</f>
        <v/>
      </c>
      <c r="K205" s="6">
        <f>SUM(K4:K204)</f>
        <v/>
      </c>
      <c r="L205" s="6">
        <f>SUM(L4:L204)</f>
        <v/>
      </c>
      <c r="M205" s="6">
        <f>SUM(M4:M204)</f>
        <v/>
      </c>
      <c r="N205" s="6">
        <f>SUM(N4:N204)</f>
        <v/>
      </c>
      <c r="O205" s="6">
        <f>SUM(O4:O204)</f>
        <v/>
      </c>
      <c r="P205" s="6">
        <f>SUM(P4:P204)</f>
        <v/>
      </c>
      <c r="Q205" s="6">
        <f>SUM(Q4:Q204)</f>
        <v/>
      </c>
      <c r="R205" s="6">
        <f>SUM(R4:R204)</f>
        <v/>
      </c>
    </row>
  </sheetData>
  <autoFilter ref="A3:R204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2026-10-02T11:38:35Z</dcterms:created>
  <dcterms:modified xmlns:dcterms="http://purl.org/dc/terms/" xmlns:xsi="http://www.w3.org/2001/XMLSchema-instance" xsi:type="dcterms:W3CDTF">2026-10-02T11:38:35Z</dcterms:modified>
</cp:coreProperties>
</file>