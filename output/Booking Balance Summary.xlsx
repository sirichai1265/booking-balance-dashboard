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Balance Summary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'Data'!$A$2:$AL$80</definedName>
    <definedName name="_xlnm._FilterDatabase" localSheetId="1" hidden="1">'Balance Summary'!$A$3:$R$81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</font>
    <font>
      <name val="Calibri"/>
    </font>
    <font>
      <name val="Calibri"/>
      <i val="1"/>
    </font>
    <font>
      <name val="Calibri"/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4" fillId="0" borderId="0" pivotButton="0" quotePrefix="0" xfId="0"/>
    <xf numFmtId="0" fontId="5" fillId="4" borderId="1" pivotButton="0" quotePrefix="0" xfId="0"/>
    <xf numFmtId="1" fontId="3" fillId="0" borderId="1" pivotButton="0" quotePrefix="0" xfId="0"/>
    <xf numFmtId="1" fontId="5" fillId="4" borderId="1" pivotButton="0" quotePrefix="0" xfId="0"/>
    <xf numFmtId="0" fontId="5" fillId="5" borderId="1" pivotButton="0" quotePrefix="0" xfId="0"/>
    <xf numFmtId="1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5" customWidth="1" min="4" max="4"/>
    <col width="6" customWidth="1" min="5" max="5"/>
    <col width="8" customWidth="1" min="6" max="6"/>
    <col width="8" customWidth="1" min="7" max="7"/>
    <col width="14" customWidth="1" min="8" max="8"/>
    <col width="9" customWidth="1" min="9" max="9"/>
    <col width="34" customWidth="1" min="10" max="10"/>
    <col width="12" customWidth="1" min="11" max="11"/>
    <col width="30" customWidth="1" min="12" max="12"/>
    <col width="30" customWidth="1" min="13" max="13"/>
    <col width="26" customWidth="1" min="14" max="14"/>
    <col width="30" customWidth="1" min="15" max="15"/>
    <col width="30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22" customWidth="1" min="28" max="28"/>
    <col width="8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</cols>
  <sheetData>
    <row r="1" ht="20" customHeight="1">
      <c r="A1" s="1" t="inlineStr">
        <is>
          <t>DATA — Outstanding bookings (Balance &gt; 0)   |   source: 10-22-PD.xls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</row>
    <row r="2">
      <c r="A2" s="3" t="inlineStr">
        <is>
          <t>BK No</t>
        </is>
      </c>
      <c r="B2" s="3" t="inlineStr">
        <is>
          <t>VSL</t>
        </is>
      </c>
      <c r="C2" s="3" t="inlineStr">
        <is>
          <t>VOY</t>
        </is>
      </c>
      <c r="D2" s="3" t="inlineStr">
        <is>
          <t>ETD</t>
        </is>
      </c>
      <c r="E2" s="3" t="inlineStr">
        <is>
          <t>POR</t>
        </is>
      </c>
      <c r="F2" s="3" t="inlineStr">
        <is>
          <t>LOD</t>
        </is>
      </c>
      <c r="G2" s="3" t="inlineStr">
        <is>
          <t>DIS</t>
        </is>
      </c>
      <c r="H2" s="3" t="inlineStr">
        <is>
          <t>TPSZ</t>
        </is>
      </c>
      <c r="I2" s="3" t="inlineStr">
        <is>
          <t>Pickup</t>
        </is>
      </c>
      <c r="J2" s="3" t="inlineStr">
        <is>
          <t>Pickup Name</t>
        </is>
      </c>
      <c r="K2" s="3" t="inlineStr">
        <is>
          <t>TRAN DT</t>
        </is>
      </c>
      <c r="L2" s="3" t="inlineStr">
        <is>
          <t>DOC CUST</t>
        </is>
      </c>
      <c r="M2" s="3" t="inlineStr">
        <is>
          <t>ORG CUST</t>
        </is>
      </c>
      <c r="N2" s="3" t="inlineStr">
        <is>
          <t>COMMODITY</t>
        </is>
      </c>
      <c r="O2" s="3" t="inlineStr">
        <is>
          <t>TRAFFIC ORDER</t>
        </is>
      </c>
      <c r="P2" s="3" t="inlineStr">
        <is>
          <t>COMMON REMARK</t>
        </is>
      </c>
      <c r="Q2" s="3" t="inlineStr">
        <is>
          <t>GP22</t>
        </is>
      </c>
      <c r="R2" s="3" t="inlineStr">
        <is>
          <t>GP42</t>
        </is>
      </c>
      <c r="S2" s="3" t="inlineStr">
        <is>
          <t>GP45</t>
        </is>
      </c>
      <c r="T2" s="3" t="inlineStr">
        <is>
          <t>RE22</t>
        </is>
      </c>
      <c r="U2" s="3" t="inlineStr">
        <is>
          <t>RE45</t>
        </is>
      </c>
      <c r="V2" s="3" t="inlineStr">
        <is>
          <t>UT22</t>
        </is>
      </c>
      <c r="W2" s="3" t="inlineStr">
        <is>
          <t>UT42</t>
        </is>
      </c>
      <c r="X2" s="3" t="inlineStr">
        <is>
          <t>PC22</t>
        </is>
      </c>
      <c r="Y2" s="3" t="inlineStr">
        <is>
          <t>PC42</t>
        </is>
      </c>
      <c r="Z2" s="3" t="inlineStr">
        <is>
          <t>Pickup</t>
        </is>
      </c>
      <c r="AA2" s="3" t="inlineStr">
        <is>
          <t>Return</t>
        </is>
      </c>
      <c r="AB2" s="3" t="inlineStr">
        <is>
          <t>Balance (Booked - Pickup)</t>
        </is>
      </c>
      <c r="AC2" s="3" t="inlineStr">
        <is>
          <t>Group</t>
        </is>
      </c>
      <c r="AD2" s="3" t="inlineStr">
        <is>
          <t>GP22 Remaining</t>
        </is>
      </c>
      <c r="AE2" s="3" t="inlineStr">
        <is>
          <t>GP42 Remaining</t>
        </is>
      </c>
      <c r="AF2" s="3" t="inlineStr">
        <is>
          <t>GP45 Remaining</t>
        </is>
      </c>
      <c r="AG2" s="3" t="inlineStr">
        <is>
          <t>RE22 Remaining</t>
        </is>
      </c>
      <c r="AH2" s="3" t="inlineStr">
        <is>
          <t>RE45 Remaining</t>
        </is>
      </c>
      <c r="AI2" s="3" t="inlineStr">
        <is>
          <t>UT22 Remaining</t>
        </is>
      </c>
      <c r="AJ2" s="3" t="inlineStr">
        <is>
          <t>UT42 Remaining</t>
        </is>
      </c>
      <c r="AK2" s="3" t="inlineStr">
        <is>
          <t>PC22 Remaining</t>
        </is>
      </c>
      <c r="AL2" s="3" t="inlineStr">
        <is>
          <t>PC42 Remaining</t>
        </is>
      </c>
    </row>
    <row r="3">
      <c r="A3" s="4" t="inlineStr">
        <is>
          <t>HASLS22260901678</t>
        </is>
      </c>
      <c r="B3" s="4" t="inlineStr">
        <is>
          <t>HAHM</t>
        </is>
      </c>
      <c r="C3" s="4" t="inlineStr">
        <is>
          <t>2612N</t>
        </is>
      </c>
      <c r="D3" s="4" t="inlineStr">
        <is>
          <t>202610271500</t>
        </is>
      </c>
      <c r="E3" s="4" t="inlineStr"/>
      <c r="F3" s="4" t="inlineStr">
        <is>
          <t>THBKK</t>
        </is>
      </c>
      <c r="G3" s="4" t="inlineStr">
        <is>
          <t>JPKSM</t>
        </is>
      </c>
      <c r="H3" s="4" t="inlineStr">
        <is>
          <t xml:space="preserve">20'x5 </t>
        </is>
      </c>
      <c r="I3" s="4" t="inlineStr">
        <is>
          <t>BKK27</t>
        </is>
      </c>
      <c r="J3" s="4" t="inlineStr">
        <is>
          <t>B.C. DEPOT CO.,LTD. ( Bang-Na KM.18)</t>
        </is>
      </c>
      <c r="K3" s="4" t="inlineStr">
        <is>
          <t>20261022</t>
        </is>
      </c>
      <c r="L3" s="4" t="inlineStr">
        <is>
          <t>MEGALOAD DEVELOPMENT LOGISTICS CO., LTD.</t>
        </is>
      </c>
      <c r="M3" s="4" t="inlineStr">
        <is>
          <t>FISHMEAL MARKETING DEVELOPMENT CO., LTD.</t>
        </is>
      </c>
      <c r="N3" s="4" t="inlineStr">
        <is>
          <t>THAILAND STEAM DRIED FISHMEAL</t>
        </is>
      </c>
      <c r="O3" s="4" t="inlineStr">
        <is>
          <t>**APPROVED BY MJ CHANG DD.23/09/26** DG22GPx5 (CLS 9 / UN 2216)  GOOD CONDITION OF CONTAINER, LOADING GOODS INTO CONTAINERD BY FOLKLIFT</t>
        </is>
      </c>
      <c r="P3" s="4" t="inlineStr">
        <is>
          <t>**APPROVED BY MJ CHANG DD.23/09/26**  DG22GPx5 (CLS 9 / UN 2216) 
Pickup : 2026-10-22, Return : 2026-10-24 *CLS TIME 24/10/26 @23.59*</t>
        </is>
      </c>
      <c r="Q3" s="4" t="n">
        <v>5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3</v>
      </c>
      <c r="AA3" s="4" t="n">
        <v>0</v>
      </c>
      <c r="AB3" s="4">
        <f>SUM(Q3:Y3)-Z3</f>
        <v/>
      </c>
      <c r="AC3" s="4">
        <f>IF(I3="","",IF(OR(LEFT(I3,3)="BKK",I3="LCH55"),"BKK",IF(LEFT(I3,3)="LCH","LCH","OTHER")))</f>
        <v/>
      </c>
      <c r="AD3" s="4">
        <f>MAX(0,Q3-MAX(0,Z3))</f>
        <v/>
      </c>
      <c r="AE3" s="4">
        <f>MAX(0,R3-MAX(0,Z3-SUM(Q3:Q3)))</f>
        <v/>
      </c>
      <c r="AF3" s="4">
        <f>MAX(0,S3-MAX(0,Z3-SUM(Q3:R3)))</f>
        <v/>
      </c>
      <c r="AG3" s="4">
        <f>MAX(0,T3-MAX(0,Z3-SUM(Q3:S3)))</f>
        <v/>
      </c>
      <c r="AH3" s="4">
        <f>MAX(0,U3-MAX(0,Z3-SUM(Q3:T3)))</f>
        <v/>
      </c>
      <c r="AI3" s="4">
        <f>MAX(0,V3-MAX(0,Z3-SUM(Q3:U3)))</f>
        <v/>
      </c>
      <c r="AJ3" s="4">
        <f>MAX(0,W3-MAX(0,Z3-SUM(Q3:V3)))</f>
        <v/>
      </c>
      <c r="AK3" s="4">
        <f>MAX(0,X3-MAX(0,Z3-SUM(Q3:W3)))</f>
        <v/>
      </c>
      <c r="AL3" s="4">
        <f>MAX(0,Y3-MAX(0,Z3-SUM(Q3:X3)))</f>
        <v/>
      </c>
    </row>
    <row r="4">
      <c r="A4" s="4" t="inlineStr">
        <is>
          <t>HASLS22260901926</t>
        </is>
      </c>
      <c r="B4" s="4" t="inlineStr">
        <is>
          <t>HAHM</t>
        </is>
      </c>
      <c r="C4" s="4" t="inlineStr">
        <is>
          <t>2612N</t>
        </is>
      </c>
      <c r="D4" s="4" t="inlineStr">
        <is>
          <t>202610271500</t>
        </is>
      </c>
      <c r="E4" s="4" t="inlineStr"/>
      <c r="F4" s="4" t="inlineStr">
        <is>
          <t>THBKK</t>
        </is>
      </c>
      <c r="G4" s="4" t="inlineStr">
        <is>
          <t>VNSGN</t>
        </is>
      </c>
      <c r="H4" s="4" t="inlineStr">
        <is>
          <t xml:space="preserve">20'x20 </t>
        </is>
      </c>
      <c r="I4" s="4" t="inlineStr">
        <is>
          <t>BKK27</t>
        </is>
      </c>
      <c r="J4" s="4" t="inlineStr">
        <is>
          <t>B.C. DEPOT CO.,LTD. ( Bang-Na KM.18)</t>
        </is>
      </c>
      <c r="K4" s="4" t="inlineStr">
        <is>
          <t>20261021</t>
        </is>
      </c>
      <c r="L4" s="4" t="inlineStr">
        <is>
          <t>SEA FLEXI LOGISTICS CO.,LTD.</t>
        </is>
      </c>
      <c r="M4" s="4" t="inlineStr">
        <is>
          <t>THANAKORN VEGETABLE OIL PRODUCTS CO., LTD.</t>
        </is>
      </c>
      <c r="N4" s="4" t="inlineStr">
        <is>
          <t>SOYBEAN OIL</t>
        </is>
      </c>
      <c r="O4" s="4" t="inlineStr">
        <is>
          <t>**APPROVED BY MJ CHANG DD.01/10/26***FLEXIBAG ONDECK*
Survey : 2026-10-21, Pickup : 2026-10-22 REQUEST STRONG, CLEAN, FOOD GRADE CONTAINER</t>
        </is>
      </c>
      <c r="P4" s="4" t="inlineStr">
        <is>
          <t>**APPROVED BY MJ CHANG DD.01/10/26** *FLEXIBAG ONDECK*
Survey : 2026-10-21, Pickup : 2026-10-22, Return : 2026-10-24 (EXTEND CLOSING 24/10/26 @23.59)</t>
        </is>
      </c>
      <c r="Q4" s="4" t="n">
        <v>20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8</v>
      </c>
      <c r="AA4" s="4" t="n">
        <v>0</v>
      </c>
      <c r="AB4" s="4">
        <f>SUM(Q4:Y4)-Z4</f>
        <v/>
      </c>
      <c r="AC4" s="4">
        <f>IF(I4="","",IF(OR(LEFT(I4,3)="BKK",I4="LCH55"),"BKK",IF(LEFT(I4,3)="LCH","LCH","OTHER")))</f>
        <v/>
      </c>
      <c r="AD4" s="4">
        <f>MAX(0,Q4-MAX(0,Z4))</f>
        <v/>
      </c>
      <c r="AE4" s="4">
        <f>MAX(0,R4-MAX(0,Z4-SUM(Q4:Q4)))</f>
        <v/>
      </c>
      <c r="AF4" s="4">
        <f>MAX(0,S4-MAX(0,Z4-SUM(Q4:R4)))</f>
        <v/>
      </c>
      <c r="AG4" s="4">
        <f>MAX(0,T4-MAX(0,Z4-SUM(Q4:S4)))</f>
        <v/>
      </c>
      <c r="AH4" s="4">
        <f>MAX(0,U4-MAX(0,Z4-SUM(Q4:T4)))</f>
        <v/>
      </c>
      <c r="AI4" s="4">
        <f>MAX(0,V4-MAX(0,Z4-SUM(Q4:U4)))</f>
        <v/>
      </c>
      <c r="AJ4" s="4">
        <f>MAX(0,W4-MAX(0,Z4-SUM(Q4:V4)))</f>
        <v/>
      </c>
      <c r="AK4" s="4">
        <f>MAX(0,X4-MAX(0,Z4-SUM(Q4:W4)))</f>
        <v/>
      </c>
      <c r="AL4" s="4">
        <f>MAX(0,Y4-MAX(0,Z4-SUM(Q4:X4)))</f>
        <v/>
      </c>
    </row>
    <row r="5">
      <c r="A5" s="4" t="inlineStr">
        <is>
          <t>HASLS22260902697</t>
        </is>
      </c>
      <c r="B5" s="4" t="inlineStr">
        <is>
          <t>KMSU</t>
        </is>
      </c>
      <c r="C5" s="4" t="inlineStr">
        <is>
          <t>2608S</t>
        </is>
      </c>
      <c r="D5" s="4" t="inlineStr">
        <is>
          <t>202611012100</t>
        </is>
      </c>
      <c r="E5" s="4" t="inlineStr">
        <is>
          <t>THLKR</t>
        </is>
      </c>
      <c r="F5" s="4" t="inlineStr">
        <is>
          <t>THLCH</t>
        </is>
      </c>
      <c r="G5" s="4" t="inlineStr">
        <is>
          <t>IDJKT</t>
        </is>
      </c>
      <c r="H5" s="4" t="inlineStr">
        <is>
          <t xml:space="preserve">20'x1 </t>
        </is>
      </c>
      <c r="I5" s="4" t="inlineStr">
        <is>
          <t>BKK27</t>
        </is>
      </c>
      <c r="J5" s="4" t="inlineStr">
        <is>
          <t>B.C. DEPOT CO.,LTD. ( Bang-Na KM.18)</t>
        </is>
      </c>
      <c r="K5" s="4" t="inlineStr">
        <is>
          <t>20261020</t>
        </is>
      </c>
      <c r="L5" s="4" t="inlineStr">
        <is>
          <t>LESCHACO (THAILAND) LTD.</t>
        </is>
      </c>
      <c r="M5" s="4" t="inlineStr">
        <is>
          <t>ORFFA (THAILAND) COMPANY LIMITED</t>
        </is>
      </c>
      <c r="N5" s="4" t="inlineStr">
        <is>
          <t>EXCENTIAL SELENIUM</t>
        </is>
      </c>
      <c r="O5" s="4" t="inlineStr">
        <is>
          <t>REQUEST CONTAINR GOOD AND CLEAN</t>
        </is>
      </c>
      <c r="P5" s="4" t="inlineStr">
        <is>
          <t>Pickup : 2026-10-20, Return : 2026-10-21  Paperless Code 2835
Closing Time LKB 2026-10-28 @ 23.59</t>
        </is>
      </c>
      <c r="Q5" s="4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</v>
      </c>
      <c r="Y5" s="4" t="n">
        <v>0</v>
      </c>
      <c r="Z5" s="4" t="n">
        <v>0</v>
      </c>
      <c r="AA5" s="4" t="n">
        <v>0</v>
      </c>
      <c r="AB5" s="4">
        <f>SUM(Q5:Y5)-Z5</f>
        <v/>
      </c>
      <c r="AC5" s="4">
        <f>IF(I5="","",IF(OR(LEFT(I5,3)="BKK",I5="LCH55"),"BKK",IF(LEFT(I5,3)="LCH","LCH","OTHER")))</f>
        <v/>
      </c>
      <c r="AD5" s="4">
        <f>MAX(0,Q5-MAX(0,Z5))</f>
        <v/>
      </c>
      <c r="AE5" s="4">
        <f>MAX(0,R5-MAX(0,Z5-SUM(Q5:Q5)))</f>
        <v/>
      </c>
      <c r="AF5" s="4">
        <f>MAX(0,S5-MAX(0,Z5-SUM(Q5:R5)))</f>
        <v/>
      </c>
      <c r="AG5" s="4">
        <f>MAX(0,T5-MAX(0,Z5-SUM(Q5:S5)))</f>
        <v/>
      </c>
      <c r="AH5" s="4">
        <f>MAX(0,U5-MAX(0,Z5-SUM(Q5:T5)))</f>
        <v/>
      </c>
      <c r="AI5" s="4">
        <f>MAX(0,V5-MAX(0,Z5-SUM(Q5:U5)))</f>
        <v/>
      </c>
      <c r="AJ5" s="4">
        <f>MAX(0,W5-MAX(0,Z5-SUM(Q5:V5)))</f>
        <v/>
      </c>
      <c r="AK5" s="4">
        <f>MAX(0,X5-MAX(0,Z5-SUM(Q5:W5)))</f>
        <v/>
      </c>
      <c r="AL5" s="4">
        <f>MAX(0,Y5-MAX(0,Z5-SUM(Q5:X5)))</f>
        <v/>
      </c>
    </row>
    <row r="6">
      <c r="A6" s="4" t="inlineStr">
        <is>
          <t>HASLS22260902798</t>
        </is>
      </c>
      <c r="B6" s="4" t="inlineStr">
        <is>
          <t>KMSU</t>
        </is>
      </c>
      <c r="C6" s="4" t="inlineStr">
        <is>
          <t>2608S</t>
        </is>
      </c>
      <c r="D6" s="4" t="inlineStr">
        <is>
          <t>202611012100</t>
        </is>
      </c>
      <c r="E6" s="4" t="inlineStr">
        <is>
          <t>THLKR</t>
        </is>
      </c>
      <c r="F6" s="4" t="inlineStr">
        <is>
          <t>THLCH</t>
        </is>
      </c>
      <c r="G6" s="4" t="inlineStr">
        <is>
          <t>IDJKT</t>
        </is>
      </c>
      <c r="H6" s="4" t="inlineStr">
        <is>
          <t xml:space="preserve">20'x1 </t>
        </is>
      </c>
      <c r="I6" s="4" t="inlineStr">
        <is>
          <t>BKK27</t>
        </is>
      </c>
      <c r="J6" s="4" t="inlineStr">
        <is>
          <t>B.C. DEPOT CO.,LTD. ( Bang-Na KM.18)</t>
        </is>
      </c>
      <c r="K6" s="4" t="inlineStr">
        <is>
          <t>20261020</t>
        </is>
      </c>
      <c r="L6" s="4" t="inlineStr">
        <is>
          <t>LESCHACO (THAILAND) LTD.</t>
        </is>
      </c>
      <c r="M6" s="4" t="inlineStr">
        <is>
          <t>ORFFA (THAILAND) COMPANY LIMITED</t>
        </is>
      </c>
      <c r="N6" s="4" t="inlineStr">
        <is>
          <t>EXCENTIAL SELENIUM</t>
        </is>
      </c>
      <c r="O6" s="4" t="inlineStr">
        <is>
          <t>REQUEST CONTAINR GOOD AND CLEAN</t>
        </is>
      </c>
      <c r="P6" s="4" t="inlineStr">
        <is>
          <t>Pickup : 2026-10-20, Return : 2026-10-21 Paperless Code 2835
Closing Time LKB 2026-10-28 @ 23.59</t>
        </is>
      </c>
      <c r="Q6" s="4" t="n">
        <v>1</v>
      </c>
      <c r="R6" s="4" t="n">
        <v>0</v>
      </c>
      <c r="S6" s="4" t="n">
        <v>0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</v>
      </c>
      <c r="Y6" s="4" t="n">
        <v>0</v>
      </c>
      <c r="Z6" s="4" t="n">
        <v>0</v>
      </c>
      <c r="AA6" s="4" t="n">
        <v>0</v>
      </c>
      <c r="AB6" s="4">
        <f>SUM(Q6:Y6)-Z6</f>
        <v/>
      </c>
      <c r="AC6" s="4">
        <f>IF(I6="","",IF(OR(LEFT(I6,3)="BKK",I6="LCH55"),"BKK",IF(LEFT(I6,3)="LCH","LCH","OTHER")))</f>
        <v/>
      </c>
      <c r="AD6" s="4">
        <f>MAX(0,Q6-MAX(0,Z6))</f>
        <v/>
      </c>
      <c r="AE6" s="4">
        <f>MAX(0,R6-MAX(0,Z6-SUM(Q6:Q6)))</f>
        <v/>
      </c>
      <c r="AF6" s="4">
        <f>MAX(0,S6-MAX(0,Z6-SUM(Q6:R6)))</f>
        <v/>
      </c>
      <c r="AG6" s="4">
        <f>MAX(0,T6-MAX(0,Z6-SUM(Q6:S6)))</f>
        <v/>
      </c>
      <c r="AH6" s="4">
        <f>MAX(0,U6-MAX(0,Z6-SUM(Q6:T6)))</f>
        <v/>
      </c>
      <c r="AI6" s="4">
        <f>MAX(0,V6-MAX(0,Z6-SUM(Q6:U6)))</f>
        <v/>
      </c>
      <c r="AJ6" s="4">
        <f>MAX(0,W6-MAX(0,Z6-SUM(Q6:V6)))</f>
        <v/>
      </c>
      <c r="AK6" s="4">
        <f>MAX(0,X6-MAX(0,Z6-SUM(Q6:W6)))</f>
        <v/>
      </c>
      <c r="AL6" s="4">
        <f>MAX(0,Y6-MAX(0,Z6-SUM(Q6:X6)))</f>
        <v/>
      </c>
    </row>
    <row r="7">
      <c r="A7" s="4" t="inlineStr">
        <is>
          <t>HASLS22261000012</t>
        </is>
      </c>
      <c r="B7" s="4" t="inlineStr">
        <is>
          <t>HAHM</t>
        </is>
      </c>
      <c r="C7" s="4" t="inlineStr">
        <is>
          <t>2612N</t>
        </is>
      </c>
      <c r="D7" s="4" t="inlineStr">
        <is>
          <t>202610271500</t>
        </is>
      </c>
      <c r="E7" s="4" t="inlineStr"/>
      <c r="F7" s="4" t="inlineStr">
        <is>
          <t>THBKK</t>
        </is>
      </c>
      <c r="G7" s="4" t="inlineStr">
        <is>
          <t>VNSGN</t>
        </is>
      </c>
      <c r="H7" s="4" t="inlineStr">
        <is>
          <t xml:space="preserve">20'x5 </t>
        </is>
      </c>
      <c r="I7" s="4" t="inlineStr">
        <is>
          <t>BKK27</t>
        </is>
      </c>
      <c r="J7" s="4" t="inlineStr">
        <is>
          <t>B.C. DEPOT CO.,LTD. ( Bang-Na KM.18)</t>
        </is>
      </c>
      <c r="K7" s="4" t="inlineStr">
        <is>
          <t>20261021</t>
        </is>
      </c>
      <c r="L7" s="4" t="inlineStr">
        <is>
          <t>ICONS GLOBAL LOGISTICS CO., LTD.</t>
        </is>
      </c>
      <c r="M7" s="4" t="inlineStr">
        <is>
          <t>ICONS GLOBAL LOGISTICS CO., LTD.</t>
        </is>
      </c>
      <c r="N7" s="4" t="inlineStr">
        <is>
          <t>SOYBEAN OIL</t>
        </is>
      </c>
      <c r="O7" s="4" t="inlineStr">
        <is>
          <t>** APPROVED BY MJ CHANG DD.01/10/26** *FLEXIBAG ONDECK*
Survey : 2026-10-21</t>
        </is>
      </c>
      <c r="P7" s="4" t="inlineStr">
        <is>
          <t>** APPROVED BY MJ CHANG DD.01/10/26** *FLEXIBAG ONDECK*
SURVEY 21/10/2026  CY-RTN : 22*24/10/2026</t>
        </is>
      </c>
      <c r="Q7" s="4" t="n">
        <v>5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0</v>
      </c>
      <c r="Z7" s="4" t="n">
        <v>3</v>
      </c>
      <c r="AA7" s="4" t="n">
        <v>0</v>
      </c>
      <c r="AB7" s="4">
        <f>SUM(Q7:Y7)-Z7</f>
        <v/>
      </c>
      <c r="AC7" s="4">
        <f>IF(I7="","",IF(OR(LEFT(I7,3)="BKK",I7="LCH55"),"BKK",IF(LEFT(I7,3)="LCH","LCH","OTHER")))</f>
        <v/>
      </c>
      <c r="AD7" s="4">
        <f>MAX(0,Q7-MAX(0,Z7))</f>
        <v/>
      </c>
      <c r="AE7" s="4">
        <f>MAX(0,R7-MAX(0,Z7-SUM(Q7:Q7)))</f>
        <v/>
      </c>
      <c r="AF7" s="4">
        <f>MAX(0,S7-MAX(0,Z7-SUM(Q7:R7)))</f>
        <v/>
      </c>
      <c r="AG7" s="4">
        <f>MAX(0,T7-MAX(0,Z7-SUM(Q7:S7)))</f>
        <v/>
      </c>
      <c r="AH7" s="4">
        <f>MAX(0,U7-MAX(0,Z7-SUM(Q7:T7)))</f>
        <v/>
      </c>
      <c r="AI7" s="4">
        <f>MAX(0,V7-MAX(0,Z7-SUM(Q7:U7)))</f>
        <v/>
      </c>
      <c r="AJ7" s="4">
        <f>MAX(0,W7-MAX(0,Z7-SUM(Q7:V7)))</f>
        <v/>
      </c>
      <c r="AK7" s="4">
        <f>MAX(0,X7-MAX(0,Z7-SUM(Q7:W7)))</f>
        <v/>
      </c>
      <c r="AL7" s="4">
        <f>MAX(0,Y7-MAX(0,Z7-SUM(Q7:X7)))</f>
        <v/>
      </c>
    </row>
    <row r="8">
      <c r="A8" s="4" t="inlineStr">
        <is>
          <t>HASLS22261000459</t>
        </is>
      </c>
      <c r="B8" s="4" t="inlineStr">
        <is>
          <t>HAHM</t>
        </is>
      </c>
      <c r="C8" s="4" t="inlineStr">
        <is>
          <t>2612N</t>
        </is>
      </c>
      <c r="D8" s="4" t="inlineStr">
        <is>
          <t>202610271500</t>
        </is>
      </c>
      <c r="E8" s="4" t="inlineStr"/>
      <c r="F8" s="4" t="inlineStr">
        <is>
          <t>THBKK</t>
        </is>
      </c>
      <c r="G8" s="4" t="inlineStr">
        <is>
          <t>VNSGN</t>
        </is>
      </c>
      <c r="H8" s="4" t="inlineStr">
        <is>
          <t xml:space="preserve">40Hx10 </t>
        </is>
      </c>
      <c r="I8" s="4" t="inlineStr">
        <is>
          <t>BKK27</t>
        </is>
      </c>
      <c r="J8" s="4" t="inlineStr">
        <is>
          <t>B.C. DEPOT CO.,LTD. ( Bang-Na KM.18)</t>
        </is>
      </c>
      <c r="K8" s="4" t="inlineStr">
        <is>
          <t>20261022</t>
        </is>
      </c>
      <c r="L8" s="4" t="inlineStr">
        <is>
          <t>BIRLA CARBON (THAILAND) PUBLIC COMPANY LIMITED</t>
        </is>
      </c>
      <c r="M8" s="4" t="inlineStr">
        <is>
          <t>BIRLA CARBON (THAILAND) PUBLIC COMPANY LIMITED</t>
        </is>
      </c>
      <c r="N8" s="4" t="inlineStr">
        <is>
          <t>CABON BLACK</t>
        </is>
      </c>
      <c r="O8" s="4" t="inlineStr">
        <is>
          <t>**Clean container / No rust / No hole / No sharp surface inside areas in container.</t>
        </is>
      </c>
      <c r="P8" s="4" t="inlineStr">
        <is>
          <t>Pickup : 2026-10-22, Return : 2026-10-23</t>
        </is>
      </c>
      <c r="Q8" s="4" t="n">
        <v>0</v>
      </c>
      <c r="R8" s="4" t="n">
        <v>0</v>
      </c>
      <c r="S8" s="4" t="n">
        <v>10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2</v>
      </c>
      <c r="AA8" s="4" t="n">
        <v>0</v>
      </c>
      <c r="AB8" s="4">
        <f>SUM(Q8:Y8)-Z8</f>
        <v/>
      </c>
      <c r="AC8" s="4">
        <f>IF(I8="","",IF(OR(LEFT(I8,3)="BKK",I8="LCH55"),"BKK",IF(LEFT(I8,3)="LCH","LCH","OTHER")))</f>
        <v/>
      </c>
      <c r="AD8" s="4">
        <f>MAX(0,Q8-MAX(0,Z8))</f>
        <v/>
      </c>
      <c r="AE8" s="4">
        <f>MAX(0,R8-MAX(0,Z8-SUM(Q8:Q8)))</f>
        <v/>
      </c>
      <c r="AF8" s="4">
        <f>MAX(0,S8-MAX(0,Z8-SUM(Q8:R8)))</f>
        <v/>
      </c>
      <c r="AG8" s="4">
        <f>MAX(0,T8-MAX(0,Z8-SUM(Q8:S8)))</f>
        <v/>
      </c>
      <c r="AH8" s="4">
        <f>MAX(0,U8-MAX(0,Z8-SUM(Q8:T8)))</f>
        <v/>
      </c>
      <c r="AI8" s="4">
        <f>MAX(0,V8-MAX(0,Z8-SUM(Q8:U8)))</f>
        <v/>
      </c>
      <c r="AJ8" s="4">
        <f>MAX(0,W8-MAX(0,Z8-SUM(Q8:V8)))</f>
        <v/>
      </c>
      <c r="AK8" s="4">
        <f>MAX(0,X8-MAX(0,Z8-SUM(Q8:W8)))</f>
        <v/>
      </c>
      <c r="AL8" s="4">
        <f>MAX(0,Y8-MAX(0,Z8-SUM(Q8:X8)))</f>
        <v/>
      </c>
    </row>
    <row r="9">
      <c r="A9" s="4" t="inlineStr">
        <is>
          <t>HASLS22261000623</t>
        </is>
      </c>
      <c r="B9" s="4" t="inlineStr">
        <is>
          <t>SWIC</t>
        </is>
      </c>
      <c r="C9" s="4" t="inlineStr">
        <is>
          <t>2612N</t>
        </is>
      </c>
      <c r="D9" s="4" t="inlineStr">
        <is>
          <t>202611100000</t>
        </is>
      </c>
      <c r="E9" s="4" t="inlineStr"/>
      <c r="F9" s="4" t="inlineStr">
        <is>
          <t>THBKK</t>
        </is>
      </c>
      <c r="G9" s="4" t="inlineStr">
        <is>
          <t>JPTHS</t>
        </is>
      </c>
      <c r="H9" s="4" t="inlineStr">
        <is>
          <t xml:space="preserve">40Hx1 </t>
        </is>
      </c>
      <c r="I9" s="4" t="inlineStr">
        <is>
          <t>BKK27</t>
        </is>
      </c>
      <c r="J9" s="4" t="inlineStr">
        <is>
          <t>B.C. DEPOT CO.,LTD. ( Bang-Na KM.18)</t>
        </is>
      </c>
      <c r="K9" s="4" t="inlineStr">
        <is>
          <t>20261016</t>
        </is>
      </c>
      <c r="L9" s="4" t="inlineStr">
        <is>
          <t>UNIQUE INTERNATIONAL FORWARDING CO., LTD.</t>
        </is>
      </c>
      <c r="M9" s="4" t="inlineStr">
        <is>
          <t>BIRLA CARBON (THAILAND) PUBLIC COMPANY LIMITED</t>
        </is>
      </c>
      <c r="N9" s="4" t="inlineStr">
        <is>
          <t>CARBON BLACK (NON DG)</t>
        </is>
      </c>
      <c r="O9" s="4" t="inlineStr">
        <is>
          <t>CLEAN CONTAINER GRADE A</t>
        </is>
      </c>
      <c r="P9" s="4" t="inlineStr">
        <is>
          <t>[FIX]Pickup : 2026-10-16, Return : 2026-10-17</t>
        </is>
      </c>
      <c r="Q9" s="4" t="n">
        <v>0</v>
      </c>
      <c r="R9" s="4" t="n">
        <v>0</v>
      </c>
      <c r="S9" s="4" t="n">
        <v>1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  <c r="AB9" s="4">
        <f>SUM(Q9:Y9)-Z9</f>
        <v/>
      </c>
      <c r="AC9" s="4">
        <f>IF(I9="","",IF(OR(LEFT(I9,3)="BKK",I9="LCH55"),"BKK",IF(LEFT(I9,3)="LCH","LCH","OTHER")))</f>
        <v/>
      </c>
      <c r="AD9" s="4">
        <f>MAX(0,Q9-MAX(0,Z9))</f>
        <v/>
      </c>
      <c r="AE9" s="4">
        <f>MAX(0,R9-MAX(0,Z9-SUM(Q9:Q9)))</f>
        <v/>
      </c>
      <c r="AF9" s="4">
        <f>MAX(0,S9-MAX(0,Z9-SUM(Q9:R9)))</f>
        <v/>
      </c>
      <c r="AG9" s="4">
        <f>MAX(0,T9-MAX(0,Z9-SUM(Q9:S9)))</f>
        <v/>
      </c>
      <c r="AH9" s="4">
        <f>MAX(0,U9-MAX(0,Z9-SUM(Q9:T9)))</f>
        <v/>
      </c>
      <c r="AI9" s="4">
        <f>MAX(0,V9-MAX(0,Z9-SUM(Q9:U9)))</f>
        <v/>
      </c>
      <c r="AJ9" s="4">
        <f>MAX(0,W9-MAX(0,Z9-SUM(Q9:V9)))</f>
        <v/>
      </c>
      <c r="AK9" s="4">
        <f>MAX(0,X9-MAX(0,Z9-SUM(Q9:W9)))</f>
        <v/>
      </c>
      <c r="AL9" s="4">
        <f>MAX(0,Y9-MAX(0,Z9-SUM(Q9:X9)))</f>
        <v/>
      </c>
    </row>
    <row r="10">
      <c r="A10" s="4" t="inlineStr">
        <is>
          <t>HASLS22261001582</t>
        </is>
      </c>
      <c r="B10" s="4" t="inlineStr">
        <is>
          <t>KMBK</t>
        </is>
      </c>
      <c r="C10" s="4" t="inlineStr">
        <is>
          <t>2613N</t>
        </is>
      </c>
      <c r="D10" s="4" t="inlineStr">
        <is>
          <t>202611160000</t>
        </is>
      </c>
      <c r="E10" s="4" t="inlineStr"/>
      <c r="F10" s="4" t="inlineStr">
        <is>
          <t>THBKK</t>
        </is>
      </c>
      <c r="G10" s="4" t="inlineStr">
        <is>
          <t>VNSGN</t>
        </is>
      </c>
      <c r="H10" s="4" t="inlineStr">
        <is>
          <t xml:space="preserve">20'x1 </t>
        </is>
      </c>
      <c r="I10" s="4" t="inlineStr">
        <is>
          <t>BKK27</t>
        </is>
      </c>
      <c r="J10" s="4" t="inlineStr">
        <is>
          <t>B.C. DEPOT CO.,LTD. ( Bang-Na KM.18)</t>
        </is>
      </c>
      <c r="K10" s="4" t="inlineStr">
        <is>
          <t>20261012</t>
        </is>
      </c>
      <c r="L10" s="4" t="inlineStr">
        <is>
          <t>ALLIANZ GLOBAL LOGISTICS CO.,LTD.</t>
        </is>
      </c>
      <c r="M10" s="4" t="inlineStr">
        <is>
          <t>BANPONG TAPIOCA FLOUR INDUSTRIAL CO., LTD.</t>
        </is>
      </c>
      <c r="N10" s="4" t="inlineStr">
        <is>
          <t xml:space="preserve">FOOD FLOUR </t>
        </is>
      </c>
      <c r="O10" s="4" t="inlineStr">
        <is>
          <t>GOOD AND CLEAN CONTAINER</t>
        </is>
      </c>
      <c r="P10" s="4" t="inlineStr">
        <is>
          <t>Pickup : 2026-10-12, Return : 2026-10-13</t>
        </is>
      </c>
      <c r="Q10" s="4" t="n">
        <v>1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  <c r="AB10" s="4">
        <f>SUM(Q10:Y10)-Z10</f>
        <v/>
      </c>
      <c r="AC10" s="4">
        <f>IF(I10="","",IF(OR(LEFT(I10,3)="BKK",I10="LCH55"),"BKK",IF(LEFT(I10,3)="LCH","LCH","OTHER")))</f>
        <v/>
      </c>
      <c r="AD10" s="4">
        <f>MAX(0,Q10-MAX(0,Z10))</f>
        <v/>
      </c>
      <c r="AE10" s="4">
        <f>MAX(0,R10-MAX(0,Z10-SUM(Q10:Q10)))</f>
        <v/>
      </c>
      <c r="AF10" s="4">
        <f>MAX(0,S10-MAX(0,Z10-SUM(Q10:R10)))</f>
        <v/>
      </c>
      <c r="AG10" s="4">
        <f>MAX(0,T10-MAX(0,Z10-SUM(Q10:S10)))</f>
        <v/>
      </c>
      <c r="AH10" s="4">
        <f>MAX(0,U10-MAX(0,Z10-SUM(Q10:T10)))</f>
        <v/>
      </c>
      <c r="AI10" s="4">
        <f>MAX(0,V10-MAX(0,Z10-SUM(Q10:U10)))</f>
        <v/>
      </c>
      <c r="AJ10" s="4">
        <f>MAX(0,W10-MAX(0,Z10-SUM(Q10:V10)))</f>
        <v/>
      </c>
      <c r="AK10" s="4">
        <f>MAX(0,X10-MAX(0,Z10-SUM(Q10:W10)))</f>
        <v/>
      </c>
      <c r="AL10" s="4">
        <f>MAX(0,Y10-MAX(0,Z10-SUM(Q10:X10)))</f>
        <v/>
      </c>
    </row>
    <row r="11">
      <c r="A11" s="4" t="inlineStr">
        <is>
          <t>HASLS22261001584</t>
        </is>
      </c>
      <c r="B11" s="4" t="inlineStr">
        <is>
          <t>DJCF</t>
        </is>
      </c>
      <c r="C11" s="4" t="inlineStr">
        <is>
          <t>0154N</t>
        </is>
      </c>
      <c r="D11" s="4" t="inlineStr">
        <is>
          <t>202611240300</t>
        </is>
      </c>
      <c r="E11" s="4" t="inlineStr"/>
      <c r="F11" s="4" t="inlineStr">
        <is>
          <t>THBKK</t>
        </is>
      </c>
      <c r="G11" s="4" t="inlineStr">
        <is>
          <t>VNSGN</t>
        </is>
      </c>
      <c r="H11" s="4" t="inlineStr">
        <is>
          <t xml:space="preserve">20'x1 </t>
        </is>
      </c>
      <c r="I11" s="4" t="inlineStr">
        <is>
          <t>BKK27</t>
        </is>
      </c>
      <c r="J11" s="4" t="inlineStr">
        <is>
          <t>B.C. DEPOT CO.,LTD. ( Bang-Na KM.18)</t>
        </is>
      </c>
      <c r="K11" s="4" t="inlineStr">
        <is>
          <t>20261020</t>
        </is>
      </c>
      <c r="L11" s="4" t="inlineStr">
        <is>
          <t>ALLIANZ GLOBAL LOGISTICS CO.,LTD.</t>
        </is>
      </c>
      <c r="M11" s="4" t="inlineStr">
        <is>
          <t>BANPONG TAPIOCA FLOUR INDUSTRIAL CO., LTD.</t>
        </is>
      </c>
      <c r="N11" s="4" t="inlineStr">
        <is>
          <t xml:space="preserve">FOOD FLOUR </t>
        </is>
      </c>
      <c r="O11" s="4" t="inlineStr">
        <is>
          <t>GOOD AND CLEAN CONTAINER</t>
        </is>
      </c>
      <c r="P11" s="4" t="inlineStr">
        <is>
          <t>Pickup : 2026-10-20, Return : 2026-10-21</t>
        </is>
      </c>
      <c r="Q11" s="4" t="n">
        <v>1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  <c r="AB11" s="4">
        <f>SUM(Q11:Y11)-Z11</f>
        <v/>
      </c>
      <c r="AC11" s="4">
        <f>IF(I11="","",IF(OR(LEFT(I11,3)="BKK",I11="LCH55"),"BKK",IF(LEFT(I11,3)="LCH","LCH","OTHER")))</f>
        <v/>
      </c>
      <c r="AD11" s="4">
        <f>MAX(0,Q11-MAX(0,Z11))</f>
        <v/>
      </c>
      <c r="AE11" s="4">
        <f>MAX(0,R11-MAX(0,Z11-SUM(Q11:Q11)))</f>
        <v/>
      </c>
      <c r="AF11" s="4">
        <f>MAX(0,S11-MAX(0,Z11-SUM(Q11:R11)))</f>
        <v/>
      </c>
      <c r="AG11" s="4">
        <f>MAX(0,T11-MAX(0,Z11-SUM(Q11:S11)))</f>
        <v/>
      </c>
      <c r="AH11" s="4">
        <f>MAX(0,U11-MAX(0,Z11-SUM(Q11:T11)))</f>
        <v/>
      </c>
      <c r="AI11" s="4">
        <f>MAX(0,V11-MAX(0,Z11-SUM(Q11:U11)))</f>
        <v/>
      </c>
      <c r="AJ11" s="4">
        <f>MAX(0,W11-MAX(0,Z11-SUM(Q11:V11)))</f>
        <v/>
      </c>
      <c r="AK11" s="4">
        <f>MAX(0,X11-MAX(0,Z11-SUM(Q11:W11)))</f>
        <v/>
      </c>
      <c r="AL11" s="4">
        <f>MAX(0,Y11-MAX(0,Z11-SUM(Q11:X11)))</f>
        <v/>
      </c>
    </row>
    <row r="12">
      <c r="A12" s="4" t="inlineStr">
        <is>
          <t>HASLS22260900467</t>
        </is>
      </c>
      <c r="B12" s="4" t="inlineStr">
        <is>
          <t>SWSP</t>
        </is>
      </c>
      <c r="C12" s="4" t="inlineStr">
        <is>
          <t>2610N</t>
        </is>
      </c>
      <c r="D12" s="4" t="inlineStr">
        <is>
          <t>202611082100</t>
        </is>
      </c>
      <c r="E12" s="4" t="inlineStr"/>
      <c r="F12" s="4" t="inlineStr">
        <is>
          <t>THLCH</t>
        </is>
      </c>
      <c r="G12" s="4" t="inlineStr">
        <is>
          <t>VNSGN</t>
        </is>
      </c>
      <c r="H12" s="4" t="inlineStr">
        <is>
          <t xml:space="preserve">40Hx6 </t>
        </is>
      </c>
      <c r="I12" s="4" t="inlineStr">
        <is>
          <t>LCH28</t>
        </is>
      </c>
      <c r="J12" s="4" t="inlineStr">
        <is>
          <t>CELLO</t>
        </is>
      </c>
      <c r="K12" s="4" t="inlineStr">
        <is>
          <t>20261022</t>
        </is>
      </c>
      <c r="L12" s="4" t="inlineStr">
        <is>
          <t>WHA GC LOGISTICS COMPANY LIMITED</t>
        </is>
      </c>
      <c r="M12" s="4" t="inlineStr">
        <is>
          <t>PTT GLOBAL CHEMICAL PUBLIC COMPANY LIMITED</t>
        </is>
      </c>
      <c r="N12" s="4" t="inlineStr">
        <is>
          <t>RESIN</t>
        </is>
      </c>
      <c r="O12" s="4" t="inlineStr">
        <is>
          <t>GOOD AND CLEAN CTNR</t>
        </is>
      </c>
      <c r="P12" s="4" t="inlineStr">
        <is>
          <t xml:space="preserve">CY-RTN 22-27/10/26 [1ST RTN 27/10/2026 W/O RENT]
** PLEASE CHECK OPEN GATE BEFORE RETURN CONTAINER **
</t>
        </is>
      </c>
      <c r="Q12" s="4" t="n">
        <v>0</v>
      </c>
      <c r="R12" s="4" t="n">
        <v>0</v>
      </c>
      <c r="S12" s="4" t="n">
        <v>6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2</v>
      </c>
      <c r="AA12" s="4" t="n">
        <v>0</v>
      </c>
      <c r="AB12" s="4">
        <f>SUM(Q12:Y12)-Z12</f>
        <v/>
      </c>
      <c r="AC12" s="4">
        <f>IF(I12="","",IF(OR(LEFT(I12,3)="BKK",I12="LCH55"),"BKK",IF(LEFT(I12,3)="LCH","LCH","OTHER")))</f>
        <v/>
      </c>
      <c r="AD12" s="4">
        <f>MAX(0,Q12-MAX(0,Z12))</f>
        <v/>
      </c>
      <c r="AE12" s="4">
        <f>MAX(0,R12-MAX(0,Z12-SUM(Q12:Q12)))</f>
        <v/>
      </c>
      <c r="AF12" s="4">
        <f>MAX(0,S12-MAX(0,Z12-SUM(Q12:R12)))</f>
        <v/>
      </c>
      <c r="AG12" s="4">
        <f>MAX(0,T12-MAX(0,Z12-SUM(Q12:S12)))</f>
        <v/>
      </c>
      <c r="AH12" s="4">
        <f>MAX(0,U12-MAX(0,Z12-SUM(Q12:T12)))</f>
        <v/>
      </c>
      <c r="AI12" s="4">
        <f>MAX(0,V12-MAX(0,Z12-SUM(Q12:U12)))</f>
        <v/>
      </c>
      <c r="AJ12" s="4">
        <f>MAX(0,W12-MAX(0,Z12-SUM(Q12:V12)))</f>
        <v/>
      </c>
      <c r="AK12" s="4">
        <f>MAX(0,X12-MAX(0,Z12-SUM(Q12:W12)))</f>
        <v/>
      </c>
      <c r="AL12" s="4">
        <f>MAX(0,Y12-MAX(0,Z12-SUM(Q12:X12)))</f>
        <v/>
      </c>
    </row>
    <row r="13">
      <c r="A13" s="4" t="inlineStr">
        <is>
          <t>HASLS22261000016</t>
        </is>
      </c>
      <c r="B13" s="4" t="inlineStr">
        <is>
          <t>SWSP</t>
        </is>
      </c>
      <c r="C13" s="4" t="inlineStr">
        <is>
          <t>2610N</t>
        </is>
      </c>
      <c r="D13" s="4" t="inlineStr">
        <is>
          <t>202611082100</t>
        </is>
      </c>
      <c r="E13" s="4" t="inlineStr"/>
      <c r="F13" s="4" t="inlineStr">
        <is>
          <t>THLCH</t>
        </is>
      </c>
      <c r="G13" s="4" t="inlineStr">
        <is>
          <t>VNSGN</t>
        </is>
      </c>
      <c r="H13" s="4" t="inlineStr">
        <is>
          <t xml:space="preserve">40Hx4 </t>
        </is>
      </c>
      <c r="I13" s="4" t="inlineStr">
        <is>
          <t>LCH28</t>
        </is>
      </c>
      <c r="J13" s="4" t="inlineStr">
        <is>
          <t>CELLO</t>
        </is>
      </c>
      <c r="K13" s="4" t="inlineStr">
        <is>
          <t>20261021</t>
        </is>
      </c>
      <c r="L13" s="4" t="inlineStr">
        <is>
          <t>WHA GC LOGISTICS COMPANY LIMITED</t>
        </is>
      </c>
      <c r="M13" s="4" t="inlineStr">
        <is>
          <t>PTT GLOBAL CHEMICAL PUBLIC COMPANY LIMITED</t>
        </is>
      </c>
      <c r="N13" s="4" t="inlineStr">
        <is>
          <t>RESIN</t>
        </is>
      </c>
      <c r="O13" s="4" t="inlineStr">
        <is>
          <t>GOOD AND CLEAN CTNR</t>
        </is>
      </c>
      <c r="P13" s="4" t="inlineStr">
        <is>
          <t>CY-RTN 21-24/10/26 (PR2610002025)
*PLS CHECK OPEN GATE BEFORE RETURN CTNR*</t>
        </is>
      </c>
      <c r="Q13" s="4" t="n">
        <v>0</v>
      </c>
      <c r="R13" s="4" t="n">
        <v>0</v>
      </c>
      <c r="S13" s="4" t="n">
        <v>4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  <c r="AB13" s="4">
        <f>SUM(Q13:Y13)-Z13</f>
        <v/>
      </c>
      <c r="AC13" s="4">
        <f>IF(I13="","",IF(OR(LEFT(I13,3)="BKK",I13="LCH55"),"BKK",IF(LEFT(I13,3)="LCH","LCH","OTHER")))</f>
        <v/>
      </c>
      <c r="AD13" s="4">
        <f>MAX(0,Q13-MAX(0,Z13))</f>
        <v/>
      </c>
      <c r="AE13" s="4">
        <f>MAX(0,R13-MAX(0,Z13-SUM(Q13:Q13)))</f>
        <v/>
      </c>
      <c r="AF13" s="4">
        <f>MAX(0,S13-MAX(0,Z13-SUM(Q13:R13)))</f>
        <v/>
      </c>
      <c r="AG13" s="4">
        <f>MAX(0,T13-MAX(0,Z13-SUM(Q13:S13)))</f>
        <v/>
      </c>
      <c r="AH13" s="4">
        <f>MAX(0,U13-MAX(0,Z13-SUM(Q13:T13)))</f>
        <v/>
      </c>
      <c r="AI13" s="4">
        <f>MAX(0,V13-MAX(0,Z13-SUM(Q13:U13)))</f>
        <v/>
      </c>
      <c r="AJ13" s="4">
        <f>MAX(0,W13-MAX(0,Z13-SUM(Q13:V13)))</f>
        <v/>
      </c>
      <c r="AK13" s="4">
        <f>MAX(0,X13-MAX(0,Z13-SUM(Q13:W13)))</f>
        <v/>
      </c>
      <c r="AL13" s="4">
        <f>MAX(0,Y13-MAX(0,Z13-SUM(Q13:X13)))</f>
        <v/>
      </c>
    </row>
    <row r="14">
      <c r="A14" s="4" t="inlineStr">
        <is>
          <t>HASLS22261001160</t>
        </is>
      </c>
      <c r="B14" s="4" t="inlineStr">
        <is>
          <t>SWSP</t>
        </is>
      </c>
      <c r="C14" s="4" t="inlineStr">
        <is>
          <t>2610N</t>
        </is>
      </c>
      <c r="D14" s="4" t="inlineStr">
        <is>
          <t>202611082100</t>
        </is>
      </c>
      <c r="E14" s="4" t="inlineStr"/>
      <c r="F14" s="4" t="inlineStr">
        <is>
          <t>THLCH</t>
        </is>
      </c>
      <c r="G14" s="4" t="inlineStr">
        <is>
          <t>VNSGN</t>
        </is>
      </c>
      <c r="H14" s="4" t="inlineStr">
        <is>
          <t xml:space="preserve">20'x2 </t>
        </is>
      </c>
      <c r="I14" s="4" t="inlineStr">
        <is>
          <t>LCH28</t>
        </is>
      </c>
      <c r="J14" s="4" t="inlineStr">
        <is>
          <t>CELLO</t>
        </is>
      </c>
      <c r="K14" s="4" t="inlineStr">
        <is>
          <t>20261022</t>
        </is>
      </c>
      <c r="L14" s="4" t="inlineStr">
        <is>
          <t>WHA GC LOGISTICS COMPANY LIMITED</t>
        </is>
      </c>
      <c r="M14" s="4" t="inlineStr">
        <is>
          <t>PTT GLOBAL CHEMICAL PUBLIC COMPANY LIMITED</t>
        </is>
      </c>
      <c r="N14" s="4" t="inlineStr">
        <is>
          <t>RESIN</t>
        </is>
      </c>
      <c r="O14" s="4" t="inlineStr">
        <is>
          <t>GOOD AND CLEAN CTNR</t>
        </is>
      </c>
      <c r="P14" s="4" t="inlineStr">
        <is>
          <t xml:space="preserve">CY-RTN 22-27/10/26 [1ST RTN 27/10/2026 W/O RENT]
** PLEASE CHECK OPEN GATE BEFORE RETURN CONTAINER **
</t>
        </is>
      </c>
      <c r="Q14" s="4" t="n">
        <v>2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0</v>
      </c>
      <c r="AB14" s="4">
        <f>SUM(Q14:Y14)-Z14</f>
        <v/>
      </c>
      <c r="AC14" s="4">
        <f>IF(I14="","",IF(OR(LEFT(I14,3)="BKK",I14="LCH55"),"BKK",IF(LEFT(I14,3)="LCH","LCH","OTHER")))</f>
        <v/>
      </c>
      <c r="AD14" s="4">
        <f>MAX(0,Q14-MAX(0,Z14))</f>
        <v/>
      </c>
      <c r="AE14" s="4">
        <f>MAX(0,R14-MAX(0,Z14-SUM(Q14:Q14)))</f>
        <v/>
      </c>
      <c r="AF14" s="4">
        <f>MAX(0,S14-MAX(0,Z14-SUM(Q14:R14)))</f>
        <v/>
      </c>
      <c r="AG14" s="4">
        <f>MAX(0,T14-MAX(0,Z14-SUM(Q14:S14)))</f>
        <v/>
      </c>
      <c r="AH14" s="4">
        <f>MAX(0,U14-MAX(0,Z14-SUM(Q14:T14)))</f>
        <v/>
      </c>
      <c r="AI14" s="4">
        <f>MAX(0,V14-MAX(0,Z14-SUM(Q14:U14)))</f>
        <v/>
      </c>
      <c r="AJ14" s="4">
        <f>MAX(0,W14-MAX(0,Z14-SUM(Q14:V14)))</f>
        <v/>
      </c>
      <c r="AK14" s="4">
        <f>MAX(0,X14-MAX(0,Z14-SUM(Q14:W14)))</f>
        <v/>
      </c>
      <c r="AL14" s="4">
        <f>MAX(0,Y14-MAX(0,Z14-SUM(Q14:X14)))</f>
        <v/>
      </c>
    </row>
    <row r="15">
      <c r="A15" s="4" t="inlineStr">
        <is>
          <t>HASLS22260900469</t>
        </is>
      </c>
      <c r="B15" s="4" t="inlineStr">
        <is>
          <t>SWSP</t>
        </is>
      </c>
      <c r="C15" s="4" t="inlineStr">
        <is>
          <t>2610N</t>
        </is>
      </c>
      <c r="D15" s="4" t="inlineStr">
        <is>
          <t>202611082100</t>
        </is>
      </c>
      <c r="E15" s="4" t="inlineStr"/>
      <c r="F15" s="4" t="inlineStr">
        <is>
          <t>THLCH</t>
        </is>
      </c>
      <c r="G15" s="4" t="inlineStr">
        <is>
          <t>VNSGN</t>
        </is>
      </c>
      <c r="H15" s="4" t="inlineStr">
        <is>
          <t xml:space="preserve">20'x5 </t>
        </is>
      </c>
      <c r="I15" s="4" t="inlineStr">
        <is>
          <t>LCH27</t>
        </is>
      </c>
      <c r="J15" s="4" t="inlineStr">
        <is>
          <t xml:space="preserve">HAST Logistics Co.,Ltd. </t>
        </is>
      </c>
      <c r="K15" s="4" t="inlineStr">
        <is>
          <t>20261022</t>
        </is>
      </c>
      <c r="L15" s="4" t="inlineStr">
        <is>
          <t>WHA GC LOGISTICS COMPANY LIMITED</t>
        </is>
      </c>
      <c r="M15" s="4" t="inlineStr">
        <is>
          <t>PTT GLOBAL CHEMICAL PUBLIC COMPANY LIMITED</t>
        </is>
      </c>
      <c r="N15" s="4" t="inlineStr">
        <is>
          <t>RESIN</t>
        </is>
      </c>
      <c r="O15" s="4" t="inlineStr">
        <is>
          <t>GOOD AND CLEAN CTNR</t>
        </is>
      </c>
      <c r="P15" s="4" t="inlineStr">
        <is>
          <t xml:space="preserve">CY-RTN 22-27/10/26 [1ST RTN 27/10/2026 W/O RENT] (PR2610003950)
** PLEASE CHECK OPEN GATE BEFORE RETURN CONTAINER **
 </t>
        </is>
      </c>
      <c r="Q15" s="4" t="n">
        <v>5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0</v>
      </c>
      <c r="AB15" s="4">
        <f>SUM(Q15:Y15)-Z15</f>
        <v/>
      </c>
      <c r="AC15" s="4">
        <f>IF(I15="","",IF(OR(LEFT(I15,3)="BKK",I15="LCH55"),"BKK",IF(LEFT(I15,3)="LCH","LCH","OTHER")))</f>
        <v/>
      </c>
      <c r="AD15" s="4">
        <f>MAX(0,Q15-MAX(0,Z15))</f>
        <v/>
      </c>
      <c r="AE15" s="4">
        <f>MAX(0,R15-MAX(0,Z15-SUM(Q15:Q15)))</f>
        <v/>
      </c>
      <c r="AF15" s="4">
        <f>MAX(0,S15-MAX(0,Z15-SUM(Q15:R15)))</f>
        <v/>
      </c>
      <c r="AG15" s="4">
        <f>MAX(0,T15-MAX(0,Z15-SUM(Q15:S15)))</f>
        <v/>
      </c>
      <c r="AH15" s="4">
        <f>MAX(0,U15-MAX(0,Z15-SUM(Q15:T15)))</f>
        <v/>
      </c>
      <c r="AI15" s="4">
        <f>MAX(0,V15-MAX(0,Z15-SUM(Q15:U15)))</f>
        <v/>
      </c>
      <c r="AJ15" s="4">
        <f>MAX(0,W15-MAX(0,Z15-SUM(Q15:V15)))</f>
        <v/>
      </c>
      <c r="AK15" s="4">
        <f>MAX(0,X15-MAX(0,Z15-SUM(Q15:W15)))</f>
        <v/>
      </c>
      <c r="AL15" s="4">
        <f>MAX(0,Y15-MAX(0,Z15-SUM(Q15:X15)))</f>
        <v/>
      </c>
    </row>
    <row r="16">
      <c r="A16" s="4" t="inlineStr">
        <is>
          <t>HASLS22260900470</t>
        </is>
      </c>
      <c r="B16" s="4" t="inlineStr">
        <is>
          <t>DJCF</t>
        </is>
      </c>
      <c r="C16" s="4" t="inlineStr">
        <is>
          <t>0153N</t>
        </is>
      </c>
      <c r="D16" s="4" t="inlineStr">
        <is>
          <t>202611032200</t>
        </is>
      </c>
      <c r="E16" s="4" t="inlineStr"/>
      <c r="F16" s="4" t="inlineStr">
        <is>
          <t>THLCH</t>
        </is>
      </c>
      <c r="G16" s="4" t="inlineStr">
        <is>
          <t>VNSGN</t>
        </is>
      </c>
      <c r="H16" s="4" t="inlineStr">
        <is>
          <t xml:space="preserve">20'x9 </t>
        </is>
      </c>
      <c r="I16" s="4" t="inlineStr">
        <is>
          <t>LCH27</t>
        </is>
      </c>
      <c r="J16" s="4" t="inlineStr">
        <is>
          <t xml:space="preserve">HAST Logistics Co.,Ltd. </t>
        </is>
      </c>
      <c r="K16" s="4" t="inlineStr">
        <is>
          <t>20261022</t>
        </is>
      </c>
      <c r="L16" s="4" t="inlineStr">
        <is>
          <t>WHA GC LOGISTICS COMPANY LIMITED</t>
        </is>
      </c>
      <c r="M16" s="4" t="inlineStr">
        <is>
          <t>PTT GLOBAL CHEMICAL PUBLIC COMPANY LIMITED</t>
        </is>
      </c>
      <c r="N16" s="4" t="inlineStr">
        <is>
          <t>RESIN</t>
        </is>
      </c>
      <c r="O16" s="4" t="inlineStr">
        <is>
          <t>GOOD AND CLEAN CTNR</t>
        </is>
      </c>
      <c r="P16" s="4" t="inlineStr">
        <is>
          <t xml:space="preserve">CY-RTN 22-28/10/26 (PR2610003187)
</t>
        </is>
      </c>
      <c r="Q16" s="4" t="n">
        <v>9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  <c r="AB16" s="4">
        <f>SUM(Q16:Y16)-Z16</f>
        <v/>
      </c>
      <c r="AC16" s="4">
        <f>IF(I16="","",IF(OR(LEFT(I16,3)="BKK",I16="LCH55"),"BKK",IF(LEFT(I16,3)="LCH","LCH","OTHER")))</f>
        <v/>
      </c>
      <c r="AD16" s="4">
        <f>MAX(0,Q16-MAX(0,Z16))</f>
        <v/>
      </c>
      <c r="AE16" s="4">
        <f>MAX(0,R16-MAX(0,Z16-SUM(Q16:Q16)))</f>
        <v/>
      </c>
      <c r="AF16" s="4">
        <f>MAX(0,S16-MAX(0,Z16-SUM(Q16:R16)))</f>
        <v/>
      </c>
      <c r="AG16" s="4">
        <f>MAX(0,T16-MAX(0,Z16-SUM(Q16:S16)))</f>
        <v/>
      </c>
      <c r="AH16" s="4">
        <f>MAX(0,U16-MAX(0,Z16-SUM(Q16:T16)))</f>
        <v/>
      </c>
      <c r="AI16" s="4">
        <f>MAX(0,V16-MAX(0,Z16-SUM(Q16:U16)))</f>
        <v/>
      </c>
      <c r="AJ16" s="4">
        <f>MAX(0,W16-MAX(0,Z16-SUM(Q16:V16)))</f>
        <v/>
      </c>
      <c r="AK16" s="4">
        <f>MAX(0,X16-MAX(0,Z16-SUM(Q16:W16)))</f>
        <v/>
      </c>
      <c r="AL16" s="4">
        <f>MAX(0,Y16-MAX(0,Z16-SUM(Q16:X16)))</f>
        <v/>
      </c>
    </row>
    <row r="17">
      <c r="A17" s="4" t="inlineStr">
        <is>
          <t>HASLS22260900471</t>
        </is>
      </c>
      <c r="B17" s="4" t="inlineStr">
        <is>
          <t>KUS</t>
        </is>
      </c>
      <c r="C17" s="4" t="inlineStr">
        <is>
          <t>2617N</t>
        </is>
      </c>
      <c r="D17" s="4" t="inlineStr">
        <is>
          <t>202611070000</t>
        </is>
      </c>
      <c r="E17" s="4" t="inlineStr"/>
      <c r="F17" s="4" t="inlineStr">
        <is>
          <t>THLCH</t>
        </is>
      </c>
      <c r="G17" s="4" t="inlineStr">
        <is>
          <t>VNSGN</t>
        </is>
      </c>
      <c r="H17" s="4" t="inlineStr">
        <is>
          <t xml:space="preserve">20'x20 </t>
        </is>
      </c>
      <c r="I17" s="4" t="inlineStr">
        <is>
          <t>LCH27</t>
        </is>
      </c>
      <c r="J17" s="4" t="inlineStr">
        <is>
          <t xml:space="preserve">HAST Logistics Co.,Ltd. </t>
        </is>
      </c>
      <c r="K17" s="4" t="inlineStr">
        <is>
          <t>20261022</t>
        </is>
      </c>
      <c r="L17" s="4" t="inlineStr">
        <is>
          <t>WHA GC LOGISTICS COMPANY LIMITED</t>
        </is>
      </c>
      <c r="M17" s="4" t="inlineStr">
        <is>
          <t>PTT GLOBAL CHEMICAL PUBLIC COMPANY LIMITED</t>
        </is>
      </c>
      <c r="N17" s="4" t="inlineStr">
        <is>
          <t>RESIN</t>
        </is>
      </c>
      <c r="O17" s="4" t="inlineStr">
        <is>
          <t>GOOD AND CLEAN CTNR</t>
        </is>
      </c>
      <c r="P17" s="4" t="inlineStr">
        <is>
          <t xml:space="preserve">CY-RTN 22-30/10/26
</t>
        </is>
      </c>
      <c r="Q17" s="4" t="n">
        <v>20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  <c r="AB17" s="4">
        <f>SUM(Q17:Y17)-Z17</f>
        <v/>
      </c>
      <c r="AC17" s="4">
        <f>IF(I17="","",IF(OR(LEFT(I17,3)="BKK",I17="LCH55"),"BKK",IF(LEFT(I17,3)="LCH","LCH","OTHER")))</f>
        <v/>
      </c>
      <c r="AD17" s="4">
        <f>MAX(0,Q17-MAX(0,Z17))</f>
        <v/>
      </c>
      <c r="AE17" s="4">
        <f>MAX(0,R17-MAX(0,Z17-SUM(Q17:Q17)))</f>
        <v/>
      </c>
      <c r="AF17" s="4">
        <f>MAX(0,S17-MAX(0,Z17-SUM(Q17:R17)))</f>
        <v/>
      </c>
      <c r="AG17" s="4">
        <f>MAX(0,T17-MAX(0,Z17-SUM(Q17:S17)))</f>
        <v/>
      </c>
      <c r="AH17" s="4">
        <f>MAX(0,U17-MAX(0,Z17-SUM(Q17:T17)))</f>
        <v/>
      </c>
      <c r="AI17" s="4">
        <f>MAX(0,V17-MAX(0,Z17-SUM(Q17:U17)))</f>
        <v/>
      </c>
      <c r="AJ17" s="4">
        <f>MAX(0,W17-MAX(0,Z17-SUM(Q17:V17)))</f>
        <v/>
      </c>
      <c r="AK17" s="4">
        <f>MAX(0,X17-MAX(0,Z17-SUM(Q17:W17)))</f>
        <v/>
      </c>
      <c r="AL17" s="4">
        <f>MAX(0,Y17-MAX(0,Z17-SUM(Q17:X17)))</f>
        <v/>
      </c>
    </row>
    <row r="18">
      <c r="A18" s="4" t="inlineStr">
        <is>
          <t>HASLS22260901941</t>
        </is>
      </c>
      <c r="B18" s="4" t="inlineStr">
        <is>
          <t>SWDN</t>
        </is>
      </c>
      <c r="C18" s="4" t="inlineStr">
        <is>
          <t>2611N</t>
        </is>
      </c>
      <c r="D18" s="4" t="inlineStr">
        <is>
          <t>202611020200</t>
        </is>
      </c>
      <c r="E18" s="4" t="inlineStr"/>
      <c r="F18" s="4" t="inlineStr">
        <is>
          <t>THLCH</t>
        </is>
      </c>
      <c r="G18" s="4" t="inlineStr">
        <is>
          <t>CNXMN</t>
        </is>
      </c>
      <c r="H18" s="4" t="inlineStr">
        <is>
          <t xml:space="preserve">R40Hx1 </t>
        </is>
      </c>
      <c r="I18" s="4" t="inlineStr">
        <is>
          <t>LCH27</t>
        </is>
      </c>
      <c r="J18" s="4" t="inlineStr">
        <is>
          <t xml:space="preserve">HAST Logistics Co.,Ltd. </t>
        </is>
      </c>
      <c r="K18" s="4" t="inlineStr">
        <is>
          <t>20261014</t>
        </is>
      </c>
      <c r="L18" s="4" t="inlineStr">
        <is>
          <t>POSTMAN (THAILAND) CO.,LTD.</t>
        </is>
      </c>
      <c r="M18" s="4" t="inlineStr">
        <is>
          <t>POSTMAN (THAILAND) CO.,LTD.</t>
        </is>
      </c>
      <c r="N18" s="4" t="inlineStr">
        <is>
          <t>FRESH LONGAN</t>
        </is>
      </c>
      <c r="O18" s="4" t="inlineStr">
        <is>
          <t>RF45REx1 (Temp +2.0℃ / Vent 15% Open)</t>
        </is>
      </c>
      <c r="P18" s="4" t="inlineStr">
        <is>
          <t xml:space="preserve">Pickup : 2026-10-14, Return : 2026-10-22 (Temp +2.0℃ / Vent 15% Open)
 CLS TIME 24/10 @05.00 </t>
        </is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1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  <c r="AB18" s="4">
        <f>SUM(Q18:Y18)-Z18</f>
        <v/>
      </c>
      <c r="AC18" s="4">
        <f>IF(I18="","",IF(OR(LEFT(I18,3)="BKK",I18="LCH55"),"BKK",IF(LEFT(I18,3)="LCH","LCH","OTHER")))</f>
        <v/>
      </c>
      <c r="AD18" s="4">
        <f>MAX(0,Q18-MAX(0,Z18))</f>
        <v/>
      </c>
      <c r="AE18" s="4">
        <f>MAX(0,R18-MAX(0,Z18-SUM(Q18:Q18)))</f>
        <v/>
      </c>
      <c r="AF18" s="4">
        <f>MAX(0,S18-MAX(0,Z18-SUM(Q18:R18)))</f>
        <v/>
      </c>
      <c r="AG18" s="4">
        <f>MAX(0,T18-MAX(0,Z18-SUM(Q18:S18)))</f>
        <v/>
      </c>
      <c r="AH18" s="4">
        <f>MAX(0,U18-MAX(0,Z18-SUM(Q18:T18)))</f>
        <v/>
      </c>
      <c r="AI18" s="4">
        <f>MAX(0,V18-MAX(0,Z18-SUM(Q18:U18)))</f>
        <v/>
      </c>
      <c r="AJ18" s="4">
        <f>MAX(0,W18-MAX(0,Z18-SUM(Q18:V18)))</f>
        <v/>
      </c>
      <c r="AK18" s="4">
        <f>MAX(0,X18-MAX(0,Z18-SUM(Q18:W18)))</f>
        <v/>
      </c>
      <c r="AL18" s="4">
        <f>MAX(0,Y18-MAX(0,Z18-SUM(Q18:X18)))</f>
        <v/>
      </c>
    </row>
    <row r="19">
      <c r="A19" s="4" t="inlineStr">
        <is>
          <t>HASLS22260902643</t>
        </is>
      </c>
      <c r="B19" s="4" t="inlineStr">
        <is>
          <t>HAB</t>
        </is>
      </c>
      <c r="C19" s="4" t="inlineStr">
        <is>
          <t>2612N</t>
        </is>
      </c>
      <c r="D19" s="4" t="inlineStr">
        <is>
          <t>202610290200</t>
        </is>
      </c>
      <c r="E19" s="4" t="inlineStr"/>
      <c r="F19" s="4" t="inlineStr">
        <is>
          <t>THLCH</t>
        </is>
      </c>
      <c r="G19" s="4" t="inlineStr">
        <is>
          <t>CNSHA</t>
        </is>
      </c>
      <c r="H19" s="4" t="inlineStr">
        <is>
          <t xml:space="preserve">40Hx1 </t>
        </is>
      </c>
      <c r="I19" s="4" t="inlineStr">
        <is>
          <t>LCH27</t>
        </is>
      </c>
      <c r="J19" s="4" t="inlineStr">
        <is>
          <t xml:space="preserve">HAST Logistics Co.,Ltd. </t>
        </is>
      </c>
      <c r="K19" s="4" t="inlineStr">
        <is>
          <t>20261022</t>
        </is>
      </c>
      <c r="L19" s="4" t="inlineStr">
        <is>
          <t>RHENUS LOGISTICS CO., LTD.</t>
        </is>
      </c>
      <c r="M19" s="4" t="inlineStr">
        <is>
          <t>GROHE SIAM LIMITED</t>
        </is>
      </c>
      <c r="N19" s="4" t="inlineStr">
        <is>
          <t>SANITARY WARE</t>
        </is>
      </c>
      <c r="O19" s="4" t="inlineStr">
        <is>
          <t>Request dry, Strong floor and good container condition</t>
        </is>
      </c>
      <c r="P19" s="4" t="inlineStr">
        <is>
          <t>Pickup : 2026-10-22, Return : 2026-10-24</t>
        </is>
      </c>
      <c r="Q19" s="4" t="n">
        <v>0</v>
      </c>
      <c r="R19" s="4" t="n">
        <v>0</v>
      </c>
      <c r="S19" s="4" t="n">
        <v>1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  <c r="AB19" s="4">
        <f>SUM(Q19:Y19)-Z19</f>
        <v/>
      </c>
      <c r="AC19" s="4">
        <f>IF(I19="","",IF(OR(LEFT(I19,3)="BKK",I19="LCH55"),"BKK",IF(LEFT(I19,3)="LCH","LCH","OTHER")))</f>
        <v/>
      </c>
      <c r="AD19" s="4">
        <f>MAX(0,Q19-MAX(0,Z19))</f>
        <v/>
      </c>
      <c r="AE19" s="4">
        <f>MAX(0,R19-MAX(0,Z19-SUM(Q19:Q19)))</f>
        <v/>
      </c>
      <c r="AF19" s="4">
        <f>MAX(0,S19-MAX(0,Z19-SUM(Q19:R19)))</f>
        <v/>
      </c>
      <c r="AG19" s="4">
        <f>MAX(0,T19-MAX(0,Z19-SUM(Q19:S19)))</f>
        <v/>
      </c>
      <c r="AH19" s="4">
        <f>MAX(0,U19-MAX(0,Z19-SUM(Q19:T19)))</f>
        <v/>
      </c>
      <c r="AI19" s="4">
        <f>MAX(0,V19-MAX(0,Z19-SUM(Q19:U19)))</f>
        <v/>
      </c>
      <c r="AJ19" s="4">
        <f>MAX(0,W19-MAX(0,Z19-SUM(Q19:V19)))</f>
        <v/>
      </c>
      <c r="AK19" s="4">
        <f>MAX(0,X19-MAX(0,Z19-SUM(Q19:W19)))</f>
        <v/>
      </c>
      <c r="AL19" s="4">
        <f>MAX(0,Y19-MAX(0,Z19-SUM(Q19:X19)))</f>
        <v/>
      </c>
    </row>
    <row r="20">
      <c r="A20" s="4" t="inlineStr">
        <is>
          <t>HASLS22260902842</t>
        </is>
      </c>
      <c r="B20" s="4" t="inlineStr">
        <is>
          <t>KUS</t>
        </is>
      </c>
      <c r="C20" s="4" t="inlineStr">
        <is>
          <t>2617N</t>
        </is>
      </c>
      <c r="D20" s="4" t="inlineStr">
        <is>
          <t>202611070000</t>
        </is>
      </c>
      <c r="E20" s="4" t="inlineStr"/>
      <c r="F20" s="4" t="inlineStr">
        <is>
          <t>THLCH</t>
        </is>
      </c>
      <c r="G20" s="4" t="inlineStr">
        <is>
          <t>VNSGN</t>
        </is>
      </c>
      <c r="H20" s="4" t="inlineStr">
        <is>
          <t xml:space="preserve">20'x9 </t>
        </is>
      </c>
      <c r="I20" s="4" t="inlineStr">
        <is>
          <t>LCH27</t>
        </is>
      </c>
      <c r="J20" s="4" t="inlineStr">
        <is>
          <t xml:space="preserve">HAST Logistics Co.,Ltd. </t>
        </is>
      </c>
      <c r="K20" s="4" t="inlineStr">
        <is>
          <t>20261022</t>
        </is>
      </c>
      <c r="L20" s="4" t="inlineStr">
        <is>
          <t>WHA GC LOGISTICS COMPANY LIMITED</t>
        </is>
      </c>
      <c r="M20" s="4" t="inlineStr">
        <is>
          <t>PTT GLOBAL CHEMICAL PUBLIC COMPANY LIMITED</t>
        </is>
      </c>
      <c r="N20" s="4" t="inlineStr">
        <is>
          <t>RESIN</t>
        </is>
      </c>
      <c r="O20" s="4" t="inlineStr">
        <is>
          <t>GOOD AND CLEAN CTNR</t>
        </is>
      </c>
      <c r="P20" s="4" t="inlineStr">
        <is>
          <t xml:space="preserve">CY-RTN 22-29/10/26 (PR2610003187)
*PLS CHECK OPEN GATE BEFORE RETURN CTNR*
</t>
        </is>
      </c>
      <c r="Q20" s="4" t="n">
        <v>9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  <c r="AB20" s="4">
        <f>SUM(Q20:Y20)-Z20</f>
        <v/>
      </c>
      <c r="AC20" s="4">
        <f>IF(I20="","",IF(OR(LEFT(I20,3)="BKK",I20="LCH55"),"BKK",IF(LEFT(I20,3)="LCH","LCH","OTHER")))</f>
        <v/>
      </c>
      <c r="AD20" s="4">
        <f>MAX(0,Q20-MAX(0,Z20))</f>
        <v/>
      </c>
      <c r="AE20" s="4">
        <f>MAX(0,R20-MAX(0,Z20-SUM(Q20:Q20)))</f>
        <v/>
      </c>
      <c r="AF20" s="4">
        <f>MAX(0,S20-MAX(0,Z20-SUM(Q20:R20)))</f>
        <v/>
      </c>
      <c r="AG20" s="4">
        <f>MAX(0,T20-MAX(0,Z20-SUM(Q20:S20)))</f>
        <v/>
      </c>
      <c r="AH20" s="4">
        <f>MAX(0,U20-MAX(0,Z20-SUM(Q20:T20)))</f>
        <v/>
      </c>
      <c r="AI20" s="4">
        <f>MAX(0,V20-MAX(0,Z20-SUM(Q20:U20)))</f>
        <v/>
      </c>
      <c r="AJ20" s="4">
        <f>MAX(0,W20-MAX(0,Z20-SUM(Q20:V20)))</f>
        <v/>
      </c>
      <c r="AK20" s="4">
        <f>MAX(0,X20-MAX(0,Z20-SUM(Q20:W20)))</f>
        <v/>
      </c>
      <c r="AL20" s="4">
        <f>MAX(0,Y20-MAX(0,Z20-SUM(Q20:X20)))</f>
        <v/>
      </c>
    </row>
    <row r="21">
      <c r="A21" s="4" t="inlineStr">
        <is>
          <t>HASLS22261000214</t>
        </is>
      </c>
      <c r="B21" s="4" t="inlineStr">
        <is>
          <t>DJCF</t>
        </is>
      </c>
      <c r="C21" s="4" t="inlineStr">
        <is>
          <t>0153N</t>
        </is>
      </c>
      <c r="D21" s="4" t="inlineStr">
        <is>
          <t>202611032200</t>
        </is>
      </c>
      <c r="E21" s="4" t="inlineStr"/>
      <c r="F21" s="4" t="inlineStr">
        <is>
          <t>THLCH</t>
        </is>
      </c>
      <c r="G21" s="4" t="inlineStr">
        <is>
          <t>VNSGN</t>
        </is>
      </c>
      <c r="H21" s="4" t="inlineStr">
        <is>
          <t xml:space="preserve">20'x5 </t>
        </is>
      </c>
      <c r="I21" s="4" t="inlineStr">
        <is>
          <t>LCH27</t>
        </is>
      </c>
      <c r="J21" s="4" t="inlineStr">
        <is>
          <t xml:space="preserve">HAST Logistics Co.,Ltd. </t>
        </is>
      </c>
      <c r="K21" s="4" t="inlineStr">
        <is>
          <t>20261022</t>
        </is>
      </c>
      <c r="L21" s="4" t="inlineStr">
        <is>
          <t>WHA GC LOGISTICS COMPANY LIMITED</t>
        </is>
      </c>
      <c r="M21" s="4" t="inlineStr">
        <is>
          <t>PTT GLOBAL CHEMICAL PUBLIC COMPANY LIMITED</t>
        </is>
      </c>
      <c r="N21" s="4" t="inlineStr">
        <is>
          <t>RESIN</t>
        </is>
      </c>
      <c r="O21" s="4" t="inlineStr">
        <is>
          <t>GOOD AND CLEAN CTNR</t>
        </is>
      </c>
      <c r="P21" s="4" t="inlineStr">
        <is>
          <t xml:space="preserve">CY-RTN 22-28/10/26 (PR2610003393)
 ** PLEASE CHECK OPEN GATE BEFORE RETURN CNTR **
 </t>
        </is>
      </c>
      <c r="Q21" s="4" t="n">
        <v>5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0</v>
      </c>
      <c r="AB21" s="4">
        <f>SUM(Q21:Y21)-Z21</f>
        <v/>
      </c>
      <c r="AC21" s="4">
        <f>IF(I21="","",IF(OR(LEFT(I21,3)="BKK",I21="LCH55"),"BKK",IF(LEFT(I21,3)="LCH","LCH","OTHER")))</f>
        <v/>
      </c>
      <c r="AD21" s="4">
        <f>MAX(0,Q21-MAX(0,Z21))</f>
        <v/>
      </c>
      <c r="AE21" s="4">
        <f>MAX(0,R21-MAX(0,Z21-SUM(Q21:Q21)))</f>
        <v/>
      </c>
      <c r="AF21" s="4">
        <f>MAX(0,S21-MAX(0,Z21-SUM(Q21:R21)))</f>
        <v/>
      </c>
      <c r="AG21" s="4">
        <f>MAX(0,T21-MAX(0,Z21-SUM(Q21:S21)))</f>
        <v/>
      </c>
      <c r="AH21" s="4">
        <f>MAX(0,U21-MAX(0,Z21-SUM(Q21:T21)))</f>
        <v/>
      </c>
      <c r="AI21" s="4">
        <f>MAX(0,V21-MAX(0,Z21-SUM(Q21:U21)))</f>
        <v/>
      </c>
      <c r="AJ21" s="4">
        <f>MAX(0,W21-MAX(0,Z21-SUM(Q21:V21)))</f>
        <v/>
      </c>
      <c r="AK21" s="4">
        <f>MAX(0,X21-MAX(0,Z21-SUM(Q21:W21)))</f>
        <v/>
      </c>
      <c r="AL21" s="4">
        <f>MAX(0,Y21-MAX(0,Z21-SUM(Q21:X21)))</f>
        <v/>
      </c>
    </row>
    <row r="22">
      <c r="A22" s="4" t="inlineStr">
        <is>
          <t>HASLS22261000237</t>
        </is>
      </c>
      <c r="B22" s="4" t="inlineStr">
        <is>
          <t>NSSJ</t>
        </is>
      </c>
      <c r="C22" s="4" t="inlineStr">
        <is>
          <t>2608S</t>
        </is>
      </c>
      <c r="D22" s="4" t="inlineStr">
        <is>
          <t>202610290200</t>
        </is>
      </c>
      <c r="E22" s="4" t="inlineStr"/>
      <c r="F22" s="4" t="inlineStr">
        <is>
          <t>THLCH</t>
        </is>
      </c>
      <c r="G22" s="4" t="inlineStr">
        <is>
          <t>IDJKT</t>
        </is>
      </c>
      <c r="H22" s="4" t="inlineStr">
        <is>
          <t xml:space="preserve">R40Hx1 </t>
        </is>
      </c>
      <c r="I22" s="4" t="inlineStr">
        <is>
          <t>LCH27</t>
        </is>
      </c>
      <c r="J22" s="4" t="inlineStr">
        <is>
          <t xml:space="preserve">HAST Logistics Co.,Ltd. </t>
        </is>
      </c>
      <c r="K22" s="4" t="inlineStr">
        <is>
          <t>20261012</t>
        </is>
      </c>
      <c r="L22" s="4" t="inlineStr">
        <is>
          <t>BE 1ST ALLIANCE CO., LTD.</t>
        </is>
      </c>
      <c r="M22" s="4" t="inlineStr">
        <is>
          <t>SUCCESS IMPORT &amp; EXPORT CO., LTD.</t>
        </is>
      </c>
      <c r="N22" s="4" t="inlineStr">
        <is>
          <t>FRESH  LONGAN / +2'C VENT 15%</t>
        </is>
      </c>
      <c r="O22" s="4" t="inlineStr">
        <is>
          <t>(Temp 2.0℃ / Vent 15% Open)</t>
        </is>
      </c>
      <c r="P22" s="4" t="inlineStr">
        <is>
          <t>Pickup : 2026-10-21, Return : 2026-10-27  (Temp +2.0 / Vent 15% Open) 
Closing Time 2026-10-27 @ 12.00</t>
        </is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  <c r="AB22" s="4">
        <f>SUM(Q22:Y22)-Z22</f>
        <v/>
      </c>
      <c r="AC22" s="4">
        <f>IF(I22="","",IF(OR(LEFT(I22,3)="BKK",I22="LCH55"),"BKK",IF(LEFT(I22,3)="LCH","LCH","OTHER")))</f>
        <v/>
      </c>
      <c r="AD22" s="4">
        <f>MAX(0,Q22-MAX(0,Z22))</f>
        <v/>
      </c>
      <c r="AE22" s="4">
        <f>MAX(0,R22-MAX(0,Z22-SUM(Q22:Q22)))</f>
        <v/>
      </c>
      <c r="AF22" s="4">
        <f>MAX(0,S22-MAX(0,Z22-SUM(Q22:R22)))</f>
        <v/>
      </c>
      <c r="AG22" s="4">
        <f>MAX(0,T22-MAX(0,Z22-SUM(Q22:S22)))</f>
        <v/>
      </c>
      <c r="AH22" s="4">
        <f>MAX(0,U22-MAX(0,Z22-SUM(Q22:T22)))</f>
        <v/>
      </c>
      <c r="AI22" s="4">
        <f>MAX(0,V22-MAX(0,Z22-SUM(Q22:U22)))</f>
        <v/>
      </c>
      <c r="AJ22" s="4">
        <f>MAX(0,W22-MAX(0,Z22-SUM(Q22:V22)))</f>
        <v/>
      </c>
      <c r="AK22" s="4">
        <f>MAX(0,X22-MAX(0,Z22-SUM(Q22:W22)))</f>
        <v/>
      </c>
      <c r="AL22" s="4">
        <f>MAX(0,Y22-MAX(0,Z22-SUM(Q22:X22)))</f>
        <v/>
      </c>
    </row>
    <row r="23">
      <c r="A23" s="4" t="inlineStr">
        <is>
          <t>HASLS22261000238</t>
        </is>
      </c>
      <c r="B23" s="4" t="inlineStr">
        <is>
          <t>NSSJ</t>
        </is>
      </c>
      <c r="C23" s="4" t="inlineStr">
        <is>
          <t>2608S</t>
        </is>
      </c>
      <c r="D23" s="4" t="inlineStr">
        <is>
          <t>202610290200</t>
        </is>
      </c>
      <c r="E23" s="4" t="inlineStr"/>
      <c r="F23" s="4" t="inlineStr">
        <is>
          <t>THLCH</t>
        </is>
      </c>
      <c r="G23" s="4" t="inlineStr">
        <is>
          <t>IDJKT</t>
        </is>
      </c>
      <c r="H23" s="4" t="inlineStr">
        <is>
          <t xml:space="preserve">R40Hx1 </t>
        </is>
      </c>
      <c r="I23" s="4" t="inlineStr">
        <is>
          <t>LCH27</t>
        </is>
      </c>
      <c r="J23" s="4" t="inlineStr">
        <is>
          <t xml:space="preserve">HAST Logistics Co.,Ltd. </t>
        </is>
      </c>
      <c r="K23" s="4" t="inlineStr">
        <is>
          <t>20261021</t>
        </is>
      </c>
      <c r="L23" s="4" t="inlineStr">
        <is>
          <t>BE 1ST ALLIANCE CO., LTD.</t>
        </is>
      </c>
      <c r="M23" s="4" t="inlineStr">
        <is>
          <t>SUCCESS IMPORT &amp; EXPORT CO., LTD.</t>
        </is>
      </c>
      <c r="N23" s="4" t="inlineStr">
        <is>
          <t>FRESH  LONGAN / +2'C VENT 15%</t>
        </is>
      </c>
      <c r="O23" s="4" t="inlineStr">
        <is>
          <t>(Temp +2.0 / Vent 15% Open)</t>
        </is>
      </c>
      <c r="P23" s="4" t="inlineStr">
        <is>
          <t>Pickup : 2026-10-21, Return : 2026-10-27  (Temp +2.0 / Vent 15% Open) 
Closing Time 2026-10-27 @ 12.00</t>
        </is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1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</v>
      </c>
      <c r="AB23" s="4">
        <f>SUM(Q23:Y23)-Z23</f>
        <v/>
      </c>
      <c r="AC23" s="4">
        <f>IF(I23="","",IF(OR(LEFT(I23,3)="BKK",I23="LCH55"),"BKK",IF(LEFT(I23,3)="LCH","LCH","OTHER")))</f>
        <v/>
      </c>
      <c r="AD23" s="4">
        <f>MAX(0,Q23-MAX(0,Z23))</f>
        <v/>
      </c>
      <c r="AE23" s="4">
        <f>MAX(0,R23-MAX(0,Z23-SUM(Q23:Q23)))</f>
        <v/>
      </c>
      <c r="AF23" s="4">
        <f>MAX(0,S23-MAX(0,Z23-SUM(Q23:R23)))</f>
        <v/>
      </c>
      <c r="AG23" s="4">
        <f>MAX(0,T23-MAX(0,Z23-SUM(Q23:S23)))</f>
        <v/>
      </c>
      <c r="AH23" s="4">
        <f>MAX(0,U23-MAX(0,Z23-SUM(Q23:T23)))</f>
        <v/>
      </c>
      <c r="AI23" s="4">
        <f>MAX(0,V23-MAX(0,Z23-SUM(Q23:U23)))</f>
        <v/>
      </c>
      <c r="AJ23" s="4">
        <f>MAX(0,W23-MAX(0,Z23-SUM(Q23:V23)))</f>
        <v/>
      </c>
      <c r="AK23" s="4">
        <f>MAX(0,X23-MAX(0,Z23-SUM(Q23:W23)))</f>
        <v/>
      </c>
      <c r="AL23" s="4">
        <f>MAX(0,Y23-MAX(0,Z23-SUM(Q23:X23)))</f>
        <v/>
      </c>
    </row>
    <row r="24">
      <c r="A24" s="4" t="inlineStr">
        <is>
          <t>HASLS22261000443</t>
        </is>
      </c>
      <c r="B24" s="4" t="inlineStr">
        <is>
          <t>NSSJ</t>
        </is>
      </c>
      <c r="C24" s="4" t="inlineStr">
        <is>
          <t>2608S</t>
        </is>
      </c>
      <c r="D24" s="4" t="inlineStr">
        <is>
          <t>202610290200</t>
        </is>
      </c>
      <c r="E24" s="4" t="inlineStr"/>
      <c r="F24" s="4" t="inlineStr">
        <is>
          <t>THLCH</t>
        </is>
      </c>
      <c r="G24" s="4" t="inlineStr">
        <is>
          <t>IDJKT</t>
        </is>
      </c>
      <c r="H24" s="4" t="inlineStr">
        <is>
          <t xml:space="preserve">R40Hx1 </t>
        </is>
      </c>
      <c r="I24" s="4" t="inlineStr">
        <is>
          <t>LCH27</t>
        </is>
      </c>
      <c r="J24" s="4" t="inlineStr">
        <is>
          <t xml:space="preserve">HAST Logistics Co.,Ltd. </t>
        </is>
      </c>
      <c r="K24" s="4" t="inlineStr">
        <is>
          <t>20261016</t>
        </is>
      </c>
      <c r="L24" s="4" t="inlineStr">
        <is>
          <t>PROGRESS SHIPPING - TRANSPORT CO., LTD.</t>
        </is>
      </c>
      <c r="M24" s="4" t="inlineStr">
        <is>
          <t>FRUIT PARADISE INTERNATIONAL TRADE CO.,LTD</t>
        </is>
      </c>
      <c r="N24" s="4" t="inlineStr">
        <is>
          <t>FRESH LONGAN (TEMP +2 VENT 15%)</t>
        </is>
      </c>
      <c r="O24" s="4" t="inlineStr">
        <is>
          <t>FRESH LONGAN 
TEMP +2 VENT 15%
REQUEST CONTAINER UPSIZE 34-35 TONS</t>
        </is>
      </c>
      <c r="P24" s="4" t="inlineStr">
        <is>
          <t>Pickup : 2026-10-16, Return : 2026-10-19 (Temp +2.0 / Vent 15%) 
Closing Time 2026-10-22 @ 12.00 (1ST RETURN 21/10 W/O RENT)</t>
        </is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1</v>
      </c>
      <c r="V24" s="4" t="n">
        <v>0</v>
      </c>
      <c r="W24" s="4" t="n">
        <v>0</v>
      </c>
      <c r="X24" s="4" t="n">
        <v>0</v>
      </c>
      <c r="Y24" s="4" t="n">
        <v>0</v>
      </c>
      <c r="Z24" s="4" t="n">
        <v>0</v>
      </c>
      <c r="AA24" s="4" t="n">
        <v>0</v>
      </c>
      <c r="AB24" s="4">
        <f>SUM(Q24:Y24)-Z24</f>
        <v/>
      </c>
      <c r="AC24" s="4">
        <f>IF(I24="","",IF(OR(LEFT(I24,3)="BKK",I24="LCH55"),"BKK",IF(LEFT(I24,3)="LCH","LCH","OTHER")))</f>
        <v/>
      </c>
      <c r="AD24" s="4">
        <f>MAX(0,Q24-MAX(0,Z24))</f>
        <v/>
      </c>
      <c r="AE24" s="4">
        <f>MAX(0,R24-MAX(0,Z24-SUM(Q24:Q24)))</f>
        <v/>
      </c>
      <c r="AF24" s="4">
        <f>MAX(0,S24-MAX(0,Z24-SUM(Q24:R24)))</f>
        <v/>
      </c>
      <c r="AG24" s="4">
        <f>MAX(0,T24-MAX(0,Z24-SUM(Q24:S24)))</f>
        <v/>
      </c>
      <c r="AH24" s="4">
        <f>MAX(0,U24-MAX(0,Z24-SUM(Q24:T24)))</f>
        <v/>
      </c>
      <c r="AI24" s="4">
        <f>MAX(0,V24-MAX(0,Z24-SUM(Q24:U24)))</f>
        <v/>
      </c>
      <c r="AJ24" s="4">
        <f>MAX(0,W24-MAX(0,Z24-SUM(Q24:V24)))</f>
        <v/>
      </c>
      <c r="AK24" s="4">
        <f>MAX(0,X24-MAX(0,Z24-SUM(Q24:W24)))</f>
        <v/>
      </c>
      <c r="AL24" s="4">
        <f>MAX(0,Y24-MAX(0,Z24-SUM(Q24:X24)))</f>
        <v/>
      </c>
    </row>
    <row r="25">
      <c r="A25" s="4" t="inlineStr">
        <is>
          <t>HASLS22261000446</t>
        </is>
      </c>
      <c r="B25" s="4" t="inlineStr">
        <is>
          <t>NSSJ</t>
        </is>
      </c>
      <c r="C25" s="4" t="inlineStr">
        <is>
          <t>2608S</t>
        </is>
      </c>
      <c r="D25" s="4" t="inlineStr">
        <is>
          <t>202610290200</t>
        </is>
      </c>
      <c r="E25" s="4" t="inlineStr"/>
      <c r="F25" s="4" t="inlineStr">
        <is>
          <t>THLCH</t>
        </is>
      </c>
      <c r="G25" s="4" t="inlineStr">
        <is>
          <t>IDJKT</t>
        </is>
      </c>
      <c r="H25" s="4" t="inlineStr">
        <is>
          <t xml:space="preserve">R40Hx1 </t>
        </is>
      </c>
      <c r="I25" s="4" t="inlineStr">
        <is>
          <t>LCH27</t>
        </is>
      </c>
      <c r="J25" s="4" t="inlineStr">
        <is>
          <t xml:space="preserve">HAST Logistics Co.,Ltd. </t>
        </is>
      </c>
      <c r="K25" s="4" t="inlineStr">
        <is>
          <t>20261015</t>
        </is>
      </c>
      <c r="L25" s="4" t="inlineStr">
        <is>
          <t>PROGRESS SHIPPING - TRANSPORT CO., LTD.</t>
        </is>
      </c>
      <c r="M25" s="4" t="inlineStr">
        <is>
          <t>FRUIT PARADISE INTERNATIONAL TRADE CO.,LTD</t>
        </is>
      </c>
      <c r="N25" s="4" t="inlineStr">
        <is>
          <t>FRESH LONGAN (TEMP +2 VENT 15%)</t>
        </is>
      </c>
      <c r="O25" s="4" t="inlineStr">
        <is>
          <t>FRESH LONGAN 
TEMP +2 VENT 15%
REQUEST CONTAINER UPSIZE 34-35 TONS</t>
        </is>
      </c>
      <c r="P25" s="4" t="inlineStr">
        <is>
          <t>Pickup : 2026-10-15, Return : 2026-10-20(Temp +2.0 / Vent 15%) 
Closing Time 2026-10-22 @ 12.00 (1ST RETURN 21/10 W/O RENT)</t>
        </is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1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  <c r="AB25" s="4">
        <f>SUM(Q25:Y25)-Z25</f>
        <v/>
      </c>
      <c r="AC25" s="4">
        <f>IF(I25="","",IF(OR(LEFT(I25,3)="BKK",I25="LCH55"),"BKK",IF(LEFT(I25,3)="LCH","LCH","OTHER")))</f>
        <v/>
      </c>
      <c r="AD25" s="4">
        <f>MAX(0,Q25-MAX(0,Z25))</f>
        <v/>
      </c>
      <c r="AE25" s="4">
        <f>MAX(0,R25-MAX(0,Z25-SUM(Q25:Q25)))</f>
        <v/>
      </c>
      <c r="AF25" s="4">
        <f>MAX(0,S25-MAX(0,Z25-SUM(Q25:R25)))</f>
        <v/>
      </c>
      <c r="AG25" s="4">
        <f>MAX(0,T25-MAX(0,Z25-SUM(Q25:S25)))</f>
        <v/>
      </c>
      <c r="AH25" s="4">
        <f>MAX(0,U25-MAX(0,Z25-SUM(Q25:T25)))</f>
        <v/>
      </c>
      <c r="AI25" s="4">
        <f>MAX(0,V25-MAX(0,Z25-SUM(Q25:U25)))</f>
        <v/>
      </c>
      <c r="AJ25" s="4">
        <f>MAX(0,W25-MAX(0,Z25-SUM(Q25:V25)))</f>
        <v/>
      </c>
      <c r="AK25" s="4">
        <f>MAX(0,X25-MAX(0,Z25-SUM(Q25:W25)))</f>
        <v/>
      </c>
      <c r="AL25" s="4">
        <f>MAX(0,Y25-MAX(0,Z25-SUM(Q25:X25)))</f>
        <v/>
      </c>
    </row>
    <row r="26">
      <c r="A26" s="4" t="inlineStr">
        <is>
          <t>HASLS22261000447</t>
        </is>
      </c>
      <c r="B26" s="4" t="inlineStr">
        <is>
          <t>NSSJ</t>
        </is>
      </c>
      <c r="C26" s="4" t="inlineStr">
        <is>
          <t>2608S</t>
        </is>
      </c>
      <c r="D26" s="4" t="inlineStr">
        <is>
          <t>202610290200</t>
        </is>
      </c>
      <c r="E26" s="4" t="inlineStr"/>
      <c r="F26" s="4" t="inlineStr">
        <is>
          <t>THLCH</t>
        </is>
      </c>
      <c r="G26" s="4" t="inlineStr">
        <is>
          <t>IDJKT</t>
        </is>
      </c>
      <c r="H26" s="4" t="inlineStr">
        <is>
          <t xml:space="preserve">R40Hx1 </t>
        </is>
      </c>
      <c r="I26" s="4" t="inlineStr">
        <is>
          <t>LCH27</t>
        </is>
      </c>
      <c r="J26" s="4" t="inlineStr">
        <is>
          <t xml:space="preserve">HAST Logistics Co.,Ltd. </t>
        </is>
      </c>
      <c r="K26" s="4" t="inlineStr">
        <is>
          <t>20261016</t>
        </is>
      </c>
      <c r="L26" s="4" t="inlineStr">
        <is>
          <t>PROGRESS SHIPPING - TRANSPORT CO., LTD.</t>
        </is>
      </c>
      <c r="M26" s="4" t="inlineStr">
        <is>
          <t>PROGRESS SHIPPING - TRANSPORT CO., LTD.</t>
        </is>
      </c>
      <c r="N26" s="4" t="inlineStr">
        <is>
          <t>FRESH LONGAN (TEMP +2 VENT 15%)</t>
        </is>
      </c>
      <c r="O26" s="4" t="inlineStr">
        <is>
          <t>FRESH LONGAN 
TEMP +2 VENT 15%
REQUEST CONTAINER UPSIZE 34-35 TONS</t>
        </is>
      </c>
      <c r="P26" s="4" t="inlineStr">
        <is>
          <t>Pickup : 2026-10-16, Return : 2026-10-19 (Temp +2.0 / Vent 15%) 
Closing Time 2026-10-22 @ 12.00 (1ST RETURN 21/10 W/O RENT)</t>
        </is>
      </c>
      <c r="Q26" s="4" t="n">
        <v>0</v>
      </c>
      <c r="R26" s="4" t="n">
        <v>0</v>
      </c>
      <c r="S26" s="4" t="n">
        <v>0</v>
      </c>
      <c r="T26" s="4" t="n">
        <v>0</v>
      </c>
      <c r="U26" s="4" t="n">
        <v>1</v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</v>
      </c>
      <c r="AB26" s="4">
        <f>SUM(Q26:Y26)-Z26</f>
        <v/>
      </c>
      <c r="AC26" s="4">
        <f>IF(I26="","",IF(OR(LEFT(I26,3)="BKK",I26="LCH55"),"BKK",IF(LEFT(I26,3)="LCH","LCH","OTHER")))</f>
        <v/>
      </c>
      <c r="AD26" s="4">
        <f>MAX(0,Q26-MAX(0,Z26))</f>
        <v/>
      </c>
      <c r="AE26" s="4">
        <f>MAX(0,R26-MAX(0,Z26-SUM(Q26:Q26)))</f>
        <v/>
      </c>
      <c r="AF26" s="4">
        <f>MAX(0,S26-MAX(0,Z26-SUM(Q26:R26)))</f>
        <v/>
      </c>
      <c r="AG26" s="4">
        <f>MAX(0,T26-MAX(0,Z26-SUM(Q26:S26)))</f>
        <v/>
      </c>
      <c r="AH26" s="4">
        <f>MAX(0,U26-MAX(0,Z26-SUM(Q26:T26)))</f>
        <v/>
      </c>
      <c r="AI26" s="4">
        <f>MAX(0,V26-MAX(0,Z26-SUM(Q26:U26)))</f>
        <v/>
      </c>
      <c r="AJ26" s="4">
        <f>MAX(0,W26-MAX(0,Z26-SUM(Q26:V26)))</f>
        <v/>
      </c>
      <c r="AK26" s="4">
        <f>MAX(0,X26-MAX(0,Z26-SUM(Q26:W26)))</f>
        <v/>
      </c>
      <c r="AL26" s="4">
        <f>MAX(0,Y26-MAX(0,Z26-SUM(Q26:X26)))</f>
        <v/>
      </c>
    </row>
    <row r="27">
      <c r="A27" s="4" t="inlineStr">
        <is>
          <t>HASLS22261000450</t>
        </is>
      </c>
      <c r="B27" s="4" t="inlineStr">
        <is>
          <t>NSSJ</t>
        </is>
      </c>
      <c r="C27" s="4" t="inlineStr">
        <is>
          <t>2608S</t>
        </is>
      </c>
      <c r="D27" s="4" t="inlineStr">
        <is>
          <t>202610290200</t>
        </is>
      </c>
      <c r="E27" s="4" t="inlineStr"/>
      <c r="F27" s="4" t="inlineStr">
        <is>
          <t>THLCH</t>
        </is>
      </c>
      <c r="G27" s="4" t="inlineStr">
        <is>
          <t>IDJKT</t>
        </is>
      </c>
      <c r="H27" s="4" t="inlineStr">
        <is>
          <t xml:space="preserve">R40Hx1 </t>
        </is>
      </c>
      <c r="I27" s="4" t="inlineStr">
        <is>
          <t>LCH27</t>
        </is>
      </c>
      <c r="J27" s="4" t="inlineStr">
        <is>
          <t xml:space="preserve">HAST Logistics Co.,Ltd. </t>
        </is>
      </c>
      <c r="K27" s="4" t="inlineStr">
        <is>
          <t>20261016</t>
        </is>
      </c>
      <c r="L27" s="4" t="inlineStr">
        <is>
          <t>PROGRESS SHIPPING - TRANSPORT CO., LTD.</t>
        </is>
      </c>
      <c r="M27" s="4" t="inlineStr">
        <is>
          <t>FRUIT PARADISE INTERNATIONAL TRADE CO.,LTD</t>
        </is>
      </c>
      <c r="N27" s="4" t="inlineStr">
        <is>
          <t>FRESH LONGAN (TEMP +2 VENT 15%)</t>
        </is>
      </c>
      <c r="O27" s="4" t="inlineStr">
        <is>
          <t>FRESH LONGAN 
TEMP +2 VENT 15%
REQUEST CONTAINER UPSIZE 34-35 TONS</t>
        </is>
      </c>
      <c r="P27" s="4" t="inlineStr">
        <is>
          <t>Pickup : 2026-10-16, Return : 2026-10-20 (Temp +2.0 / Vent 15%) 
Closing Time 2026-10-22 @ 12.00 (1ST RETURN 21/10 W/O RENT)</t>
        </is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1</v>
      </c>
      <c r="V27" s="4" t="n">
        <v>0</v>
      </c>
      <c r="W27" s="4" t="n">
        <v>0</v>
      </c>
      <c r="X27" s="4" t="n">
        <v>0</v>
      </c>
      <c r="Y27" s="4" t="n">
        <v>0</v>
      </c>
      <c r="Z27" s="4" t="n">
        <v>0</v>
      </c>
      <c r="AA27" s="4" t="n">
        <v>0</v>
      </c>
      <c r="AB27" s="4">
        <f>SUM(Q27:Y27)-Z27</f>
        <v/>
      </c>
      <c r="AC27" s="4">
        <f>IF(I27="","",IF(OR(LEFT(I27,3)="BKK",I27="LCH55"),"BKK",IF(LEFT(I27,3)="LCH","LCH","OTHER")))</f>
        <v/>
      </c>
      <c r="AD27" s="4">
        <f>MAX(0,Q27-MAX(0,Z27))</f>
        <v/>
      </c>
      <c r="AE27" s="4">
        <f>MAX(0,R27-MAX(0,Z27-SUM(Q27:Q27)))</f>
        <v/>
      </c>
      <c r="AF27" s="4">
        <f>MAX(0,S27-MAX(0,Z27-SUM(Q27:R27)))</f>
        <v/>
      </c>
      <c r="AG27" s="4">
        <f>MAX(0,T27-MAX(0,Z27-SUM(Q27:S27)))</f>
        <v/>
      </c>
      <c r="AH27" s="4">
        <f>MAX(0,U27-MAX(0,Z27-SUM(Q27:T27)))</f>
        <v/>
      </c>
      <c r="AI27" s="4">
        <f>MAX(0,V27-MAX(0,Z27-SUM(Q27:U27)))</f>
        <v/>
      </c>
      <c r="AJ27" s="4">
        <f>MAX(0,W27-MAX(0,Z27-SUM(Q27:V27)))</f>
        <v/>
      </c>
      <c r="AK27" s="4">
        <f>MAX(0,X27-MAX(0,Z27-SUM(Q27:W27)))</f>
        <v/>
      </c>
      <c r="AL27" s="4">
        <f>MAX(0,Y27-MAX(0,Z27-SUM(Q27:X27)))</f>
        <v/>
      </c>
    </row>
    <row r="28">
      <c r="A28" s="4" t="inlineStr">
        <is>
          <t>HASLS22261000451</t>
        </is>
      </c>
      <c r="B28" s="4" t="inlineStr">
        <is>
          <t>NSSJ</t>
        </is>
      </c>
      <c r="C28" s="4" t="inlineStr">
        <is>
          <t>2608S</t>
        </is>
      </c>
      <c r="D28" s="4" t="inlineStr">
        <is>
          <t>202610290200</t>
        </is>
      </c>
      <c r="E28" s="4" t="inlineStr"/>
      <c r="F28" s="4" t="inlineStr">
        <is>
          <t>THLCH</t>
        </is>
      </c>
      <c r="G28" s="4" t="inlineStr">
        <is>
          <t>IDJKT</t>
        </is>
      </c>
      <c r="H28" s="4" t="inlineStr">
        <is>
          <t xml:space="preserve">R40Hx1 </t>
        </is>
      </c>
      <c r="I28" s="4" t="inlineStr">
        <is>
          <t>LCH27</t>
        </is>
      </c>
      <c r="J28" s="4" t="inlineStr">
        <is>
          <t xml:space="preserve">HAST Logistics Co.,Ltd. </t>
        </is>
      </c>
      <c r="K28" s="4" t="inlineStr">
        <is>
          <t>20261016</t>
        </is>
      </c>
      <c r="L28" s="4" t="inlineStr">
        <is>
          <t>PROGRESS SHIPPING - TRANSPORT CO., LTD.</t>
        </is>
      </c>
      <c r="M28" s="4" t="inlineStr">
        <is>
          <t>FRUIT PARADISE INTERNATIONAL TRADE CO.,LTD</t>
        </is>
      </c>
      <c r="N28" s="4" t="inlineStr">
        <is>
          <t>FRESH LONGAN (TEMP +2 VENT 15%)</t>
        </is>
      </c>
      <c r="O28" s="4" t="inlineStr">
        <is>
          <t>FRESH LONGAN 
TEMP +2 VENT 15%
REQUEST CONTAINER UPSIZE 34-35 TONS</t>
        </is>
      </c>
      <c r="P28" s="4" t="inlineStr">
        <is>
          <t>Pickup : 2026-10-16, Return : 2026-10-20 (Temp +2.0 / Vent 15%) 
Closing Time 2026-10-22 @ 12.00 (1ST RETURN 21/10 W/O RENT)</t>
        </is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1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  <c r="AB28" s="4">
        <f>SUM(Q28:Y28)-Z28</f>
        <v/>
      </c>
      <c r="AC28" s="4">
        <f>IF(I28="","",IF(OR(LEFT(I28,3)="BKK",I28="LCH55"),"BKK",IF(LEFT(I28,3)="LCH","LCH","OTHER")))</f>
        <v/>
      </c>
      <c r="AD28" s="4">
        <f>MAX(0,Q28-MAX(0,Z28))</f>
        <v/>
      </c>
      <c r="AE28" s="4">
        <f>MAX(0,R28-MAX(0,Z28-SUM(Q28:Q28)))</f>
        <v/>
      </c>
      <c r="AF28" s="4">
        <f>MAX(0,S28-MAX(0,Z28-SUM(Q28:R28)))</f>
        <v/>
      </c>
      <c r="AG28" s="4">
        <f>MAX(0,T28-MAX(0,Z28-SUM(Q28:S28)))</f>
        <v/>
      </c>
      <c r="AH28" s="4">
        <f>MAX(0,U28-MAX(0,Z28-SUM(Q28:T28)))</f>
        <v/>
      </c>
      <c r="AI28" s="4">
        <f>MAX(0,V28-MAX(0,Z28-SUM(Q28:U28)))</f>
        <v/>
      </c>
      <c r="AJ28" s="4">
        <f>MAX(0,W28-MAX(0,Z28-SUM(Q28:V28)))</f>
        <v/>
      </c>
      <c r="AK28" s="4">
        <f>MAX(0,X28-MAX(0,Z28-SUM(Q28:W28)))</f>
        <v/>
      </c>
      <c r="AL28" s="4">
        <f>MAX(0,Y28-MAX(0,Z28-SUM(Q28:X28)))</f>
        <v/>
      </c>
    </row>
    <row r="29">
      <c r="A29" s="4" t="inlineStr">
        <is>
          <t>HASLS22261000454</t>
        </is>
      </c>
      <c r="B29" s="4" t="inlineStr">
        <is>
          <t>KMSU</t>
        </is>
      </c>
      <c r="C29" s="4" t="inlineStr">
        <is>
          <t>2608S</t>
        </is>
      </c>
      <c r="D29" s="4" t="inlineStr">
        <is>
          <t>202611012100</t>
        </is>
      </c>
      <c r="E29" s="4" t="inlineStr"/>
      <c r="F29" s="4" t="inlineStr">
        <is>
          <t>THLCH</t>
        </is>
      </c>
      <c r="G29" s="4" t="inlineStr">
        <is>
          <t>IDJKT</t>
        </is>
      </c>
      <c r="H29" s="4" t="inlineStr">
        <is>
          <t xml:space="preserve">R40Hx1 </t>
        </is>
      </c>
      <c r="I29" s="4" t="inlineStr">
        <is>
          <t>LCH27</t>
        </is>
      </c>
      <c r="J29" s="4" t="inlineStr">
        <is>
          <t xml:space="preserve">HAST Logistics Co.,Ltd. </t>
        </is>
      </c>
      <c r="K29" s="4" t="inlineStr">
        <is>
          <t>20261022</t>
        </is>
      </c>
      <c r="L29" s="4" t="inlineStr">
        <is>
          <t>PROGRESS SHIPPING - TRANSPORT CO., LTD.</t>
        </is>
      </c>
      <c r="M29" s="4" t="inlineStr">
        <is>
          <t>FRUIT PARADISE INTERNATIONAL TRADE CO.,LTD</t>
        </is>
      </c>
      <c r="N29" s="4" t="inlineStr">
        <is>
          <t>FRESH LONGAN (TEMP +2 VENT 15%)</t>
        </is>
      </c>
      <c r="O29" s="4" t="inlineStr">
        <is>
          <t>FRESH LONGAN 
TEMP +2 VENT 15%
REQUEST CONTAINER UPSIZE 34-35 TONS</t>
        </is>
      </c>
      <c r="P29" s="4" t="inlineStr">
        <is>
          <t xml:space="preserve">Pickup : 2026-10-22, Return : 2026-10-28  (Temp +2.0 / Vent 15%) 
Closing Time 2026-10-31 @ 18.00 </t>
        </is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1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  <c r="AB29" s="4">
        <f>SUM(Q29:Y29)-Z29</f>
        <v/>
      </c>
      <c r="AC29" s="4">
        <f>IF(I29="","",IF(OR(LEFT(I29,3)="BKK",I29="LCH55"),"BKK",IF(LEFT(I29,3)="LCH","LCH","OTHER")))</f>
        <v/>
      </c>
      <c r="AD29" s="4">
        <f>MAX(0,Q29-MAX(0,Z29))</f>
        <v/>
      </c>
      <c r="AE29" s="4">
        <f>MAX(0,R29-MAX(0,Z29-SUM(Q29:Q29)))</f>
        <v/>
      </c>
      <c r="AF29" s="4">
        <f>MAX(0,S29-MAX(0,Z29-SUM(Q29:R29)))</f>
        <v/>
      </c>
      <c r="AG29" s="4">
        <f>MAX(0,T29-MAX(0,Z29-SUM(Q29:S29)))</f>
        <v/>
      </c>
      <c r="AH29" s="4">
        <f>MAX(0,U29-MAX(0,Z29-SUM(Q29:T29)))</f>
        <v/>
      </c>
      <c r="AI29" s="4">
        <f>MAX(0,V29-MAX(0,Z29-SUM(Q29:U29)))</f>
        <v/>
      </c>
      <c r="AJ29" s="4">
        <f>MAX(0,W29-MAX(0,Z29-SUM(Q29:V29)))</f>
        <v/>
      </c>
      <c r="AK29" s="4">
        <f>MAX(0,X29-MAX(0,Z29-SUM(Q29:W29)))</f>
        <v/>
      </c>
      <c r="AL29" s="4">
        <f>MAX(0,Y29-MAX(0,Z29-SUM(Q29:X29)))</f>
        <v/>
      </c>
    </row>
    <row r="30">
      <c r="A30" s="4" t="inlineStr">
        <is>
          <t>HASLS22261000455</t>
        </is>
      </c>
      <c r="B30" s="4" t="inlineStr">
        <is>
          <t>KMSU</t>
        </is>
      </c>
      <c r="C30" s="4" t="inlineStr">
        <is>
          <t>2608S</t>
        </is>
      </c>
      <c r="D30" s="4" t="inlineStr">
        <is>
          <t>202611012100</t>
        </is>
      </c>
      <c r="E30" s="4" t="inlineStr"/>
      <c r="F30" s="4" t="inlineStr">
        <is>
          <t>THLCH</t>
        </is>
      </c>
      <c r="G30" s="4" t="inlineStr">
        <is>
          <t>IDJKT</t>
        </is>
      </c>
      <c r="H30" s="4" t="inlineStr">
        <is>
          <t xml:space="preserve">R40Hx1 </t>
        </is>
      </c>
      <c r="I30" s="4" t="inlineStr">
        <is>
          <t>LCH27</t>
        </is>
      </c>
      <c r="J30" s="4" t="inlineStr">
        <is>
          <t xml:space="preserve">HAST Logistics Co.,Ltd. </t>
        </is>
      </c>
      <c r="K30" s="4" t="inlineStr">
        <is>
          <t>20261022</t>
        </is>
      </c>
      <c r="L30" s="4" t="inlineStr">
        <is>
          <t>PROGRESS SHIPPING - TRANSPORT CO., LTD.</t>
        </is>
      </c>
      <c r="M30" s="4" t="inlineStr">
        <is>
          <t>FRUIT PARADISE INTERNATIONAL TRADE CO.,LTD</t>
        </is>
      </c>
      <c r="N30" s="4" t="inlineStr">
        <is>
          <t>FRESH LONGAN (TEMP +2 VENT 15%)</t>
        </is>
      </c>
      <c r="O30" s="4" t="inlineStr">
        <is>
          <t>FRESH LONGAN 
TEMP +2 VENT 15%
REQUEST CONTAINER UPSIZE 34-35 TONS</t>
        </is>
      </c>
      <c r="P30" s="4" t="inlineStr">
        <is>
          <t xml:space="preserve">Pickup : 2026-10-22, Return : 2026-10-27  (Temp +2.0 / Vent 15%) 
Closing Time 2026-10-31 @ 18.00 </t>
        </is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1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0</v>
      </c>
      <c r="AB30" s="4">
        <f>SUM(Q30:Y30)-Z30</f>
        <v/>
      </c>
      <c r="AC30" s="4">
        <f>IF(I30="","",IF(OR(LEFT(I30,3)="BKK",I30="LCH55"),"BKK",IF(LEFT(I30,3)="LCH","LCH","OTHER")))</f>
        <v/>
      </c>
      <c r="AD30" s="4">
        <f>MAX(0,Q30-MAX(0,Z30))</f>
        <v/>
      </c>
      <c r="AE30" s="4">
        <f>MAX(0,R30-MAX(0,Z30-SUM(Q30:Q30)))</f>
        <v/>
      </c>
      <c r="AF30" s="4">
        <f>MAX(0,S30-MAX(0,Z30-SUM(Q30:R30)))</f>
        <v/>
      </c>
      <c r="AG30" s="4">
        <f>MAX(0,T30-MAX(0,Z30-SUM(Q30:S30)))</f>
        <v/>
      </c>
      <c r="AH30" s="4">
        <f>MAX(0,U30-MAX(0,Z30-SUM(Q30:T30)))</f>
        <v/>
      </c>
      <c r="AI30" s="4">
        <f>MAX(0,V30-MAX(0,Z30-SUM(Q30:U30)))</f>
        <v/>
      </c>
      <c r="AJ30" s="4">
        <f>MAX(0,W30-MAX(0,Z30-SUM(Q30:V30)))</f>
        <v/>
      </c>
      <c r="AK30" s="4">
        <f>MAX(0,X30-MAX(0,Z30-SUM(Q30:W30)))</f>
        <v/>
      </c>
      <c r="AL30" s="4">
        <f>MAX(0,Y30-MAX(0,Z30-SUM(Q30:X30)))</f>
        <v/>
      </c>
    </row>
    <row r="31">
      <c r="A31" s="4" t="inlineStr">
        <is>
          <t>HASLS22261000456</t>
        </is>
      </c>
      <c r="B31" s="4" t="inlineStr">
        <is>
          <t>KMSU</t>
        </is>
      </c>
      <c r="C31" s="4" t="inlineStr">
        <is>
          <t>2608S</t>
        </is>
      </c>
      <c r="D31" s="4" t="inlineStr">
        <is>
          <t>202611012100</t>
        </is>
      </c>
      <c r="E31" s="4" t="inlineStr"/>
      <c r="F31" s="4" t="inlineStr">
        <is>
          <t>THLCH</t>
        </is>
      </c>
      <c r="G31" s="4" t="inlineStr">
        <is>
          <t>IDJKT</t>
        </is>
      </c>
      <c r="H31" s="4" t="inlineStr">
        <is>
          <t xml:space="preserve">R40Hx1 </t>
        </is>
      </c>
      <c r="I31" s="4" t="inlineStr">
        <is>
          <t>LCH27</t>
        </is>
      </c>
      <c r="J31" s="4" t="inlineStr">
        <is>
          <t xml:space="preserve">HAST Logistics Co.,Ltd. </t>
        </is>
      </c>
      <c r="K31" s="4" t="inlineStr">
        <is>
          <t>20261022</t>
        </is>
      </c>
      <c r="L31" s="4" t="inlineStr">
        <is>
          <t>PROGRESS SHIPPING - TRANSPORT CO., LTD.</t>
        </is>
      </c>
      <c r="M31" s="4" t="inlineStr">
        <is>
          <t>FRUIT PARADISE INTERNATIONAL TRADE CO.,LTD</t>
        </is>
      </c>
      <c r="N31" s="4" t="inlineStr">
        <is>
          <t>FRESH LONGAN (TEMP +2 VENT 15%)</t>
        </is>
      </c>
      <c r="O31" s="4" t="inlineStr">
        <is>
          <t>FRESH LONGAN 
TEMP +2 VENT 15%
REQUEST CONTAINER UPSIZE 34-35 TONS</t>
        </is>
      </c>
      <c r="P31" s="4" t="inlineStr">
        <is>
          <t xml:space="preserve">Pickup : 2026-10-22, Return : 2026-10-28  (Temp +2.0 / Vent 15%) 
Closing Time 2026-10-28 @ 23.59 </t>
        </is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1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  <c r="AB31" s="4">
        <f>SUM(Q31:Y31)-Z31</f>
        <v/>
      </c>
      <c r="AC31" s="4">
        <f>IF(I31="","",IF(OR(LEFT(I31,3)="BKK",I31="LCH55"),"BKK",IF(LEFT(I31,3)="LCH","LCH","OTHER")))</f>
        <v/>
      </c>
      <c r="AD31" s="4">
        <f>MAX(0,Q31-MAX(0,Z31))</f>
        <v/>
      </c>
      <c r="AE31" s="4">
        <f>MAX(0,R31-MAX(0,Z31-SUM(Q31:Q31)))</f>
        <v/>
      </c>
      <c r="AF31" s="4">
        <f>MAX(0,S31-MAX(0,Z31-SUM(Q31:R31)))</f>
        <v/>
      </c>
      <c r="AG31" s="4">
        <f>MAX(0,T31-MAX(0,Z31-SUM(Q31:S31)))</f>
        <v/>
      </c>
      <c r="AH31" s="4">
        <f>MAX(0,U31-MAX(0,Z31-SUM(Q31:T31)))</f>
        <v/>
      </c>
      <c r="AI31" s="4">
        <f>MAX(0,V31-MAX(0,Z31-SUM(Q31:U31)))</f>
        <v/>
      </c>
      <c r="AJ31" s="4">
        <f>MAX(0,W31-MAX(0,Z31-SUM(Q31:V31)))</f>
        <v/>
      </c>
      <c r="AK31" s="4">
        <f>MAX(0,X31-MAX(0,Z31-SUM(Q31:W31)))</f>
        <v/>
      </c>
      <c r="AL31" s="4">
        <f>MAX(0,Y31-MAX(0,Z31-SUM(Q31:X31)))</f>
        <v/>
      </c>
    </row>
    <row r="32">
      <c r="A32" s="4" t="inlineStr">
        <is>
          <t>HASLS22261000457</t>
        </is>
      </c>
      <c r="B32" s="4" t="inlineStr">
        <is>
          <t>KMSU</t>
        </is>
      </c>
      <c r="C32" s="4" t="inlineStr">
        <is>
          <t>2608S</t>
        </is>
      </c>
      <c r="D32" s="4" t="inlineStr">
        <is>
          <t>202611012100</t>
        </is>
      </c>
      <c r="E32" s="4" t="inlineStr"/>
      <c r="F32" s="4" t="inlineStr">
        <is>
          <t>THLCH</t>
        </is>
      </c>
      <c r="G32" s="4" t="inlineStr">
        <is>
          <t>IDJKT</t>
        </is>
      </c>
      <c r="H32" s="4" t="inlineStr">
        <is>
          <t xml:space="preserve">R40Hx1 </t>
        </is>
      </c>
      <c r="I32" s="4" t="inlineStr">
        <is>
          <t>LCH27</t>
        </is>
      </c>
      <c r="J32" s="4" t="inlineStr">
        <is>
          <t xml:space="preserve">HAST Logistics Co.,Ltd. </t>
        </is>
      </c>
      <c r="K32" s="4" t="inlineStr">
        <is>
          <t>20261022</t>
        </is>
      </c>
      <c r="L32" s="4" t="inlineStr">
        <is>
          <t>PROGRESS SHIPPING - TRANSPORT CO., LTD.</t>
        </is>
      </c>
      <c r="M32" s="4" t="inlineStr">
        <is>
          <t>FRUIT PARADISE INTERNATIONAL TRADE CO.,LTD</t>
        </is>
      </c>
      <c r="N32" s="4" t="inlineStr">
        <is>
          <t>FRESH LONGAN (TEMP +2 VENT 15%)</t>
        </is>
      </c>
      <c r="O32" s="4" t="inlineStr">
        <is>
          <t>FRESH LONGAN 
TEMP +2 VENT 15%
REQUEST CONTAINER UPSIZE 34-35 TONS</t>
        </is>
      </c>
      <c r="P32" s="4" t="inlineStr">
        <is>
          <t xml:space="preserve">Pickup : 2026-10-22, Return : 2026-10-27  (Temp +2.0 / Vent 15%) 
Closing Time 2026-10-28 @ 23.59 </t>
        </is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1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  <c r="AB32" s="4">
        <f>SUM(Q32:Y32)-Z32</f>
        <v/>
      </c>
      <c r="AC32" s="4">
        <f>IF(I32="","",IF(OR(LEFT(I32,3)="BKK",I32="LCH55"),"BKK",IF(LEFT(I32,3)="LCH","LCH","OTHER")))</f>
        <v/>
      </c>
      <c r="AD32" s="4">
        <f>MAX(0,Q32-MAX(0,Z32))</f>
        <v/>
      </c>
      <c r="AE32" s="4">
        <f>MAX(0,R32-MAX(0,Z32-SUM(Q32:Q32)))</f>
        <v/>
      </c>
      <c r="AF32" s="4">
        <f>MAX(0,S32-MAX(0,Z32-SUM(Q32:R32)))</f>
        <v/>
      </c>
      <c r="AG32" s="4">
        <f>MAX(0,T32-MAX(0,Z32-SUM(Q32:S32)))</f>
        <v/>
      </c>
      <c r="AH32" s="4">
        <f>MAX(0,U32-MAX(0,Z32-SUM(Q32:T32)))</f>
        <v/>
      </c>
      <c r="AI32" s="4">
        <f>MAX(0,V32-MAX(0,Z32-SUM(Q32:U32)))</f>
        <v/>
      </c>
      <c r="AJ32" s="4">
        <f>MAX(0,W32-MAX(0,Z32-SUM(Q32:V32)))</f>
        <v/>
      </c>
      <c r="AK32" s="4">
        <f>MAX(0,X32-MAX(0,Z32-SUM(Q32:W32)))</f>
        <v/>
      </c>
      <c r="AL32" s="4">
        <f>MAX(0,Y32-MAX(0,Z32-SUM(Q32:X32)))</f>
        <v/>
      </c>
    </row>
    <row r="33">
      <c r="A33" s="4" t="inlineStr">
        <is>
          <t>HASLS22261000458</t>
        </is>
      </c>
      <c r="B33" s="4" t="inlineStr">
        <is>
          <t>KMSU</t>
        </is>
      </c>
      <c r="C33" s="4" t="inlineStr">
        <is>
          <t>2608S</t>
        </is>
      </c>
      <c r="D33" s="4" t="inlineStr">
        <is>
          <t>202611012100</t>
        </is>
      </c>
      <c r="E33" s="4" t="inlineStr"/>
      <c r="F33" s="4" t="inlineStr">
        <is>
          <t>THLCH</t>
        </is>
      </c>
      <c r="G33" s="4" t="inlineStr">
        <is>
          <t>IDJKT</t>
        </is>
      </c>
      <c r="H33" s="4" t="inlineStr">
        <is>
          <t xml:space="preserve">R40Hx1 </t>
        </is>
      </c>
      <c r="I33" s="4" t="inlineStr">
        <is>
          <t>LCH27</t>
        </is>
      </c>
      <c r="J33" s="4" t="inlineStr">
        <is>
          <t xml:space="preserve">HAST Logistics Co.,Ltd. </t>
        </is>
      </c>
      <c r="K33" s="4" t="inlineStr">
        <is>
          <t>20261022</t>
        </is>
      </c>
      <c r="L33" s="4" t="inlineStr">
        <is>
          <t>PROGRESS SHIPPING - TRANSPORT CO., LTD.</t>
        </is>
      </c>
      <c r="M33" s="4" t="inlineStr">
        <is>
          <t>FRUIT PARADISE INTERNATIONAL TRADE CO.,LTD</t>
        </is>
      </c>
      <c r="N33" s="4" t="inlineStr">
        <is>
          <t>FRESH LONGAN (TEMP +2 VENT 15%)</t>
        </is>
      </c>
      <c r="O33" s="4" t="inlineStr">
        <is>
          <t>FRESH LONGAN 
TEMP +2 VENT 15%
REQUEST CONTAINER UPSIZE 34-35 TONS</t>
        </is>
      </c>
      <c r="P33" s="4" t="inlineStr">
        <is>
          <t xml:space="preserve">Pickup : 2026-10-22, Return : 2026-10-27 (Temp +2.0 / Vent 15%) 
Closing Time 2026-10-28 @ 23.59 </t>
        </is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1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  <c r="AB33" s="4">
        <f>SUM(Q33:Y33)-Z33</f>
        <v/>
      </c>
      <c r="AC33" s="4">
        <f>IF(I33="","",IF(OR(LEFT(I33,3)="BKK",I33="LCH55"),"BKK",IF(LEFT(I33,3)="LCH","LCH","OTHER")))</f>
        <v/>
      </c>
      <c r="AD33" s="4">
        <f>MAX(0,Q33-MAX(0,Z33))</f>
        <v/>
      </c>
      <c r="AE33" s="4">
        <f>MAX(0,R33-MAX(0,Z33-SUM(Q33:Q33)))</f>
        <v/>
      </c>
      <c r="AF33" s="4">
        <f>MAX(0,S33-MAX(0,Z33-SUM(Q33:R33)))</f>
        <v/>
      </c>
      <c r="AG33" s="4">
        <f>MAX(0,T33-MAX(0,Z33-SUM(Q33:S33)))</f>
        <v/>
      </c>
      <c r="AH33" s="4">
        <f>MAX(0,U33-MAX(0,Z33-SUM(Q33:T33)))</f>
        <v/>
      </c>
      <c r="AI33" s="4">
        <f>MAX(0,V33-MAX(0,Z33-SUM(Q33:U33)))</f>
        <v/>
      </c>
      <c r="AJ33" s="4">
        <f>MAX(0,W33-MAX(0,Z33-SUM(Q33:V33)))</f>
        <v/>
      </c>
      <c r="AK33" s="4">
        <f>MAX(0,X33-MAX(0,Z33-SUM(Q33:W33)))</f>
        <v/>
      </c>
      <c r="AL33" s="4">
        <f>MAX(0,Y33-MAX(0,Z33-SUM(Q33:X33)))</f>
        <v/>
      </c>
    </row>
    <row r="34">
      <c r="A34" s="4" t="inlineStr">
        <is>
          <t>HASLS22261000676</t>
        </is>
      </c>
      <c r="B34" s="4" t="inlineStr">
        <is>
          <t>DJCF</t>
        </is>
      </c>
      <c r="C34" s="4" t="inlineStr">
        <is>
          <t>0153N</t>
        </is>
      </c>
      <c r="D34" s="4" t="inlineStr">
        <is>
          <t>202611032200</t>
        </is>
      </c>
      <c r="E34" s="4" t="inlineStr"/>
      <c r="F34" s="4" t="inlineStr">
        <is>
          <t>THLCH</t>
        </is>
      </c>
      <c r="G34" s="4" t="inlineStr">
        <is>
          <t>KRPTK</t>
        </is>
      </c>
      <c r="H34" s="4" t="inlineStr">
        <is>
          <t xml:space="preserve">40Hx8 </t>
        </is>
      </c>
      <c r="I34" s="4" t="inlineStr">
        <is>
          <t>LCH27</t>
        </is>
      </c>
      <c r="J34" s="4" t="inlineStr">
        <is>
          <t xml:space="preserve">HAST Logistics Co.,Ltd. </t>
        </is>
      </c>
      <c r="K34" s="4" t="inlineStr">
        <is>
          <t>20261019</t>
        </is>
      </c>
      <c r="L34" s="4" t="inlineStr">
        <is>
          <t>SAMSUNG SDS GLOBAL SCL (THAILAND) CO.,LTD.</t>
        </is>
      </c>
      <c r="M34" s="4" t="inlineStr">
        <is>
          <t>THAI SAMSUNG ELECTRONICS CO., LTD.</t>
        </is>
      </c>
      <c r="N34" s="4" t="inlineStr">
        <is>
          <t>REFRIGERATOR</t>
        </is>
      </c>
      <c r="O34" s="4" t="inlineStr">
        <is>
          <t>*No containers with cut and patch marks inside*
GOOD CLEAN CONTIANER NO BLEAM (ELECTRONICS GOODS)</t>
        </is>
      </c>
      <c r="P34" s="4" t="inlineStr">
        <is>
          <t>Pickup : 2026-10-19, Return : 2026-10-28</t>
        </is>
      </c>
      <c r="Q34" s="4" t="n">
        <v>0</v>
      </c>
      <c r="R34" s="4" t="n">
        <v>0</v>
      </c>
      <c r="S34" s="4" t="n">
        <v>8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6</v>
      </c>
      <c r="AA34" s="4" t="n">
        <v>0</v>
      </c>
      <c r="AB34" s="4">
        <f>SUM(Q34:Y34)-Z34</f>
        <v/>
      </c>
      <c r="AC34" s="4">
        <f>IF(I34="","",IF(OR(LEFT(I34,3)="BKK",I34="LCH55"),"BKK",IF(LEFT(I34,3)="LCH","LCH","OTHER")))</f>
        <v/>
      </c>
      <c r="AD34" s="4">
        <f>MAX(0,Q34-MAX(0,Z34))</f>
        <v/>
      </c>
      <c r="AE34" s="4">
        <f>MAX(0,R34-MAX(0,Z34-SUM(Q34:Q34)))</f>
        <v/>
      </c>
      <c r="AF34" s="4">
        <f>MAX(0,S34-MAX(0,Z34-SUM(Q34:R34)))</f>
        <v/>
      </c>
      <c r="AG34" s="4">
        <f>MAX(0,T34-MAX(0,Z34-SUM(Q34:S34)))</f>
        <v/>
      </c>
      <c r="AH34" s="4">
        <f>MAX(0,U34-MAX(0,Z34-SUM(Q34:T34)))</f>
        <v/>
      </c>
      <c r="AI34" s="4">
        <f>MAX(0,V34-MAX(0,Z34-SUM(Q34:U34)))</f>
        <v/>
      </c>
      <c r="AJ34" s="4">
        <f>MAX(0,W34-MAX(0,Z34-SUM(Q34:V34)))</f>
        <v/>
      </c>
      <c r="AK34" s="4">
        <f>MAX(0,X34-MAX(0,Z34-SUM(Q34:W34)))</f>
        <v/>
      </c>
      <c r="AL34" s="4">
        <f>MAX(0,Y34-MAX(0,Z34-SUM(Q34:X34)))</f>
        <v/>
      </c>
    </row>
    <row r="35">
      <c r="A35" s="4" t="inlineStr">
        <is>
          <t>HASLS22261001035</t>
        </is>
      </c>
      <c r="B35" s="4" t="inlineStr">
        <is>
          <t>DJCF</t>
        </is>
      </c>
      <c r="C35" s="4" t="inlineStr">
        <is>
          <t>0153N</t>
        </is>
      </c>
      <c r="D35" s="4" t="inlineStr">
        <is>
          <t>202611032200</t>
        </is>
      </c>
      <c r="E35" s="4" t="inlineStr"/>
      <c r="F35" s="4" t="inlineStr">
        <is>
          <t>THLCH</t>
        </is>
      </c>
      <c r="G35" s="4" t="inlineStr">
        <is>
          <t>VNSGN</t>
        </is>
      </c>
      <c r="H35" s="4" t="inlineStr">
        <is>
          <t xml:space="preserve">20'x6 </t>
        </is>
      </c>
      <c r="I35" s="4" t="inlineStr">
        <is>
          <t>LCH27</t>
        </is>
      </c>
      <c r="J35" s="4" t="inlineStr">
        <is>
          <t xml:space="preserve">HAST Logistics Co.,Ltd. </t>
        </is>
      </c>
      <c r="K35" s="4" t="inlineStr">
        <is>
          <t>20261022</t>
        </is>
      </c>
      <c r="L35" s="4" t="inlineStr">
        <is>
          <t>WHA GC LOGISTICS COMPANY LIMITED</t>
        </is>
      </c>
      <c r="M35" s="4" t="inlineStr">
        <is>
          <t>PTT GLOBAL CHEMICAL PUBLIC COMPANY LIMITED</t>
        </is>
      </c>
      <c r="N35" s="4" t="inlineStr">
        <is>
          <t>RESIN</t>
        </is>
      </c>
      <c r="O35" s="4" t="inlineStr">
        <is>
          <t>GOOD AND CLEAN CTNR</t>
        </is>
      </c>
      <c r="P35" s="4" t="inlineStr">
        <is>
          <t xml:space="preserve">CY-RTN 22-28/10/26 
 ** PLEASE CHECK OPEN GATE BEFORE RETURN CNTR **
 </t>
        </is>
      </c>
      <c r="Q35" s="4" t="n">
        <v>6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4" t="n">
        <v>0</v>
      </c>
      <c r="AB35" s="4">
        <f>SUM(Q35:Y35)-Z35</f>
        <v/>
      </c>
      <c r="AC35" s="4">
        <f>IF(I35="","",IF(OR(LEFT(I35,3)="BKK",I35="LCH55"),"BKK",IF(LEFT(I35,3)="LCH","LCH","OTHER")))</f>
        <v/>
      </c>
      <c r="AD35" s="4">
        <f>MAX(0,Q35-MAX(0,Z35))</f>
        <v/>
      </c>
      <c r="AE35" s="4">
        <f>MAX(0,R35-MAX(0,Z35-SUM(Q35:Q35)))</f>
        <v/>
      </c>
      <c r="AF35" s="4">
        <f>MAX(0,S35-MAX(0,Z35-SUM(Q35:R35)))</f>
        <v/>
      </c>
      <c r="AG35" s="4">
        <f>MAX(0,T35-MAX(0,Z35-SUM(Q35:S35)))</f>
        <v/>
      </c>
      <c r="AH35" s="4">
        <f>MAX(0,U35-MAX(0,Z35-SUM(Q35:T35)))</f>
        <v/>
      </c>
      <c r="AI35" s="4">
        <f>MAX(0,V35-MAX(0,Z35-SUM(Q35:U35)))</f>
        <v/>
      </c>
      <c r="AJ35" s="4">
        <f>MAX(0,W35-MAX(0,Z35-SUM(Q35:V35)))</f>
        <v/>
      </c>
      <c r="AK35" s="4">
        <f>MAX(0,X35-MAX(0,Z35-SUM(Q35:W35)))</f>
        <v/>
      </c>
      <c r="AL35" s="4">
        <f>MAX(0,Y35-MAX(0,Z35-SUM(Q35:X35)))</f>
        <v/>
      </c>
    </row>
    <row r="36">
      <c r="A36" s="4" t="inlineStr">
        <is>
          <t>HASLS22261001082</t>
        </is>
      </c>
      <c r="B36" s="4" t="inlineStr">
        <is>
          <t>KXM</t>
        </is>
      </c>
      <c r="C36" s="4" t="inlineStr">
        <is>
          <t>2609S</t>
        </is>
      </c>
      <c r="D36" s="4" t="inlineStr">
        <is>
          <t>202611130200</t>
        </is>
      </c>
      <c r="E36" s="4" t="inlineStr"/>
      <c r="F36" s="4" t="inlineStr">
        <is>
          <t>THLCH</t>
        </is>
      </c>
      <c r="G36" s="4" t="inlineStr">
        <is>
          <t>IDJKT</t>
        </is>
      </c>
      <c r="H36" s="4" t="inlineStr">
        <is>
          <t xml:space="preserve">20'x5 </t>
        </is>
      </c>
      <c r="I36" s="4" t="inlineStr">
        <is>
          <t>LCH27</t>
        </is>
      </c>
      <c r="J36" s="4" t="inlineStr">
        <is>
          <t xml:space="preserve">HAST Logistics Co.,Ltd. </t>
        </is>
      </c>
      <c r="K36" s="4" t="inlineStr">
        <is>
          <t>20261019</t>
        </is>
      </c>
      <c r="L36" s="4" t="inlineStr">
        <is>
          <t>YUSEN LOGISTICS (THAILAND) CO., LTD.</t>
        </is>
      </c>
      <c r="M36" s="4" t="inlineStr">
        <is>
          <t>NIKKEI MC ALUMINUM (THAILAND) CO., LTD.</t>
        </is>
      </c>
      <c r="N36" s="4" t="inlineStr">
        <is>
          <t xml:space="preserve">ALUMINUM ALLOY INGOT </t>
        </is>
      </c>
      <c r="O36" s="4" t="inlineStr">
        <is>
          <t>GOOD AND CLEAN CONTAINER</t>
        </is>
      </c>
      <c r="P36" s="4" t="inlineStr">
        <is>
          <t>Pickup : 2026-10-19, Return : 2026-10-19</t>
        </is>
      </c>
      <c r="Q36" s="4" t="n">
        <v>5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</v>
      </c>
      <c r="AB36" s="4">
        <f>SUM(Q36:Y36)-Z36</f>
        <v/>
      </c>
      <c r="AC36" s="4">
        <f>IF(I36="","",IF(OR(LEFT(I36,3)="BKK",I36="LCH55"),"BKK",IF(LEFT(I36,3)="LCH","LCH","OTHER")))</f>
        <v/>
      </c>
      <c r="AD36" s="4">
        <f>MAX(0,Q36-MAX(0,Z36))</f>
        <v/>
      </c>
      <c r="AE36" s="4">
        <f>MAX(0,R36-MAX(0,Z36-SUM(Q36:Q36)))</f>
        <v/>
      </c>
      <c r="AF36" s="4">
        <f>MAX(0,S36-MAX(0,Z36-SUM(Q36:R36)))</f>
        <v/>
      </c>
      <c r="AG36" s="4">
        <f>MAX(0,T36-MAX(0,Z36-SUM(Q36:S36)))</f>
        <v/>
      </c>
      <c r="AH36" s="4">
        <f>MAX(0,U36-MAX(0,Z36-SUM(Q36:T36)))</f>
        <v/>
      </c>
      <c r="AI36" s="4">
        <f>MAX(0,V36-MAX(0,Z36-SUM(Q36:U36)))</f>
        <v/>
      </c>
      <c r="AJ36" s="4">
        <f>MAX(0,W36-MAX(0,Z36-SUM(Q36:V36)))</f>
        <v/>
      </c>
      <c r="AK36" s="4">
        <f>MAX(0,X36-MAX(0,Z36-SUM(Q36:W36)))</f>
        <v/>
      </c>
      <c r="AL36" s="4">
        <f>MAX(0,Y36-MAX(0,Z36-SUM(Q36:X36)))</f>
        <v/>
      </c>
    </row>
    <row r="37">
      <c r="A37" s="4" t="inlineStr">
        <is>
          <t>HASLS22261001119</t>
        </is>
      </c>
      <c r="B37" s="4" t="inlineStr">
        <is>
          <t>SWBT</t>
        </is>
      </c>
      <c r="C37" s="4" t="inlineStr">
        <is>
          <t>2618N</t>
        </is>
      </c>
      <c r="D37" s="4" t="inlineStr">
        <is>
          <t>202611082000</t>
        </is>
      </c>
      <c r="E37" s="4" t="inlineStr"/>
      <c r="F37" s="4" t="inlineStr">
        <is>
          <t>THLCH</t>
        </is>
      </c>
      <c r="G37" s="4" t="inlineStr">
        <is>
          <t>KRINC</t>
        </is>
      </c>
      <c r="H37" s="4" t="inlineStr">
        <is>
          <t xml:space="preserve">20'x1 </t>
        </is>
      </c>
      <c r="I37" s="4" t="inlineStr">
        <is>
          <t>LCH27</t>
        </is>
      </c>
      <c r="J37" s="4" t="inlineStr">
        <is>
          <t xml:space="preserve">HAST Logistics Co.,Ltd. </t>
        </is>
      </c>
      <c r="K37" s="4" t="inlineStr">
        <is>
          <t>20261019</t>
        </is>
      </c>
      <c r="L37" s="4" t="inlineStr">
        <is>
          <t>CANVAS GLOBAL LOGISTICS (THAILAND) CO., LTD.</t>
        </is>
      </c>
      <c r="M37" s="4" t="inlineStr">
        <is>
          <t>SRI TRANG GLOVES (THAILAND) PUBLIC COMPANY LIMITED</t>
        </is>
      </c>
      <c r="N37" s="4" t="inlineStr">
        <is>
          <t>LATEX GLOVES</t>
        </is>
      </c>
      <c r="O37" s="4" t="inlineStr">
        <is>
          <t>GOOD AND CLEAN CONTAINER</t>
        </is>
      </c>
      <c r="P37" s="4" t="inlineStr">
        <is>
          <t xml:space="preserve">Pickup : 2026-10-19, Return : 2026-10-21 (1ST RTN 03/11 W/O RENT) 
 </t>
        </is>
      </c>
      <c r="Q37" s="4" t="n">
        <v>1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0</v>
      </c>
      <c r="AB37" s="4">
        <f>SUM(Q37:Y37)-Z37</f>
        <v/>
      </c>
      <c r="AC37" s="4">
        <f>IF(I37="","",IF(OR(LEFT(I37,3)="BKK",I37="LCH55"),"BKK",IF(LEFT(I37,3)="LCH","LCH","OTHER")))</f>
        <v/>
      </c>
      <c r="AD37" s="4">
        <f>MAX(0,Q37-MAX(0,Z37))</f>
        <v/>
      </c>
      <c r="AE37" s="4">
        <f>MAX(0,R37-MAX(0,Z37-SUM(Q37:Q37)))</f>
        <v/>
      </c>
      <c r="AF37" s="4">
        <f>MAX(0,S37-MAX(0,Z37-SUM(Q37:R37)))</f>
        <v/>
      </c>
      <c r="AG37" s="4">
        <f>MAX(0,T37-MAX(0,Z37-SUM(Q37:S37)))</f>
        <v/>
      </c>
      <c r="AH37" s="4">
        <f>MAX(0,U37-MAX(0,Z37-SUM(Q37:T37)))</f>
        <v/>
      </c>
      <c r="AI37" s="4">
        <f>MAX(0,V37-MAX(0,Z37-SUM(Q37:U37)))</f>
        <v/>
      </c>
      <c r="AJ37" s="4">
        <f>MAX(0,W37-MAX(0,Z37-SUM(Q37:V37)))</f>
        <v/>
      </c>
      <c r="AK37" s="4">
        <f>MAX(0,X37-MAX(0,Z37-SUM(Q37:W37)))</f>
        <v/>
      </c>
      <c r="AL37" s="4">
        <f>MAX(0,Y37-MAX(0,Z37-SUM(Q37:X37)))</f>
        <v/>
      </c>
    </row>
    <row r="38">
      <c r="A38" s="4" t="inlineStr">
        <is>
          <t>HASLS22261001736</t>
        </is>
      </c>
      <c r="B38" s="4" t="inlineStr">
        <is>
          <t>SWSP</t>
        </is>
      </c>
      <c r="C38" s="4" t="inlineStr">
        <is>
          <t>2610N</t>
        </is>
      </c>
      <c r="D38" s="4" t="inlineStr">
        <is>
          <t>202611082100</t>
        </is>
      </c>
      <c r="E38" s="4" t="inlineStr"/>
      <c r="F38" s="4" t="inlineStr">
        <is>
          <t>THLCH</t>
        </is>
      </c>
      <c r="G38" s="4" t="inlineStr">
        <is>
          <t>VNSGN</t>
        </is>
      </c>
      <c r="H38" s="4" t="inlineStr">
        <is>
          <t xml:space="preserve">20'x6 </t>
        </is>
      </c>
      <c r="I38" s="4" t="inlineStr">
        <is>
          <t>LCH27</t>
        </is>
      </c>
      <c r="J38" s="4" t="inlineStr">
        <is>
          <t xml:space="preserve">HAST Logistics Co.,Ltd. </t>
        </is>
      </c>
      <c r="K38" s="4" t="inlineStr">
        <is>
          <t>20261022</t>
        </is>
      </c>
      <c r="L38" s="4" t="inlineStr">
        <is>
          <t>WHA GC LOGISTICS COMPANY LIMITED</t>
        </is>
      </c>
      <c r="M38" s="4" t="inlineStr">
        <is>
          <t>PTT GLOBAL CHEMICAL PUBLIC COMPANY LIMITED</t>
        </is>
      </c>
      <c r="N38" s="4" t="inlineStr">
        <is>
          <t>RESIN</t>
        </is>
      </c>
      <c r="O38" s="4" t="inlineStr">
        <is>
          <t>GOOD AND CLEAN CTNR</t>
        </is>
      </c>
      <c r="P38" s="4" t="inlineStr">
        <is>
          <t xml:space="preserve">CY-RTN 22-27/10/26 [1ST RTN 27/10/2026 W/O RENT](PR2610003678 )
** PLEASE CHECK OPEN GATE BEFORE RETURN CONTAINER **
 </t>
        </is>
      </c>
      <c r="Q38" s="4" t="n">
        <v>6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</v>
      </c>
      <c r="AB38" s="4">
        <f>SUM(Q38:Y38)-Z38</f>
        <v/>
      </c>
      <c r="AC38" s="4">
        <f>IF(I38="","",IF(OR(LEFT(I38,3)="BKK",I38="LCH55"),"BKK",IF(LEFT(I38,3)="LCH","LCH","OTHER")))</f>
        <v/>
      </c>
      <c r="AD38" s="4">
        <f>MAX(0,Q38-MAX(0,Z38))</f>
        <v/>
      </c>
      <c r="AE38" s="4">
        <f>MAX(0,R38-MAX(0,Z38-SUM(Q38:Q38)))</f>
        <v/>
      </c>
      <c r="AF38" s="4">
        <f>MAX(0,S38-MAX(0,Z38-SUM(Q38:R38)))</f>
        <v/>
      </c>
      <c r="AG38" s="4">
        <f>MAX(0,T38-MAX(0,Z38-SUM(Q38:S38)))</f>
        <v/>
      </c>
      <c r="AH38" s="4">
        <f>MAX(0,U38-MAX(0,Z38-SUM(Q38:T38)))</f>
        <v/>
      </c>
      <c r="AI38" s="4">
        <f>MAX(0,V38-MAX(0,Z38-SUM(Q38:U38)))</f>
        <v/>
      </c>
      <c r="AJ38" s="4">
        <f>MAX(0,W38-MAX(0,Z38-SUM(Q38:V38)))</f>
        <v/>
      </c>
      <c r="AK38" s="4">
        <f>MAX(0,X38-MAX(0,Z38-SUM(Q38:W38)))</f>
        <v/>
      </c>
      <c r="AL38" s="4">
        <f>MAX(0,Y38-MAX(0,Z38-SUM(Q38:X38)))</f>
        <v/>
      </c>
    </row>
    <row r="39">
      <c r="A39" s="4" t="inlineStr">
        <is>
          <t>HASLS22261001737</t>
        </is>
      </c>
      <c r="B39" s="4" t="inlineStr">
        <is>
          <t>SWSP</t>
        </is>
      </c>
      <c r="C39" s="4" t="inlineStr">
        <is>
          <t>2610N</t>
        </is>
      </c>
      <c r="D39" s="4" t="inlineStr">
        <is>
          <t>202611082100</t>
        </is>
      </c>
      <c r="E39" s="4" t="inlineStr"/>
      <c r="F39" s="4" t="inlineStr">
        <is>
          <t>THLCH</t>
        </is>
      </c>
      <c r="G39" s="4" t="inlineStr">
        <is>
          <t>VNSGN</t>
        </is>
      </c>
      <c r="H39" s="4" t="inlineStr">
        <is>
          <t xml:space="preserve">20'x3 </t>
        </is>
      </c>
      <c r="I39" s="4" t="inlineStr">
        <is>
          <t>LCH27</t>
        </is>
      </c>
      <c r="J39" s="4" t="inlineStr">
        <is>
          <t xml:space="preserve">HAST Logistics Co.,Ltd. </t>
        </is>
      </c>
      <c r="K39" s="4" t="inlineStr">
        <is>
          <t>20261022</t>
        </is>
      </c>
      <c r="L39" s="4" t="inlineStr">
        <is>
          <t>WHA GC LOGISTICS COMPANY LIMITED</t>
        </is>
      </c>
      <c r="M39" s="4" t="inlineStr">
        <is>
          <t>PTT GLOBAL CHEMICAL PUBLIC COMPANY LIMITED</t>
        </is>
      </c>
      <c r="N39" s="4" t="inlineStr">
        <is>
          <t>RESIN</t>
        </is>
      </c>
      <c r="O39" s="4" t="inlineStr">
        <is>
          <t>GOOD AND CLEAN CTNR</t>
        </is>
      </c>
      <c r="P39" s="4" t="inlineStr">
        <is>
          <t xml:space="preserve">CY-RTN 22-27/10/26 [1ST RTN 27/10/2026 W/O RENT]
** PLEASE CHECK OPEN GATE BEFORE RETURN CONTAINER **
 </t>
        </is>
      </c>
      <c r="Q39" s="4" t="n">
        <v>3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0</v>
      </c>
      <c r="AB39" s="4">
        <f>SUM(Q39:Y39)-Z39</f>
        <v/>
      </c>
      <c r="AC39" s="4">
        <f>IF(I39="","",IF(OR(LEFT(I39,3)="BKK",I39="LCH55"),"BKK",IF(LEFT(I39,3)="LCH","LCH","OTHER")))</f>
        <v/>
      </c>
      <c r="AD39" s="4">
        <f>MAX(0,Q39-MAX(0,Z39))</f>
        <v/>
      </c>
      <c r="AE39" s="4">
        <f>MAX(0,R39-MAX(0,Z39-SUM(Q39:Q39)))</f>
        <v/>
      </c>
      <c r="AF39" s="4">
        <f>MAX(0,S39-MAX(0,Z39-SUM(Q39:R39)))</f>
        <v/>
      </c>
      <c r="AG39" s="4">
        <f>MAX(0,T39-MAX(0,Z39-SUM(Q39:S39)))</f>
        <v/>
      </c>
      <c r="AH39" s="4">
        <f>MAX(0,U39-MAX(0,Z39-SUM(Q39:T39)))</f>
        <v/>
      </c>
      <c r="AI39" s="4">
        <f>MAX(0,V39-MAX(0,Z39-SUM(Q39:U39)))</f>
        <v/>
      </c>
      <c r="AJ39" s="4">
        <f>MAX(0,W39-MAX(0,Z39-SUM(Q39:V39)))</f>
        <v/>
      </c>
      <c r="AK39" s="4">
        <f>MAX(0,X39-MAX(0,Z39-SUM(Q39:W39)))</f>
        <v/>
      </c>
      <c r="AL39" s="4">
        <f>MAX(0,Y39-MAX(0,Z39-SUM(Q39:X39)))</f>
        <v/>
      </c>
    </row>
    <row r="40">
      <c r="A40" s="4" t="inlineStr">
        <is>
          <t>HASLS22261001738</t>
        </is>
      </c>
      <c r="B40" s="4" t="inlineStr">
        <is>
          <t>SWSP</t>
        </is>
      </c>
      <c r="C40" s="4" t="inlineStr">
        <is>
          <t>2610N</t>
        </is>
      </c>
      <c r="D40" s="4" t="inlineStr">
        <is>
          <t>202611082100</t>
        </is>
      </c>
      <c r="E40" s="4" t="inlineStr"/>
      <c r="F40" s="4" t="inlineStr">
        <is>
          <t>THLCH</t>
        </is>
      </c>
      <c r="G40" s="4" t="inlineStr">
        <is>
          <t>VNSGN</t>
        </is>
      </c>
      <c r="H40" s="4" t="inlineStr">
        <is>
          <t xml:space="preserve">40Hx2 </t>
        </is>
      </c>
      <c r="I40" s="4" t="inlineStr">
        <is>
          <t>LCH27</t>
        </is>
      </c>
      <c r="J40" s="4" t="inlineStr">
        <is>
          <t xml:space="preserve">HAST Logistics Co.,Ltd. </t>
        </is>
      </c>
      <c r="K40" s="4" t="inlineStr">
        <is>
          <t>20261022</t>
        </is>
      </c>
      <c r="L40" s="4" t="inlineStr">
        <is>
          <t>WHA GC LOGISTICS COMPANY LIMITED</t>
        </is>
      </c>
      <c r="M40" s="4" t="inlineStr">
        <is>
          <t>PTT GLOBAL CHEMICAL PUBLIC COMPANY LIMITED</t>
        </is>
      </c>
      <c r="N40" s="4" t="inlineStr">
        <is>
          <t>RESIN</t>
        </is>
      </c>
      <c r="O40" s="4" t="inlineStr">
        <is>
          <t>GOOD AND CLEAN CTNR</t>
        </is>
      </c>
      <c r="P40" s="4" t="inlineStr">
        <is>
          <t xml:space="preserve">CY-RTN 22-27/10/26 [1ST RTN 27/10/2026 W/O RENT]
** PLEASE CHECK OPEN GATE BEFORE RETURN CONTAINER **
 </t>
        </is>
      </c>
      <c r="Q40" s="4" t="n">
        <v>0</v>
      </c>
      <c r="R40" s="4" t="n">
        <v>0</v>
      </c>
      <c r="S40" s="4" t="n">
        <v>2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0</v>
      </c>
      <c r="AB40" s="4">
        <f>SUM(Q40:Y40)-Z40</f>
        <v/>
      </c>
      <c r="AC40" s="4">
        <f>IF(I40="","",IF(OR(LEFT(I40,3)="BKK",I40="LCH55"),"BKK",IF(LEFT(I40,3)="LCH","LCH","OTHER")))</f>
        <v/>
      </c>
      <c r="AD40" s="4">
        <f>MAX(0,Q40-MAX(0,Z40))</f>
        <v/>
      </c>
      <c r="AE40" s="4">
        <f>MAX(0,R40-MAX(0,Z40-SUM(Q40:Q40)))</f>
        <v/>
      </c>
      <c r="AF40" s="4">
        <f>MAX(0,S40-MAX(0,Z40-SUM(Q40:R40)))</f>
        <v/>
      </c>
      <c r="AG40" s="4">
        <f>MAX(0,T40-MAX(0,Z40-SUM(Q40:S40)))</f>
        <v/>
      </c>
      <c r="AH40" s="4">
        <f>MAX(0,U40-MAX(0,Z40-SUM(Q40:T40)))</f>
        <v/>
      </c>
      <c r="AI40" s="4">
        <f>MAX(0,V40-MAX(0,Z40-SUM(Q40:U40)))</f>
        <v/>
      </c>
      <c r="AJ40" s="4">
        <f>MAX(0,W40-MAX(0,Z40-SUM(Q40:V40)))</f>
        <v/>
      </c>
      <c r="AK40" s="4">
        <f>MAX(0,X40-MAX(0,Z40-SUM(Q40:W40)))</f>
        <v/>
      </c>
      <c r="AL40" s="4">
        <f>MAX(0,Y40-MAX(0,Z40-SUM(Q40:X40)))</f>
        <v/>
      </c>
    </row>
    <row r="41">
      <c r="A41" s="4" t="inlineStr">
        <is>
          <t>HASLS22261001739</t>
        </is>
      </c>
      <c r="B41" s="4" t="inlineStr">
        <is>
          <t>SWSP</t>
        </is>
      </c>
      <c r="C41" s="4" t="inlineStr">
        <is>
          <t>2610N</t>
        </is>
      </c>
      <c r="D41" s="4" t="inlineStr">
        <is>
          <t>202611082100</t>
        </is>
      </c>
      <c r="E41" s="4" t="inlineStr"/>
      <c r="F41" s="4" t="inlineStr">
        <is>
          <t>THLCH</t>
        </is>
      </c>
      <c r="G41" s="4" t="inlineStr">
        <is>
          <t>VNSGN</t>
        </is>
      </c>
      <c r="H41" s="4" t="inlineStr">
        <is>
          <t xml:space="preserve">20'x2 </t>
        </is>
      </c>
      <c r="I41" s="4" t="inlineStr">
        <is>
          <t>LCH27</t>
        </is>
      </c>
      <c r="J41" s="4" t="inlineStr">
        <is>
          <t xml:space="preserve">HAST Logistics Co.,Ltd. </t>
        </is>
      </c>
      <c r="K41" s="4" t="inlineStr">
        <is>
          <t>20261022</t>
        </is>
      </c>
      <c r="L41" s="4" t="inlineStr">
        <is>
          <t>WHA GC LOGISTICS COMPANY LIMITED</t>
        </is>
      </c>
      <c r="M41" s="4" t="inlineStr">
        <is>
          <t>PTT GLOBAL CHEMICAL PUBLIC COMPANY LIMITED</t>
        </is>
      </c>
      <c r="N41" s="4" t="inlineStr">
        <is>
          <t>RESIN</t>
        </is>
      </c>
      <c r="O41" s="4" t="inlineStr">
        <is>
          <t>GOOD AND CLEAN CTNR</t>
        </is>
      </c>
      <c r="P41" s="4" t="inlineStr">
        <is>
          <t xml:space="preserve">CY-RTN 22-27/10/26 [1ST RTN 27/10/2026 W/O RENT]
** PLEASE CHECK OPEN GATE BEFORE RETURN CONTAINER **
 </t>
        </is>
      </c>
      <c r="Q41" s="4" t="n">
        <v>2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0</v>
      </c>
      <c r="AB41" s="4">
        <f>SUM(Q41:Y41)-Z41</f>
        <v/>
      </c>
      <c r="AC41" s="4">
        <f>IF(I41="","",IF(OR(LEFT(I41,3)="BKK",I41="LCH55"),"BKK",IF(LEFT(I41,3)="LCH","LCH","OTHER")))</f>
        <v/>
      </c>
      <c r="AD41" s="4">
        <f>MAX(0,Q41-MAX(0,Z41))</f>
        <v/>
      </c>
      <c r="AE41" s="4">
        <f>MAX(0,R41-MAX(0,Z41-SUM(Q41:Q41)))</f>
        <v/>
      </c>
      <c r="AF41" s="4">
        <f>MAX(0,S41-MAX(0,Z41-SUM(Q41:R41)))</f>
        <v/>
      </c>
      <c r="AG41" s="4">
        <f>MAX(0,T41-MAX(0,Z41-SUM(Q41:S41)))</f>
        <v/>
      </c>
      <c r="AH41" s="4">
        <f>MAX(0,U41-MAX(0,Z41-SUM(Q41:T41)))</f>
        <v/>
      </c>
      <c r="AI41" s="4">
        <f>MAX(0,V41-MAX(0,Z41-SUM(Q41:U41)))</f>
        <v/>
      </c>
      <c r="AJ41" s="4">
        <f>MAX(0,W41-MAX(0,Z41-SUM(Q41:V41)))</f>
        <v/>
      </c>
      <c r="AK41" s="4">
        <f>MAX(0,X41-MAX(0,Z41-SUM(Q41:W41)))</f>
        <v/>
      </c>
      <c r="AL41" s="4">
        <f>MAX(0,Y41-MAX(0,Z41-SUM(Q41:X41)))</f>
        <v/>
      </c>
    </row>
    <row r="42">
      <c r="A42" s="4" t="inlineStr">
        <is>
          <t>HASLS22261001860</t>
        </is>
      </c>
      <c r="B42" s="4" t="inlineStr">
        <is>
          <t>SWVG</t>
        </is>
      </c>
      <c r="C42" s="4" t="inlineStr">
        <is>
          <t>2613N</t>
        </is>
      </c>
      <c r="D42" s="4" t="inlineStr">
        <is>
          <t>202610291300</t>
        </is>
      </c>
      <c r="E42" s="4" t="inlineStr"/>
      <c r="F42" s="4" t="inlineStr">
        <is>
          <t>THLCH</t>
        </is>
      </c>
      <c r="G42" s="4" t="inlineStr">
        <is>
          <t>CNXMN</t>
        </is>
      </c>
      <c r="H42" s="4" t="inlineStr">
        <is>
          <t xml:space="preserve">R40Hx1 </t>
        </is>
      </c>
      <c r="I42" s="4" t="inlineStr">
        <is>
          <t>LCH27</t>
        </is>
      </c>
      <c r="J42" s="4" t="inlineStr">
        <is>
          <t xml:space="preserve">HAST Logistics Co.,Ltd. </t>
        </is>
      </c>
      <c r="K42" s="4" t="inlineStr">
        <is>
          <t>20261022</t>
        </is>
      </c>
      <c r="L42" s="4" t="inlineStr">
        <is>
          <t>HAPPY SHIPPING SERVICE CO.,LTD.</t>
        </is>
      </c>
      <c r="M42" s="4" t="inlineStr">
        <is>
          <t>HI HAPPY TRADING CO.,LTD.</t>
        </is>
      </c>
      <c r="N42" s="4" t="inlineStr">
        <is>
          <t>FRESH YOUNG COCONUT</t>
        </is>
      </c>
      <c r="O42" s="4" t="inlineStr">
        <is>
          <t>(Temp +2.0℃ / Vent 15% Open)</t>
        </is>
      </c>
      <c r="P42" s="4" t="inlineStr">
        <is>
          <t>Pickup : 2026-10-22, Return : 2026-10-27  (Temp +2.0℃ / Vent  15% Open)
**ON DECK **FIRST DATE CAN RETURN CNTR DD.26/10 WITHOUT RENT</t>
        </is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1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0</v>
      </c>
      <c r="AB42" s="4">
        <f>SUM(Q42:Y42)-Z42</f>
        <v/>
      </c>
      <c r="AC42" s="4">
        <f>IF(I42="","",IF(OR(LEFT(I42,3)="BKK",I42="LCH55"),"BKK",IF(LEFT(I42,3)="LCH","LCH","OTHER")))</f>
        <v/>
      </c>
      <c r="AD42" s="4">
        <f>MAX(0,Q42-MAX(0,Z42))</f>
        <v/>
      </c>
      <c r="AE42" s="4">
        <f>MAX(0,R42-MAX(0,Z42-SUM(Q42:Q42)))</f>
        <v/>
      </c>
      <c r="AF42" s="4">
        <f>MAX(0,S42-MAX(0,Z42-SUM(Q42:R42)))</f>
        <v/>
      </c>
      <c r="AG42" s="4">
        <f>MAX(0,T42-MAX(0,Z42-SUM(Q42:S42)))</f>
        <v/>
      </c>
      <c r="AH42" s="4">
        <f>MAX(0,U42-MAX(0,Z42-SUM(Q42:T42)))</f>
        <v/>
      </c>
      <c r="AI42" s="4">
        <f>MAX(0,V42-MAX(0,Z42-SUM(Q42:U42)))</f>
        <v/>
      </c>
      <c r="AJ42" s="4">
        <f>MAX(0,W42-MAX(0,Z42-SUM(Q42:V42)))</f>
        <v/>
      </c>
      <c r="AK42" s="4">
        <f>MAX(0,X42-MAX(0,Z42-SUM(Q42:W42)))</f>
        <v/>
      </c>
      <c r="AL42" s="4">
        <f>MAX(0,Y42-MAX(0,Z42-SUM(Q42:X42)))</f>
        <v/>
      </c>
    </row>
    <row r="43">
      <c r="A43" s="4" t="inlineStr">
        <is>
          <t>HASLS22260902826</t>
        </is>
      </c>
      <c r="B43" s="4" t="inlineStr">
        <is>
          <t>SWDN</t>
        </is>
      </c>
      <c r="C43" s="4" t="inlineStr">
        <is>
          <t>2611N</t>
        </is>
      </c>
      <c r="D43" s="4" t="inlineStr">
        <is>
          <t>202611010800</t>
        </is>
      </c>
      <c r="E43" s="4" t="inlineStr"/>
      <c r="F43" s="4" t="inlineStr">
        <is>
          <t>THBKK</t>
        </is>
      </c>
      <c r="G43" s="4" t="inlineStr">
        <is>
          <t>CNTAO</t>
        </is>
      </c>
      <c r="H43" s="4" t="inlineStr">
        <is>
          <t xml:space="preserve">40Hx1 </t>
        </is>
      </c>
      <c r="I43" s="4" t="inlineStr">
        <is>
          <t>BKK04</t>
        </is>
      </c>
      <c r="J43" s="4" t="inlineStr">
        <is>
          <t>PAT TERMINAL 1 (PORT AUTHORITY OF THAILAND)</t>
        </is>
      </c>
      <c r="K43" s="4" t="inlineStr">
        <is>
          <t>20261020</t>
        </is>
      </c>
      <c r="L43" s="4" t="inlineStr">
        <is>
          <t>GATEWAY CONTAINER LINE CO., LTD.</t>
        </is>
      </c>
      <c r="M43" s="4" t="inlineStr">
        <is>
          <t>GATEWAY CONTAINER LINE CO., LTD.</t>
        </is>
      </c>
      <c r="N43" s="4" t="inlineStr">
        <is>
          <t>GENERAL CARGO (CONSOL)</t>
        </is>
      </c>
      <c r="O43" s="4" t="inlineStr">
        <is>
          <t>CONSOL</t>
        </is>
      </c>
      <c r="P43" s="4" t="inlineStr">
        <is>
          <t xml:space="preserve">Pickup : 2026-10-20, Return : 2026-10-22 CONSOL
 (1ST CY : 22/10 W/O RENT) </t>
        </is>
      </c>
      <c r="Q43" s="4" t="n">
        <v>0</v>
      </c>
      <c r="R43" s="4" t="n">
        <v>0</v>
      </c>
      <c r="S43" s="4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4" t="n">
        <v>0</v>
      </c>
      <c r="AB43" s="4">
        <f>SUM(Q43:Y43)-Z43</f>
        <v/>
      </c>
      <c r="AC43" s="4">
        <f>IF(I43="","",IF(OR(LEFT(I43,3)="BKK",I43="LCH55"),"BKK",IF(LEFT(I43,3)="LCH","LCH","OTHER")))</f>
        <v/>
      </c>
      <c r="AD43" s="4">
        <f>MAX(0,Q43-MAX(0,Z43))</f>
        <v/>
      </c>
      <c r="AE43" s="4">
        <f>MAX(0,R43-MAX(0,Z43-SUM(Q43:Q43)))</f>
        <v/>
      </c>
      <c r="AF43" s="4">
        <f>MAX(0,S43-MAX(0,Z43-SUM(Q43:R43)))</f>
        <v/>
      </c>
      <c r="AG43" s="4">
        <f>MAX(0,T43-MAX(0,Z43-SUM(Q43:S43)))</f>
        <v/>
      </c>
      <c r="AH43" s="4">
        <f>MAX(0,U43-MAX(0,Z43-SUM(Q43:T43)))</f>
        <v/>
      </c>
      <c r="AI43" s="4">
        <f>MAX(0,V43-MAX(0,Z43-SUM(Q43:U43)))</f>
        <v/>
      </c>
      <c r="AJ43" s="4">
        <f>MAX(0,W43-MAX(0,Z43-SUM(Q43:V43)))</f>
        <v/>
      </c>
      <c r="AK43" s="4">
        <f>MAX(0,X43-MAX(0,Z43-SUM(Q43:W43)))</f>
        <v/>
      </c>
      <c r="AL43" s="4">
        <f>MAX(0,Y43-MAX(0,Z43-SUM(Q43:X43)))</f>
        <v/>
      </c>
    </row>
    <row r="44">
      <c r="A44" s="4" t="inlineStr">
        <is>
          <t>HASLS22260901136</t>
        </is>
      </c>
      <c r="B44" s="4" t="inlineStr">
        <is>
          <t>SWVG</t>
        </is>
      </c>
      <c r="C44" s="4" t="inlineStr">
        <is>
          <t>2613N</t>
        </is>
      </c>
      <c r="D44" s="4" t="inlineStr">
        <is>
          <t>202610282000</t>
        </is>
      </c>
      <c r="E44" s="4" t="inlineStr"/>
      <c r="F44" s="4" t="inlineStr">
        <is>
          <t>THBKK</t>
        </is>
      </c>
      <c r="G44" s="4" t="inlineStr">
        <is>
          <t>KRPUS</t>
        </is>
      </c>
      <c r="H44" s="4" t="inlineStr">
        <is>
          <t xml:space="preserve">40Hx1 </t>
        </is>
      </c>
      <c r="I44" s="4" t="inlineStr">
        <is>
          <t>BKK01</t>
        </is>
      </c>
      <c r="J44" s="4" t="inlineStr">
        <is>
          <t>PAT TERMINAL 2 (PORT AUTHORITY OF THAILAND)</t>
        </is>
      </c>
      <c r="K44" s="4" t="inlineStr">
        <is>
          <t>20261022</t>
        </is>
      </c>
      <c r="L44" s="4" t="inlineStr">
        <is>
          <t>CARGOPORT (THAILAND) LTD.</t>
        </is>
      </c>
      <c r="M44" s="4" t="inlineStr">
        <is>
          <t>CARGOPORT (THAILAND) LTD.</t>
        </is>
      </c>
      <c r="N44" s="4" t="inlineStr">
        <is>
          <t>GENERAL CARGO (CONSOL)</t>
        </is>
      </c>
      <c r="O44" s="4" t="inlineStr">
        <is>
          <t>(CONSOL)</t>
        </is>
      </c>
      <c r="P44" s="4" t="inlineStr">
        <is>
          <t>CY-RTN :22-22/10/20206 (CONSOL)
1ST CY CNTR DD.26/10/2026</t>
        </is>
      </c>
      <c r="Q44" s="4" t="n">
        <v>0</v>
      </c>
      <c r="R44" s="4" t="n">
        <v>0</v>
      </c>
      <c r="S44" s="4" t="n">
        <v>1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  <c r="AB44" s="4">
        <f>SUM(Q44:Y44)-Z44</f>
        <v/>
      </c>
      <c r="AC44" s="4">
        <f>IF(I44="","",IF(OR(LEFT(I44,3)="BKK",I44="LCH55"),"BKK",IF(LEFT(I44,3)="LCH","LCH","OTHER")))</f>
        <v/>
      </c>
      <c r="AD44" s="4">
        <f>MAX(0,Q44-MAX(0,Z44))</f>
        <v/>
      </c>
      <c r="AE44" s="4">
        <f>MAX(0,R44-MAX(0,Z44-SUM(Q44:Q44)))</f>
        <v/>
      </c>
      <c r="AF44" s="4">
        <f>MAX(0,S44-MAX(0,Z44-SUM(Q44:R44)))</f>
        <v/>
      </c>
      <c r="AG44" s="4">
        <f>MAX(0,T44-MAX(0,Z44-SUM(Q44:S44)))</f>
        <v/>
      </c>
      <c r="AH44" s="4">
        <f>MAX(0,U44-MAX(0,Z44-SUM(Q44:T44)))</f>
        <v/>
      </c>
      <c r="AI44" s="4">
        <f>MAX(0,V44-MAX(0,Z44-SUM(Q44:U44)))</f>
        <v/>
      </c>
      <c r="AJ44" s="4">
        <f>MAX(0,W44-MAX(0,Z44-SUM(Q44:V44)))</f>
        <v/>
      </c>
      <c r="AK44" s="4">
        <f>MAX(0,X44-MAX(0,Z44-SUM(Q44:W44)))</f>
        <v/>
      </c>
      <c r="AL44" s="4">
        <f>MAX(0,Y44-MAX(0,Z44-SUM(Q44:X44)))</f>
        <v/>
      </c>
    </row>
    <row r="45">
      <c r="A45" s="4" t="inlineStr">
        <is>
          <t>HASLS22260901294</t>
        </is>
      </c>
      <c r="B45" s="4" t="inlineStr">
        <is>
          <t>SWDN</t>
        </is>
      </c>
      <c r="C45" s="4" t="inlineStr">
        <is>
          <t>2611N</t>
        </is>
      </c>
      <c r="D45" s="4" t="inlineStr">
        <is>
          <t>202611010800</t>
        </is>
      </c>
      <c r="E45" s="4" t="inlineStr"/>
      <c r="F45" s="4" t="inlineStr">
        <is>
          <t>THBKK</t>
        </is>
      </c>
      <c r="G45" s="4" t="inlineStr">
        <is>
          <t>HKHKG</t>
        </is>
      </c>
      <c r="H45" s="4" t="inlineStr">
        <is>
          <t xml:space="preserve">40Hx1 </t>
        </is>
      </c>
      <c r="I45" s="4" t="inlineStr">
        <is>
          <t>BKK01</t>
        </is>
      </c>
      <c r="J45" s="4" t="inlineStr">
        <is>
          <t>PAT TERMINAL 2 (PORT AUTHORITY OF THAILAND)</t>
        </is>
      </c>
      <c r="K45" s="4" t="inlineStr">
        <is>
          <t>20261022</t>
        </is>
      </c>
      <c r="L45" s="4" t="inlineStr">
        <is>
          <t>THE M CORP GLOBAL CO., LTD.</t>
        </is>
      </c>
      <c r="M45" s="4" t="inlineStr">
        <is>
          <t>THE M CORP GLOBAL CO., LTD.</t>
        </is>
      </c>
      <c r="N45" s="4" t="inlineStr">
        <is>
          <t>GENERAL CARGO (CONSOL)</t>
        </is>
      </c>
      <c r="O45" s="4" t="inlineStr">
        <is>
          <t>CONSOL</t>
        </is>
      </c>
      <c r="P45" s="4" t="inlineStr">
        <is>
          <t>Pickup : 2026-10-22, Return : 2026-10-24 CONSOL</t>
        </is>
      </c>
      <c r="Q45" s="4" t="n">
        <v>0</v>
      </c>
      <c r="R45" s="4" t="n">
        <v>0</v>
      </c>
      <c r="S45" s="4" t="n">
        <v>1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0</v>
      </c>
      <c r="AB45" s="4">
        <f>SUM(Q45:Y45)-Z45</f>
        <v/>
      </c>
      <c r="AC45" s="4">
        <f>IF(I45="","",IF(OR(LEFT(I45,3)="BKK",I45="LCH55"),"BKK",IF(LEFT(I45,3)="LCH","LCH","OTHER")))</f>
        <v/>
      </c>
      <c r="AD45" s="4">
        <f>MAX(0,Q45-MAX(0,Z45))</f>
        <v/>
      </c>
      <c r="AE45" s="4">
        <f>MAX(0,R45-MAX(0,Z45-SUM(Q45:Q45)))</f>
        <v/>
      </c>
      <c r="AF45" s="4">
        <f>MAX(0,S45-MAX(0,Z45-SUM(Q45:R45)))</f>
        <v/>
      </c>
      <c r="AG45" s="4">
        <f>MAX(0,T45-MAX(0,Z45-SUM(Q45:S45)))</f>
        <v/>
      </c>
      <c r="AH45" s="4">
        <f>MAX(0,U45-MAX(0,Z45-SUM(Q45:T45)))</f>
        <v/>
      </c>
      <c r="AI45" s="4">
        <f>MAX(0,V45-MAX(0,Z45-SUM(Q45:U45)))</f>
        <v/>
      </c>
      <c r="AJ45" s="4">
        <f>MAX(0,W45-MAX(0,Z45-SUM(Q45:V45)))</f>
        <v/>
      </c>
      <c r="AK45" s="4">
        <f>MAX(0,X45-MAX(0,Z45-SUM(Q45:W45)))</f>
        <v/>
      </c>
      <c r="AL45" s="4">
        <f>MAX(0,Y45-MAX(0,Z45-SUM(Q45:X45)))</f>
        <v/>
      </c>
    </row>
    <row r="46">
      <c r="A46" s="4" t="inlineStr">
        <is>
          <t>HASLS22260901558</t>
        </is>
      </c>
      <c r="B46" s="4" t="inlineStr">
        <is>
          <t>SWAT</t>
        </is>
      </c>
      <c r="C46" s="4" t="inlineStr">
        <is>
          <t>2611N</t>
        </is>
      </c>
      <c r="D46" s="4" t="inlineStr">
        <is>
          <t>202611041600</t>
        </is>
      </c>
      <c r="E46" s="4" t="inlineStr"/>
      <c r="F46" s="4" t="inlineStr">
        <is>
          <t>THBKK</t>
        </is>
      </c>
      <c r="G46" s="4" t="inlineStr">
        <is>
          <t>HKHKG</t>
        </is>
      </c>
      <c r="H46" s="4" t="inlineStr">
        <is>
          <t xml:space="preserve">40Hx4 </t>
        </is>
      </c>
      <c r="I46" s="4" t="inlineStr">
        <is>
          <t>BKK01</t>
        </is>
      </c>
      <c r="J46" s="4" t="inlineStr">
        <is>
          <t>PAT TERMINAL 2 (PORT AUTHORITY OF THAILAND)</t>
        </is>
      </c>
      <c r="K46" s="4" t="inlineStr">
        <is>
          <t>20261022</t>
        </is>
      </c>
      <c r="L46" s="4" t="inlineStr">
        <is>
          <t>PILOT CONSOLIDATOR CO., LTD.</t>
        </is>
      </c>
      <c r="M46" s="4" t="inlineStr">
        <is>
          <t>PILOT CONSOLIDATOR CO., LTD.</t>
        </is>
      </c>
      <c r="N46" s="4" t="inlineStr">
        <is>
          <t>Console</t>
        </is>
      </c>
      <c r="O46" s="4" t="inlineStr">
        <is>
          <t>CONSOL 
CLEAN &amp; GOOD CONTAINERS</t>
        </is>
      </c>
      <c r="P46" s="4" t="inlineStr">
        <is>
          <t>Pickup : 2026-10-22, Return : 2026-10-23 CONSOL</t>
        </is>
      </c>
      <c r="Q46" s="4" t="n">
        <v>0</v>
      </c>
      <c r="R46" s="4" t="n">
        <v>0</v>
      </c>
      <c r="S46" s="4" t="n">
        <v>4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  <c r="AB46" s="4">
        <f>SUM(Q46:Y46)-Z46</f>
        <v/>
      </c>
      <c r="AC46" s="4">
        <f>IF(I46="","",IF(OR(LEFT(I46,3)="BKK",I46="LCH55"),"BKK",IF(LEFT(I46,3)="LCH","LCH","OTHER")))</f>
        <v/>
      </c>
      <c r="AD46" s="4">
        <f>MAX(0,Q46-MAX(0,Z46))</f>
        <v/>
      </c>
      <c r="AE46" s="4">
        <f>MAX(0,R46-MAX(0,Z46-SUM(Q46:Q46)))</f>
        <v/>
      </c>
      <c r="AF46" s="4">
        <f>MAX(0,S46-MAX(0,Z46-SUM(Q46:R46)))</f>
        <v/>
      </c>
      <c r="AG46" s="4">
        <f>MAX(0,T46-MAX(0,Z46-SUM(Q46:S46)))</f>
        <v/>
      </c>
      <c r="AH46" s="4">
        <f>MAX(0,U46-MAX(0,Z46-SUM(Q46:T46)))</f>
        <v/>
      </c>
      <c r="AI46" s="4">
        <f>MAX(0,V46-MAX(0,Z46-SUM(Q46:U46)))</f>
        <v/>
      </c>
      <c r="AJ46" s="4">
        <f>MAX(0,W46-MAX(0,Z46-SUM(Q46:V46)))</f>
        <v/>
      </c>
      <c r="AK46" s="4">
        <f>MAX(0,X46-MAX(0,Z46-SUM(Q46:W46)))</f>
        <v/>
      </c>
      <c r="AL46" s="4">
        <f>MAX(0,Y46-MAX(0,Z46-SUM(Q46:X46)))</f>
        <v/>
      </c>
    </row>
    <row r="47">
      <c r="A47" s="4" t="inlineStr">
        <is>
          <t>HASLS22260901760</t>
        </is>
      </c>
      <c r="B47" s="4" t="inlineStr">
        <is>
          <t>KMBK</t>
        </is>
      </c>
      <c r="C47" s="4" t="inlineStr">
        <is>
          <t>2612N</t>
        </is>
      </c>
      <c r="D47" s="4" t="inlineStr">
        <is>
          <t>202610260700</t>
        </is>
      </c>
      <c r="E47" s="4" t="inlineStr"/>
      <c r="F47" s="4" t="inlineStr">
        <is>
          <t>THBKK</t>
        </is>
      </c>
      <c r="G47" s="4" t="inlineStr">
        <is>
          <t>VNSGN</t>
        </is>
      </c>
      <c r="H47" s="4" t="inlineStr">
        <is>
          <t xml:space="preserve">40Hx1 </t>
        </is>
      </c>
      <c r="I47" s="4" t="inlineStr">
        <is>
          <t>BKK01</t>
        </is>
      </c>
      <c r="J47" s="4" t="inlineStr">
        <is>
          <t>PAT TERMINAL 2 (PORT AUTHORITY OF THAILAND)</t>
        </is>
      </c>
      <c r="K47" s="4" t="inlineStr">
        <is>
          <t>20261022</t>
        </is>
      </c>
      <c r="L47" s="4" t="inlineStr">
        <is>
          <t>PROFREIGHT INTERNATIONAL CO., LTD.</t>
        </is>
      </c>
      <c r="M47" s="4" t="inlineStr">
        <is>
          <t>SIAM BROTHERS CORP.,LTD.</t>
        </is>
      </c>
      <c r="N47" s="4" t="inlineStr">
        <is>
          <t>FISHING NETS</t>
        </is>
      </c>
      <c r="O47" s="4" t="inlineStr">
        <is>
          <t>REQ: GOOD &amp; CLEAN CONTAINER,NO LEAK,NO RUST,NO SMELL,NO BURR,NOT WET,GOOD FLOOR.</t>
        </is>
      </c>
      <c r="P47" s="4" t="inlineStr">
        <is>
          <t>STUFFING CARGO @PAT (SPORTLIGHT TOWER NO.2) DD.22/10/26 *CLS TIME CFS DD.22/10/26 - 17:00HRS.*
[1ST CFS DATE : 22/10/2026 W/O RENT]</t>
        </is>
      </c>
      <c r="Q47" s="4" t="n">
        <v>0</v>
      </c>
      <c r="R47" s="4" t="n">
        <v>0</v>
      </c>
      <c r="S47" s="4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0</v>
      </c>
      <c r="AA47" s="4" t="n">
        <v>0</v>
      </c>
      <c r="AB47" s="4">
        <f>SUM(Q47:Y47)-Z47</f>
        <v/>
      </c>
      <c r="AC47" s="4">
        <f>IF(I47="","",IF(OR(LEFT(I47,3)="BKK",I47="LCH55"),"BKK",IF(LEFT(I47,3)="LCH","LCH","OTHER")))</f>
        <v/>
      </c>
      <c r="AD47" s="4">
        <f>MAX(0,Q47-MAX(0,Z47))</f>
        <v/>
      </c>
      <c r="AE47" s="4">
        <f>MAX(0,R47-MAX(0,Z47-SUM(Q47:Q47)))</f>
        <v/>
      </c>
      <c r="AF47" s="4">
        <f>MAX(0,S47-MAX(0,Z47-SUM(Q47:R47)))</f>
        <v/>
      </c>
      <c r="AG47" s="4">
        <f>MAX(0,T47-MAX(0,Z47-SUM(Q47:S47)))</f>
        <v/>
      </c>
      <c r="AH47" s="4">
        <f>MAX(0,U47-MAX(0,Z47-SUM(Q47:T47)))</f>
        <v/>
      </c>
      <c r="AI47" s="4">
        <f>MAX(0,V47-MAX(0,Z47-SUM(Q47:U47)))</f>
        <v/>
      </c>
      <c r="AJ47" s="4">
        <f>MAX(0,W47-MAX(0,Z47-SUM(Q47:V47)))</f>
        <v/>
      </c>
      <c r="AK47" s="4">
        <f>MAX(0,X47-MAX(0,Z47-SUM(Q47:W47)))</f>
        <v/>
      </c>
      <c r="AL47" s="4">
        <f>MAX(0,Y47-MAX(0,Z47-SUM(Q47:X47)))</f>
        <v/>
      </c>
    </row>
    <row r="48">
      <c r="A48" s="4" t="inlineStr">
        <is>
          <t>HASLS22260902253</t>
        </is>
      </c>
      <c r="B48" s="4" t="inlineStr">
        <is>
          <t>HAHM</t>
        </is>
      </c>
      <c r="C48" s="4" t="inlineStr">
        <is>
          <t>2612N</t>
        </is>
      </c>
      <c r="D48" s="4" t="inlineStr">
        <is>
          <t>202610271500</t>
        </is>
      </c>
      <c r="E48" s="4" t="inlineStr"/>
      <c r="F48" s="4" t="inlineStr">
        <is>
          <t>THBKK</t>
        </is>
      </c>
      <c r="G48" s="4" t="inlineStr">
        <is>
          <t>JPMIZ</t>
        </is>
      </c>
      <c r="H48" s="4" t="inlineStr">
        <is>
          <t xml:space="preserve">20'x30 </t>
        </is>
      </c>
      <c r="I48" s="4" t="inlineStr">
        <is>
          <t>BKK01</t>
        </is>
      </c>
      <c r="J48" s="4" t="inlineStr">
        <is>
          <t>PAT TERMINAL 2 (PORT AUTHORITY OF THAILAND)</t>
        </is>
      </c>
      <c r="K48" s="4" t="inlineStr">
        <is>
          <t>20261020</t>
        </is>
      </c>
      <c r="L48" s="4" t="inlineStr">
        <is>
          <t>THAI KAWANISHI LIMITED</t>
        </is>
      </c>
      <c r="M48" s="4" t="inlineStr">
        <is>
          <t>THAI QUALITY STARCH CO.,LTD.</t>
        </is>
      </c>
      <c r="N48" s="4" t="inlineStr">
        <is>
          <t>NATIVE TAPIOCA STARCH</t>
        </is>
      </c>
      <c r="O48" s="4" t="inlineStr">
        <is>
          <t>REQUEST CRANE &amp; FORKLIFT / FOOD GRADE / SMOOTH FLOOR / N O SMELL / UNDER DECK /</t>
        </is>
      </c>
      <c r="P48" s="4" t="inlineStr">
        <is>
          <t xml:space="preserve">STUFFING DD.20/10/2026 @ PAT (SPORTLIGHT TOWER NO.2) CLS TIME DD.20/10/2026 @ 17.00
CFS : 20 OCT 2026 → 12 x 20’DC (Load Cargo: 10 x 20’DC / Storage Pallet: 2 x 20’DC)
CFS : 21 OCT 2026 → 8 x 20’DC
CFS : 22 OCT 2026 → 10 x 20’DC (Total Loaded Ca
</t>
        </is>
      </c>
      <c r="Q48" s="4" t="n">
        <v>30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16</v>
      </c>
      <c r="AA48" s="4" t="n">
        <v>16</v>
      </c>
      <c r="AB48" s="4">
        <f>SUM(Q48:Y48)-Z48</f>
        <v/>
      </c>
      <c r="AC48" s="4">
        <f>IF(I48="","",IF(OR(LEFT(I48,3)="BKK",I48="LCH55"),"BKK",IF(LEFT(I48,3)="LCH","LCH","OTHER")))</f>
        <v/>
      </c>
      <c r="AD48" s="4">
        <f>MAX(0,Q48-MAX(0,Z48))</f>
        <v/>
      </c>
      <c r="AE48" s="4">
        <f>MAX(0,R48-MAX(0,Z48-SUM(Q48:Q48)))</f>
        <v/>
      </c>
      <c r="AF48" s="4">
        <f>MAX(0,S48-MAX(0,Z48-SUM(Q48:R48)))</f>
        <v/>
      </c>
      <c r="AG48" s="4">
        <f>MAX(0,T48-MAX(0,Z48-SUM(Q48:S48)))</f>
        <v/>
      </c>
      <c r="AH48" s="4">
        <f>MAX(0,U48-MAX(0,Z48-SUM(Q48:T48)))</f>
        <v/>
      </c>
      <c r="AI48" s="4">
        <f>MAX(0,V48-MAX(0,Z48-SUM(Q48:U48)))</f>
        <v/>
      </c>
      <c r="AJ48" s="4">
        <f>MAX(0,W48-MAX(0,Z48-SUM(Q48:V48)))</f>
        <v/>
      </c>
      <c r="AK48" s="4">
        <f>MAX(0,X48-MAX(0,Z48-SUM(Q48:W48)))</f>
        <v/>
      </c>
      <c r="AL48" s="4">
        <f>MAX(0,Y48-MAX(0,Z48-SUM(Q48:X48)))</f>
        <v/>
      </c>
    </row>
    <row r="49">
      <c r="A49" s="4" t="inlineStr">
        <is>
          <t>HASLS22260902317</t>
        </is>
      </c>
      <c r="B49" s="4" t="inlineStr">
        <is>
          <t>KMBK</t>
        </is>
      </c>
      <c r="C49" s="4" t="inlineStr">
        <is>
          <t>2612N</t>
        </is>
      </c>
      <c r="D49" s="4" t="inlineStr">
        <is>
          <t>202610260700</t>
        </is>
      </c>
      <c r="E49" s="4" t="inlineStr"/>
      <c r="F49" s="4" t="inlineStr">
        <is>
          <t>THBKK</t>
        </is>
      </c>
      <c r="G49" s="4" t="inlineStr">
        <is>
          <t>VNSGN</t>
        </is>
      </c>
      <c r="H49" s="4" t="inlineStr">
        <is>
          <t xml:space="preserve">40Hx2 </t>
        </is>
      </c>
      <c r="I49" s="4" t="inlineStr">
        <is>
          <t>BKK01</t>
        </is>
      </c>
      <c r="J49" s="4" t="inlineStr">
        <is>
          <t>PAT TERMINAL 2 (PORT AUTHORITY OF THAILAND)</t>
        </is>
      </c>
      <c r="K49" s="4" t="inlineStr">
        <is>
          <t>20261021</t>
        </is>
      </c>
      <c r="L49" s="4" t="inlineStr">
        <is>
          <t>QUANTERM LOGISTICS (THAILAND) CO., LTD.</t>
        </is>
      </c>
      <c r="M49" s="4" t="inlineStr">
        <is>
          <t>QUANTERM LOGISTICS (THAILAND) CO., LTD.</t>
        </is>
      </c>
      <c r="N49" s="4" t="inlineStr">
        <is>
          <t>GENERAL CARGO (CONSOL)</t>
        </is>
      </c>
      <c r="O49" s="4" t="inlineStr">
        <is>
          <t>CONSOL</t>
        </is>
      </c>
      <c r="P49" s="4" t="inlineStr">
        <is>
          <t>Pickup : 2026-10-21, Return : 2026-10-21 CONSOL</t>
        </is>
      </c>
      <c r="Q49" s="4" t="n">
        <v>0</v>
      </c>
      <c r="R49" s="4" t="n">
        <v>0</v>
      </c>
      <c r="S49" s="4" t="n">
        <v>2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  <c r="AB49" s="4">
        <f>SUM(Q49:Y49)-Z49</f>
        <v/>
      </c>
      <c r="AC49" s="4">
        <f>IF(I49="","",IF(OR(LEFT(I49,3)="BKK",I49="LCH55"),"BKK",IF(LEFT(I49,3)="LCH","LCH","OTHER")))</f>
        <v/>
      </c>
      <c r="AD49" s="4">
        <f>MAX(0,Q49-MAX(0,Z49))</f>
        <v/>
      </c>
      <c r="AE49" s="4">
        <f>MAX(0,R49-MAX(0,Z49-SUM(Q49:Q49)))</f>
        <v/>
      </c>
      <c r="AF49" s="4">
        <f>MAX(0,S49-MAX(0,Z49-SUM(Q49:R49)))</f>
        <v/>
      </c>
      <c r="AG49" s="4">
        <f>MAX(0,T49-MAX(0,Z49-SUM(Q49:S49)))</f>
        <v/>
      </c>
      <c r="AH49" s="4">
        <f>MAX(0,U49-MAX(0,Z49-SUM(Q49:T49)))</f>
        <v/>
      </c>
      <c r="AI49" s="4">
        <f>MAX(0,V49-MAX(0,Z49-SUM(Q49:U49)))</f>
        <v/>
      </c>
      <c r="AJ49" s="4">
        <f>MAX(0,W49-MAX(0,Z49-SUM(Q49:V49)))</f>
        <v/>
      </c>
      <c r="AK49" s="4">
        <f>MAX(0,X49-MAX(0,Z49-SUM(Q49:W49)))</f>
        <v/>
      </c>
      <c r="AL49" s="4">
        <f>MAX(0,Y49-MAX(0,Z49-SUM(Q49:X49)))</f>
        <v/>
      </c>
    </row>
    <row r="50">
      <c r="A50" s="4" t="inlineStr">
        <is>
          <t>HASLS22260902419</t>
        </is>
      </c>
      <c r="B50" s="4" t="inlineStr">
        <is>
          <t>SWAT</t>
        </is>
      </c>
      <c r="C50" s="4" t="inlineStr">
        <is>
          <t>2611N</t>
        </is>
      </c>
      <c r="D50" s="4" t="inlineStr">
        <is>
          <t>202611041600</t>
        </is>
      </c>
      <c r="E50" s="4" t="inlineStr"/>
      <c r="F50" s="4" t="inlineStr">
        <is>
          <t>THBKK</t>
        </is>
      </c>
      <c r="G50" s="4" t="inlineStr">
        <is>
          <t>HKHKG</t>
        </is>
      </c>
      <c r="H50" s="4" t="inlineStr">
        <is>
          <t xml:space="preserve">40Hx4 </t>
        </is>
      </c>
      <c r="I50" s="4" t="inlineStr">
        <is>
          <t>BKK01</t>
        </is>
      </c>
      <c r="J50" s="4" t="inlineStr">
        <is>
          <t>PAT TERMINAL 2 (PORT AUTHORITY OF THAILAND)</t>
        </is>
      </c>
      <c r="K50" s="4" t="inlineStr">
        <is>
          <t>20261022</t>
        </is>
      </c>
      <c r="L50" s="4" t="inlineStr">
        <is>
          <t>ECU WORLDWIDE (THAILAND) CO., LTD.</t>
        </is>
      </c>
      <c r="M50" s="4" t="inlineStr">
        <is>
          <t>ECU WORLDWIDE (THAILAND) CO., LTD.</t>
        </is>
      </c>
      <c r="N50" s="4" t="inlineStr">
        <is>
          <t>GENERAL CARGO (CONSOL)</t>
        </is>
      </c>
      <c r="O50" s="4" t="inlineStr">
        <is>
          <t>CONSOL</t>
        </is>
      </c>
      <c r="P50" s="4" t="inlineStr">
        <is>
          <t>Pickup : 2026-10-22, Return : 2026-10-23 CONSOL</t>
        </is>
      </c>
      <c r="Q50" s="4" t="n">
        <v>0</v>
      </c>
      <c r="R50" s="4" t="n">
        <v>0</v>
      </c>
      <c r="S50" s="4" t="n">
        <v>4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0</v>
      </c>
      <c r="Y50" s="4" t="n">
        <v>0</v>
      </c>
      <c r="Z50" s="4" t="n">
        <v>0</v>
      </c>
      <c r="AA50" s="4" t="n">
        <v>0</v>
      </c>
      <c r="AB50" s="4">
        <f>SUM(Q50:Y50)-Z50</f>
        <v/>
      </c>
      <c r="AC50" s="4">
        <f>IF(I50="","",IF(OR(LEFT(I50,3)="BKK",I50="LCH55"),"BKK",IF(LEFT(I50,3)="LCH","LCH","OTHER")))</f>
        <v/>
      </c>
      <c r="AD50" s="4">
        <f>MAX(0,Q50-MAX(0,Z50))</f>
        <v/>
      </c>
      <c r="AE50" s="4">
        <f>MAX(0,R50-MAX(0,Z50-SUM(Q50:Q50)))</f>
        <v/>
      </c>
      <c r="AF50" s="4">
        <f>MAX(0,S50-MAX(0,Z50-SUM(Q50:R50)))</f>
        <v/>
      </c>
      <c r="AG50" s="4">
        <f>MAX(0,T50-MAX(0,Z50-SUM(Q50:S50)))</f>
        <v/>
      </c>
      <c r="AH50" s="4">
        <f>MAX(0,U50-MAX(0,Z50-SUM(Q50:T50)))</f>
        <v/>
      </c>
      <c r="AI50" s="4">
        <f>MAX(0,V50-MAX(0,Z50-SUM(Q50:U50)))</f>
        <v/>
      </c>
      <c r="AJ50" s="4">
        <f>MAX(0,W50-MAX(0,Z50-SUM(Q50:V50)))</f>
        <v/>
      </c>
      <c r="AK50" s="4">
        <f>MAX(0,X50-MAX(0,Z50-SUM(Q50:W50)))</f>
        <v/>
      </c>
      <c r="AL50" s="4">
        <f>MAX(0,Y50-MAX(0,Z50-SUM(Q50:X50)))</f>
        <v/>
      </c>
    </row>
    <row r="51">
      <c r="A51" s="4" t="inlineStr">
        <is>
          <t>HASLS22260902434</t>
        </is>
      </c>
      <c r="B51" s="4" t="inlineStr">
        <is>
          <t>SWAT</t>
        </is>
      </c>
      <c r="C51" s="4" t="inlineStr">
        <is>
          <t>2611N</t>
        </is>
      </c>
      <c r="D51" s="4" t="inlineStr">
        <is>
          <t>202611041600</t>
        </is>
      </c>
      <c r="E51" s="4" t="inlineStr"/>
      <c r="F51" s="4" t="inlineStr">
        <is>
          <t>THBKK</t>
        </is>
      </c>
      <c r="G51" s="4" t="inlineStr">
        <is>
          <t>HKHKG</t>
        </is>
      </c>
      <c r="H51" s="4" t="inlineStr">
        <is>
          <t xml:space="preserve">40Hx1 </t>
        </is>
      </c>
      <c r="I51" s="4" t="inlineStr">
        <is>
          <t>BKK01</t>
        </is>
      </c>
      <c r="J51" s="4" t="inlineStr">
        <is>
          <t>PAT TERMINAL 2 (PORT AUTHORITY OF THAILAND)</t>
        </is>
      </c>
      <c r="K51" s="4" t="inlineStr">
        <is>
          <t>20260923</t>
        </is>
      </c>
      <c r="L51" s="4" t="inlineStr">
        <is>
          <t>YUSEN LOGISTICS (THAILAND) CO., LTD.</t>
        </is>
      </c>
      <c r="M51" s="4" t="inlineStr">
        <is>
          <t>YUSEN LOGISTICS (THAILAND) CO., LTD.</t>
        </is>
      </c>
      <c r="N51" s="4" t="inlineStr">
        <is>
          <t>GENERAL CARGO (CONSOL)</t>
        </is>
      </c>
      <c r="O51" s="4" t="inlineStr">
        <is>
          <t>CONSOL</t>
        </is>
      </c>
      <c r="P51" s="4" t="inlineStr">
        <is>
          <t>Pickup : 2026-09-23, Return : 2026-09-23 CONSOL</t>
        </is>
      </c>
      <c r="Q51" s="4" t="n">
        <v>0</v>
      </c>
      <c r="R51" s="4" t="n">
        <v>0</v>
      </c>
      <c r="S51" s="4" t="n">
        <v>1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  <c r="AB51" s="4">
        <f>SUM(Q51:Y51)-Z51</f>
        <v/>
      </c>
      <c r="AC51" s="4">
        <f>IF(I51="","",IF(OR(LEFT(I51,3)="BKK",I51="LCH55"),"BKK",IF(LEFT(I51,3)="LCH","LCH","OTHER")))</f>
        <v/>
      </c>
      <c r="AD51" s="4">
        <f>MAX(0,Q51-MAX(0,Z51))</f>
        <v/>
      </c>
      <c r="AE51" s="4">
        <f>MAX(0,R51-MAX(0,Z51-SUM(Q51:Q51)))</f>
        <v/>
      </c>
      <c r="AF51" s="4">
        <f>MAX(0,S51-MAX(0,Z51-SUM(Q51:R51)))</f>
        <v/>
      </c>
      <c r="AG51" s="4">
        <f>MAX(0,T51-MAX(0,Z51-SUM(Q51:S51)))</f>
        <v/>
      </c>
      <c r="AH51" s="4">
        <f>MAX(0,U51-MAX(0,Z51-SUM(Q51:T51)))</f>
        <v/>
      </c>
      <c r="AI51" s="4">
        <f>MAX(0,V51-MAX(0,Z51-SUM(Q51:U51)))</f>
        <v/>
      </c>
      <c r="AJ51" s="4">
        <f>MAX(0,W51-MAX(0,Z51-SUM(Q51:V51)))</f>
        <v/>
      </c>
      <c r="AK51" s="4">
        <f>MAX(0,X51-MAX(0,Z51-SUM(Q51:W51)))</f>
        <v/>
      </c>
      <c r="AL51" s="4">
        <f>MAX(0,Y51-MAX(0,Z51-SUM(Q51:X51)))</f>
        <v/>
      </c>
    </row>
    <row r="52">
      <c r="A52" s="4" t="inlineStr">
        <is>
          <t>HASLS22261001595</t>
        </is>
      </c>
      <c r="B52" s="4" t="inlineStr">
        <is>
          <t>KMBK</t>
        </is>
      </c>
      <c r="C52" s="4" t="inlineStr">
        <is>
          <t>2612N</t>
        </is>
      </c>
      <c r="D52" s="4" t="inlineStr">
        <is>
          <t>202610260700</t>
        </is>
      </c>
      <c r="E52" s="4" t="inlineStr"/>
      <c r="F52" s="4" t="inlineStr">
        <is>
          <t>THBKK</t>
        </is>
      </c>
      <c r="G52" s="4" t="inlineStr">
        <is>
          <t>VNSGN</t>
        </is>
      </c>
      <c r="H52" s="4" t="inlineStr">
        <is>
          <t xml:space="preserve">20'x1 </t>
        </is>
      </c>
      <c r="I52" s="4" t="inlineStr">
        <is>
          <t>BKK01</t>
        </is>
      </c>
      <c r="J52" s="4" t="inlineStr">
        <is>
          <t>PAT TERMINAL 2 (PORT AUTHORITY OF THAILAND)</t>
        </is>
      </c>
      <c r="K52" s="4" t="inlineStr">
        <is>
          <t>20261022</t>
        </is>
      </c>
      <c r="L52" s="4" t="inlineStr">
        <is>
          <t>WORLDNET EXPRESS CO., LTD.</t>
        </is>
      </c>
      <c r="M52" s="4" t="inlineStr">
        <is>
          <t>SADESA (THAILAND) CO., LTD.</t>
        </is>
      </c>
      <c r="N52" s="4" t="inlineStr">
        <is>
          <t>COW LEATHER</t>
        </is>
      </c>
      <c r="O52" s="4" t="inlineStr">
        <is>
          <t>GOOD AND CLEAN CONTAINER</t>
        </is>
      </c>
      <c r="P52" s="4" t="inlineStr">
        <is>
          <t xml:space="preserve">STUFFING @PAT (SPORT LIGHT TOWER 2) DD 22/10/26 CLS TIME 23/10 @17.00HRS 
 </t>
        </is>
      </c>
      <c r="Q52" s="4" t="n">
        <v>1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  <c r="AB52" s="4">
        <f>SUM(Q52:Y52)-Z52</f>
        <v/>
      </c>
      <c r="AC52" s="4">
        <f>IF(I52="","",IF(OR(LEFT(I52,3)="BKK",I52="LCH55"),"BKK",IF(LEFT(I52,3)="LCH","LCH","OTHER")))</f>
        <v/>
      </c>
      <c r="AD52" s="4">
        <f>MAX(0,Q52-MAX(0,Z52))</f>
        <v/>
      </c>
      <c r="AE52" s="4">
        <f>MAX(0,R52-MAX(0,Z52-SUM(Q52:Q52)))</f>
        <v/>
      </c>
      <c r="AF52" s="4">
        <f>MAX(0,S52-MAX(0,Z52-SUM(Q52:R52)))</f>
        <v/>
      </c>
      <c r="AG52" s="4">
        <f>MAX(0,T52-MAX(0,Z52-SUM(Q52:S52)))</f>
        <v/>
      </c>
      <c r="AH52" s="4">
        <f>MAX(0,U52-MAX(0,Z52-SUM(Q52:T52)))</f>
        <v/>
      </c>
      <c r="AI52" s="4">
        <f>MAX(0,V52-MAX(0,Z52-SUM(Q52:U52)))</f>
        <v/>
      </c>
      <c r="AJ52" s="4">
        <f>MAX(0,W52-MAX(0,Z52-SUM(Q52:V52)))</f>
        <v/>
      </c>
      <c r="AK52" s="4">
        <f>MAX(0,X52-MAX(0,Z52-SUM(Q52:W52)))</f>
        <v/>
      </c>
      <c r="AL52" s="4">
        <f>MAX(0,Y52-MAX(0,Z52-SUM(Q52:X52)))</f>
        <v/>
      </c>
    </row>
    <row r="53">
      <c r="A53" s="4" t="inlineStr">
        <is>
          <t>HASLS22261001719</t>
        </is>
      </c>
      <c r="B53" s="4" t="inlineStr">
        <is>
          <t>HAHM</t>
        </is>
      </c>
      <c r="C53" s="4" t="inlineStr">
        <is>
          <t>2612N</t>
        </is>
      </c>
      <c r="D53" s="4" t="inlineStr">
        <is>
          <t>202610271500</t>
        </is>
      </c>
      <c r="E53" s="4" t="inlineStr"/>
      <c r="F53" s="4" t="inlineStr">
        <is>
          <t>THBKK</t>
        </is>
      </c>
      <c r="G53" s="4" t="inlineStr">
        <is>
          <t>KRPUS</t>
        </is>
      </c>
      <c r="H53" s="4" t="inlineStr">
        <is>
          <t xml:space="preserve">20'x1 </t>
        </is>
      </c>
      <c r="I53" s="4" t="inlineStr">
        <is>
          <t>BKK01</t>
        </is>
      </c>
      <c r="J53" s="4" t="inlineStr">
        <is>
          <t>PAT TERMINAL 2 (PORT AUTHORITY OF THAILAND)</t>
        </is>
      </c>
      <c r="K53" s="4" t="inlineStr">
        <is>
          <t>20261022</t>
        </is>
      </c>
      <c r="L53" s="4" t="inlineStr">
        <is>
          <t>ECU WORLDWIDE (THAILAND) CO., LTD.</t>
        </is>
      </c>
      <c r="M53" s="4" t="inlineStr">
        <is>
          <t>ECU WORLDWIDE (THAILAND) CO., LTD.</t>
        </is>
      </c>
      <c r="N53" s="4" t="inlineStr">
        <is>
          <t>GENERAL CARGO (CONSOL)</t>
        </is>
      </c>
      <c r="O53" s="4" t="inlineStr">
        <is>
          <t>CONSOL</t>
        </is>
      </c>
      <c r="P53" s="4" t="inlineStr">
        <is>
          <t>Pickup : 2026-10-22, Return : 2026-10-22 CONSOL</t>
        </is>
      </c>
      <c r="Q53" s="4" t="n">
        <v>1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0</v>
      </c>
      <c r="Y53" s="4" t="n">
        <v>0</v>
      </c>
      <c r="Z53" s="4" t="n">
        <v>0</v>
      </c>
      <c r="AA53" s="4" t="n">
        <v>0</v>
      </c>
      <c r="AB53" s="4">
        <f>SUM(Q53:Y53)-Z53</f>
        <v/>
      </c>
      <c r="AC53" s="4">
        <f>IF(I53="","",IF(OR(LEFT(I53,3)="BKK",I53="LCH55"),"BKK",IF(LEFT(I53,3)="LCH","LCH","OTHER")))</f>
        <v/>
      </c>
      <c r="AD53" s="4">
        <f>MAX(0,Q53-MAX(0,Z53))</f>
        <v/>
      </c>
      <c r="AE53" s="4">
        <f>MAX(0,R53-MAX(0,Z53-SUM(Q53:Q53)))</f>
        <v/>
      </c>
      <c r="AF53" s="4">
        <f>MAX(0,S53-MAX(0,Z53-SUM(Q53:R53)))</f>
        <v/>
      </c>
      <c r="AG53" s="4">
        <f>MAX(0,T53-MAX(0,Z53-SUM(Q53:S53)))</f>
        <v/>
      </c>
      <c r="AH53" s="4">
        <f>MAX(0,U53-MAX(0,Z53-SUM(Q53:T53)))</f>
        <v/>
      </c>
      <c r="AI53" s="4">
        <f>MAX(0,V53-MAX(0,Z53-SUM(Q53:U53)))</f>
        <v/>
      </c>
      <c r="AJ53" s="4">
        <f>MAX(0,W53-MAX(0,Z53-SUM(Q53:V53)))</f>
        <v/>
      </c>
      <c r="AK53" s="4">
        <f>MAX(0,X53-MAX(0,Z53-SUM(Q53:W53)))</f>
        <v/>
      </c>
      <c r="AL53" s="4">
        <f>MAX(0,Y53-MAX(0,Z53-SUM(Q53:X53)))</f>
        <v/>
      </c>
    </row>
    <row r="54">
      <c r="A54" s="4" t="inlineStr">
        <is>
          <t>HASLS22260801848</t>
        </is>
      </c>
      <c r="B54" s="4" t="inlineStr">
        <is>
          <t>TBN</t>
        </is>
      </c>
      <c r="C54" s="4" t="inlineStr">
        <is>
          <t>001</t>
        </is>
      </c>
      <c r="D54" s="4" t="inlineStr"/>
      <c r="E54" s="4" t="inlineStr"/>
      <c r="F54" s="4" t="inlineStr">
        <is>
          <t>THLCH</t>
        </is>
      </c>
      <c r="G54" s="4" t="inlineStr">
        <is>
          <t>JPYKK</t>
        </is>
      </c>
      <c r="H54" s="4" t="inlineStr">
        <is>
          <t xml:space="preserve">20'x3 </t>
        </is>
      </c>
      <c r="I54" s="4" t="inlineStr">
        <is>
          <t>LCHY5</t>
        </is>
      </c>
      <c r="J54" s="4" t="inlineStr">
        <is>
          <t>PW DEPOT CO., LTD.</t>
        </is>
      </c>
      <c r="K54" s="4" t="inlineStr">
        <is>
          <t>20260908</t>
        </is>
      </c>
      <c r="L54" s="4" t="inlineStr">
        <is>
          <t>DOW CHEMICAL THAILAND LTD.</t>
        </is>
      </c>
      <c r="M54" s="4" t="inlineStr">
        <is>
          <t>DOW CHEMICAL THAILAND LTD.</t>
        </is>
      </c>
      <c r="N54" s="4" t="inlineStr">
        <is>
          <t>RESIN</t>
        </is>
      </c>
      <c r="O54" s="4" t="inlineStr">
        <is>
          <t>RQST CNTR SEABULK &amp; GRADE A</t>
        </is>
      </c>
      <c r="P54" s="4" t="inlineStr">
        <is>
          <t>CY CNTR DD.09/09/2026 RQST CNTR SEABULK &amp; GRADE A</t>
        </is>
      </c>
      <c r="Q54" s="4" t="n">
        <v>3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  <c r="AA54" s="4" t="n">
        <v>0</v>
      </c>
      <c r="AB54" s="4">
        <f>SUM(Q54:Y54)-Z54</f>
        <v/>
      </c>
      <c r="AC54" s="4">
        <f>IF(I54="","",IF(OR(LEFT(I54,3)="BKK",I54="LCH55"),"BKK",IF(LEFT(I54,3)="LCH","LCH","OTHER")))</f>
        <v/>
      </c>
      <c r="AD54" s="4">
        <f>MAX(0,Q54-MAX(0,Z54))</f>
        <v/>
      </c>
      <c r="AE54" s="4">
        <f>MAX(0,R54-MAX(0,Z54-SUM(Q54:Q54)))</f>
        <v/>
      </c>
      <c r="AF54" s="4">
        <f>MAX(0,S54-MAX(0,Z54-SUM(Q54:R54)))</f>
        <v/>
      </c>
      <c r="AG54" s="4">
        <f>MAX(0,T54-MAX(0,Z54-SUM(Q54:S54)))</f>
        <v/>
      </c>
      <c r="AH54" s="4">
        <f>MAX(0,U54-MAX(0,Z54-SUM(Q54:T54)))</f>
        <v/>
      </c>
      <c r="AI54" s="4">
        <f>MAX(0,V54-MAX(0,Z54-SUM(Q54:U54)))</f>
        <v/>
      </c>
      <c r="AJ54" s="4">
        <f>MAX(0,W54-MAX(0,Z54-SUM(Q54:V54)))</f>
        <v/>
      </c>
      <c r="AK54" s="4">
        <f>MAX(0,X54-MAX(0,Z54-SUM(Q54:W54)))</f>
        <v/>
      </c>
      <c r="AL54" s="4">
        <f>MAX(0,Y54-MAX(0,Z54-SUM(Q54:X54)))</f>
        <v/>
      </c>
    </row>
    <row r="55">
      <c r="A55" s="4" t="inlineStr">
        <is>
          <t>HASLS22260900547</t>
        </is>
      </c>
      <c r="B55" s="4" t="inlineStr">
        <is>
          <t>TBN</t>
        </is>
      </c>
      <c r="C55" s="4" t="inlineStr">
        <is>
          <t>001</t>
        </is>
      </c>
      <c r="D55" s="4" t="inlineStr"/>
      <c r="E55" s="4" t="inlineStr"/>
      <c r="F55" s="4" t="inlineStr">
        <is>
          <t>THLCH</t>
        </is>
      </c>
      <c r="G55" s="4" t="inlineStr">
        <is>
          <t>JPTRG</t>
        </is>
      </c>
      <c r="H55" s="4" t="inlineStr">
        <is>
          <t xml:space="preserve">20'x3 </t>
        </is>
      </c>
      <c r="I55" s="4" t="inlineStr">
        <is>
          <t>LCHY5</t>
        </is>
      </c>
      <c r="J55" s="4" t="inlineStr">
        <is>
          <t>PW DEPOT CO., LTD.</t>
        </is>
      </c>
      <c r="K55" s="4" t="inlineStr">
        <is>
          <t>20260924</t>
        </is>
      </c>
      <c r="L55" s="4" t="inlineStr">
        <is>
          <t>DOW CHEMICAL THAILAND LTD.</t>
        </is>
      </c>
      <c r="M55" s="4" t="inlineStr">
        <is>
          <t>DOW CHEMICAL THAILAND LTD.</t>
        </is>
      </c>
      <c r="N55" s="4" t="inlineStr">
        <is>
          <t>RESIN</t>
        </is>
      </c>
      <c r="O55" s="4" t="inlineStr">
        <is>
          <t>RQST CNTR SEABULK &amp; GRADE A</t>
        </is>
      </c>
      <c r="P55" s="4" t="inlineStr">
        <is>
          <t>CY CNTR DD.24/09/2026 RQST CNTR SEABULK &amp; GRADE A</t>
        </is>
      </c>
      <c r="Q55" s="4" t="n">
        <v>3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  <c r="AA55" s="4" t="n">
        <v>0</v>
      </c>
      <c r="AB55" s="4">
        <f>SUM(Q55:Y55)-Z55</f>
        <v/>
      </c>
      <c r="AC55" s="4">
        <f>IF(I55="","",IF(OR(LEFT(I55,3)="BKK",I55="LCH55"),"BKK",IF(LEFT(I55,3)="LCH","LCH","OTHER")))</f>
        <v/>
      </c>
      <c r="AD55" s="4">
        <f>MAX(0,Q55-MAX(0,Z55))</f>
        <v/>
      </c>
      <c r="AE55" s="4">
        <f>MAX(0,R55-MAX(0,Z55-SUM(Q55:Q55)))</f>
        <v/>
      </c>
      <c r="AF55" s="4">
        <f>MAX(0,S55-MAX(0,Z55-SUM(Q55:R55)))</f>
        <v/>
      </c>
      <c r="AG55" s="4">
        <f>MAX(0,T55-MAX(0,Z55-SUM(Q55:S55)))</f>
        <v/>
      </c>
      <c r="AH55" s="4">
        <f>MAX(0,U55-MAX(0,Z55-SUM(Q55:T55)))</f>
        <v/>
      </c>
      <c r="AI55" s="4">
        <f>MAX(0,V55-MAX(0,Z55-SUM(Q55:U55)))</f>
        <v/>
      </c>
      <c r="AJ55" s="4">
        <f>MAX(0,W55-MAX(0,Z55-SUM(Q55:V55)))</f>
        <v/>
      </c>
      <c r="AK55" s="4">
        <f>MAX(0,X55-MAX(0,Z55-SUM(Q55:W55)))</f>
        <v/>
      </c>
      <c r="AL55" s="4">
        <f>MAX(0,Y55-MAX(0,Z55-SUM(Q55:X55)))</f>
        <v/>
      </c>
    </row>
    <row r="56">
      <c r="A56" s="4" t="inlineStr">
        <is>
          <t>HASLS22260900548</t>
        </is>
      </c>
      <c r="B56" s="4" t="inlineStr">
        <is>
          <t>TBN</t>
        </is>
      </c>
      <c r="C56" s="4" t="inlineStr">
        <is>
          <t>001</t>
        </is>
      </c>
      <c r="D56" s="4" t="inlineStr"/>
      <c r="E56" s="4" t="inlineStr"/>
      <c r="F56" s="4" t="inlineStr">
        <is>
          <t>THLCH</t>
        </is>
      </c>
      <c r="G56" s="4" t="inlineStr">
        <is>
          <t>JPTRG</t>
        </is>
      </c>
      <c r="H56" s="4" t="inlineStr">
        <is>
          <t xml:space="preserve">20'x11 </t>
        </is>
      </c>
      <c r="I56" s="4" t="inlineStr">
        <is>
          <t>LCHY5</t>
        </is>
      </c>
      <c r="J56" s="4" t="inlineStr">
        <is>
          <t>PW DEPOT CO., LTD.</t>
        </is>
      </c>
      <c r="K56" s="4" t="inlineStr">
        <is>
          <t>20260925</t>
        </is>
      </c>
      <c r="L56" s="4" t="inlineStr">
        <is>
          <t>DOW CHEMICAL THAILAND LTD.</t>
        </is>
      </c>
      <c r="M56" s="4" t="inlineStr">
        <is>
          <t>DOW CHEMICAL THAILAND LTD.</t>
        </is>
      </c>
      <c r="N56" s="4" t="inlineStr">
        <is>
          <t>RESIN</t>
        </is>
      </c>
      <c r="O56" s="4" t="inlineStr">
        <is>
          <t>RQST CNTR SEABULK &amp; GRADE A</t>
        </is>
      </c>
      <c r="P56" s="4" t="inlineStr">
        <is>
          <t>CY CNTR DD.25/09/2026 RQST CNTR SEABULK &amp; GRADE A</t>
        </is>
      </c>
      <c r="Q56" s="4" t="n">
        <v>11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  <c r="AB56" s="4">
        <f>SUM(Q56:Y56)-Z56</f>
        <v/>
      </c>
      <c r="AC56" s="4">
        <f>IF(I56="","",IF(OR(LEFT(I56,3)="BKK",I56="LCH55"),"BKK",IF(LEFT(I56,3)="LCH","LCH","OTHER")))</f>
        <v/>
      </c>
      <c r="AD56" s="4">
        <f>MAX(0,Q56-MAX(0,Z56))</f>
        <v/>
      </c>
      <c r="AE56" s="4">
        <f>MAX(0,R56-MAX(0,Z56-SUM(Q56:Q56)))</f>
        <v/>
      </c>
      <c r="AF56" s="4">
        <f>MAX(0,S56-MAX(0,Z56-SUM(Q56:R56)))</f>
        <v/>
      </c>
      <c r="AG56" s="4">
        <f>MAX(0,T56-MAX(0,Z56-SUM(Q56:S56)))</f>
        <v/>
      </c>
      <c r="AH56" s="4">
        <f>MAX(0,U56-MAX(0,Z56-SUM(Q56:T56)))</f>
        <v/>
      </c>
      <c r="AI56" s="4">
        <f>MAX(0,V56-MAX(0,Z56-SUM(Q56:U56)))</f>
        <v/>
      </c>
      <c r="AJ56" s="4">
        <f>MAX(0,W56-MAX(0,Z56-SUM(Q56:V56)))</f>
        <v/>
      </c>
      <c r="AK56" s="4">
        <f>MAX(0,X56-MAX(0,Z56-SUM(Q56:W56)))</f>
        <v/>
      </c>
      <c r="AL56" s="4">
        <f>MAX(0,Y56-MAX(0,Z56-SUM(Q56:X56)))</f>
        <v/>
      </c>
    </row>
    <row r="57">
      <c r="A57" s="4" t="inlineStr">
        <is>
          <t>HASLS22260900550</t>
        </is>
      </c>
      <c r="B57" s="4" t="inlineStr">
        <is>
          <t>TBN</t>
        </is>
      </c>
      <c r="C57" s="4" t="inlineStr">
        <is>
          <t>001</t>
        </is>
      </c>
      <c r="D57" s="4" t="inlineStr"/>
      <c r="E57" s="4" t="inlineStr"/>
      <c r="F57" s="4" t="inlineStr">
        <is>
          <t>THLCH</t>
        </is>
      </c>
      <c r="G57" s="4" t="inlineStr">
        <is>
          <t>JPYKK</t>
        </is>
      </c>
      <c r="H57" s="4" t="inlineStr">
        <is>
          <t xml:space="preserve">20'x9 </t>
        </is>
      </c>
      <c r="I57" s="4" t="inlineStr">
        <is>
          <t>LCHY5</t>
        </is>
      </c>
      <c r="J57" s="4" t="inlineStr">
        <is>
          <t>PW DEPOT CO., LTD.</t>
        </is>
      </c>
      <c r="K57" s="4" t="inlineStr">
        <is>
          <t>20260917</t>
        </is>
      </c>
      <c r="L57" s="4" t="inlineStr">
        <is>
          <t>DOW CHEMICAL THAILAND LTD.</t>
        </is>
      </c>
      <c r="M57" s="4" t="inlineStr">
        <is>
          <t>DOW CHEMICAL THAILAND LTD.</t>
        </is>
      </c>
      <c r="N57" s="4" t="inlineStr">
        <is>
          <t>RESIN</t>
        </is>
      </c>
      <c r="O57" s="4" t="inlineStr">
        <is>
          <t>RQST CNTR SEABULK &amp; GRADE A</t>
        </is>
      </c>
      <c r="P57" s="4" t="inlineStr">
        <is>
          <t>CY CNTR DD.17/09/2026 RQST CNTR SEABULK &amp; GRADE A</t>
        </is>
      </c>
      <c r="Q57" s="4" t="n">
        <v>9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5</v>
      </c>
      <c r="AA57" s="4" t="n">
        <v>0</v>
      </c>
      <c r="AB57" s="4">
        <f>SUM(Q57:Y57)-Z57</f>
        <v/>
      </c>
      <c r="AC57" s="4">
        <f>IF(I57="","",IF(OR(LEFT(I57,3)="BKK",I57="LCH55"),"BKK",IF(LEFT(I57,3)="LCH","LCH","OTHER")))</f>
        <v/>
      </c>
      <c r="AD57" s="4">
        <f>MAX(0,Q57-MAX(0,Z57))</f>
        <v/>
      </c>
      <c r="AE57" s="4">
        <f>MAX(0,R57-MAX(0,Z57-SUM(Q57:Q57)))</f>
        <v/>
      </c>
      <c r="AF57" s="4">
        <f>MAX(0,S57-MAX(0,Z57-SUM(Q57:R57)))</f>
        <v/>
      </c>
      <c r="AG57" s="4">
        <f>MAX(0,T57-MAX(0,Z57-SUM(Q57:S57)))</f>
        <v/>
      </c>
      <c r="AH57" s="4">
        <f>MAX(0,U57-MAX(0,Z57-SUM(Q57:T57)))</f>
        <v/>
      </c>
      <c r="AI57" s="4">
        <f>MAX(0,V57-MAX(0,Z57-SUM(Q57:U57)))</f>
        <v/>
      </c>
      <c r="AJ57" s="4">
        <f>MAX(0,W57-MAX(0,Z57-SUM(Q57:V57)))</f>
        <v/>
      </c>
      <c r="AK57" s="4">
        <f>MAX(0,X57-MAX(0,Z57-SUM(Q57:W57)))</f>
        <v/>
      </c>
      <c r="AL57" s="4">
        <f>MAX(0,Y57-MAX(0,Z57-SUM(Q57:X57)))</f>
        <v/>
      </c>
    </row>
    <row r="58">
      <c r="A58" s="4" t="inlineStr">
        <is>
          <t>HASLS22260900551</t>
        </is>
      </c>
      <c r="B58" s="4" t="inlineStr">
        <is>
          <t>TBN</t>
        </is>
      </c>
      <c r="C58" s="4" t="inlineStr">
        <is>
          <t>001</t>
        </is>
      </c>
      <c r="D58" s="4" t="inlineStr"/>
      <c r="E58" s="4" t="inlineStr"/>
      <c r="F58" s="4" t="inlineStr">
        <is>
          <t>THLCH</t>
        </is>
      </c>
      <c r="G58" s="4" t="inlineStr">
        <is>
          <t>JPYKK</t>
        </is>
      </c>
      <c r="H58" s="4" t="inlineStr">
        <is>
          <t xml:space="preserve">20'x10 </t>
        </is>
      </c>
      <c r="I58" s="4" t="inlineStr">
        <is>
          <t>LCHY5</t>
        </is>
      </c>
      <c r="J58" s="4" t="inlineStr">
        <is>
          <t>PW DEPOT CO., LTD.</t>
        </is>
      </c>
      <c r="K58" s="4" t="inlineStr">
        <is>
          <t>20260926</t>
        </is>
      </c>
      <c r="L58" s="4" t="inlineStr">
        <is>
          <t>DOW CHEMICAL THAILAND LTD.</t>
        </is>
      </c>
      <c r="M58" s="4" t="inlineStr">
        <is>
          <t>DOW CHEMICAL THAILAND LTD.</t>
        </is>
      </c>
      <c r="N58" s="4" t="inlineStr">
        <is>
          <t>RESIN</t>
        </is>
      </c>
      <c r="O58" s="4" t="inlineStr">
        <is>
          <t>RQST CNTR SEABULK &amp; GRADE A</t>
        </is>
      </c>
      <c r="P58" s="4" t="inlineStr">
        <is>
          <t>CY CNTR DD.26/09/2026 RQST CNTR SEABULK &amp; GRADE A</t>
        </is>
      </c>
      <c r="Q58" s="4" t="n">
        <v>10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0</v>
      </c>
      <c r="Y58" s="4" t="n">
        <v>0</v>
      </c>
      <c r="Z58" s="4" t="n">
        <v>0</v>
      </c>
      <c r="AA58" s="4" t="n">
        <v>0</v>
      </c>
      <c r="AB58" s="4">
        <f>SUM(Q58:Y58)-Z58</f>
        <v/>
      </c>
      <c r="AC58" s="4">
        <f>IF(I58="","",IF(OR(LEFT(I58,3)="BKK",I58="LCH55"),"BKK",IF(LEFT(I58,3)="LCH","LCH","OTHER")))</f>
        <v/>
      </c>
      <c r="AD58" s="4">
        <f>MAX(0,Q58-MAX(0,Z58))</f>
        <v/>
      </c>
      <c r="AE58" s="4">
        <f>MAX(0,R58-MAX(0,Z58-SUM(Q58:Q58)))</f>
        <v/>
      </c>
      <c r="AF58" s="4">
        <f>MAX(0,S58-MAX(0,Z58-SUM(Q58:R58)))</f>
        <v/>
      </c>
      <c r="AG58" s="4">
        <f>MAX(0,T58-MAX(0,Z58-SUM(Q58:S58)))</f>
        <v/>
      </c>
      <c r="AH58" s="4">
        <f>MAX(0,U58-MAX(0,Z58-SUM(Q58:T58)))</f>
        <v/>
      </c>
      <c r="AI58" s="4">
        <f>MAX(0,V58-MAX(0,Z58-SUM(Q58:U58)))</f>
        <v/>
      </c>
      <c r="AJ58" s="4">
        <f>MAX(0,W58-MAX(0,Z58-SUM(Q58:V58)))</f>
        <v/>
      </c>
      <c r="AK58" s="4">
        <f>MAX(0,X58-MAX(0,Z58-SUM(Q58:W58)))</f>
        <v/>
      </c>
      <c r="AL58" s="4">
        <f>MAX(0,Y58-MAX(0,Z58-SUM(Q58:X58)))</f>
        <v/>
      </c>
    </row>
    <row r="59">
      <c r="A59" s="4" t="inlineStr">
        <is>
          <t>HASLS22260901660</t>
        </is>
      </c>
      <c r="B59" s="4" t="inlineStr">
        <is>
          <t>KXM</t>
        </is>
      </c>
      <c r="C59" s="4" t="inlineStr">
        <is>
          <t>2609S</t>
        </is>
      </c>
      <c r="D59" s="4" t="inlineStr">
        <is>
          <t>202611130200</t>
        </is>
      </c>
      <c r="E59" s="4" t="inlineStr"/>
      <c r="F59" s="4" t="inlineStr">
        <is>
          <t>THLCH</t>
        </is>
      </c>
      <c r="G59" s="4" t="inlineStr">
        <is>
          <t>IDJKT</t>
        </is>
      </c>
      <c r="H59" s="4" t="inlineStr">
        <is>
          <t xml:space="preserve">40Hx3 </t>
        </is>
      </c>
      <c r="I59" s="4" t="inlineStr">
        <is>
          <t>LCHY5</t>
        </is>
      </c>
      <c r="J59" s="4" t="inlineStr">
        <is>
          <t>PW DEPOT CO., LTD.</t>
        </is>
      </c>
      <c r="K59" s="4" t="inlineStr">
        <is>
          <t>20261005</t>
        </is>
      </c>
      <c r="L59" s="4" t="inlineStr">
        <is>
          <t>YUSEN LOGISTICS (THAILAND) CO., LTD.</t>
        </is>
      </c>
      <c r="M59" s="4" t="inlineStr">
        <is>
          <t>OATSIDE (THAILAND) LIMITED.</t>
        </is>
      </c>
      <c r="N59" s="4" t="inlineStr">
        <is>
          <t>OAT MILK ( GOOD GRADE CONTAINER REQUIRED)</t>
        </is>
      </c>
      <c r="O59" s="4" t="inlineStr">
        <is>
          <t>Good dry and clean container
Food grade container only
Rust-Free interior
No Physical Damage.</t>
        </is>
      </c>
      <c r="P59" s="4" t="inlineStr">
        <is>
          <t>Pickup : 2026-10-05, Return : 2026-10-05</t>
        </is>
      </c>
      <c r="Q59" s="4" t="n">
        <v>0</v>
      </c>
      <c r="R59" s="4" t="n">
        <v>0</v>
      </c>
      <c r="S59" s="4" t="n">
        <v>3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  <c r="AA59" s="4" t="n">
        <v>0</v>
      </c>
      <c r="AB59" s="4">
        <f>SUM(Q59:Y59)-Z59</f>
        <v/>
      </c>
      <c r="AC59" s="4">
        <f>IF(I59="","",IF(OR(LEFT(I59,3)="BKK",I59="LCH55"),"BKK",IF(LEFT(I59,3)="LCH","LCH","OTHER")))</f>
        <v/>
      </c>
      <c r="AD59" s="4">
        <f>MAX(0,Q59-MAX(0,Z59))</f>
        <v/>
      </c>
      <c r="AE59" s="4">
        <f>MAX(0,R59-MAX(0,Z59-SUM(Q59:Q59)))</f>
        <v/>
      </c>
      <c r="AF59" s="4">
        <f>MAX(0,S59-MAX(0,Z59-SUM(Q59:R59)))</f>
        <v/>
      </c>
      <c r="AG59" s="4">
        <f>MAX(0,T59-MAX(0,Z59-SUM(Q59:S59)))</f>
        <v/>
      </c>
      <c r="AH59" s="4">
        <f>MAX(0,U59-MAX(0,Z59-SUM(Q59:T59)))</f>
        <v/>
      </c>
      <c r="AI59" s="4">
        <f>MAX(0,V59-MAX(0,Z59-SUM(Q59:U59)))</f>
        <v/>
      </c>
      <c r="AJ59" s="4">
        <f>MAX(0,W59-MAX(0,Z59-SUM(Q59:V59)))</f>
        <v/>
      </c>
      <c r="AK59" s="4">
        <f>MAX(0,X59-MAX(0,Z59-SUM(Q59:W59)))</f>
        <v/>
      </c>
      <c r="AL59" s="4">
        <f>MAX(0,Y59-MAX(0,Z59-SUM(Q59:X59)))</f>
        <v/>
      </c>
    </row>
    <row r="60">
      <c r="A60" s="4" t="inlineStr">
        <is>
          <t>HASLS22260901815</t>
        </is>
      </c>
      <c r="B60" s="4" t="inlineStr">
        <is>
          <t>SWAT</t>
        </is>
      </c>
      <c r="C60" s="4" t="inlineStr">
        <is>
          <t>2611N</t>
        </is>
      </c>
      <c r="D60" s="4" t="inlineStr">
        <is>
          <t>202611050900</t>
        </is>
      </c>
      <c r="E60" s="4" t="inlineStr"/>
      <c r="F60" s="4" t="inlineStr">
        <is>
          <t>THLCH</t>
        </is>
      </c>
      <c r="G60" s="4" t="inlineStr">
        <is>
          <t>JPOSA</t>
        </is>
      </c>
      <c r="H60" s="4" t="inlineStr">
        <is>
          <t xml:space="preserve">20'x1 </t>
        </is>
      </c>
      <c r="I60" s="4" t="inlineStr">
        <is>
          <t>LCHY5</t>
        </is>
      </c>
      <c r="J60" s="4" t="inlineStr">
        <is>
          <t>PW DEPOT CO., LTD.</t>
        </is>
      </c>
      <c r="K60" s="4" t="inlineStr">
        <is>
          <t>20261021</t>
        </is>
      </c>
      <c r="L60" s="4" t="inlineStr">
        <is>
          <t>CHEMICAL MATE SDN BHD</t>
        </is>
      </c>
      <c r="M60" s="4" t="inlineStr">
        <is>
          <t>GLOBAL GREEN CHEMICALS PUBLIC COMPANY LIMITED</t>
        </is>
      </c>
      <c r="N60" s="4" t="inlineStr">
        <is>
          <t xml:space="preserve">REFINED GLYCERINE 99.5% USP </t>
        </is>
      </c>
      <c r="O60" s="4" t="inlineStr">
        <is>
          <t>GOOD AND CLEAN CONTAINER</t>
        </is>
      </c>
      <c r="P60" s="4" t="inlineStr">
        <is>
          <t>Pickup : 2026-10-21, Return : 2026-10-23</t>
        </is>
      </c>
      <c r="Q60" s="4" t="n">
        <v>1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0</v>
      </c>
      <c r="AB60" s="4">
        <f>SUM(Q60:Y60)-Z60</f>
        <v/>
      </c>
      <c r="AC60" s="4">
        <f>IF(I60="","",IF(OR(LEFT(I60,3)="BKK",I60="LCH55"),"BKK",IF(LEFT(I60,3)="LCH","LCH","OTHER")))</f>
        <v/>
      </c>
      <c r="AD60" s="4">
        <f>MAX(0,Q60-MAX(0,Z60))</f>
        <v/>
      </c>
      <c r="AE60" s="4">
        <f>MAX(0,R60-MAX(0,Z60-SUM(Q60:Q60)))</f>
        <v/>
      </c>
      <c r="AF60" s="4">
        <f>MAX(0,S60-MAX(0,Z60-SUM(Q60:R60)))</f>
        <v/>
      </c>
      <c r="AG60" s="4">
        <f>MAX(0,T60-MAX(0,Z60-SUM(Q60:S60)))</f>
        <v/>
      </c>
      <c r="AH60" s="4">
        <f>MAX(0,U60-MAX(0,Z60-SUM(Q60:T60)))</f>
        <v/>
      </c>
      <c r="AI60" s="4">
        <f>MAX(0,V60-MAX(0,Z60-SUM(Q60:U60)))</f>
        <v/>
      </c>
      <c r="AJ60" s="4">
        <f>MAX(0,W60-MAX(0,Z60-SUM(Q60:V60)))</f>
        <v/>
      </c>
      <c r="AK60" s="4">
        <f>MAX(0,X60-MAX(0,Z60-SUM(Q60:W60)))</f>
        <v/>
      </c>
      <c r="AL60" s="4">
        <f>MAX(0,Y60-MAX(0,Z60-SUM(Q60:X60)))</f>
        <v/>
      </c>
    </row>
    <row r="61">
      <c r="A61" s="4" t="inlineStr">
        <is>
          <t>HASLS22260901945</t>
        </is>
      </c>
      <c r="B61" s="4" t="inlineStr">
        <is>
          <t>TBN</t>
        </is>
      </c>
      <c r="C61" s="4" t="inlineStr">
        <is>
          <t>001</t>
        </is>
      </c>
      <c r="D61" s="4" t="inlineStr"/>
      <c r="E61" s="4" t="inlineStr"/>
      <c r="F61" s="4" t="inlineStr">
        <is>
          <t>THLCH</t>
        </is>
      </c>
      <c r="G61" s="4" t="inlineStr">
        <is>
          <t>JPYKK</t>
        </is>
      </c>
      <c r="H61" s="4" t="inlineStr">
        <is>
          <t xml:space="preserve">20'x7 </t>
        </is>
      </c>
      <c r="I61" s="4" t="inlineStr">
        <is>
          <t>LCHY5</t>
        </is>
      </c>
      <c r="J61" s="4" t="inlineStr">
        <is>
          <t>PW DEPOT CO., LTD.</t>
        </is>
      </c>
      <c r="K61" s="4" t="inlineStr">
        <is>
          <t>20260924</t>
        </is>
      </c>
      <c r="L61" s="4" t="inlineStr">
        <is>
          <t>DOW CHEMICAL THAILAND LTD.</t>
        </is>
      </c>
      <c r="M61" s="4" t="inlineStr">
        <is>
          <t>DOW CHEMICAL THAILAND LTD.</t>
        </is>
      </c>
      <c r="N61" s="4" t="inlineStr">
        <is>
          <t>RESIN</t>
        </is>
      </c>
      <c r="O61" s="4" t="inlineStr">
        <is>
          <t>RQST CNTR SEABULK &amp; GRADE A</t>
        </is>
      </c>
      <c r="P61" s="4" t="inlineStr">
        <is>
          <t>CY CNTR DD.24/09/2026 RQST CNTR SEABULK &amp; GRADE A</t>
        </is>
      </c>
      <c r="Q61" s="4" t="n">
        <v>7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6</v>
      </c>
      <c r="AA61" s="4" t="n">
        <v>0</v>
      </c>
      <c r="AB61" s="4">
        <f>SUM(Q61:Y61)-Z61</f>
        <v/>
      </c>
      <c r="AC61" s="4">
        <f>IF(I61="","",IF(OR(LEFT(I61,3)="BKK",I61="LCH55"),"BKK",IF(LEFT(I61,3)="LCH","LCH","OTHER")))</f>
        <v/>
      </c>
      <c r="AD61" s="4">
        <f>MAX(0,Q61-MAX(0,Z61))</f>
        <v/>
      </c>
      <c r="AE61" s="4">
        <f>MAX(0,R61-MAX(0,Z61-SUM(Q61:Q61)))</f>
        <v/>
      </c>
      <c r="AF61" s="4">
        <f>MAX(0,S61-MAX(0,Z61-SUM(Q61:R61)))</f>
        <v/>
      </c>
      <c r="AG61" s="4">
        <f>MAX(0,T61-MAX(0,Z61-SUM(Q61:S61)))</f>
        <v/>
      </c>
      <c r="AH61" s="4">
        <f>MAX(0,U61-MAX(0,Z61-SUM(Q61:T61)))</f>
        <v/>
      </c>
      <c r="AI61" s="4">
        <f>MAX(0,V61-MAX(0,Z61-SUM(Q61:U61)))</f>
        <v/>
      </c>
      <c r="AJ61" s="4">
        <f>MAX(0,W61-MAX(0,Z61-SUM(Q61:V61)))</f>
        <v/>
      </c>
      <c r="AK61" s="4">
        <f>MAX(0,X61-MAX(0,Z61-SUM(Q61:W61)))</f>
        <v/>
      </c>
      <c r="AL61" s="4">
        <f>MAX(0,Y61-MAX(0,Z61-SUM(Q61:X61)))</f>
        <v/>
      </c>
    </row>
    <row r="62">
      <c r="A62" s="4" t="inlineStr">
        <is>
          <t>HASLS22260901946</t>
        </is>
      </c>
      <c r="B62" s="4" t="inlineStr">
        <is>
          <t>TBN</t>
        </is>
      </c>
      <c r="C62" s="4" t="inlineStr">
        <is>
          <t>001</t>
        </is>
      </c>
      <c r="D62" s="4" t="inlineStr"/>
      <c r="E62" s="4" t="inlineStr"/>
      <c r="F62" s="4" t="inlineStr">
        <is>
          <t>THLCH</t>
        </is>
      </c>
      <c r="G62" s="4" t="inlineStr">
        <is>
          <t>JPYKK</t>
        </is>
      </c>
      <c r="H62" s="4" t="inlineStr">
        <is>
          <t xml:space="preserve">20'x4 </t>
        </is>
      </c>
      <c r="I62" s="4" t="inlineStr">
        <is>
          <t>LCHY5</t>
        </is>
      </c>
      <c r="J62" s="4" t="inlineStr">
        <is>
          <t>PW DEPOT CO., LTD.</t>
        </is>
      </c>
      <c r="K62" s="4" t="inlineStr">
        <is>
          <t>20260925</t>
        </is>
      </c>
      <c r="L62" s="4" t="inlineStr">
        <is>
          <t>DOW CHEMICAL THAILAND LTD.</t>
        </is>
      </c>
      <c r="M62" s="4" t="inlineStr">
        <is>
          <t>DOW CHEMICAL THAILAND LTD.</t>
        </is>
      </c>
      <c r="N62" s="4" t="inlineStr">
        <is>
          <t>RESIN</t>
        </is>
      </c>
      <c r="O62" s="4" t="inlineStr">
        <is>
          <t>RQST CNTR SEABULK &amp; GRADE A</t>
        </is>
      </c>
      <c r="P62" s="4" t="inlineStr">
        <is>
          <t>CY CNTR DD.25/09/2026 RQST CNTR SEABULK &amp; GRADE A</t>
        </is>
      </c>
      <c r="Q62" s="4" t="n">
        <v>4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1</v>
      </c>
      <c r="AA62" s="4" t="n">
        <v>0</v>
      </c>
      <c r="AB62" s="4">
        <f>SUM(Q62:Y62)-Z62</f>
        <v/>
      </c>
      <c r="AC62" s="4">
        <f>IF(I62="","",IF(OR(LEFT(I62,3)="BKK",I62="LCH55"),"BKK",IF(LEFT(I62,3)="LCH","LCH","OTHER")))</f>
        <v/>
      </c>
      <c r="AD62" s="4">
        <f>MAX(0,Q62-MAX(0,Z62))</f>
        <v/>
      </c>
      <c r="AE62" s="4">
        <f>MAX(0,R62-MAX(0,Z62-SUM(Q62:Q62)))</f>
        <v/>
      </c>
      <c r="AF62" s="4">
        <f>MAX(0,S62-MAX(0,Z62-SUM(Q62:R62)))</f>
        <v/>
      </c>
      <c r="AG62" s="4">
        <f>MAX(0,T62-MAX(0,Z62-SUM(Q62:S62)))</f>
        <v/>
      </c>
      <c r="AH62" s="4">
        <f>MAX(0,U62-MAX(0,Z62-SUM(Q62:T62)))</f>
        <v/>
      </c>
      <c r="AI62" s="4">
        <f>MAX(0,V62-MAX(0,Z62-SUM(Q62:U62)))</f>
        <v/>
      </c>
      <c r="AJ62" s="4">
        <f>MAX(0,W62-MAX(0,Z62-SUM(Q62:V62)))</f>
        <v/>
      </c>
      <c r="AK62" s="4">
        <f>MAX(0,X62-MAX(0,Z62-SUM(Q62:W62)))</f>
        <v/>
      </c>
      <c r="AL62" s="4">
        <f>MAX(0,Y62-MAX(0,Z62-SUM(Q62:X62)))</f>
        <v/>
      </c>
    </row>
    <row r="63">
      <c r="A63" s="4" t="inlineStr">
        <is>
          <t>HASLS22261000078</t>
        </is>
      </c>
      <c r="B63" s="4" t="inlineStr">
        <is>
          <t>SWSP</t>
        </is>
      </c>
      <c r="C63" s="4" t="inlineStr">
        <is>
          <t>2610N</t>
        </is>
      </c>
      <c r="D63" s="4" t="inlineStr">
        <is>
          <t>202611082100</t>
        </is>
      </c>
      <c r="E63" s="4" t="inlineStr"/>
      <c r="F63" s="4" t="inlineStr">
        <is>
          <t>THLCH</t>
        </is>
      </c>
      <c r="G63" s="4" t="inlineStr">
        <is>
          <t>JPOSA</t>
        </is>
      </c>
      <c r="H63" s="4" t="inlineStr">
        <is>
          <t xml:space="preserve">20'x1 </t>
        </is>
      </c>
      <c r="I63" s="4" t="inlineStr">
        <is>
          <t>LCHY5</t>
        </is>
      </c>
      <c r="J63" s="4" t="inlineStr">
        <is>
          <t>PW DEPOT CO., LTD.</t>
        </is>
      </c>
      <c r="K63" s="4" t="inlineStr">
        <is>
          <t>20261022</t>
        </is>
      </c>
      <c r="L63" s="4" t="inlineStr">
        <is>
          <t>CHEMICAL MATE SDN BHD</t>
        </is>
      </c>
      <c r="M63" s="4" t="inlineStr">
        <is>
          <t>GLOBAL GREEN CHEMICALS PUBLIC COMPANY LIMITED</t>
        </is>
      </c>
      <c r="N63" s="4" t="inlineStr">
        <is>
          <t xml:space="preserve">REFINED GLYCERINE 99.5% USP </t>
        </is>
      </c>
      <c r="O63" s="4" t="inlineStr">
        <is>
          <t>GOOD AND CLEAN CONTAINER</t>
        </is>
      </c>
      <c r="P63" s="4" t="inlineStr">
        <is>
          <t>Pickup : 2026-10-22, Return : 2026-10-26</t>
        </is>
      </c>
      <c r="Q63" s="4" t="n">
        <v>1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  <c r="AA63" s="4" t="n">
        <v>0</v>
      </c>
      <c r="AB63" s="4">
        <f>SUM(Q63:Y63)-Z63</f>
        <v/>
      </c>
      <c r="AC63" s="4">
        <f>IF(I63="","",IF(OR(LEFT(I63,3)="BKK",I63="LCH55"),"BKK",IF(LEFT(I63,3)="LCH","LCH","OTHER")))</f>
        <v/>
      </c>
      <c r="AD63" s="4">
        <f>MAX(0,Q63-MAX(0,Z63))</f>
        <v/>
      </c>
      <c r="AE63" s="4">
        <f>MAX(0,R63-MAX(0,Z63-SUM(Q63:Q63)))</f>
        <v/>
      </c>
      <c r="AF63" s="4">
        <f>MAX(0,S63-MAX(0,Z63-SUM(Q63:R63)))</f>
        <v/>
      </c>
      <c r="AG63" s="4">
        <f>MAX(0,T63-MAX(0,Z63-SUM(Q63:S63)))</f>
        <v/>
      </c>
      <c r="AH63" s="4">
        <f>MAX(0,U63-MAX(0,Z63-SUM(Q63:T63)))</f>
        <v/>
      </c>
      <c r="AI63" s="4">
        <f>MAX(0,V63-MAX(0,Z63-SUM(Q63:U63)))</f>
        <v/>
      </c>
      <c r="AJ63" s="4">
        <f>MAX(0,W63-MAX(0,Z63-SUM(Q63:V63)))</f>
        <v/>
      </c>
      <c r="AK63" s="4">
        <f>MAX(0,X63-MAX(0,Z63-SUM(Q63:W63)))</f>
        <v/>
      </c>
      <c r="AL63" s="4">
        <f>MAX(0,Y63-MAX(0,Z63-SUM(Q63:X63)))</f>
        <v/>
      </c>
    </row>
    <row r="64">
      <c r="A64" s="4" t="inlineStr">
        <is>
          <t>HASLS22261000172</t>
        </is>
      </c>
      <c r="B64" s="4" t="inlineStr">
        <is>
          <t>HAB</t>
        </is>
      </c>
      <c r="C64" s="4" t="inlineStr">
        <is>
          <t>2612N</t>
        </is>
      </c>
      <c r="D64" s="4" t="inlineStr">
        <is>
          <t>202610290200</t>
        </is>
      </c>
      <c r="E64" s="4" t="inlineStr"/>
      <c r="F64" s="4" t="inlineStr">
        <is>
          <t>THLCH</t>
        </is>
      </c>
      <c r="G64" s="4" t="inlineStr">
        <is>
          <t>CNSHA</t>
        </is>
      </c>
      <c r="H64" s="4" t="inlineStr">
        <is>
          <t xml:space="preserve">40Hx6 </t>
        </is>
      </c>
      <c r="I64" s="4" t="inlineStr">
        <is>
          <t>LCHY5</t>
        </is>
      </c>
      <c r="J64" s="4" t="inlineStr">
        <is>
          <t>PW DEPOT CO., LTD.</t>
        </is>
      </c>
      <c r="K64" s="4" t="inlineStr">
        <is>
          <t>20261016</t>
        </is>
      </c>
      <c r="L64" s="4" t="inlineStr">
        <is>
          <t>WHA GC LOGISTICS COMPANY LIMITED</t>
        </is>
      </c>
      <c r="M64" s="4" t="inlineStr">
        <is>
          <t>PTT GLOBAL CHEMICAL PUBLIC COMPANY LIMITED</t>
        </is>
      </c>
      <c r="N64" s="4" t="inlineStr">
        <is>
          <t>RESIN</t>
        </is>
      </c>
      <c r="O64" s="4" t="inlineStr">
        <is>
          <t>GOOD AND CLEAN CONTAINER</t>
        </is>
      </c>
      <c r="P64" s="4" t="inlineStr">
        <is>
          <t xml:space="preserve">CY-RTN : 16-21/10/2026 </t>
        </is>
      </c>
      <c r="Q64" s="4" t="n">
        <v>0</v>
      </c>
      <c r="R64" s="4" t="n">
        <v>0</v>
      </c>
      <c r="S64" s="4" t="n">
        <v>6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2</v>
      </c>
      <c r="AA64" s="4" t="n">
        <v>0</v>
      </c>
      <c r="AB64" s="4">
        <f>SUM(Q64:Y64)-Z64</f>
        <v/>
      </c>
      <c r="AC64" s="4">
        <f>IF(I64="","",IF(OR(LEFT(I64,3)="BKK",I64="LCH55"),"BKK",IF(LEFT(I64,3)="LCH","LCH","OTHER")))</f>
        <v/>
      </c>
      <c r="AD64" s="4">
        <f>MAX(0,Q64-MAX(0,Z64))</f>
        <v/>
      </c>
      <c r="AE64" s="4">
        <f>MAX(0,R64-MAX(0,Z64-SUM(Q64:Q64)))</f>
        <v/>
      </c>
      <c r="AF64" s="4">
        <f>MAX(0,S64-MAX(0,Z64-SUM(Q64:R64)))</f>
        <v/>
      </c>
      <c r="AG64" s="4">
        <f>MAX(0,T64-MAX(0,Z64-SUM(Q64:S64)))</f>
        <v/>
      </c>
      <c r="AH64" s="4">
        <f>MAX(0,U64-MAX(0,Z64-SUM(Q64:T64)))</f>
        <v/>
      </c>
      <c r="AI64" s="4">
        <f>MAX(0,V64-MAX(0,Z64-SUM(Q64:U64)))</f>
        <v/>
      </c>
      <c r="AJ64" s="4">
        <f>MAX(0,W64-MAX(0,Z64-SUM(Q64:V64)))</f>
        <v/>
      </c>
      <c r="AK64" s="4">
        <f>MAX(0,X64-MAX(0,Z64-SUM(Q64:W64)))</f>
        <v/>
      </c>
      <c r="AL64" s="4">
        <f>MAX(0,Y64-MAX(0,Z64-SUM(Q64:X64)))</f>
        <v/>
      </c>
    </row>
    <row r="65">
      <c r="A65" s="4" t="inlineStr">
        <is>
          <t>HASLS22261000205</t>
        </is>
      </c>
      <c r="B65" s="4" t="inlineStr">
        <is>
          <t>SWAT</t>
        </is>
      </c>
      <c r="C65" s="4" t="inlineStr">
        <is>
          <t>2611N</t>
        </is>
      </c>
      <c r="D65" s="4" t="inlineStr">
        <is>
          <t>202611050900</t>
        </is>
      </c>
      <c r="E65" s="4" t="inlineStr"/>
      <c r="F65" s="4" t="inlineStr">
        <is>
          <t>THLCH</t>
        </is>
      </c>
      <c r="G65" s="4" t="inlineStr">
        <is>
          <t>JPIYM</t>
        </is>
      </c>
      <c r="H65" s="4" t="inlineStr">
        <is>
          <t xml:space="preserve">20'x5 </t>
        </is>
      </c>
      <c r="I65" s="4" t="inlineStr">
        <is>
          <t>LCHY5</t>
        </is>
      </c>
      <c r="J65" s="4" t="inlineStr">
        <is>
          <t>PW DEPOT CO., LTD.</t>
        </is>
      </c>
      <c r="K65" s="4" t="inlineStr">
        <is>
          <t>20261021</t>
        </is>
      </c>
      <c r="L65" s="4" t="inlineStr">
        <is>
          <t>WHA GC LOGISTICS COMPANY LIMITED</t>
        </is>
      </c>
      <c r="M65" s="4" t="inlineStr">
        <is>
          <t>PTT GLOBAL CHEMICAL PUBLIC COMPANY LIMITED</t>
        </is>
      </c>
      <c r="N65" s="4" t="inlineStr">
        <is>
          <t>RESIN</t>
        </is>
      </c>
      <c r="O65" s="4" t="inlineStr">
        <is>
          <t>*** REQ. GOOD &amp; CLEAN  CONT. .( NO SMELL)  ***</t>
        </is>
      </c>
      <c r="P65" s="4" t="inlineStr">
        <is>
          <t>CY-RTN 21-24/10/26 (PR2610003397)</t>
        </is>
      </c>
      <c r="Q65" s="4" t="n">
        <v>5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2</v>
      </c>
      <c r="AA65" s="4" t="n">
        <v>0</v>
      </c>
      <c r="AB65" s="4">
        <f>SUM(Q65:Y65)-Z65</f>
        <v/>
      </c>
      <c r="AC65" s="4">
        <f>IF(I65="","",IF(OR(LEFT(I65,3)="BKK",I65="LCH55"),"BKK",IF(LEFT(I65,3)="LCH","LCH","OTHER")))</f>
        <v/>
      </c>
      <c r="AD65" s="4">
        <f>MAX(0,Q65-MAX(0,Z65))</f>
        <v/>
      </c>
      <c r="AE65" s="4">
        <f>MAX(0,R65-MAX(0,Z65-SUM(Q65:Q65)))</f>
        <v/>
      </c>
      <c r="AF65" s="4">
        <f>MAX(0,S65-MAX(0,Z65-SUM(Q65:R65)))</f>
        <v/>
      </c>
      <c r="AG65" s="4">
        <f>MAX(0,T65-MAX(0,Z65-SUM(Q65:S65)))</f>
        <v/>
      </c>
      <c r="AH65" s="4">
        <f>MAX(0,U65-MAX(0,Z65-SUM(Q65:T65)))</f>
        <v/>
      </c>
      <c r="AI65" s="4">
        <f>MAX(0,V65-MAX(0,Z65-SUM(Q65:U65)))</f>
        <v/>
      </c>
      <c r="AJ65" s="4">
        <f>MAX(0,W65-MAX(0,Z65-SUM(Q65:V65)))</f>
        <v/>
      </c>
      <c r="AK65" s="4">
        <f>MAX(0,X65-MAX(0,Z65-SUM(Q65:W65)))</f>
        <v/>
      </c>
      <c r="AL65" s="4">
        <f>MAX(0,Y65-MAX(0,Z65-SUM(Q65:X65)))</f>
        <v/>
      </c>
    </row>
    <row r="66">
      <c r="A66" s="4" t="inlineStr">
        <is>
          <t>HASLS22261000303</t>
        </is>
      </c>
      <c r="B66" s="4" t="inlineStr">
        <is>
          <t>SWDN</t>
        </is>
      </c>
      <c r="C66" s="4" t="inlineStr">
        <is>
          <t>2611N</t>
        </is>
      </c>
      <c r="D66" s="4" t="inlineStr">
        <is>
          <t>202611020200</t>
        </is>
      </c>
      <c r="E66" s="4" t="inlineStr"/>
      <c r="F66" s="4" t="inlineStr">
        <is>
          <t>THLCH</t>
        </is>
      </c>
      <c r="G66" s="4" t="inlineStr">
        <is>
          <t>KRINC</t>
        </is>
      </c>
      <c r="H66" s="4" t="inlineStr">
        <is>
          <t xml:space="preserve">40Hx1 </t>
        </is>
      </c>
      <c r="I66" s="4" t="inlineStr">
        <is>
          <t>LCHY5</t>
        </is>
      </c>
      <c r="J66" s="4" t="inlineStr">
        <is>
          <t>PW DEPOT CO., LTD.</t>
        </is>
      </c>
      <c r="K66" s="4" t="inlineStr">
        <is>
          <t>20261022</t>
        </is>
      </c>
      <c r="L66" s="4" t="inlineStr">
        <is>
          <t>CANVAS GLOBAL LOGISTICS (THAILAND) CO., LTD.</t>
        </is>
      </c>
      <c r="M66" s="4" t="inlineStr">
        <is>
          <t>SRI TRANG GLOVES (THAILAND) PUBLIC COMPANY LIMITED</t>
        </is>
      </c>
      <c r="N66" s="4" t="inlineStr">
        <is>
          <t xml:space="preserve">GLOVES </t>
        </is>
      </c>
      <c r="O66" s="4" t="inlineStr">
        <is>
          <t>GOOD AND CLEAN CONTAINER</t>
        </is>
      </c>
      <c r="P66" s="4" t="inlineStr">
        <is>
          <t xml:space="preserve">Pickup : 2026-10-22, Return : 2026-10-26 
** PLEASE CHECK OPEN GATE BEFORE RETURN CONTAINER ** </t>
        </is>
      </c>
      <c r="Q66" s="4" t="n">
        <v>0</v>
      </c>
      <c r="R66" s="4" t="n">
        <v>0</v>
      </c>
      <c r="S66" s="4" t="n">
        <v>1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  <c r="AA66" s="4" t="n">
        <v>0</v>
      </c>
      <c r="AB66" s="4">
        <f>SUM(Q66:Y66)-Z66</f>
        <v/>
      </c>
      <c r="AC66" s="4">
        <f>IF(I66="","",IF(OR(LEFT(I66,3)="BKK",I66="LCH55"),"BKK",IF(LEFT(I66,3)="LCH","LCH","OTHER")))</f>
        <v/>
      </c>
      <c r="AD66" s="4">
        <f>MAX(0,Q66-MAX(0,Z66))</f>
        <v/>
      </c>
      <c r="AE66" s="4">
        <f>MAX(0,R66-MAX(0,Z66-SUM(Q66:Q66)))</f>
        <v/>
      </c>
      <c r="AF66" s="4">
        <f>MAX(0,S66-MAX(0,Z66-SUM(Q66:R66)))</f>
        <v/>
      </c>
      <c r="AG66" s="4">
        <f>MAX(0,T66-MAX(0,Z66-SUM(Q66:S66)))</f>
        <v/>
      </c>
      <c r="AH66" s="4">
        <f>MAX(0,U66-MAX(0,Z66-SUM(Q66:T66)))</f>
        <v/>
      </c>
      <c r="AI66" s="4">
        <f>MAX(0,V66-MAX(0,Z66-SUM(Q66:U66)))</f>
        <v/>
      </c>
      <c r="AJ66" s="4">
        <f>MAX(0,W66-MAX(0,Z66-SUM(Q66:V66)))</f>
        <v/>
      </c>
      <c r="AK66" s="4">
        <f>MAX(0,X66-MAX(0,Z66-SUM(Q66:W66)))</f>
        <v/>
      </c>
      <c r="AL66" s="4">
        <f>MAX(0,Y66-MAX(0,Z66-SUM(Q66:X66)))</f>
        <v/>
      </c>
    </row>
    <row r="67">
      <c r="A67" s="4" t="inlineStr">
        <is>
          <t>HASLS22261000344</t>
        </is>
      </c>
      <c r="B67" s="4" t="inlineStr">
        <is>
          <t>HMVY</t>
        </is>
      </c>
      <c r="C67" s="4" t="inlineStr">
        <is>
          <t>2609N</t>
        </is>
      </c>
      <c r="D67" s="4" t="inlineStr">
        <is>
          <t>202610271500</t>
        </is>
      </c>
      <c r="E67" s="4" t="inlineStr"/>
      <c r="F67" s="4" t="inlineStr">
        <is>
          <t>THLCH</t>
        </is>
      </c>
      <c r="G67" s="4" t="inlineStr">
        <is>
          <t>JPNGO</t>
        </is>
      </c>
      <c r="H67" s="4" t="inlineStr">
        <is>
          <t xml:space="preserve">20'x1 </t>
        </is>
      </c>
      <c r="I67" s="4" t="inlineStr">
        <is>
          <t>LCHY5</t>
        </is>
      </c>
      <c r="J67" s="4" t="inlineStr">
        <is>
          <t>PW DEPOT CO., LTD.</t>
        </is>
      </c>
      <c r="K67" s="4" t="inlineStr">
        <is>
          <t>20261019</t>
        </is>
      </c>
      <c r="L67" s="4" t="inlineStr">
        <is>
          <t>DOW CHEMICAL THAILAND LTD.</t>
        </is>
      </c>
      <c r="M67" s="4" t="inlineStr">
        <is>
          <t>SIAM POLYETHYLENE CO., LTD.</t>
        </is>
      </c>
      <c r="N67" s="4" t="inlineStr">
        <is>
          <t>RESIN</t>
        </is>
      </c>
      <c r="O67" s="4" t="inlineStr">
        <is>
          <t>1X20' SEABULK</t>
        </is>
      </c>
      <c r="P67" s="4" t="inlineStr">
        <is>
          <t xml:space="preserve">Pickup : 2026-10-19, Return : 2026-10-22
** PLEASE CHECK OPEN GATE BEFORE RETURN CONTAINER ** </t>
        </is>
      </c>
      <c r="Q67" s="4" t="n">
        <v>1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0</v>
      </c>
      <c r="AA67" s="4" t="n">
        <v>0</v>
      </c>
      <c r="AB67" s="4">
        <f>SUM(Q67:Y67)-Z67</f>
        <v/>
      </c>
      <c r="AC67" s="4">
        <f>IF(I67="","",IF(OR(LEFT(I67,3)="BKK",I67="LCH55"),"BKK",IF(LEFT(I67,3)="LCH","LCH","OTHER")))</f>
        <v/>
      </c>
      <c r="AD67" s="4">
        <f>MAX(0,Q67-MAX(0,Z67))</f>
        <v/>
      </c>
      <c r="AE67" s="4">
        <f>MAX(0,R67-MAX(0,Z67-SUM(Q67:Q67)))</f>
        <v/>
      </c>
      <c r="AF67" s="4">
        <f>MAX(0,S67-MAX(0,Z67-SUM(Q67:R67)))</f>
        <v/>
      </c>
      <c r="AG67" s="4">
        <f>MAX(0,T67-MAX(0,Z67-SUM(Q67:S67)))</f>
        <v/>
      </c>
      <c r="AH67" s="4">
        <f>MAX(0,U67-MAX(0,Z67-SUM(Q67:T67)))</f>
        <v/>
      </c>
      <c r="AI67" s="4">
        <f>MAX(0,V67-MAX(0,Z67-SUM(Q67:U67)))</f>
        <v/>
      </c>
      <c r="AJ67" s="4">
        <f>MAX(0,W67-MAX(0,Z67-SUM(Q67:V67)))</f>
        <v/>
      </c>
      <c r="AK67" s="4">
        <f>MAX(0,X67-MAX(0,Z67-SUM(Q67:W67)))</f>
        <v/>
      </c>
      <c r="AL67" s="4">
        <f>MAX(0,Y67-MAX(0,Z67-SUM(Q67:X67)))</f>
        <v/>
      </c>
    </row>
    <row r="68">
      <c r="A68" s="4" t="inlineStr">
        <is>
          <t>HASLS22261000345</t>
        </is>
      </c>
      <c r="B68" s="4" t="inlineStr">
        <is>
          <t>HMVY</t>
        </is>
      </c>
      <c r="C68" s="4" t="inlineStr">
        <is>
          <t>2609N</t>
        </is>
      </c>
      <c r="D68" s="4" t="inlineStr">
        <is>
          <t>202610271500</t>
        </is>
      </c>
      <c r="E68" s="4" t="inlineStr"/>
      <c r="F68" s="4" t="inlineStr">
        <is>
          <t>THLCH</t>
        </is>
      </c>
      <c r="G68" s="4" t="inlineStr">
        <is>
          <t>JPNGO</t>
        </is>
      </c>
      <c r="H68" s="4" t="inlineStr">
        <is>
          <t xml:space="preserve">20'x1 </t>
        </is>
      </c>
      <c r="I68" s="4" t="inlineStr">
        <is>
          <t>LCHY5</t>
        </is>
      </c>
      <c r="J68" s="4" t="inlineStr">
        <is>
          <t>PW DEPOT CO., LTD.</t>
        </is>
      </c>
      <c r="K68" s="4" t="inlineStr">
        <is>
          <t>20261019</t>
        </is>
      </c>
      <c r="L68" s="4" t="inlineStr">
        <is>
          <t>DOW CHEMICAL THAILAND LTD.</t>
        </is>
      </c>
      <c r="M68" s="4" t="inlineStr">
        <is>
          <t>SIAM POLYETHYLENE CO., LTD.</t>
        </is>
      </c>
      <c r="N68" s="4" t="inlineStr">
        <is>
          <t>RESIN</t>
        </is>
      </c>
      <c r="O68" s="4" t="inlineStr">
        <is>
          <t>1X20' SEABULK</t>
        </is>
      </c>
      <c r="P68" s="4" t="inlineStr">
        <is>
          <t xml:space="preserve">Pickup : 2026-10-19, Return : 2026-10-22 </t>
        </is>
      </c>
      <c r="Q68" s="4" t="n">
        <v>1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0</v>
      </c>
      <c r="AB68" s="4">
        <f>SUM(Q68:Y68)-Z68</f>
        <v/>
      </c>
      <c r="AC68" s="4">
        <f>IF(I68="","",IF(OR(LEFT(I68,3)="BKK",I68="LCH55"),"BKK",IF(LEFT(I68,3)="LCH","LCH","OTHER")))</f>
        <v/>
      </c>
      <c r="AD68" s="4">
        <f>MAX(0,Q68-MAX(0,Z68))</f>
        <v/>
      </c>
      <c r="AE68" s="4">
        <f>MAX(0,R68-MAX(0,Z68-SUM(Q68:Q68)))</f>
        <v/>
      </c>
      <c r="AF68" s="4">
        <f>MAX(0,S68-MAX(0,Z68-SUM(Q68:R68)))</f>
        <v/>
      </c>
      <c r="AG68" s="4">
        <f>MAX(0,T68-MAX(0,Z68-SUM(Q68:S68)))</f>
        <v/>
      </c>
      <c r="AH68" s="4">
        <f>MAX(0,U68-MAX(0,Z68-SUM(Q68:T68)))</f>
        <v/>
      </c>
      <c r="AI68" s="4">
        <f>MAX(0,V68-MAX(0,Z68-SUM(Q68:U68)))</f>
        <v/>
      </c>
      <c r="AJ68" s="4">
        <f>MAX(0,W68-MAX(0,Z68-SUM(Q68:V68)))</f>
        <v/>
      </c>
      <c r="AK68" s="4">
        <f>MAX(0,X68-MAX(0,Z68-SUM(Q68:W68)))</f>
        <v/>
      </c>
      <c r="AL68" s="4">
        <f>MAX(0,Y68-MAX(0,Z68-SUM(Q68:X68)))</f>
        <v/>
      </c>
    </row>
    <row r="69">
      <c r="A69" s="4" t="inlineStr">
        <is>
          <t>HASLS22261000347</t>
        </is>
      </c>
      <c r="B69" s="4" t="inlineStr">
        <is>
          <t>HMVY</t>
        </is>
      </c>
      <c r="C69" s="4" t="inlineStr">
        <is>
          <t>2609N</t>
        </is>
      </c>
      <c r="D69" s="4" t="inlineStr">
        <is>
          <t>202610271500</t>
        </is>
      </c>
      <c r="E69" s="4" t="inlineStr"/>
      <c r="F69" s="4" t="inlineStr">
        <is>
          <t>THLCH</t>
        </is>
      </c>
      <c r="G69" s="4" t="inlineStr">
        <is>
          <t>JPNGO</t>
        </is>
      </c>
      <c r="H69" s="4" t="inlineStr">
        <is>
          <t xml:space="preserve">20'x1 </t>
        </is>
      </c>
      <c r="I69" s="4" t="inlineStr">
        <is>
          <t>LCHY5</t>
        </is>
      </c>
      <c r="J69" s="4" t="inlineStr">
        <is>
          <t>PW DEPOT CO., LTD.</t>
        </is>
      </c>
      <c r="K69" s="4" t="inlineStr">
        <is>
          <t>20261019</t>
        </is>
      </c>
      <c r="L69" s="4" t="inlineStr">
        <is>
          <t>DOW CHEMICAL THAILAND LTD.</t>
        </is>
      </c>
      <c r="M69" s="4" t="inlineStr">
        <is>
          <t>SIAM POLYETHYLENE CO., LTD.</t>
        </is>
      </c>
      <c r="N69" s="4" t="inlineStr">
        <is>
          <t>RESIN</t>
        </is>
      </c>
      <c r="O69" s="4" t="inlineStr">
        <is>
          <t>1X20' SEABULK</t>
        </is>
      </c>
      <c r="P69" s="4" t="inlineStr">
        <is>
          <t xml:space="preserve">Pickup : 2026-10-19, Return : 2026-10-22
** PLEASE CHECK OPEN GATE BEFORE RETURN CONTAINER **
</t>
        </is>
      </c>
      <c r="Q69" s="4" t="n">
        <v>1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0</v>
      </c>
      <c r="Y69" s="4" t="n">
        <v>0</v>
      </c>
      <c r="Z69" s="4" t="n">
        <v>0</v>
      </c>
      <c r="AA69" s="4" t="n">
        <v>0</v>
      </c>
      <c r="AB69" s="4">
        <f>SUM(Q69:Y69)-Z69</f>
        <v/>
      </c>
      <c r="AC69" s="4">
        <f>IF(I69="","",IF(OR(LEFT(I69,3)="BKK",I69="LCH55"),"BKK",IF(LEFT(I69,3)="LCH","LCH","OTHER")))</f>
        <v/>
      </c>
      <c r="AD69" s="4">
        <f>MAX(0,Q69-MAX(0,Z69))</f>
        <v/>
      </c>
      <c r="AE69" s="4">
        <f>MAX(0,R69-MAX(0,Z69-SUM(Q69:Q69)))</f>
        <v/>
      </c>
      <c r="AF69" s="4">
        <f>MAX(0,S69-MAX(0,Z69-SUM(Q69:R69)))</f>
        <v/>
      </c>
      <c r="AG69" s="4">
        <f>MAX(0,T69-MAX(0,Z69-SUM(Q69:S69)))</f>
        <v/>
      </c>
      <c r="AH69" s="4">
        <f>MAX(0,U69-MAX(0,Z69-SUM(Q69:T69)))</f>
        <v/>
      </c>
      <c r="AI69" s="4">
        <f>MAX(0,V69-MAX(0,Z69-SUM(Q69:U69)))</f>
        <v/>
      </c>
      <c r="AJ69" s="4">
        <f>MAX(0,W69-MAX(0,Z69-SUM(Q69:V69)))</f>
        <v/>
      </c>
      <c r="AK69" s="4">
        <f>MAX(0,X69-MAX(0,Z69-SUM(Q69:W69)))</f>
        <v/>
      </c>
      <c r="AL69" s="4">
        <f>MAX(0,Y69-MAX(0,Z69-SUM(Q69:X69)))</f>
        <v/>
      </c>
    </row>
    <row r="70">
      <c r="A70" s="4" t="inlineStr">
        <is>
          <t>HASLS22261000348</t>
        </is>
      </c>
      <c r="B70" s="4" t="inlineStr">
        <is>
          <t>HAB</t>
        </is>
      </c>
      <c r="C70" s="4" t="inlineStr">
        <is>
          <t>2612N</t>
        </is>
      </c>
      <c r="D70" s="4" t="inlineStr">
        <is>
          <t>202610290200</t>
        </is>
      </c>
      <c r="E70" s="4" t="inlineStr"/>
      <c r="F70" s="4" t="inlineStr">
        <is>
          <t>THLCH</t>
        </is>
      </c>
      <c r="G70" s="4" t="inlineStr">
        <is>
          <t>JPYKK</t>
        </is>
      </c>
      <c r="H70" s="4" t="inlineStr">
        <is>
          <t xml:space="preserve">20'x1 </t>
        </is>
      </c>
      <c r="I70" s="4" t="inlineStr">
        <is>
          <t>LCHY5</t>
        </is>
      </c>
      <c r="J70" s="4" t="inlineStr">
        <is>
          <t>PW DEPOT CO., LTD.</t>
        </is>
      </c>
      <c r="K70" s="4" t="inlineStr">
        <is>
          <t>20261019</t>
        </is>
      </c>
      <c r="L70" s="4" t="inlineStr">
        <is>
          <t>DOW CHEMICAL THAILAND LTD.</t>
        </is>
      </c>
      <c r="M70" s="4" t="inlineStr">
        <is>
          <t>SIAM POLYETHYLENE CO., LTD.</t>
        </is>
      </c>
      <c r="N70" s="4" t="inlineStr">
        <is>
          <t>RESIN</t>
        </is>
      </c>
      <c r="O70" s="4" t="inlineStr">
        <is>
          <t>1X20' SEABULK</t>
        </is>
      </c>
      <c r="P70" s="4" t="inlineStr">
        <is>
          <t xml:space="preserve">Pickup : 2026-10-19, Return : 2026-10-22 
** PLEASE CHECK OPEN GATE BEFORE RETURN CONTAINER ** </t>
        </is>
      </c>
      <c r="Q70" s="4" t="n">
        <v>1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0</v>
      </c>
      <c r="Y70" s="4" t="n">
        <v>0</v>
      </c>
      <c r="Z70" s="4" t="n">
        <v>0</v>
      </c>
      <c r="AA70" s="4" t="n">
        <v>0</v>
      </c>
      <c r="AB70" s="4">
        <f>SUM(Q70:Y70)-Z70</f>
        <v/>
      </c>
      <c r="AC70" s="4">
        <f>IF(I70="","",IF(OR(LEFT(I70,3)="BKK",I70="LCH55"),"BKK",IF(LEFT(I70,3)="LCH","LCH","OTHER")))</f>
        <v/>
      </c>
      <c r="AD70" s="4">
        <f>MAX(0,Q70-MAX(0,Z70))</f>
        <v/>
      </c>
      <c r="AE70" s="4">
        <f>MAX(0,R70-MAX(0,Z70-SUM(Q70:Q70)))</f>
        <v/>
      </c>
      <c r="AF70" s="4">
        <f>MAX(0,S70-MAX(0,Z70-SUM(Q70:R70)))</f>
        <v/>
      </c>
      <c r="AG70" s="4">
        <f>MAX(0,T70-MAX(0,Z70-SUM(Q70:S70)))</f>
        <v/>
      </c>
      <c r="AH70" s="4">
        <f>MAX(0,U70-MAX(0,Z70-SUM(Q70:T70)))</f>
        <v/>
      </c>
      <c r="AI70" s="4">
        <f>MAX(0,V70-MAX(0,Z70-SUM(Q70:U70)))</f>
        <v/>
      </c>
      <c r="AJ70" s="4">
        <f>MAX(0,W70-MAX(0,Z70-SUM(Q70:V70)))</f>
        <v/>
      </c>
      <c r="AK70" s="4">
        <f>MAX(0,X70-MAX(0,Z70-SUM(Q70:W70)))</f>
        <v/>
      </c>
      <c r="AL70" s="4">
        <f>MAX(0,Y70-MAX(0,Z70-SUM(Q70:X70)))</f>
        <v/>
      </c>
    </row>
    <row r="71">
      <c r="A71" s="4" t="inlineStr">
        <is>
          <t>HASLS22261000349</t>
        </is>
      </c>
      <c r="B71" s="4" t="inlineStr">
        <is>
          <t>HAB</t>
        </is>
      </c>
      <c r="C71" s="4" t="inlineStr">
        <is>
          <t>2612N</t>
        </is>
      </c>
      <c r="D71" s="4" t="inlineStr">
        <is>
          <t>202610290200</t>
        </is>
      </c>
      <c r="E71" s="4" t="inlineStr"/>
      <c r="F71" s="4" t="inlineStr">
        <is>
          <t>THLCH</t>
        </is>
      </c>
      <c r="G71" s="4" t="inlineStr">
        <is>
          <t>JPYKK</t>
        </is>
      </c>
      <c r="H71" s="4" t="inlineStr">
        <is>
          <t xml:space="preserve">20'x1 </t>
        </is>
      </c>
      <c r="I71" s="4" t="inlineStr">
        <is>
          <t>LCHY5</t>
        </is>
      </c>
      <c r="J71" s="4" t="inlineStr">
        <is>
          <t>PW DEPOT CO., LTD.</t>
        </is>
      </c>
      <c r="K71" s="4" t="inlineStr">
        <is>
          <t>20261019</t>
        </is>
      </c>
      <c r="L71" s="4" t="inlineStr">
        <is>
          <t>DOW CHEMICAL THAILAND LTD.</t>
        </is>
      </c>
      <c r="M71" s="4" t="inlineStr">
        <is>
          <t>SIAM POLYETHYLENE CO., LTD.</t>
        </is>
      </c>
      <c r="N71" s="4" t="inlineStr">
        <is>
          <t>RESIN</t>
        </is>
      </c>
      <c r="O71" s="4" t="inlineStr">
        <is>
          <t>1X20' SEABULK</t>
        </is>
      </c>
      <c r="P71" s="4" t="inlineStr">
        <is>
          <t xml:space="preserve">Pickup : 2026-10-19, Return : 2026-10-22 
** PLEASE CHECK OPEN GATE BEFORE RETURN CONTAINER ** </t>
        </is>
      </c>
      <c r="Q71" s="4" t="n">
        <v>1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0</v>
      </c>
      <c r="AB71" s="4">
        <f>SUM(Q71:Y71)-Z71</f>
        <v/>
      </c>
      <c r="AC71" s="4">
        <f>IF(I71="","",IF(OR(LEFT(I71,3)="BKK",I71="LCH55"),"BKK",IF(LEFT(I71,3)="LCH","LCH","OTHER")))</f>
        <v/>
      </c>
      <c r="AD71" s="4">
        <f>MAX(0,Q71-MAX(0,Z71))</f>
        <v/>
      </c>
      <c r="AE71" s="4">
        <f>MAX(0,R71-MAX(0,Z71-SUM(Q71:Q71)))</f>
        <v/>
      </c>
      <c r="AF71" s="4">
        <f>MAX(0,S71-MAX(0,Z71-SUM(Q71:R71)))</f>
        <v/>
      </c>
      <c r="AG71" s="4">
        <f>MAX(0,T71-MAX(0,Z71-SUM(Q71:S71)))</f>
        <v/>
      </c>
      <c r="AH71" s="4">
        <f>MAX(0,U71-MAX(0,Z71-SUM(Q71:T71)))</f>
        <v/>
      </c>
      <c r="AI71" s="4">
        <f>MAX(0,V71-MAX(0,Z71-SUM(Q71:U71)))</f>
        <v/>
      </c>
      <c r="AJ71" s="4">
        <f>MAX(0,W71-MAX(0,Z71-SUM(Q71:V71)))</f>
        <v/>
      </c>
      <c r="AK71" s="4">
        <f>MAX(0,X71-MAX(0,Z71-SUM(Q71:W71)))</f>
        <v/>
      </c>
      <c r="AL71" s="4">
        <f>MAX(0,Y71-MAX(0,Z71-SUM(Q71:X71)))</f>
        <v/>
      </c>
    </row>
    <row r="72">
      <c r="A72" s="4" t="inlineStr">
        <is>
          <t>HASLS22261000411</t>
        </is>
      </c>
      <c r="B72" s="4" t="inlineStr">
        <is>
          <t>SWSP</t>
        </is>
      </c>
      <c r="C72" s="4" t="inlineStr">
        <is>
          <t>2610N</t>
        </is>
      </c>
      <c r="D72" s="4" t="inlineStr">
        <is>
          <t>202611082100</t>
        </is>
      </c>
      <c r="E72" s="4" t="inlineStr"/>
      <c r="F72" s="4" t="inlineStr">
        <is>
          <t>THLCH</t>
        </is>
      </c>
      <c r="G72" s="4" t="inlineStr">
        <is>
          <t>JPYKK</t>
        </is>
      </c>
      <c r="H72" s="4" t="inlineStr">
        <is>
          <t xml:space="preserve">20'x1 </t>
        </is>
      </c>
      <c r="I72" s="4" t="inlineStr">
        <is>
          <t>LCHY5</t>
        </is>
      </c>
      <c r="J72" s="4" t="inlineStr">
        <is>
          <t>PW DEPOT CO., LTD.</t>
        </is>
      </c>
      <c r="K72" s="4" t="inlineStr">
        <is>
          <t>20261019</t>
        </is>
      </c>
      <c r="L72" s="4" t="inlineStr">
        <is>
          <t>DOW CHEMICAL THAILAND LTD.</t>
        </is>
      </c>
      <c r="M72" s="4" t="inlineStr">
        <is>
          <t>SIAM POLYETHYLENE CO., LTD.</t>
        </is>
      </c>
      <c r="N72" s="4" t="inlineStr">
        <is>
          <t>RESIN</t>
        </is>
      </c>
      <c r="O72" s="4" t="inlineStr">
        <is>
          <t>1X20' SEABULK</t>
        </is>
      </c>
      <c r="P72" s="4" t="inlineStr">
        <is>
          <t>Pickup : 2026-10-19, Return : 2026-10-22 (1ST RTN DD: 27/10/26 WO/RENT)
**CHECK OPENGATE BEFORE RETURN CNTR**</t>
        </is>
      </c>
      <c r="Q72" s="4" t="n">
        <v>1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  <c r="AA72" s="4" t="n">
        <v>0</v>
      </c>
      <c r="AB72" s="4">
        <f>SUM(Q72:Y72)-Z72</f>
        <v/>
      </c>
      <c r="AC72" s="4">
        <f>IF(I72="","",IF(OR(LEFT(I72,3)="BKK",I72="LCH55"),"BKK",IF(LEFT(I72,3)="LCH","LCH","OTHER")))</f>
        <v/>
      </c>
      <c r="AD72" s="4">
        <f>MAX(0,Q72-MAX(0,Z72))</f>
        <v/>
      </c>
      <c r="AE72" s="4">
        <f>MAX(0,R72-MAX(0,Z72-SUM(Q72:Q72)))</f>
        <v/>
      </c>
      <c r="AF72" s="4">
        <f>MAX(0,S72-MAX(0,Z72-SUM(Q72:R72)))</f>
        <v/>
      </c>
      <c r="AG72" s="4">
        <f>MAX(0,T72-MAX(0,Z72-SUM(Q72:S72)))</f>
        <v/>
      </c>
      <c r="AH72" s="4">
        <f>MAX(0,U72-MAX(0,Z72-SUM(Q72:T72)))</f>
        <v/>
      </c>
      <c r="AI72" s="4">
        <f>MAX(0,V72-MAX(0,Z72-SUM(Q72:U72)))</f>
        <v/>
      </c>
      <c r="AJ72" s="4">
        <f>MAX(0,W72-MAX(0,Z72-SUM(Q72:V72)))</f>
        <v/>
      </c>
      <c r="AK72" s="4">
        <f>MAX(0,X72-MAX(0,Z72-SUM(Q72:W72)))</f>
        <v/>
      </c>
      <c r="AL72" s="4">
        <f>MAX(0,Y72-MAX(0,Z72-SUM(Q72:X72)))</f>
        <v/>
      </c>
    </row>
    <row r="73">
      <c r="A73" s="4" t="inlineStr">
        <is>
          <t>HASLS22261000414</t>
        </is>
      </c>
      <c r="B73" s="4" t="inlineStr">
        <is>
          <t>SWSP</t>
        </is>
      </c>
      <c r="C73" s="4" t="inlineStr">
        <is>
          <t>2610N</t>
        </is>
      </c>
      <c r="D73" s="4" t="inlineStr">
        <is>
          <t>202611082100</t>
        </is>
      </c>
      <c r="E73" s="4" t="inlineStr"/>
      <c r="F73" s="4" t="inlineStr">
        <is>
          <t>THLCH</t>
        </is>
      </c>
      <c r="G73" s="4" t="inlineStr">
        <is>
          <t>JPYKK</t>
        </is>
      </c>
      <c r="H73" s="4" t="inlineStr">
        <is>
          <t xml:space="preserve">20'x1 </t>
        </is>
      </c>
      <c r="I73" s="4" t="inlineStr">
        <is>
          <t>LCHY5</t>
        </is>
      </c>
      <c r="J73" s="4" t="inlineStr">
        <is>
          <t>PW DEPOT CO., LTD.</t>
        </is>
      </c>
      <c r="K73" s="4" t="inlineStr">
        <is>
          <t>20261019</t>
        </is>
      </c>
      <c r="L73" s="4" t="inlineStr">
        <is>
          <t>DOW CHEMICAL THAILAND LTD.</t>
        </is>
      </c>
      <c r="M73" s="4" t="inlineStr">
        <is>
          <t>SIAM POLYETHYLENE CO., LTD.</t>
        </is>
      </c>
      <c r="N73" s="4" t="inlineStr">
        <is>
          <t>RESIN</t>
        </is>
      </c>
      <c r="O73" s="4" t="inlineStr">
        <is>
          <t>1X20' SEABULK</t>
        </is>
      </c>
      <c r="P73" s="4" t="inlineStr">
        <is>
          <t>Pickup : 2026-10-19, Return : 2026-10-22 (1ST RTN DD: 27/10/26 WO/RENT)
**CHECK OPENGATE BEFORE RETURN CNTR**</t>
        </is>
      </c>
      <c r="Q73" s="4" t="n">
        <v>1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  <c r="AA73" s="4" t="n">
        <v>0</v>
      </c>
      <c r="AB73" s="4">
        <f>SUM(Q73:Y73)-Z73</f>
        <v/>
      </c>
      <c r="AC73" s="4">
        <f>IF(I73="","",IF(OR(LEFT(I73,3)="BKK",I73="LCH55"),"BKK",IF(LEFT(I73,3)="LCH","LCH","OTHER")))</f>
        <v/>
      </c>
      <c r="AD73" s="4">
        <f>MAX(0,Q73-MAX(0,Z73))</f>
        <v/>
      </c>
      <c r="AE73" s="4">
        <f>MAX(0,R73-MAX(0,Z73-SUM(Q73:Q73)))</f>
        <v/>
      </c>
      <c r="AF73" s="4">
        <f>MAX(0,S73-MAX(0,Z73-SUM(Q73:R73)))</f>
        <v/>
      </c>
      <c r="AG73" s="4">
        <f>MAX(0,T73-MAX(0,Z73-SUM(Q73:S73)))</f>
        <v/>
      </c>
      <c r="AH73" s="4">
        <f>MAX(0,U73-MAX(0,Z73-SUM(Q73:T73)))</f>
        <v/>
      </c>
      <c r="AI73" s="4">
        <f>MAX(0,V73-MAX(0,Z73-SUM(Q73:U73)))</f>
        <v/>
      </c>
      <c r="AJ73" s="4">
        <f>MAX(0,W73-MAX(0,Z73-SUM(Q73:V73)))</f>
        <v/>
      </c>
      <c r="AK73" s="4">
        <f>MAX(0,X73-MAX(0,Z73-SUM(Q73:W73)))</f>
        <v/>
      </c>
      <c r="AL73" s="4">
        <f>MAX(0,Y73-MAX(0,Z73-SUM(Q73:X73)))</f>
        <v/>
      </c>
    </row>
    <row r="74">
      <c r="A74" s="4" t="inlineStr">
        <is>
          <t>HASLS22261000603</t>
        </is>
      </c>
      <c r="B74" s="4" t="inlineStr">
        <is>
          <t>SWIC</t>
        </is>
      </c>
      <c r="C74" s="4" t="inlineStr">
        <is>
          <t>2612N</t>
        </is>
      </c>
      <c r="D74" s="4" t="inlineStr">
        <is>
          <t>202611101600</t>
        </is>
      </c>
      <c r="E74" s="4" t="inlineStr"/>
      <c r="F74" s="4" t="inlineStr">
        <is>
          <t>THLCH</t>
        </is>
      </c>
      <c r="G74" s="4" t="inlineStr">
        <is>
          <t>JPUKB</t>
        </is>
      </c>
      <c r="H74" s="4" t="inlineStr">
        <is>
          <t xml:space="preserve">20'x7 </t>
        </is>
      </c>
      <c r="I74" s="4" t="inlineStr">
        <is>
          <t>LCHY5</t>
        </is>
      </c>
      <c r="J74" s="4" t="inlineStr">
        <is>
          <t>PW DEPOT CO., LTD.</t>
        </is>
      </c>
      <c r="K74" s="4" t="inlineStr">
        <is>
          <t>20261021</t>
        </is>
      </c>
      <c r="L74" s="4" t="inlineStr">
        <is>
          <t>WHA GC LOGISTICS COMPANY LIMITED</t>
        </is>
      </c>
      <c r="M74" s="4" t="inlineStr">
        <is>
          <t>PTT GLOBAL CHEMICAL PUBLIC COMPANY LIMITED</t>
        </is>
      </c>
      <c r="N74" s="4" t="inlineStr">
        <is>
          <t>RESIN</t>
        </is>
      </c>
      <c r="O74" s="4" t="inlineStr">
        <is>
          <t>SEA BULK CTNR // SURVEY DD.21/10</t>
        </is>
      </c>
      <c r="P74" s="4" t="inlineStr">
        <is>
          <t>SURVEY DD.21/10/2026 CY-RTN : 22-06/11/2026 (PR2610004294 )
*PLS CHECK OPEN GATE BEFORE RETURN CTNR*</t>
        </is>
      </c>
      <c r="Q74" s="4" t="n">
        <v>7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0</v>
      </c>
      <c r="Y74" s="4" t="n">
        <v>0</v>
      </c>
      <c r="Z74" s="4" t="n">
        <v>0</v>
      </c>
      <c r="AA74" s="4" t="n">
        <v>0</v>
      </c>
      <c r="AB74" s="4">
        <f>SUM(Q74:Y74)-Z74</f>
        <v/>
      </c>
      <c r="AC74" s="4">
        <f>IF(I74="","",IF(OR(LEFT(I74,3)="BKK",I74="LCH55"),"BKK",IF(LEFT(I74,3)="LCH","LCH","OTHER")))</f>
        <v/>
      </c>
      <c r="AD74" s="4">
        <f>MAX(0,Q74-MAX(0,Z74))</f>
        <v/>
      </c>
      <c r="AE74" s="4">
        <f>MAX(0,R74-MAX(0,Z74-SUM(Q74:Q74)))</f>
        <v/>
      </c>
      <c r="AF74" s="4">
        <f>MAX(0,S74-MAX(0,Z74-SUM(Q74:R74)))</f>
        <v/>
      </c>
      <c r="AG74" s="4">
        <f>MAX(0,T74-MAX(0,Z74-SUM(Q74:S74)))</f>
        <v/>
      </c>
      <c r="AH74" s="4">
        <f>MAX(0,U74-MAX(0,Z74-SUM(Q74:T74)))</f>
        <v/>
      </c>
      <c r="AI74" s="4">
        <f>MAX(0,V74-MAX(0,Z74-SUM(Q74:U74)))</f>
        <v/>
      </c>
      <c r="AJ74" s="4">
        <f>MAX(0,W74-MAX(0,Z74-SUM(Q74:V74)))</f>
        <v/>
      </c>
      <c r="AK74" s="4">
        <f>MAX(0,X74-MAX(0,Z74-SUM(Q74:W74)))</f>
        <v/>
      </c>
      <c r="AL74" s="4">
        <f>MAX(0,Y74-MAX(0,Z74-SUM(Q74:X74)))</f>
        <v/>
      </c>
    </row>
    <row r="75">
      <c r="A75" s="4" t="inlineStr">
        <is>
          <t>HASLS22261001009</t>
        </is>
      </c>
      <c r="B75" s="4" t="inlineStr">
        <is>
          <t>SWBT</t>
        </is>
      </c>
      <c r="C75" s="4" t="inlineStr">
        <is>
          <t>2618N</t>
        </is>
      </c>
      <c r="D75" s="4" t="inlineStr">
        <is>
          <t>202611082000</t>
        </is>
      </c>
      <c r="E75" s="4" t="inlineStr"/>
      <c r="F75" s="4" t="inlineStr">
        <is>
          <t>THLCH</t>
        </is>
      </c>
      <c r="G75" s="4" t="inlineStr">
        <is>
          <t>JPYOK</t>
        </is>
      </c>
      <c r="H75" s="4" t="inlineStr">
        <is>
          <t xml:space="preserve">20'x2 </t>
        </is>
      </c>
      <c r="I75" s="4" t="inlineStr">
        <is>
          <t>LCHY5</t>
        </is>
      </c>
      <c r="J75" s="4" t="inlineStr">
        <is>
          <t>PW DEPOT CO., LTD.</t>
        </is>
      </c>
      <c r="K75" s="4" t="inlineStr">
        <is>
          <t>20261021</t>
        </is>
      </c>
      <c r="L75" s="4" t="inlineStr">
        <is>
          <t>WHA GC LOGISTICS COMPANY LIMITED</t>
        </is>
      </c>
      <c r="M75" s="4" t="inlineStr">
        <is>
          <t>PTT GLOBAL CHEMICAL PUBLIC COMPANY LIMITED</t>
        </is>
      </c>
      <c r="N75" s="4" t="inlineStr">
        <is>
          <t>RESIN</t>
        </is>
      </c>
      <c r="O75" s="4" t="inlineStr">
        <is>
          <t>SEA BULK CTNR // SURVEY DD.21/10</t>
        </is>
      </c>
      <c r="P75" s="4" t="inlineStr">
        <is>
          <t>SURVEY DD.21/10/2026 CY-RTN : 22-03/11/2026 (PR2610004290 )
*PLS CHECK OPEN GATE BEFORE RETURN CTNR*</t>
        </is>
      </c>
      <c r="Q75" s="4" t="n">
        <v>2</v>
      </c>
      <c r="R75" s="4" t="n">
        <v>0</v>
      </c>
      <c r="S75" s="4" t="n">
        <v>0</v>
      </c>
      <c r="T75" s="4" t="n">
        <v>0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  <c r="AA75" s="4" t="n">
        <v>0</v>
      </c>
      <c r="AB75" s="4">
        <f>SUM(Q75:Y75)-Z75</f>
        <v/>
      </c>
      <c r="AC75" s="4">
        <f>IF(I75="","",IF(OR(LEFT(I75,3)="BKK",I75="LCH55"),"BKK",IF(LEFT(I75,3)="LCH","LCH","OTHER")))</f>
        <v/>
      </c>
      <c r="AD75" s="4">
        <f>MAX(0,Q75-MAX(0,Z75))</f>
        <v/>
      </c>
      <c r="AE75" s="4">
        <f>MAX(0,R75-MAX(0,Z75-SUM(Q75:Q75)))</f>
        <v/>
      </c>
      <c r="AF75" s="4">
        <f>MAX(0,S75-MAX(0,Z75-SUM(Q75:R75)))</f>
        <v/>
      </c>
      <c r="AG75" s="4">
        <f>MAX(0,T75-MAX(0,Z75-SUM(Q75:S75)))</f>
        <v/>
      </c>
      <c r="AH75" s="4">
        <f>MAX(0,U75-MAX(0,Z75-SUM(Q75:T75)))</f>
        <v/>
      </c>
      <c r="AI75" s="4">
        <f>MAX(0,V75-MAX(0,Z75-SUM(Q75:U75)))</f>
        <v/>
      </c>
      <c r="AJ75" s="4">
        <f>MAX(0,W75-MAX(0,Z75-SUM(Q75:V75)))</f>
        <v/>
      </c>
      <c r="AK75" s="4">
        <f>MAX(0,X75-MAX(0,Z75-SUM(Q75:W75)))</f>
        <v/>
      </c>
      <c r="AL75" s="4">
        <f>MAX(0,Y75-MAX(0,Z75-SUM(Q75:X75)))</f>
        <v/>
      </c>
    </row>
    <row r="76">
      <c r="A76" s="4" t="inlineStr">
        <is>
          <t>HASLS22261001467</t>
        </is>
      </c>
      <c r="B76" s="4" t="inlineStr">
        <is>
          <t>HAB</t>
        </is>
      </c>
      <c r="C76" s="4" t="inlineStr">
        <is>
          <t>2612N</t>
        </is>
      </c>
      <c r="D76" s="4" t="inlineStr">
        <is>
          <t>202610290200</t>
        </is>
      </c>
      <c r="E76" s="4" t="inlineStr"/>
      <c r="F76" s="4" t="inlineStr">
        <is>
          <t>THLCH</t>
        </is>
      </c>
      <c r="G76" s="4" t="inlineStr">
        <is>
          <t>CNSHA</t>
        </is>
      </c>
      <c r="H76" s="4" t="inlineStr">
        <is>
          <t xml:space="preserve">40Hx2 </t>
        </is>
      </c>
      <c r="I76" s="4" t="inlineStr">
        <is>
          <t>LCHY5</t>
        </is>
      </c>
      <c r="J76" s="4" t="inlineStr">
        <is>
          <t>PW DEPOT CO., LTD.</t>
        </is>
      </c>
      <c r="K76" s="4" t="inlineStr">
        <is>
          <t>20261021</t>
        </is>
      </c>
      <c r="L76" s="4" t="inlineStr">
        <is>
          <t>MANA GLOBAL LINK CO., LTD.</t>
        </is>
      </c>
      <c r="M76" s="4" t="inlineStr">
        <is>
          <t>FUZIN PLASTIC CO.,LTD.</t>
        </is>
      </c>
      <c r="N76" s="4" t="inlineStr">
        <is>
          <t>PE RECYCLE PELLET</t>
        </is>
      </c>
      <c r="O76" s="4" t="inlineStr">
        <is>
          <t>RQST CNTR 32.5 TONS // 40'HQ</t>
        </is>
      </c>
      <c r="P76" s="4" t="inlineStr">
        <is>
          <t xml:space="preserve">Pickup : 2026-10-21, Return : 2026-10-23*1ST RETURN CNTR DD.23/10/2026 WITHOUT RENT*
</t>
        </is>
      </c>
      <c r="Q76" s="4" t="n">
        <v>0</v>
      </c>
      <c r="R76" s="4" t="n">
        <v>0</v>
      </c>
      <c r="S76" s="4" t="n">
        <v>2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  <c r="AA76" s="4" t="n">
        <v>0</v>
      </c>
      <c r="AB76" s="4">
        <f>SUM(Q76:Y76)-Z76</f>
        <v/>
      </c>
      <c r="AC76" s="4">
        <f>IF(I76="","",IF(OR(LEFT(I76,3)="BKK",I76="LCH55"),"BKK",IF(LEFT(I76,3)="LCH","LCH","OTHER")))</f>
        <v/>
      </c>
      <c r="AD76" s="4">
        <f>MAX(0,Q76-MAX(0,Z76))</f>
        <v/>
      </c>
      <c r="AE76" s="4">
        <f>MAX(0,R76-MAX(0,Z76-SUM(Q76:Q76)))</f>
        <v/>
      </c>
      <c r="AF76" s="4">
        <f>MAX(0,S76-MAX(0,Z76-SUM(Q76:R76)))</f>
        <v/>
      </c>
      <c r="AG76" s="4">
        <f>MAX(0,T76-MAX(0,Z76-SUM(Q76:S76)))</f>
        <v/>
      </c>
      <c r="AH76" s="4">
        <f>MAX(0,U76-MAX(0,Z76-SUM(Q76:T76)))</f>
        <v/>
      </c>
      <c r="AI76" s="4">
        <f>MAX(0,V76-MAX(0,Z76-SUM(Q76:U76)))</f>
        <v/>
      </c>
      <c r="AJ76" s="4">
        <f>MAX(0,W76-MAX(0,Z76-SUM(Q76:V76)))</f>
        <v/>
      </c>
      <c r="AK76" s="4">
        <f>MAX(0,X76-MAX(0,Z76-SUM(Q76:W76)))</f>
        <v/>
      </c>
      <c r="AL76" s="4">
        <f>MAX(0,Y76-MAX(0,Z76-SUM(Q76:X76)))</f>
        <v/>
      </c>
    </row>
    <row r="77">
      <c r="A77" s="4" t="inlineStr">
        <is>
          <t>HASLS22261001562</t>
        </is>
      </c>
      <c r="B77" s="4" t="inlineStr">
        <is>
          <t>HAB</t>
        </is>
      </c>
      <c r="C77" s="4" t="inlineStr">
        <is>
          <t>2612N</t>
        </is>
      </c>
      <c r="D77" s="4" t="inlineStr">
        <is>
          <t>202610290200</t>
        </is>
      </c>
      <c r="E77" s="4" t="inlineStr"/>
      <c r="F77" s="4" t="inlineStr">
        <is>
          <t>THLCH</t>
        </is>
      </c>
      <c r="G77" s="4" t="inlineStr">
        <is>
          <t>KRPUS</t>
        </is>
      </c>
      <c r="H77" s="4" t="inlineStr">
        <is>
          <t xml:space="preserve">40Hx2 </t>
        </is>
      </c>
      <c r="I77" s="4" t="inlineStr">
        <is>
          <t>LCHY5</t>
        </is>
      </c>
      <c r="J77" s="4" t="inlineStr">
        <is>
          <t>PW DEPOT CO., LTD.</t>
        </is>
      </c>
      <c r="K77" s="4" t="inlineStr">
        <is>
          <t>20261022</t>
        </is>
      </c>
      <c r="L77" s="4" t="inlineStr">
        <is>
          <t>WORLD NET LOGISTICS (THAILAND) CO.,LTD.</t>
        </is>
      </c>
      <c r="M77" s="4" t="inlineStr">
        <is>
          <t>THAILON TECHNO FIBER LIMITED</t>
        </is>
      </c>
      <c r="N77" s="4" t="inlineStr">
        <is>
          <t>NYLON YARN</t>
        </is>
      </c>
      <c r="O77" s="4" t="inlineStr">
        <is>
          <t>GOOD AND CLEAN CONTAINER</t>
        </is>
      </c>
      <c r="P77" s="4" t="inlineStr">
        <is>
          <t xml:space="preserve">Pickup : 2026-10-22, Return : 2026-10-26 
 ** PLEASE CHECK OPEN GATE BEFORE RETURN CNTR **
</t>
        </is>
      </c>
      <c r="Q77" s="4" t="n">
        <v>0</v>
      </c>
      <c r="R77" s="4" t="n">
        <v>0</v>
      </c>
      <c r="S77" s="4" t="n">
        <v>2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  <c r="AA77" s="4" t="n">
        <v>0</v>
      </c>
      <c r="AB77" s="4">
        <f>SUM(Q77:Y77)-Z77</f>
        <v/>
      </c>
      <c r="AC77" s="4">
        <f>IF(I77="","",IF(OR(LEFT(I77,3)="BKK",I77="LCH55"),"BKK",IF(LEFT(I77,3)="LCH","LCH","OTHER")))</f>
        <v/>
      </c>
      <c r="AD77" s="4">
        <f>MAX(0,Q77-MAX(0,Z77))</f>
        <v/>
      </c>
      <c r="AE77" s="4">
        <f>MAX(0,R77-MAX(0,Z77-SUM(Q77:Q77)))</f>
        <v/>
      </c>
      <c r="AF77" s="4">
        <f>MAX(0,S77-MAX(0,Z77-SUM(Q77:R77)))</f>
        <v/>
      </c>
      <c r="AG77" s="4">
        <f>MAX(0,T77-MAX(0,Z77-SUM(Q77:S77)))</f>
        <v/>
      </c>
      <c r="AH77" s="4">
        <f>MAX(0,U77-MAX(0,Z77-SUM(Q77:T77)))</f>
        <v/>
      </c>
      <c r="AI77" s="4">
        <f>MAX(0,V77-MAX(0,Z77-SUM(Q77:U77)))</f>
        <v/>
      </c>
      <c r="AJ77" s="4">
        <f>MAX(0,W77-MAX(0,Z77-SUM(Q77:V77)))</f>
        <v/>
      </c>
      <c r="AK77" s="4">
        <f>MAX(0,X77-MAX(0,Z77-SUM(Q77:W77)))</f>
        <v/>
      </c>
      <c r="AL77" s="4">
        <f>MAX(0,Y77-MAX(0,Z77-SUM(Q77:X77)))</f>
        <v/>
      </c>
    </row>
    <row r="78">
      <c r="A78" s="4" t="inlineStr">
        <is>
          <t>HASLS22261001797</t>
        </is>
      </c>
      <c r="B78" s="4" t="inlineStr">
        <is>
          <t>HAHM</t>
        </is>
      </c>
      <c r="C78" s="4" t="inlineStr">
        <is>
          <t>2612N</t>
        </is>
      </c>
      <c r="D78" s="4" t="inlineStr">
        <is>
          <t>202610280700</t>
        </is>
      </c>
      <c r="E78" s="4" t="inlineStr"/>
      <c r="F78" s="4" t="inlineStr">
        <is>
          <t>THLCH</t>
        </is>
      </c>
      <c r="G78" s="4" t="inlineStr">
        <is>
          <t>VNSGN</t>
        </is>
      </c>
      <c r="H78" s="4" t="inlineStr">
        <is>
          <t xml:space="preserve">40Hx2 </t>
        </is>
      </c>
      <c r="I78" s="4" t="inlineStr">
        <is>
          <t>LCHY5</t>
        </is>
      </c>
      <c r="J78" s="4" t="inlineStr">
        <is>
          <t>PW DEPOT CO., LTD.</t>
        </is>
      </c>
      <c r="K78" s="4" t="inlineStr">
        <is>
          <t>20261022</t>
        </is>
      </c>
      <c r="L78" s="4" t="inlineStr">
        <is>
          <t>SINPEX CONNECTION LOGISTICS (THAILAND) CO., LTD.</t>
        </is>
      </c>
      <c r="M78" s="4" t="inlineStr">
        <is>
          <t>XTREME ELECTRONICS CO., LTD</t>
        </is>
      </c>
      <c r="N78" s="4" t="inlineStr">
        <is>
          <t>LED TV COOCAA</t>
        </is>
      </c>
      <c r="O78" s="4" t="inlineStr">
        <is>
          <t>GOOD AND CLEAN CONTAINER, NO LEAK NO HOLE AND NO SMELL</t>
        </is>
      </c>
      <c r="P78" s="4" t="inlineStr">
        <is>
          <t>Pickup : 2026-10-22, Return : 2026-10-24</t>
        </is>
      </c>
      <c r="Q78" s="4" t="n">
        <v>0</v>
      </c>
      <c r="R78" s="4" t="n">
        <v>0</v>
      </c>
      <c r="S78" s="4" t="n">
        <v>2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  <c r="AA78" s="4" t="n">
        <v>0</v>
      </c>
      <c r="AB78" s="4">
        <f>SUM(Q78:Y78)-Z78</f>
        <v/>
      </c>
      <c r="AC78" s="4">
        <f>IF(I78="","",IF(OR(LEFT(I78,3)="BKK",I78="LCH55"),"BKK",IF(LEFT(I78,3)="LCH","LCH","OTHER")))</f>
        <v/>
      </c>
      <c r="AD78" s="4">
        <f>MAX(0,Q78-MAX(0,Z78))</f>
        <v/>
      </c>
      <c r="AE78" s="4">
        <f>MAX(0,R78-MAX(0,Z78-SUM(Q78:Q78)))</f>
        <v/>
      </c>
      <c r="AF78" s="4">
        <f>MAX(0,S78-MAX(0,Z78-SUM(Q78:R78)))</f>
        <v/>
      </c>
      <c r="AG78" s="4">
        <f>MAX(0,T78-MAX(0,Z78-SUM(Q78:S78)))</f>
        <v/>
      </c>
      <c r="AH78" s="4">
        <f>MAX(0,U78-MAX(0,Z78-SUM(Q78:T78)))</f>
        <v/>
      </c>
      <c r="AI78" s="4">
        <f>MAX(0,V78-MAX(0,Z78-SUM(Q78:U78)))</f>
        <v/>
      </c>
      <c r="AJ78" s="4">
        <f>MAX(0,W78-MAX(0,Z78-SUM(Q78:V78)))</f>
        <v/>
      </c>
      <c r="AK78" s="4">
        <f>MAX(0,X78-MAX(0,Z78-SUM(Q78:W78)))</f>
        <v/>
      </c>
      <c r="AL78" s="4">
        <f>MAX(0,Y78-MAX(0,Z78-SUM(Q78:X78)))</f>
        <v/>
      </c>
    </row>
    <row r="79">
      <c r="A79" s="4" t="inlineStr">
        <is>
          <t>HASLS22260900620</t>
        </is>
      </c>
      <c r="B79" s="4" t="inlineStr">
        <is>
          <t>SWSP</t>
        </is>
      </c>
      <c r="C79" s="4" t="inlineStr">
        <is>
          <t>2610N</t>
        </is>
      </c>
      <c r="D79" s="4" t="inlineStr">
        <is>
          <t>202611080400</t>
        </is>
      </c>
      <c r="E79" s="4" t="inlineStr"/>
      <c r="F79" s="4" t="inlineStr">
        <is>
          <t>THBKK</t>
        </is>
      </c>
      <c r="G79" s="4" t="inlineStr">
        <is>
          <t>VNSGN</t>
        </is>
      </c>
      <c r="H79" s="4" t="inlineStr">
        <is>
          <t xml:space="preserve">20'x1 </t>
        </is>
      </c>
      <c r="I79" s="4" t="inlineStr">
        <is>
          <t>BKK25</t>
        </is>
      </c>
      <c r="J79" s="4" t="inlineStr">
        <is>
          <t xml:space="preserve">Smart Logistics Service (Thailand ) Co.,Ltd. </t>
        </is>
      </c>
      <c r="K79" s="4" t="inlineStr">
        <is>
          <t>20261022</t>
        </is>
      </c>
      <c r="L79" s="4" t="inlineStr">
        <is>
          <t>CONAIR INTERTRAFFIC CO., LTD.</t>
        </is>
      </c>
      <c r="M79" s="4" t="inlineStr">
        <is>
          <t>VET SUPERIOR CONSULTANT CO., LTD.</t>
        </is>
      </c>
      <c r="N79" s="4" t="inlineStr">
        <is>
          <t>WATER TREATMENT &amp; FEED SUPPLEMENT</t>
        </is>
      </c>
      <c r="O79" s="4" t="inlineStr">
        <is>
          <t>GOOD CONTAINER</t>
        </is>
      </c>
      <c r="P79" s="4" t="inlineStr">
        <is>
          <t>Pickup : 2026-10-23, Return : 2026-10-24</t>
        </is>
      </c>
      <c r="Q79" s="4" t="n">
        <v>1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0</v>
      </c>
      <c r="Y79" s="4" t="n">
        <v>0</v>
      </c>
      <c r="Z79" s="4" t="n">
        <v>0</v>
      </c>
      <c r="AA79" s="4" t="n">
        <v>0</v>
      </c>
      <c r="AB79" s="4">
        <f>SUM(Q79:Y79)-Z79</f>
        <v/>
      </c>
      <c r="AC79" s="4">
        <f>IF(I79="","",IF(OR(LEFT(I79,3)="BKK",I79="LCH55"),"BKK",IF(LEFT(I79,3)="LCH","LCH","OTHER")))</f>
        <v/>
      </c>
      <c r="AD79" s="4">
        <f>MAX(0,Q79-MAX(0,Z79))</f>
        <v/>
      </c>
      <c r="AE79" s="4">
        <f>MAX(0,R79-MAX(0,Z79-SUM(Q79:Q79)))</f>
        <v/>
      </c>
      <c r="AF79" s="4">
        <f>MAX(0,S79-MAX(0,Z79-SUM(Q79:R79)))</f>
        <v/>
      </c>
      <c r="AG79" s="4">
        <f>MAX(0,T79-MAX(0,Z79-SUM(Q79:S79)))</f>
        <v/>
      </c>
      <c r="AH79" s="4">
        <f>MAX(0,U79-MAX(0,Z79-SUM(Q79:T79)))</f>
        <v/>
      </c>
      <c r="AI79" s="4">
        <f>MAX(0,V79-MAX(0,Z79-SUM(Q79:U79)))</f>
        <v/>
      </c>
      <c r="AJ79" s="4">
        <f>MAX(0,W79-MAX(0,Z79-SUM(Q79:V79)))</f>
        <v/>
      </c>
      <c r="AK79" s="4">
        <f>MAX(0,X79-MAX(0,Z79-SUM(Q79:W79)))</f>
        <v/>
      </c>
      <c r="AL79" s="4">
        <f>MAX(0,Y79-MAX(0,Z79-SUM(Q79:X79)))</f>
        <v/>
      </c>
    </row>
    <row r="80">
      <c r="A80" s="4" t="inlineStr">
        <is>
          <t>HASLS22261000758</t>
        </is>
      </c>
      <c r="B80" s="4" t="inlineStr">
        <is>
          <t>HAB</t>
        </is>
      </c>
      <c r="C80" s="4" t="inlineStr">
        <is>
          <t>2612N</t>
        </is>
      </c>
      <c r="D80" s="4" t="inlineStr">
        <is>
          <t>202610290200</t>
        </is>
      </c>
      <c r="E80" s="4" t="inlineStr">
        <is>
          <t>THLKR</t>
        </is>
      </c>
      <c r="F80" s="4" t="inlineStr">
        <is>
          <t>THLCH</t>
        </is>
      </c>
      <c r="G80" s="4" t="inlineStr">
        <is>
          <t>CNSHA</t>
        </is>
      </c>
      <c r="H80" s="4" t="inlineStr">
        <is>
          <t xml:space="preserve">20'x20 </t>
        </is>
      </c>
      <c r="I80" s="4" t="inlineStr">
        <is>
          <t>LCH54</t>
        </is>
      </c>
      <c r="J80" s="4" t="inlineStr">
        <is>
          <t>TIFFA LOGISTICS CENTER CO., LTD.</t>
        </is>
      </c>
      <c r="K80" s="4" t="inlineStr">
        <is>
          <t>20261022</t>
        </is>
      </c>
      <c r="L80" s="4" t="inlineStr">
        <is>
          <t>TOP INTER FREIGHT CO., LTD.</t>
        </is>
      </c>
      <c r="M80" s="4" t="inlineStr">
        <is>
          <t>TOP PREMIUM STARCH CO., LTD.</t>
        </is>
      </c>
      <c r="N80" s="4" t="inlineStr">
        <is>
          <t>TAPIOCASTARCH</t>
        </is>
      </c>
      <c r="O80" s="4" t="inlineStr">
        <is>
          <t>REQUEST CONTAINER FOOD GRADE</t>
        </is>
      </c>
      <c r="P80" s="4" t="inlineStr">
        <is>
          <t>STUFFING CARGO AT TIFFA ICD DD.22/10/26 [PAPERLESS CODE 2829]
CLS TIME 22/10/26 @17.00*</t>
        </is>
      </c>
      <c r="Q80" s="4" t="n">
        <v>20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0</v>
      </c>
      <c r="Y80" s="4" t="n">
        <v>0</v>
      </c>
      <c r="Z80" s="4" t="n">
        <v>0</v>
      </c>
      <c r="AA80" s="4" t="n">
        <v>0</v>
      </c>
      <c r="AB80" s="4">
        <f>SUM(Q80:Y80)-Z80</f>
        <v/>
      </c>
      <c r="AC80" s="4">
        <f>IF(I80="","",IF(OR(LEFT(I80,3)="BKK",I80="LCH55"),"BKK",IF(LEFT(I80,3)="LCH","LCH","OTHER")))</f>
        <v/>
      </c>
      <c r="AD80" s="4">
        <f>MAX(0,Q80-MAX(0,Z80))</f>
        <v/>
      </c>
      <c r="AE80" s="4">
        <f>MAX(0,R80-MAX(0,Z80-SUM(Q80:Q80)))</f>
        <v/>
      </c>
      <c r="AF80" s="4">
        <f>MAX(0,S80-MAX(0,Z80-SUM(Q80:R80)))</f>
        <v/>
      </c>
      <c r="AG80" s="4">
        <f>MAX(0,T80-MAX(0,Z80-SUM(Q80:S80)))</f>
        <v/>
      </c>
      <c r="AH80" s="4">
        <f>MAX(0,U80-MAX(0,Z80-SUM(Q80:T80)))</f>
        <v/>
      </c>
      <c r="AI80" s="4">
        <f>MAX(0,V80-MAX(0,Z80-SUM(Q80:U80)))</f>
        <v/>
      </c>
      <c r="AJ80" s="4">
        <f>MAX(0,W80-MAX(0,Z80-SUM(Q80:V80)))</f>
        <v/>
      </c>
      <c r="AK80" s="4">
        <f>MAX(0,X80-MAX(0,Z80-SUM(Q80:W80)))</f>
        <v/>
      </c>
      <c r="AL80" s="4">
        <f>MAX(0,Y80-MAX(0,Z80-SUM(Q80:X80)))</f>
        <v/>
      </c>
    </row>
  </sheetData>
  <autoFilter ref="A2:AL80"/>
  <mergeCells count="1">
    <mergeCell ref="A1:A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9" customWidth="1" min="4" max="4"/>
    <col width="34" customWidth="1" min="5" max="5"/>
    <col width="14" customWidth="1" min="6" max="6"/>
    <col width="11" customWidth="1" min="7" max="7"/>
    <col width="10" customWidth="1" min="8" max="8"/>
    <col width="13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1" ht="20" customHeight="1">
      <c r="A1" s="1" t="inlineStr">
        <is>
          <t>BALANCE SUMMARY — remaining containers per BK No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>
      <c r="A2" s="5" t="inlineStr">
        <is>
          <t>Balance = SUM(GP22..PC42) − Pickup qty.  Only BK No with Balance &gt; 0 are listed. Rows with no Pickup Name are highlighted amber and excluded from the grouped Summary.</t>
        </is>
      </c>
    </row>
    <row r="3">
      <c r="A3" s="3" t="inlineStr">
        <is>
          <t>BK No</t>
        </is>
      </c>
      <c r="B3" s="3" t="inlineStr">
        <is>
          <t>VSL</t>
        </is>
      </c>
      <c r="C3" s="3" t="inlineStr">
        <is>
          <t>VOY</t>
        </is>
      </c>
      <c r="D3" s="3" t="inlineStr">
        <is>
          <t>Pickup</t>
        </is>
      </c>
      <c r="E3" s="3" t="inlineStr">
        <is>
          <t>Pickup Name</t>
        </is>
      </c>
      <c r="F3" s="3" t="inlineStr">
        <is>
          <t>TPSZ</t>
        </is>
      </c>
      <c r="G3" s="3" t="inlineStr">
        <is>
          <t>Booked Qty</t>
        </is>
      </c>
      <c r="H3" s="3" t="inlineStr">
        <is>
          <t>Pickup Qty</t>
        </is>
      </c>
      <c r="I3" s="3" t="inlineStr">
        <is>
          <t>Balance (Return)</t>
        </is>
      </c>
      <c r="J3" s="3" t="inlineStr">
        <is>
          <t>GP22 Remaining</t>
        </is>
      </c>
      <c r="K3" s="3" t="inlineStr">
        <is>
          <t>GP42 Remaining</t>
        </is>
      </c>
      <c r="L3" s="3" t="inlineStr">
        <is>
          <t>GP45 Remaining</t>
        </is>
      </c>
      <c r="M3" s="3" t="inlineStr">
        <is>
          <t>RE22 Remaining</t>
        </is>
      </c>
      <c r="N3" s="3" t="inlineStr">
        <is>
          <t>RE45 Remaining</t>
        </is>
      </c>
      <c r="O3" s="3" t="inlineStr">
        <is>
          <t>UT22 Remaining</t>
        </is>
      </c>
      <c r="P3" s="3" t="inlineStr">
        <is>
          <t>UT42 Remaining</t>
        </is>
      </c>
      <c r="Q3" s="3" t="inlineStr">
        <is>
          <t>PC22 Remaining</t>
        </is>
      </c>
      <c r="R3" s="3" t="inlineStr">
        <is>
          <t>PC42 Remaining</t>
        </is>
      </c>
    </row>
    <row r="4">
      <c r="A4" s="4">
        <f>Data!A3</f>
        <v/>
      </c>
      <c r="B4" s="4">
        <f>Data!B3</f>
        <v/>
      </c>
      <c r="C4" s="4">
        <f>Data!C3</f>
        <v/>
      </c>
      <c r="D4" s="4">
        <f>Data!I3</f>
        <v/>
      </c>
      <c r="E4" s="4">
        <f>Data!J3</f>
        <v/>
      </c>
      <c r="F4" s="4">
        <f>Data!H3</f>
        <v/>
      </c>
      <c r="G4" s="4">
        <f>SUM(Data!Q3:Data!Y3)</f>
        <v/>
      </c>
      <c r="H4" s="4">
        <f>Data!Z3</f>
        <v/>
      </c>
      <c r="I4" s="4">
        <f>Data!AB3</f>
        <v/>
      </c>
      <c r="J4" s="4">
        <f>Data!AD3</f>
        <v/>
      </c>
      <c r="K4" s="4">
        <f>Data!AE3</f>
        <v/>
      </c>
      <c r="L4" s="4">
        <f>Data!AF3</f>
        <v/>
      </c>
      <c r="M4" s="4">
        <f>Data!AG3</f>
        <v/>
      </c>
      <c r="N4" s="4">
        <f>Data!AH3</f>
        <v/>
      </c>
      <c r="O4" s="4">
        <f>Data!AI3</f>
        <v/>
      </c>
      <c r="P4" s="4">
        <f>Data!AJ3</f>
        <v/>
      </c>
      <c r="Q4" s="4">
        <f>Data!AK3</f>
        <v/>
      </c>
      <c r="R4" s="4">
        <f>Data!AL3</f>
        <v/>
      </c>
    </row>
    <row r="5">
      <c r="A5" s="4">
        <f>Data!A4</f>
        <v/>
      </c>
      <c r="B5" s="4">
        <f>Data!B4</f>
        <v/>
      </c>
      <c r="C5" s="4">
        <f>Data!C4</f>
        <v/>
      </c>
      <c r="D5" s="4">
        <f>Data!I4</f>
        <v/>
      </c>
      <c r="E5" s="4">
        <f>Data!J4</f>
        <v/>
      </c>
      <c r="F5" s="4">
        <f>Data!H4</f>
        <v/>
      </c>
      <c r="G5" s="4">
        <f>SUM(Data!Q4:Data!Y4)</f>
        <v/>
      </c>
      <c r="H5" s="4">
        <f>Data!Z4</f>
        <v/>
      </c>
      <c r="I5" s="4">
        <f>Data!AB4</f>
        <v/>
      </c>
      <c r="J5" s="4">
        <f>Data!AD4</f>
        <v/>
      </c>
      <c r="K5" s="4">
        <f>Data!AE4</f>
        <v/>
      </c>
      <c r="L5" s="4">
        <f>Data!AF4</f>
        <v/>
      </c>
      <c r="M5" s="4">
        <f>Data!AG4</f>
        <v/>
      </c>
      <c r="N5" s="4">
        <f>Data!AH4</f>
        <v/>
      </c>
      <c r="O5" s="4">
        <f>Data!AI4</f>
        <v/>
      </c>
      <c r="P5" s="4">
        <f>Data!AJ4</f>
        <v/>
      </c>
      <c r="Q5" s="4">
        <f>Data!AK4</f>
        <v/>
      </c>
      <c r="R5" s="4">
        <f>Data!AL4</f>
        <v/>
      </c>
    </row>
    <row r="6">
      <c r="A6" s="4">
        <f>Data!A5</f>
        <v/>
      </c>
      <c r="B6" s="4">
        <f>Data!B5</f>
        <v/>
      </c>
      <c r="C6" s="4">
        <f>Data!C5</f>
        <v/>
      </c>
      <c r="D6" s="4">
        <f>Data!I5</f>
        <v/>
      </c>
      <c r="E6" s="4">
        <f>Data!J5</f>
        <v/>
      </c>
      <c r="F6" s="4">
        <f>Data!H5</f>
        <v/>
      </c>
      <c r="G6" s="4">
        <f>SUM(Data!Q5:Data!Y5)</f>
        <v/>
      </c>
      <c r="H6" s="4">
        <f>Data!Z5</f>
        <v/>
      </c>
      <c r="I6" s="4">
        <f>Data!AB5</f>
        <v/>
      </c>
      <c r="J6" s="4">
        <f>Data!AD5</f>
        <v/>
      </c>
      <c r="K6" s="4">
        <f>Data!AE5</f>
        <v/>
      </c>
      <c r="L6" s="4">
        <f>Data!AF5</f>
        <v/>
      </c>
      <c r="M6" s="4">
        <f>Data!AG5</f>
        <v/>
      </c>
      <c r="N6" s="4">
        <f>Data!AH5</f>
        <v/>
      </c>
      <c r="O6" s="4">
        <f>Data!AI5</f>
        <v/>
      </c>
      <c r="P6" s="4">
        <f>Data!AJ5</f>
        <v/>
      </c>
      <c r="Q6" s="4">
        <f>Data!AK5</f>
        <v/>
      </c>
      <c r="R6" s="4">
        <f>Data!AL5</f>
        <v/>
      </c>
    </row>
    <row r="7">
      <c r="A7" s="4">
        <f>Data!A6</f>
        <v/>
      </c>
      <c r="B7" s="4">
        <f>Data!B6</f>
        <v/>
      </c>
      <c r="C7" s="4">
        <f>Data!C6</f>
        <v/>
      </c>
      <c r="D7" s="4">
        <f>Data!I6</f>
        <v/>
      </c>
      <c r="E7" s="4">
        <f>Data!J6</f>
        <v/>
      </c>
      <c r="F7" s="4">
        <f>Data!H6</f>
        <v/>
      </c>
      <c r="G7" s="4">
        <f>SUM(Data!Q6:Data!Y6)</f>
        <v/>
      </c>
      <c r="H7" s="4">
        <f>Data!Z6</f>
        <v/>
      </c>
      <c r="I7" s="4">
        <f>Data!AB6</f>
        <v/>
      </c>
      <c r="J7" s="4">
        <f>Data!AD6</f>
        <v/>
      </c>
      <c r="K7" s="4">
        <f>Data!AE6</f>
        <v/>
      </c>
      <c r="L7" s="4">
        <f>Data!AF6</f>
        <v/>
      </c>
      <c r="M7" s="4">
        <f>Data!AG6</f>
        <v/>
      </c>
      <c r="N7" s="4">
        <f>Data!AH6</f>
        <v/>
      </c>
      <c r="O7" s="4">
        <f>Data!AI6</f>
        <v/>
      </c>
      <c r="P7" s="4">
        <f>Data!AJ6</f>
        <v/>
      </c>
      <c r="Q7" s="4">
        <f>Data!AK6</f>
        <v/>
      </c>
      <c r="R7" s="4">
        <f>Data!AL6</f>
        <v/>
      </c>
    </row>
    <row r="8">
      <c r="A8" s="4">
        <f>Data!A7</f>
        <v/>
      </c>
      <c r="B8" s="4">
        <f>Data!B7</f>
        <v/>
      </c>
      <c r="C8" s="4">
        <f>Data!C7</f>
        <v/>
      </c>
      <c r="D8" s="4">
        <f>Data!I7</f>
        <v/>
      </c>
      <c r="E8" s="4">
        <f>Data!J7</f>
        <v/>
      </c>
      <c r="F8" s="4">
        <f>Data!H7</f>
        <v/>
      </c>
      <c r="G8" s="4">
        <f>SUM(Data!Q7:Data!Y7)</f>
        <v/>
      </c>
      <c r="H8" s="4">
        <f>Data!Z7</f>
        <v/>
      </c>
      <c r="I8" s="4">
        <f>Data!AB7</f>
        <v/>
      </c>
      <c r="J8" s="4">
        <f>Data!AD7</f>
        <v/>
      </c>
      <c r="K8" s="4">
        <f>Data!AE7</f>
        <v/>
      </c>
      <c r="L8" s="4">
        <f>Data!AF7</f>
        <v/>
      </c>
      <c r="M8" s="4">
        <f>Data!AG7</f>
        <v/>
      </c>
      <c r="N8" s="4">
        <f>Data!AH7</f>
        <v/>
      </c>
      <c r="O8" s="4">
        <f>Data!AI7</f>
        <v/>
      </c>
      <c r="P8" s="4">
        <f>Data!AJ7</f>
        <v/>
      </c>
      <c r="Q8" s="4">
        <f>Data!AK7</f>
        <v/>
      </c>
      <c r="R8" s="4">
        <f>Data!AL7</f>
        <v/>
      </c>
    </row>
    <row r="9">
      <c r="A9" s="4">
        <f>Data!A8</f>
        <v/>
      </c>
      <c r="B9" s="4">
        <f>Data!B8</f>
        <v/>
      </c>
      <c r="C9" s="4">
        <f>Data!C8</f>
        <v/>
      </c>
      <c r="D9" s="4">
        <f>Data!I8</f>
        <v/>
      </c>
      <c r="E9" s="4">
        <f>Data!J8</f>
        <v/>
      </c>
      <c r="F9" s="4">
        <f>Data!H8</f>
        <v/>
      </c>
      <c r="G9" s="4">
        <f>SUM(Data!Q8:Data!Y8)</f>
        <v/>
      </c>
      <c r="H9" s="4">
        <f>Data!Z8</f>
        <v/>
      </c>
      <c r="I9" s="4">
        <f>Data!AB8</f>
        <v/>
      </c>
      <c r="J9" s="4">
        <f>Data!AD8</f>
        <v/>
      </c>
      <c r="K9" s="4">
        <f>Data!AE8</f>
        <v/>
      </c>
      <c r="L9" s="4">
        <f>Data!AF8</f>
        <v/>
      </c>
      <c r="M9" s="4">
        <f>Data!AG8</f>
        <v/>
      </c>
      <c r="N9" s="4">
        <f>Data!AH8</f>
        <v/>
      </c>
      <c r="O9" s="4">
        <f>Data!AI8</f>
        <v/>
      </c>
      <c r="P9" s="4">
        <f>Data!AJ8</f>
        <v/>
      </c>
      <c r="Q9" s="4">
        <f>Data!AK8</f>
        <v/>
      </c>
      <c r="R9" s="4">
        <f>Data!AL8</f>
        <v/>
      </c>
    </row>
    <row r="10">
      <c r="A10" s="4">
        <f>Data!A9</f>
        <v/>
      </c>
      <c r="B10" s="4">
        <f>Data!B9</f>
        <v/>
      </c>
      <c r="C10" s="4">
        <f>Data!C9</f>
        <v/>
      </c>
      <c r="D10" s="4">
        <f>Data!I9</f>
        <v/>
      </c>
      <c r="E10" s="4">
        <f>Data!J9</f>
        <v/>
      </c>
      <c r="F10" s="4">
        <f>Data!H9</f>
        <v/>
      </c>
      <c r="G10" s="4">
        <f>SUM(Data!Q9:Data!Y9)</f>
        <v/>
      </c>
      <c r="H10" s="4">
        <f>Data!Z9</f>
        <v/>
      </c>
      <c r="I10" s="4">
        <f>Data!AB9</f>
        <v/>
      </c>
      <c r="J10" s="4">
        <f>Data!AD9</f>
        <v/>
      </c>
      <c r="K10" s="4">
        <f>Data!AE9</f>
        <v/>
      </c>
      <c r="L10" s="4">
        <f>Data!AF9</f>
        <v/>
      </c>
      <c r="M10" s="4">
        <f>Data!AG9</f>
        <v/>
      </c>
      <c r="N10" s="4">
        <f>Data!AH9</f>
        <v/>
      </c>
      <c r="O10" s="4">
        <f>Data!AI9</f>
        <v/>
      </c>
      <c r="P10" s="4">
        <f>Data!AJ9</f>
        <v/>
      </c>
      <c r="Q10" s="4">
        <f>Data!AK9</f>
        <v/>
      </c>
      <c r="R10" s="4">
        <f>Data!AL9</f>
        <v/>
      </c>
    </row>
    <row r="11">
      <c r="A11" s="4">
        <f>Data!A10</f>
        <v/>
      </c>
      <c r="B11" s="4">
        <f>Data!B10</f>
        <v/>
      </c>
      <c r="C11" s="4">
        <f>Data!C10</f>
        <v/>
      </c>
      <c r="D11" s="4">
        <f>Data!I10</f>
        <v/>
      </c>
      <c r="E11" s="4">
        <f>Data!J10</f>
        <v/>
      </c>
      <c r="F11" s="4">
        <f>Data!H10</f>
        <v/>
      </c>
      <c r="G11" s="4">
        <f>SUM(Data!Q10:Data!Y10)</f>
        <v/>
      </c>
      <c r="H11" s="4">
        <f>Data!Z10</f>
        <v/>
      </c>
      <c r="I11" s="4">
        <f>Data!AB10</f>
        <v/>
      </c>
      <c r="J11" s="4">
        <f>Data!AD10</f>
        <v/>
      </c>
      <c r="K11" s="4">
        <f>Data!AE10</f>
        <v/>
      </c>
      <c r="L11" s="4">
        <f>Data!AF10</f>
        <v/>
      </c>
      <c r="M11" s="4">
        <f>Data!AG10</f>
        <v/>
      </c>
      <c r="N11" s="4">
        <f>Data!AH10</f>
        <v/>
      </c>
      <c r="O11" s="4">
        <f>Data!AI10</f>
        <v/>
      </c>
      <c r="P11" s="4">
        <f>Data!AJ10</f>
        <v/>
      </c>
      <c r="Q11" s="4">
        <f>Data!AK10</f>
        <v/>
      </c>
      <c r="R11" s="4">
        <f>Data!AL10</f>
        <v/>
      </c>
    </row>
    <row r="12">
      <c r="A12" s="4">
        <f>Data!A11</f>
        <v/>
      </c>
      <c r="B12" s="4">
        <f>Data!B11</f>
        <v/>
      </c>
      <c r="C12" s="4">
        <f>Data!C11</f>
        <v/>
      </c>
      <c r="D12" s="4">
        <f>Data!I11</f>
        <v/>
      </c>
      <c r="E12" s="4">
        <f>Data!J11</f>
        <v/>
      </c>
      <c r="F12" s="4">
        <f>Data!H11</f>
        <v/>
      </c>
      <c r="G12" s="4">
        <f>SUM(Data!Q11:Data!Y11)</f>
        <v/>
      </c>
      <c r="H12" s="4">
        <f>Data!Z11</f>
        <v/>
      </c>
      <c r="I12" s="4">
        <f>Data!AB11</f>
        <v/>
      </c>
      <c r="J12" s="4">
        <f>Data!AD11</f>
        <v/>
      </c>
      <c r="K12" s="4">
        <f>Data!AE11</f>
        <v/>
      </c>
      <c r="L12" s="4">
        <f>Data!AF11</f>
        <v/>
      </c>
      <c r="M12" s="4">
        <f>Data!AG11</f>
        <v/>
      </c>
      <c r="N12" s="4">
        <f>Data!AH11</f>
        <v/>
      </c>
      <c r="O12" s="4">
        <f>Data!AI11</f>
        <v/>
      </c>
      <c r="P12" s="4">
        <f>Data!AJ11</f>
        <v/>
      </c>
      <c r="Q12" s="4">
        <f>Data!AK11</f>
        <v/>
      </c>
      <c r="R12" s="4">
        <f>Data!AL11</f>
        <v/>
      </c>
    </row>
    <row r="13">
      <c r="A13" s="4">
        <f>Data!A12</f>
        <v/>
      </c>
      <c r="B13" s="4">
        <f>Data!B12</f>
        <v/>
      </c>
      <c r="C13" s="4">
        <f>Data!C12</f>
        <v/>
      </c>
      <c r="D13" s="4">
        <f>Data!I12</f>
        <v/>
      </c>
      <c r="E13" s="4">
        <f>Data!J12</f>
        <v/>
      </c>
      <c r="F13" s="4">
        <f>Data!H12</f>
        <v/>
      </c>
      <c r="G13" s="4">
        <f>SUM(Data!Q12:Data!Y12)</f>
        <v/>
      </c>
      <c r="H13" s="4">
        <f>Data!Z12</f>
        <v/>
      </c>
      <c r="I13" s="4">
        <f>Data!AB12</f>
        <v/>
      </c>
      <c r="J13" s="4">
        <f>Data!AD12</f>
        <v/>
      </c>
      <c r="K13" s="4">
        <f>Data!AE12</f>
        <v/>
      </c>
      <c r="L13" s="4">
        <f>Data!AF12</f>
        <v/>
      </c>
      <c r="M13" s="4">
        <f>Data!AG12</f>
        <v/>
      </c>
      <c r="N13" s="4">
        <f>Data!AH12</f>
        <v/>
      </c>
      <c r="O13" s="4">
        <f>Data!AI12</f>
        <v/>
      </c>
      <c r="P13" s="4">
        <f>Data!AJ12</f>
        <v/>
      </c>
      <c r="Q13" s="4">
        <f>Data!AK12</f>
        <v/>
      </c>
      <c r="R13" s="4">
        <f>Data!AL12</f>
        <v/>
      </c>
    </row>
    <row r="14">
      <c r="A14" s="4">
        <f>Data!A13</f>
        <v/>
      </c>
      <c r="B14" s="4">
        <f>Data!B13</f>
        <v/>
      </c>
      <c r="C14" s="4">
        <f>Data!C13</f>
        <v/>
      </c>
      <c r="D14" s="4">
        <f>Data!I13</f>
        <v/>
      </c>
      <c r="E14" s="4">
        <f>Data!J13</f>
        <v/>
      </c>
      <c r="F14" s="4">
        <f>Data!H13</f>
        <v/>
      </c>
      <c r="G14" s="4">
        <f>SUM(Data!Q13:Data!Y13)</f>
        <v/>
      </c>
      <c r="H14" s="4">
        <f>Data!Z13</f>
        <v/>
      </c>
      <c r="I14" s="4">
        <f>Data!AB13</f>
        <v/>
      </c>
      <c r="J14" s="4">
        <f>Data!AD13</f>
        <v/>
      </c>
      <c r="K14" s="4">
        <f>Data!AE13</f>
        <v/>
      </c>
      <c r="L14" s="4">
        <f>Data!AF13</f>
        <v/>
      </c>
      <c r="M14" s="4">
        <f>Data!AG13</f>
        <v/>
      </c>
      <c r="N14" s="4">
        <f>Data!AH13</f>
        <v/>
      </c>
      <c r="O14" s="4">
        <f>Data!AI13</f>
        <v/>
      </c>
      <c r="P14" s="4">
        <f>Data!AJ13</f>
        <v/>
      </c>
      <c r="Q14" s="4">
        <f>Data!AK13</f>
        <v/>
      </c>
      <c r="R14" s="4">
        <f>Data!AL13</f>
        <v/>
      </c>
    </row>
    <row r="15">
      <c r="A15" s="4">
        <f>Data!A14</f>
        <v/>
      </c>
      <c r="B15" s="4">
        <f>Data!B14</f>
        <v/>
      </c>
      <c r="C15" s="4">
        <f>Data!C14</f>
        <v/>
      </c>
      <c r="D15" s="4">
        <f>Data!I14</f>
        <v/>
      </c>
      <c r="E15" s="4">
        <f>Data!J14</f>
        <v/>
      </c>
      <c r="F15" s="4">
        <f>Data!H14</f>
        <v/>
      </c>
      <c r="G15" s="4">
        <f>SUM(Data!Q14:Data!Y14)</f>
        <v/>
      </c>
      <c r="H15" s="4">
        <f>Data!Z14</f>
        <v/>
      </c>
      <c r="I15" s="4">
        <f>Data!AB14</f>
        <v/>
      </c>
      <c r="J15" s="4">
        <f>Data!AD14</f>
        <v/>
      </c>
      <c r="K15" s="4">
        <f>Data!AE14</f>
        <v/>
      </c>
      <c r="L15" s="4">
        <f>Data!AF14</f>
        <v/>
      </c>
      <c r="M15" s="4">
        <f>Data!AG14</f>
        <v/>
      </c>
      <c r="N15" s="4">
        <f>Data!AH14</f>
        <v/>
      </c>
      <c r="O15" s="4">
        <f>Data!AI14</f>
        <v/>
      </c>
      <c r="P15" s="4">
        <f>Data!AJ14</f>
        <v/>
      </c>
      <c r="Q15" s="4">
        <f>Data!AK14</f>
        <v/>
      </c>
      <c r="R15" s="4">
        <f>Data!AL14</f>
        <v/>
      </c>
    </row>
    <row r="16">
      <c r="A16" s="4">
        <f>Data!A15</f>
        <v/>
      </c>
      <c r="B16" s="4">
        <f>Data!B15</f>
        <v/>
      </c>
      <c r="C16" s="4">
        <f>Data!C15</f>
        <v/>
      </c>
      <c r="D16" s="4">
        <f>Data!I15</f>
        <v/>
      </c>
      <c r="E16" s="4">
        <f>Data!J15</f>
        <v/>
      </c>
      <c r="F16" s="4">
        <f>Data!H15</f>
        <v/>
      </c>
      <c r="G16" s="4">
        <f>SUM(Data!Q15:Data!Y15)</f>
        <v/>
      </c>
      <c r="H16" s="4">
        <f>Data!Z15</f>
        <v/>
      </c>
      <c r="I16" s="4">
        <f>Data!AB15</f>
        <v/>
      </c>
      <c r="J16" s="4">
        <f>Data!AD15</f>
        <v/>
      </c>
      <c r="K16" s="4">
        <f>Data!AE15</f>
        <v/>
      </c>
      <c r="L16" s="4">
        <f>Data!AF15</f>
        <v/>
      </c>
      <c r="M16" s="4">
        <f>Data!AG15</f>
        <v/>
      </c>
      <c r="N16" s="4">
        <f>Data!AH15</f>
        <v/>
      </c>
      <c r="O16" s="4">
        <f>Data!AI15</f>
        <v/>
      </c>
      <c r="P16" s="4">
        <f>Data!AJ15</f>
        <v/>
      </c>
      <c r="Q16" s="4">
        <f>Data!AK15</f>
        <v/>
      </c>
      <c r="R16" s="4">
        <f>Data!AL15</f>
        <v/>
      </c>
    </row>
    <row r="17">
      <c r="A17" s="4">
        <f>Data!A16</f>
        <v/>
      </c>
      <c r="B17" s="4">
        <f>Data!B16</f>
        <v/>
      </c>
      <c r="C17" s="4">
        <f>Data!C16</f>
        <v/>
      </c>
      <c r="D17" s="4">
        <f>Data!I16</f>
        <v/>
      </c>
      <c r="E17" s="4">
        <f>Data!J16</f>
        <v/>
      </c>
      <c r="F17" s="4">
        <f>Data!H16</f>
        <v/>
      </c>
      <c r="G17" s="4">
        <f>SUM(Data!Q16:Data!Y16)</f>
        <v/>
      </c>
      <c r="H17" s="4">
        <f>Data!Z16</f>
        <v/>
      </c>
      <c r="I17" s="4">
        <f>Data!AB16</f>
        <v/>
      </c>
      <c r="J17" s="4">
        <f>Data!AD16</f>
        <v/>
      </c>
      <c r="K17" s="4">
        <f>Data!AE16</f>
        <v/>
      </c>
      <c r="L17" s="4">
        <f>Data!AF16</f>
        <v/>
      </c>
      <c r="M17" s="4">
        <f>Data!AG16</f>
        <v/>
      </c>
      <c r="N17" s="4">
        <f>Data!AH16</f>
        <v/>
      </c>
      <c r="O17" s="4">
        <f>Data!AI16</f>
        <v/>
      </c>
      <c r="P17" s="4">
        <f>Data!AJ16</f>
        <v/>
      </c>
      <c r="Q17" s="4">
        <f>Data!AK16</f>
        <v/>
      </c>
      <c r="R17" s="4">
        <f>Data!AL16</f>
        <v/>
      </c>
    </row>
    <row r="18">
      <c r="A18" s="4">
        <f>Data!A17</f>
        <v/>
      </c>
      <c r="B18" s="4">
        <f>Data!B17</f>
        <v/>
      </c>
      <c r="C18" s="4">
        <f>Data!C17</f>
        <v/>
      </c>
      <c r="D18" s="4">
        <f>Data!I17</f>
        <v/>
      </c>
      <c r="E18" s="4">
        <f>Data!J17</f>
        <v/>
      </c>
      <c r="F18" s="4">
        <f>Data!H17</f>
        <v/>
      </c>
      <c r="G18" s="4">
        <f>SUM(Data!Q17:Data!Y17)</f>
        <v/>
      </c>
      <c r="H18" s="4">
        <f>Data!Z17</f>
        <v/>
      </c>
      <c r="I18" s="4">
        <f>Data!AB17</f>
        <v/>
      </c>
      <c r="J18" s="4">
        <f>Data!AD17</f>
        <v/>
      </c>
      <c r="K18" s="4">
        <f>Data!AE17</f>
        <v/>
      </c>
      <c r="L18" s="4">
        <f>Data!AF17</f>
        <v/>
      </c>
      <c r="M18" s="4">
        <f>Data!AG17</f>
        <v/>
      </c>
      <c r="N18" s="4">
        <f>Data!AH17</f>
        <v/>
      </c>
      <c r="O18" s="4">
        <f>Data!AI17</f>
        <v/>
      </c>
      <c r="P18" s="4">
        <f>Data!AJ17</f>
        <v/>
      </c>
      <c r="Q18" s="4">
        <f>Data!AK17</f>
        <v/>
      </c>
      <c r="R18" s="4">
        <f>Data!AL17</f>
        <v/>
      </c>
    </row>
    <row r="19">
      <c r="A19" s="4">
        <f>Data!A18</f>
        <v/>
      </c>
      <c r="B19" s="4">
        <f>Data!B18</f>
        <v/>
      </c>
      <c r="C19" s="4">
        <f>Data!C18</f>
        <v/>
      </c>
      <c r="D19" s="4">
        <f>Data!I18</f>
        <v/>
      </c>
      <c r="E19" s="4">
        <f>Data!J18</f>
        <v/>
      </c>
      <c r="F19" s="4">
        <f>Data!H18</f>
        <v/>
      </c>
      <c r="G19" s="4">
        <f>SUM(Data!Q18:Data!Y18)</f>
        <v/>
      </c>
      <c r="H19" s="4">
        <f>Data!Z18</f>
        <v/>
      </c>
      <c r="I19" s="4">
        <f>Data!AB18</f>
        <v/>
      </c>
      <c r="J19" s="4">
        <f>Data!AD18</f>
        <v/>
      </c>
      <c r="K19" s="4">
        <f>Data!AE18</f>
        <v/>
      </c>
      <c r="L19" s="4">
        <f>Data!AF18</f>
        <v/>
      </c>
      <c r="M19" s="4">
        <f>Data!AG18</f>
        <v/>
      </c>
      <c r="N19" s="4">
        <f>Data!AH18</f>
        <v/>
      </c>
      <c r="O19" s="4">
        <f>Data!AI18</f>
        <v/>
      </c>
      <c r="P19" s="4">
        <f>Data!AJ18</f>
        <v/>
      </c>
      <c r="Q19" s="4">
        <f>Data!AK18</f>
        <v/>
      </c>
      <c r="R19" s="4">
        <f>Data!AL18</f>
        <v/>
      </c>
    </row>
    <row r="20">
      <c r="A20" s="4">
        <f>Data!A19</f>
        <v/>
      </c>
      <c r="B20" s="4">
        <f>Data!B19</f>
        <v/>
      </c>
      <c r="C20" s="4">
        <f>Data!C19</f>
        <v/>
      </c>
      <c r="D20" s="4">
        <f>Data!I19</f>
        <v/>
      </c>
      <c r="E20" s="4">
        <f>Data!J19</f>
        <v/>
      </c>
      <c r="F20" s="4">
        <f>Data!H19</f>
        <v/>
      </c>
      <c r="G20" s="4">
        <f>SUM(Data!Q19:Data!Y19)</f>
        <v/>
      </c>
      <c r="H20" s="4">
        <f>Data!Z19</f>
        <v/>
      </c>
      <c r="I20" s="4">
        <f>Data!AB19</f>
        <v/>
      </c>
      <c r="J20" s="4">
        <f>Data!AD19</f>
        <v/>
      </c>
      <c r="K20" s="4">
        <f>Data!AE19</f>
        <v/>
      </c>
      <c r="L20" s="4">
        <f>Data!AF19</f>
        <v/>
      </c>
      <c r="M20" s="4">
        <f>Data!AG19</f>
        <v/>
      </c>
      <c r="N20" s="4">
        <f>Data!AH19</f>
        <v/>
      </c>
      <c r="O20" s="4">
        <f>Data!AI19</f>
        <v/>
      </c>
      <c r="P20" s="4">
        <f>Data!AJ19</f>
        <v/>
      </c>
      <c r="Q20" s="4">
        <f>Data!AK19</f>
        <v/>
      </c>
      <c r="R20" s="4">
        <f>Data!AL19</f>
        <v/>
      </c>
    </row>
    <row r="21">
      <c r="A21" s="4">
        <f>Data!A20</f>
        <v/>
      </c>
      <c r="B21" s="4">
        <f>Data!B20</f>
        <v/>
      </c>
      <c r="C21" s="4">
        <f>Data!C20</f>
        <v/>
      </c>
      <c r="D21" s="4">
        <f>Data!I20</f>
        <v/>
      </c>
      <c r="E21" s="4">
        <f>Data!J20</f>
        <v/>
      </c>
      <c r="F21" s="4">
        <f>Data!H20</f>
        <v/>
      </c>
      <c r="G21" s="4">
        <f>SUM(Data!Q20:Data!Y20)</f>
        <v/>
      </c>
      <c r="H21" s="4">
        <f>Data!Z20</f>
        <v/>
      </c>
      <c r="I21" s="4">
        <f>Data!AB20</f>
        <v/>
      </c>
      <c r="J21" s="4">
        <f>Data!AD20</f>
        <v/>
      </c>
      <c r="K21" s="4">
        <f>Data!AE20</f>
        <v/>
      </c>
      <c r="L21" s="4">
        <f>Data!AF20</f>
        <v/>
      </c>
      <c r="M21" s="4">
        <f>Data!AG20</f>
        <v/>
      </c>
      <c r="N21" s="4">
        <f>Data!AH20</f>
        <v/>
      </c>
      <c r="O21" s="4">
        <f>Data!AI20</f>
        <v/>
      </c>
      <c r="P21" s="4">
        <f>Data!AJ20</f>
        <v/>
      </c>
      <c r="Q21" s="4">
        <f>Data!AK20</f>
        <v/>
      </c>
      <c r="R21" s="4">
        <f>Data!AL20</f>
        <v/>
      </c>
    </row>
    <row r="22">
      <c r="A22" s="4">
        <f>Data!A21</f>
        <v/>
      </c>
      <c r="B22" s="4">
        <f>Data!B21</f>
        <v/>
      </c>
      <c r="C22" s="4">
        <f>Data!C21</f>
        <v/>
      </c>
      <c r="D22" s="4">
        <f>Data!I21</f>
        <v/>
      </c>
      <c r="E22" s="4">
        <f>Data!J21</f>
        <v/>
      </c>
      <c r="F22" s="4">
        <f>Data!H21</f>
        <v/>
      </c>
      <c r="G22" s="4">
        <f>SUM(Data!Q21:Data!Y21)</f>
        <v/>
      </c>
      <c r="H22" s="4">
        <f>Data!Z21</f>
        <v/>
      </c>
      <c r="I22" s="4">
        <f>Data!AB21</f>
        <v/>
      </c>
      <c r="J22" s="4">
        <f>Data!AD21</f>
        <v/>
      </c>
      <c r="K22" s="4">
        <f>Data!AE21</f>
        <v/>
      </c>
      <c r="L22" s="4">
        <f>Data!AF21</f>
        <v/>
      </c>
      <c r="M22" s="4">
        <f>Data!AG21</f>
        <v/>
      </c>
      <c r="N22" s="4">
        <f>Data!AH21</f>
        <v/>
      </c>
      <c r="O22" s="4">
        <f>Data!AI21</f>
        <v/>
      </c>
      <c r="P22" s="4">
        <f>Data!AJ21</f>
        <v/>
      </c>
      <c r="Q22" s="4">
        <f>Data!AK21</f>
        <v/>
      </c>
      <c r="R22" s="4">
        <f>Data!AL21</f>
        <v/>
      </c>
    </row>
    <row r="23">
      <c r="A23" s="4">
        <f>Data!A22</f>
        <v/>
      </c>
      <c r="B23" s="4">
        <f>Data!B22</f>
        <v/>
      </c>
      <c r="C23" s="4">
        <f>Data!C22</f>
        <v/>
      </c>
      <c r="D23" s="4">
        <f>Data!I22</f>
        <v/>
      </c>
      <c r="E23" s="4">
        <f>Data!J22</f>
        <v/>
      </c>
      <c r="F23" s="4">
        <f>Data!H22</f>
        <v/>
      </c>
      <c r="G23" s="4">
        <f>SUM(Data!Q22:Data!Y22)</f>
        <v/>
      </c>
      <c r="H23" s="4">
        <f>Data!Z22</f>
        <v/>
      </c>
      <c r="I23" s="4">
        <f>Data!AB22</f>
        <v/>
      </c>
      <c r="J23" s="4">
        <f>Data!AD22</f>
        <v/>
      </c>
      <c r="K23" s="4">
        <f>Data!AE22</f>
        <v/>
      </c>
      <c r="L23" s="4">
        <f>Data!AF22</f>
        <v/>
      </c>
      <c r="M23" s="4">
        <f>Data!AG22</f>
        <v/>
      </c>
      <c r="N23" s="4">
        <f>Data!AH22</f>
        <v/>
      </c>
      <c r="O23" s="4">
        <f>Data!AI22</f>
        <v/>
      </c>
      <c r="P23" s="4">
        <f>Data!AJ22</f>
        <v/>
      </c>
      <c r="Q23" s="4">
        <f>Data!AK22</f>
        <v/>
      </c>
      <c r="R23" s="4">
        <f>Data!AL22</f>
        <v/>
      </c>
    </row>
    <row r="24">
      <c r="A24" s="4">
        <f>Data!A23</f>
        <v/>
      </c>
      <c r="B24" s="4">
        <f>Data!B23</f>
        <v/>
      </c>
      <c r="C24" s="4">
        <f>Data!C23</f>
        <v/>
      </c>
      <c r="D24" s="4">
        <f>Data!I23</f>
        <v/>
      </c>
      <c r="E24" s="4">
        <f>Data!J23</f>
        <v/>
      </c>
      <c r="F24" s="4">
        <f>Data!H23</f>
        <v/>
      </c>
      <c r="G24" s="4">
        <f>SUM(Data!Q23:Data!Y23)</f>
        <v/>
      </c>
      <c r="H24" s="4">
        <f>Data!Z23</f>
        <v/>
      </c>
      <c r="I24" s="4">
        <f>Data!AB23</f>
        <v/>
      </c>
      <c r="J24" s="4">
        <f>Data!AD23</f>
        <v/>
      </c>
      <c r="K24" s="4">
        <f>Data!AE23</f>
        <v/>
      </c>
      <c r="L24" s="4">
        <f>Data!AF23</f>
        <v/>
      </c>
      <c r="M24" s="4">
        <f>Data!AG23</f>
        <v/>
      </c>
      <c r="N24" s="4">
        <f>Data!AH23</f>
        <v/>
      </c>
      <c r="O24" s="4">
        <f>Data!AI23</f>
        <v/>
      </c>
      <c r="P24" s="4">
        <f>Data!AJ23</f>
        <v/>
      </c>
      <c r="Q24" s="4">
        <f>Data!AK23</f>
        <v/>
      </c>
      <c r="R24" s="4">
        <f>Data!AL23</f>
        <v/>
      </c>
    </row>
    <row r="25">
      <c r="A25" s="4">
        <f>Data!A24</f>
        <v/>
      </c>
      <c r="B25" s="4">
        <f>Data!B24</f>
        <v/>
      </c>
      <c r="C25" s="4">
        <f>Data!C24</f>
        <v/>
      </c>
      <c r="D25" s="4">
        <f>Data!I24</f>
        <v/>
      </c>
      <c r="E25" s="4">
        <f>Data!J24</f>
        <v/>
      </c>
      <c r="F25" s="4">
        <f>Data!H24</f>
        <v/>
      </c>
      <c r="G25" s="4">
        <f>SUM(Data!Q24:Data!Y24)</f>
        <v/>
      </c>
      <c r="H25" s="4">
        <f>Data!Z24</f>
        <v/>
      </c>
      <c r="I25" s="4">
        <f>Data!AB24</f>
        <v/>
      </c>
      <c r="J25" s="4">
        <f>Data!AD24</f>
        <v/>
      </c>
      <c r="K25" s="4">
        <f>Data!AE24</f>
        <v/>
      </c>
      <c r="L25" s="4">
        <f>Data!AF24</f>
        <v/>
      </c>
      <c r="M25" s="4">
        <f>Data!AG24</f>
        <v/>
      </c>
      <c r="N25" s="4">
        <f>Data!AH24</f>
        <v/>
      </c>
      <c r="O25" s="4">
        <f>Data!AI24</f>
        <v/>
      </c>
      <c r="P25" s="4">
        <f>Data!AJ24</f>
        <v/>
      </c>
      <c r="Q25" s="4">
        <f>Data!AK24</f>
        <v/>
      </c>
      <c r="R25" s="4">
        <f>Data!AL24</f>
        <v/>
      </c>
    </row>
    <row r="26">
      <c r="A26" s="4">
        <f>Data!A25</f>
        <v/>
      </c>
      <c r="B26" s="4">
        <f>Data!B25</f>
        <v/>
      </c>
      <c r="C26" s="4">
        <f>Data!C25</f>
        <v/>
      </c>
      <c r="D26" s="4">
        <f>Data!I25</f>
        <v/>
      </c>
      <c r="E26" s="4">
        <f>Data!J25</f>
        <v/>
      </c>
      <c r="F26" s="4">
        <f>Data!H25</f>
        <v/>
      </c>
      <c r="G26" s="4">
        <f>SUM(Data!Q25:Data!Y25)</f>
        <v/>
      </c>
      <c r="H26" s="4">
        <f>Data!Z25</f>
        <v/>
      </c>
      <c r="I26" s="4">
        <f>Data!AB25</f>
        <v/>
      </c>
      <c r="J26" s="4">
        <f>Data!AD25</f>
        <v/>
      </c>
      <c r="K26" s="4">
        <f>Data!AE25</f>
        <v/>
      </c>
      <c r="L26" s="4">
        <f>Data!AF25</f>
        <v/>
      </c>
      <c r="M26" s="4">
        <f>Data!AG25</f>
        <v/>
      </c>
      <c r="N26" s="4">
        <f>Data!AH25</f>
        <v/>
      </c>
      <c r="O26" s="4">
        <f>Data!AI25</f>
        <v/>
      </c>
      <c r="P26" s="4">
        <f>Data!AJ25</f>
        <v/>
      </c>
      <c r="Q26" s="4">
        <f>Data!AK25</f>
        <v/>
      </c>
      <c r="R26" s="4">
        <f>Data!AL25</f>
        <v/>
      </c>
    </row>
    <row r="27">
      <c r="A27" s="4">
        <f>Data!A26</f>
        <v/>
      </c>
      <c r="B27" s="4">
        <f>Data!B26</f>
        <v/>
      </c>
      <c r="C27" s="4">
        <f>Data!C26</f>
        <v/>
      </c>
      <c r="D27" s="4">
        <f>Data!I26</f>
        <v/>
      </c>
      <c r="E27" s="4">
        <f>Data!J26</f>
        <v/>
      </c>
      <c r="F27" s="4">
        <f>Data!H26</f>
        <v/>
      </c>
      <c r="G27" s="4">
        <f>SUM(Data!Q26:Data!Y26)</f>
        <v/>
      </c>
      <c r="H27" s="4">
        <f>Data!Z26</f>
        <v/>
      </c>
      <c r="I27" s="4">
        <f>Data!AB26</f>
        <v/>
      </c>
      <c r="J27" s="4">
        <f>Data!AD26</f>
        <v/>
      </c>
      <c r="K27" s="4">
        <f>Data!AE26</f>
        <v/>
      </c>
      <c r="L27" s="4">
        <f>Data!AF26</f>
        <v/>
      </c>
      <c r="M27" s="4">
        <f>Data!AG26</f>
        <v/>
      </c>
      <c r="N27" s="4">
        <f>Data!AH26</f>
        <v/>
      </c>
      <c r="O27" s="4">
        <f>Data!AI26</f>
        <v/>
      </c>
      <c r="P27" s="4">
        <f>Data!AJ26</f>
        <v/>
      </c>
      <c r="Q27" s="4">
        <f>Data!AK26</f>
        <v/>
      </c>
      <c r="R27" s="4">
        <f>Data!AL26</f>
        <v/>
      </c>
    </row>
    <row r="28">
      <c r="A28" s="4">
        <f>Data!A27</f>
        <v/>
      </c>
      <c r="B28" s="4">
        <f>Data!B27</f>
        <v/>
      </c>
      <c r="C28" s="4">
        <f>Data!C27</f>
        <v/>
      </c>
      <c r="D28" s="4">
        <f>Data!I27</f>
        <v/>
      </c>
      <c r="E28" s="4">
        <f>Data!J27</f>
        <v/>
      </c>
      <c r="F28" s="4">
        <f>Data!H27</f>
        <v/>
      </c>
      <c r="G28" s="4">
        <f>SUM(Data!Q27:Data!Y27)</f>
        <v/>
      </c>
      <c r="H28" s="4">
        <f>Data!Z27</f>
        <v/>
      </c>
      <c r="I28" s="4">
        <f>Data!AB27</f>
        <v/>
      </c>
      <c r="J28" s="4">
        <f>Data!AD27</f>
        <v/>
      </c>
      <c r="K28" s="4">
        <f>Data!AE27</f>
        <v/>
      </c>
      <c r="L28" s="4">
        <f>Data!AF27</f>
        <v/>
      </c>
      <c r="M28" s="4">
        <f>Data!AG27</f>
        <v/>
      </c>
      <c r="N28" s="4">
        <f>Data!AH27</f>
        <v/>
      </c>
      <c r="O28" s="4">
        <f>Data!AI27</f>
        <v/>
      </c>
      <c r="P28" s="4">
        <f>Data!AJ27</f>
        <v/>
      </c>
      <c r="Q28" s="4">
        <f>Data!AK27</f>
        <v/>
      </c>
      <c r="R28" s="4">
        <f>Data!AL27</f>
        <v/>
      </c>
    </row>
    <row r="29">
      <c r="A29" s="4">
        <f>Data!A28</f>
        <v/>
      </c>
      <c r="B29" s="4">
        <f>Data!B28</f>
        <v/>
      </c>
      <c r="C29" s="4">
        <f>Data!C28</f>
        <v/>
      </c>
      <c r="D29" s="4">
        <f>Data!I28</f>
        <v/>
      </c>
      <c r="E29" s="4">
        <f>Data!J28</f>
        <v/>
      </c>
      <c r="F29" s="4">
        <f>Data!H28</f>
        <v/>
      </c>
      <c r="G29" s="4">
        <f>SUM(Data!Q28:Data!Y28)</f>
        <v/>
      </c>
      <c r="H29" s="4">
        <f>Data!Z28</f>
        <v/>
      </c>
      <c r="I29" s="4">
        <f>Data!AB28</f>
        <v/>
      </c>
      <c r="J29" s="4">
        <f>Data!AD28</f>
        <v/>
      </c>
      <c r="K29" s="4">
        <f>Data!AE28</f>
        <v/>
      </c>
      <c r="L29" s="4">
        <f>Data!AF28</f>
        <v/>
      </c>
      <c r="M29" s="4">
        <f>Data!AG28</f>
        <v/>
      </c>
      <c r="N29" s="4">
        <f>Data!AH28</f>
        <v/>
      </c>
      <c r="O29" s="4">
        <f>Data!AI28</f>
        <v/>
      </c>
      <c r="P29" s="4">
        <f>Data!AJ28</f>
        <v/>
      </c>
      <c r="Q29" s="4">
        <f>Data!AK28</f>
        <v/>
      </c>
      <c r="R29" s="4">
        <f>Data!AL28</f>
        <v/>
      </c>
    </row>
    <row r="30">
      <c r="A30" s="4">
        <f>Data!A29</f>
        <v/>
      </c>
      <c r="B30" s="4">
        <f>Data!B29</f>
        <v/>
      </c>
      <c r="C30" s="4">
        <f>Data!C29</f>
        <v/>
      </c>
      <c r="D30" s="4">
        <f>Data!I29</f>
        <v/>
      </c>
      <c r="E30" s="4">
        <f>Data!J29</f>
        <v/>
      </c>
      <c r="F30" s="4">
        <f>Data!H29</f>
        <v/>
      </c>
      <c r="G30" s="4">
        <f>SUM(Data!Q29:Data!Y29)</f>
        <v/>
      </c>
      <c r="H30" s="4">
        <f>Data!Z29</f>
        <v/>
      </c>
      <c r="I30" s="4">
        <f>Data!AB29</f>
        <v/>
      </c>
      <c r="J30" s="4">
        <f>Data!AD29</f>
        <v/>
      </c>
      <c r="K30" s="4">
        <f>Data!AE29</f>
        <v/>
      </c>
      <c r="L30" s="4">
        <f>Data!AF29</f>
        <v/>
      </c>
      <c r="M30" s="4">
        <f>Data!AG29</f>
        <v/>
      </c>
      <c r="N30" s="4">
        <f>Data!AH29</f>
        <v/>
      </c>
      <c r="O30" s="4">
        <f>Data!AI29</f>
        <v/>
      </c>
      <c r="P30" s="4">
        <f>Data!AJ29</f>
        <v/>
      </c>
      <c r="Q30" s="4">
        <f>Data!AK29</f>
        <v/>
      </c>
      <c r="R30" s="4">
        <f>Data!AL29</f>
        <v/>
      </c>
    </row>
    <row r="31">
      <c r="A31" s="4">
        <f>Data!A30</f>
        <v/>
      </c>
      <c r="B31" s="4">
        <f>Data!B30</f>
        <v/>
      </c>
      <c r="C31" s="4">
        <f>Data!C30</f>
        <v/>
      </c>
      <c r="D31" s="4">
        <f>Data!I30</f>
        <v/>
      </c>
      <c r="E31" s="4">
        <f>Data!J30</f>
        <v/>
      </c>
      <c r="F31" s="4">
        <f>Data!H30</f>
        <v/>
      </c>
      <c r="G31" s="4">
        <f>SUM(Data!Q30:Data!Y30)</f>
        <v/>
      </c>
      <c r="H31" s="4">
        <f>Data!Z30</f>
        <v/>
      </c>
      <c r="I31" s="4">
        <f>Data!AB30</f>
        <v/>
      </c>
      <c r="J31" s="4">
        <f>Data!AD30</f>
        <v/>
      </c>
      <c r="K31" s="4">
        <f>Data!AE30</f>
        <v/>
      </c>
      <c r="L31" s="4">
        <f>Data!AF30</f>
        <v/>
      </c>
      <c r="M31" s="4">
        <f>Data!AG30</f>
        <v/>
      </c>
      <c r="N31" s="4">
        <f>Data!AH30</f>
        <v/>
      </c>
      <c r="O31" s="4">
        <f>Data!AI30</f>
        <v/>
      </c>
      <c r="P31" s="4">
        <f>Data!AJ30</f>
        <v/>
      </c>
      <c r="Q31" s="4">
        <f>Data!AK30</f>
        <v/>
      </c>
      <c r="R31" s="4">
        <f>Data!AL30</f>
        <v/>
      </c>
    </row>
    <row r="32">
      <c r="A32" s="4">
        <f>Data!A31</f>
        <v/>
      </c>
      <c r="B32" s="4">
        <f>Data!B31</f>
        <v/>
      </c>
      <c r="C32" s="4">
        <f>Data!C31</f>
        <v/>
      </c>
      <c r="D32" s="4">
        <f>Data!I31</f>
        <v/>
      </c>
      <c r="E32" s="4">
        <f>Data!J31</f>
        <v/>
      </c>
      <c r="F32" s="4">
        <f>Data!H31</f>
        <v/>
      </c>
      <c r="G32" s="4">
        <f>SUM(Data!Q31:Data!Y31)</f>
        <v/>
      </c>
      <c r="H32" s="4">
        <f>Data!Z31</f>
        <v/>
      </c>
      <c r="I32" s="4">
        <f>Data!AB31</f>
        <v/>
      </c>
      <c r="J32" s="4">
        <f>Data!AD31</f>
        <v/>
      </c>
      <c r="K32" s="4">
        <f>Data!AE31</f>
        <v/>
      </c>
      <c r="L32" s="4">
        <f>Data!AF31</f>
        <v/>
      </c>
      <c r="M32" s="4">
        <f>Data!AG31</f>
        <v/>
      </c>
      <c r="N32" s="4">
        <f>Data!AH31</f>
        <v/>
      </c>
      <c r="O32" s="4">
        <f>Data!AI31</f>
        <v/>
      </c>
      <c r="P32" s="4">
        <f>Data!AJ31</f>
        <v/>
      </c>
      <c r="Q32" s="4">
        <f>Data!AK31</f>
        <v/>
      </c>
      <c r="R32" s="4">
        <f>Data!AL31</f>
        <v/>
      </c>
    </row>
    <row r="33">
      <c r="A33" s="4">
        <f>Data!A32</f>
        <v/>
      </c>
      <c r="B33" s="4">
        <f>Data!B32</f>
        <v/>
      </c>
      <c r="C33" s="4">
        <f>Data!C32</f>
        <v/>
      </c>
      <c r="D33" s="4">
        <f>Data!I32</f>
        <v/>
      </c>
      <c r="E33" s="4">
        <f>Data!J32</f>
        <v/>
      </c>
      <c r="F33" s="4">
        <f>Data!H32</f>
        <v/>
      </c>
      <c r="G33" s="4">
        <f>SUM(Data!Q32:Data!Y32)</f>
        <v/>
      </c>
      <c r="H33" s="4">
        <f>Data!Z32</f>
        <v/>
      </c>
      <c r="I33" s="4">
        <f>Data!AB32</f>
        <v/>
      </c>
      <c r="J33" s="4">
        <f>Data!AD32</f>
        <v/>
      </c>
      <c r="K33" s="4">
        <f>Data!AE32</f>
        <v/>
      </c>
      <c r="L33" s="4">
        <f>Data!AF32</f>
        <v/>
      </c>
      <c r="M33" s="4">
        <f>Data!AG32</f>
        <v/>
      </c>
      <c r="N33" s="4">
        <f>Data!AH32</f>
        <v/>
      </c>
      <c r="O33" s="4">
        <f>Data!AI32</f>
        <v/>
      </c>
      <c r="P33" s="4">
        <f>Data!AJ32</f>
        <v/>
      </c>
      <c r="Q33" s="4">
        <f>Data!AK32</f>
        <v/>
      </c>
      <c r="R33" s="4">
        <f>Data!AL32</f>
        <v/>
      </c>
    </row>
    <row r="34">
      <c r="A34" s="4">
        <f>Data!A33</f>
        <v/>
      </c>
      <c r="B34" s="4">
        <f>Data!B33</f>
        <v/>
      </c>
      <c r="C34" s="4">
        <f>Data!C33</f>
        <v/>
      </c>
      <c r="D34" s="4">
        <f>Data!I33</f>
        <v/>
      </c>
      <c r="E34" s="4">
        <f>Data!J33</f>
        <v/>
      </c>
      <c r="F34" s="4">
        <f>Data!H33</f>
        <v/>
      </c>
      <c r="G34" s="4">
        <f>SUM(Data!Q33:Data!Y33)</f>
        <v/>
      </c>
      <c r="H34" s="4">
        <f>Data!Z33</f>
        <v/>
      </c>
      <c r="I34" s="4">
        <f>Data!AB33</f>
        <v/>
      </c>
      <c r="J34" s="4">
        <f>Data!AD33</f>
        <v/>
      </c>
      <c r="K34" s="4">
        <f>Data!AE33</f>
        <v/>
      </c>
      <c r="L34" s="4">
        <f>Data!AF33</f>
        <v/>
      </c>
      <c r="M34" s="4">
        <f>Data!AG33</f>
        <v/>
      </c>
      <c r="N34" s="4">
        <f>Data!AH33</f>
        <v/>
      </c>
      <c r="O34" s="4">
        <f>Data!AI33</f>
        <v/>
      </c>
      <c r="P34" s="4">
        <f>Data!AJ33</f>
        <v/>
      </c>
      <c r="Q34" s="4">
        <f>Data!AK33</f>
        <v/>
      </c>
      <c r="R34" s="4">
        <f>Data!AL33</f>
        <v/>
      </c>
    </row>
    <row r="35">
      <c r="A35" s="4">
        <f>Data!A34</f>
        <v/>
      </c>
      <c r="B35" s="4">
        <f>Data!B34</f>
        <v/>
      </c>
      <c r="C35" s="4">
        <f>Data!C34</f>
        <v/>
      </c>
      <c r="D35" s="4">
        <f>Data!I34</f>
        <v/>
      </c>
      <c r="E35" s="4">
        <f>Data!J34</f>
        <v/>
      </c>
      <c r="F35" s="4">
        <f>Data!H34</f>
        <v/>
      </c>
      <c r="G35" s="4">
        <f>SUM(Data!Q34:Data!Y34)</f>
        <v/>
      </c>
      <c r="H35" s="4">
        <f>Data!Z34</f>
        <v/>
      </c>
      <c r="I35" s="4">
        <f>Data!AB34</f>
        <v/>
      </c>
      <c r="J35" s="4">
        <f>Data!AD34</f>
        <v/>
      </c>
      <c r="K35" s="4">
        <f>Data!AE34</f>
        <v/>
      </c>
      <c r="L35" s="4">
        <f>Data!AF34</f>
        <v/>
      </c>
      <c r="M35" s="4">
        <f>Data!AG34</f>
        <v/>
      </c>
      <c r="N35" s="4">
        <f>Data!AH34</f>
        <v/>
      </c>
      <c r="O35" s="4">
        <f>Data!AI34</f>
        <v/>
      </c>
      <c r="P35" s="4">
        <f>Data!AJ34</f>
        <v/>
      </c>
      <c r="Q35" s="4">
        <f>Data!AK34</f>
        <v/>
      </c>
      <c r="R35" s="4">
        <f>Data!AL34</f>
        <v/>
      </c>
    </row>
    <row r="36">
      <c r="A36" s="4">
        <f>Data!A35</f>
        <v/>
      </c>
      <c r="B36" s="4">
        <f>Data!B35</f>
        <v/>
      </c>
      <c r="C36" s="4">
        <f>Data!C35</f>
        <v/>
      </c>
      <c r="D36" s="4">
        <f>Data!I35</f>
        <v/>
      </c>
      <c r="E36" s="4">
        <f>Data!J35</f>
        <v/>
      </c>
      <c r="F36" s="4">
        <f>Data!H35</f>
        <v/>
      </c>
      <c r="G36" s="4">
        <f>SUM(Data!Q35:Data!Y35)</f>
        <v/>
      </c>
      <c r="H36" s="4">
        <f>Data!Z35</f>
        <v/>
      </c>
      <c r="I36" s="4">
        <f>Data!AB35</f>
        <v/>
      </c>
      <c r="J36" s="4">
        <f>Data!AD35</f>
        <v/>
      </c>
      <c r="K36" s="4">
        <f>Data!AE35</f>
        <v/>
      </c>
      <c r="L36" s="4">
        <f>Data!AF35</f>
        <v/>
      </c>
      <c r="M36" s="4">
        <f>Data!AG35</f>
        <v/>
      </c>
      <c r="N36" s="4">
        <f>Data!AH35</f>
        <v/>
      </c>
      <c r="O36" s="4">
        <f>Data!AI35</f>
        <v/>
      </c>
      <c r="P36" s="4">
        <f>Data!AJ35</f>
        <v/>
      </c>
      <c r="Q36" s="4">
        <f>Data!AK35</f>
        <v/>
      </c>
      <c r="R36" s="4">
        <f>Data!AL35</f>
        <v/>
      </c>
    </row>
    <row r="37">
      <c r="A37" s="4">
        <f>Data!A36</f>
        <v/>
      </c>
      <c r="B37" s="4">
        <f>Data!B36</f>
        <v/>
      </c>
      <c r="C37" s="4">
        <f>Data!C36</f>
        <v/>
      </c>
      <c r="D37" s="4">
        <f>Data!I36</f>
        <v/>
      </c>
      <c r="E37" s="4">
        <f>Data!J36</f>
        <v/>
      </c>
      <c r="F37" s="4">
        <f>Data!H36</f>
        <v/>
      </c>
      <c r="G37" s="4">
        <f>SUM(Data!Q36:Data!Y36)</f>
        <v/>
      </c>
      <c r="H37" s="4">
        <f>Data!Z36</f>
        <v/>
      </c>
      <c r="I37" s="4">
        <f>Data!AB36</f>
        <v/>
      </c>
      <c r="J37" s="4">
        <f>Data!AD36</f>
        <v/>
      </c>
      <c r="K37" s="4">
        <f>Data!AE36</f>
        <v/>
      </c>
      <c r="L37" s="4">
        <f>Data!AF36</f>
        <v/>
      </c>
      <c r="M37" s="4">
        <f>Data!AG36</f>
        <v/>
      </c>
      <c r="N37" s="4">
        <f>Data!AH36</f>
        <v/>
      </c>
      <c r="O37" s="4">
        <f>Data!AI36</f>
        <v/>
      </c>
      <c r="P37" s="4">
        <f>Data!AJ36</f>
        <v/>
      </c>
      <c r="Q37" s="4">
        <f>Data!AK36</f>
        <v/>
      </c>
      <c r="R37" s="4">
        <f>Data!AL36</f>
        <v/>
      </c>
    </row>
    <row r="38">
      <c r="A38" s="4">
        <f>Data!A37</f>
        <v/>
      </c>
      <c r="B38" s="4">
        <f>Data!B37</f>
        <v/>
      </c>
      <c r="C38" s="4">
        <f>Data!C37</f>
        <v/>
      </c>
      <c r="D38" s="4">
        <f>Data!I37</f>
        <v/>
      </c>
      <c r="E38" s="4">
        <f>Data!J37</f>
        <v/>
      </c>
      <c r="F38" s="4">
        <f>Data!H37</f>
        <v/>
      </c>
      <c r="G38" s="4">
        <f>SUM(Data!Q37:Data!Y37)</f>
        <v/>
      </c>
      <c r="H38" s="4">
        <f>Data!Z37</f>
        <v/>
      </c>
      <c r="I38" s="4">
        <f>Data!AB37</f>
        <v/>
      </c>
      <c r="J38" s="4">
        <f>Data!AD37</f>
        <v/>
      </c>
      <c r="K38" s="4">
        <f>Data!AE37</f>
        <v/>
      </c>
      <c r="L38" s="4">
        <f>Data!AF37</f>
        <v/>
      </c>
      <c r="M38" s="4">
        <f>Data!AG37</f>
        <v/>
      </c>
      <c r="N38" s="4">
        <f>Data!AH37</f>
        <v/>
      </c>
      <c r="O38" s="4">
        <f>Data!AI37</f>
        <v/>
      </c>
      <c r="P38" s="4">
        <f>Data!AJ37</f>
        <v/>
      </c>
      <c r="Q38" s="4">
        <f>Data!AK37</f>
        <v/>
      </c>
      <c r="R38" s="4">
        <f>Data!AL37</f>
        <v/>
      </c>
    </row>
    <row r="39">
      <c r="A39" s="4">
        <f>Data!A38</f>
        <v/>
      </c>
      <c r="B39" s="4">
        <f>Data!B38</f>
        <v/>
      </c>
      <c r="C39" s="4">
        <f>Data!C38</f>
        <v/>
      </c>
      <c r="D39" s="4">
        <f>Data!I38</f>
        <v/>
      </c>
      <c r="E39" s="4">
        <f>Data!J38</f>
        <v/>
      </c>
      <c r="F39" s="4">
        <f>Data!H38</f>
        <v/>
      </c>
      <c r="G39" s="4">
        <f>SUM(Data!Q38:Data!Y38)</f>
        <v/>
      </c>
      <c r="H39" s="4">
        <f>Data!Z38</f>
        <v/>
      </c>
      <c r="I39" s="4">
        <f>Data!AB38</f>
        <v/>
      </c>
      <c r="J39" s="4">
        <f>Data!AD38</f>
        <v/>
      </c>
      <c r="K39" s="4">
        <f>Data!AE38</f>
        <v/>
      </c>
      <c r="L39" s="4">
        <f>Data!AF38</f>
        <v/>
      </c>
      <c r="M39" s="4">
        <f>Data!AG38</f>
        <v/>
      </c>
      <c r="N39" s="4">
        <f>Data!AH38</f>
        <v/>
      </c>
      <c r="O39" s="4">
        <f>Data!AI38</f>
        <v/>
      </c>
      <c r="P39" s="4">
        <f>Data!AJ38</f>
        <v/>
      </c>
      <c r="Q39" s="4">
        <f>Data!AK38</f>
        <v/>
      </c>
      <c r="R39" s="4">
        <f>Data!AL38</f>
        <v/>
      </c>
    </row>
    <row r="40">
      <c r="A40" s="4">
        <f>Data!A39</f>
        <v/>
      </c>
      <c r="B40" s="4">
        <f>Data!B39</f>
        <v/>
      </c>
      <c r="C40" s="4">
        <f>Data!C39</f>
        <v/>
      </c>
      <c r="D40" s="4">
        <f>Data!I39</f>
        <v/>
      </c>
      <c r="E40" s="4">
        <f>Data!J39</f>
        <v/>
      </c>
      <c r="F40" s="4">
        <f>Data!H39</f>
        <v/>
      </c>
      <c r="G40" s="4">
        <f>SUM(Data!Q39:Data!Y39)</f>
        <v/>
      </c>
      <c r="H40" s="4">
        <f>Data!Z39</f>
        <v/>
      </c>
      <c r="I40" s="4">
        <f>Data!AB39</f>
        <v/>
      </c>
      <c r="J40" s="4">
        <f>Data!AD39</f>
        <v/>
      </c>
      <c r="K40" s="4">
        <f>Data!AE39</f>
        <v/>
      </c>
      <c r="L40" s="4">
        <f>Data!AF39</f>
        <v/>
      </c>
      <c r="M40" s="4">
        <f>Data!AG39</f>
        <v/>
      </c>
      <c r="N40" s="4">
        <f>Data!AH39</f>
        <v/>
      </c>
      <c r="O40" s="4">
        <f>Data!AI39</f>
        <v/>
      </c>
      <c r="P40" s="4">
        <f>Data!AJ39</f>
        <v/>
      </c>
      <c r="Q40" s="4">
        <f>Data!AK39</f>
        <v/>
      </c>
      <c r="R40" s="4">
        <f>Data!AL39</f>
        <v/>
      </c>
    </row>
    <row r="41">
      <c r="A41" s="4">
        <f>Data!A40</f>
        <v/>
      </c>
      <c r="B41" s="4">
        <f>Data!B40</f>
        <v/>
      </c>
      <c r="C41" s="4">
        <f>Data!C40</f>
        <v/>
      </c>
      <c r="D41" s="4">
        <f>Data!I40</f>
        <v/>
      </c>
      <c r="E41" s="4">
        <f>Data!J40</f>
        <v/>
      </c>
      <c r="F41" s="4">
        <f>Data!H40</f>
        <v/>
      </c>
      <c r="G41" s="4">
        <f>SUM(Data!Q40:Data!Y40)</f>
        <v/>
      </c>
      <c r="H41" s="4">
        <f>Data!Z40</f>
        <v/>
      </c>
      <c r="I41" s="4">
        <f>Data!AB40</f>
        <v/>
      </c>
      <c r="J41" s="4">
        <f>Data!AD40</f>
        <v/>
      </c>
      <c r="K41" s="4">
        <f>Data!AE40</f>
        <v/>
      </c>
      <c r="L41" s="4">
        <f>Data!AF40</f>
        <v/>
      </c>
      <c r="M41" s="4">
        <f>Data!AG40</f>
        <v/>
      </c>
      <c r="N41" s="4">
        <f>Data!AH40</f>
        <v/>
      </c>
      <c r="O41" s="4">
        <f>Data!AI40</f>
        <v/>
      </c>
      <c r="P41" s="4">
        <f>Data!AJ40</f>
        <v/>
      </c>
      <c r="Q41" s="4">
        <f>Data!AK40</f>
        <v/>
      </c>
      <c r="R41" s="4">
        <f>Data!AL40</f>
        <v/>
      </c>
    </row>
    <row r="42">
      <c r="A42" s="4">
        <f>Data!A41</f>
        <v/>
      </c>
      <c r="B42" s="4">
        <f>Data!B41</f>
        <v/>
      </c>
      <c r="C42" s="4">
        <f>Data!C41</f>
        <v/>
      </c>
      <c r="D42" s="4">
        <f>Data!I41</f>
        <v/>
      </c>
      <c r="E42" s="4">
        <f>Data!J41</f>
        <v/>
      </c>
      <c r="F42" s="4">
        <f>Data!H41</f>
        <v/>
      </c>
      <c r="G42" s="4">
        <f>SUM(Data!Q41:Data!Y41)</f>
        <v/>
      </c>
      <c r="H42" s="4">
        <f>Data!Z41</f>
        <v/>
      </c>
      <c r="I42" s="4">
        <f>Data!AB41</f>
        <v/>
      </c>
      <c r="J42" s="4">
        <f>Data!AD41</f>
        <v/>
      </c>
      <c r="K42" s="4">
        <f>Data!AE41</f>
        <v/>
      </c>
      <c r="L42" s="4">
        <f>Data!AF41</f>
        <v/>
      </c>
      <c r="M42" s="4">
        <f>Data!AG41</f>
        <v/>
      </c>
      <c r="N42" s="4">
        <f>Data!AH41</f>
        <v/>
      </c>
      <c r="O42" s="4">
        <f>Data!AI41</f>
        <v/>
      </c>
      <c r="P42" s="4">
        <f>Data!AJ41</f>
        <v/>
      </c>
      <c r="Q42" s="4">
        <f>Data!AK41</f>
        <v/>
      </c>
      <c r="R42" s="4">
        <f>Data!AL41</f>
        <v/>
      </c>
    </row>
    <row r="43">
      <c r="A43" s="4">
        <f>Data!A42</f>
        <v/>
      </c>
      <c r="B43" s="4">
        <f>Data!B42</f>
        <v/>
      </c>
      <c r="C43" s="4">
        <f>Data!C42</f>
        <v/>
      </c>
      <c r="D43" s="4">
        <f>Data!I42</f>
        <v/>
      </c>
      <c r="E43" s="4">
        <f>Data!J42</f>
        <v/>
      </c>
      <c r="F43" s="4">
        <f>Data!H42</f>
        <v/>
      </c>
      <c r="G43" s="4">
        <f>SUM(Data!Q42:Data!Y42)</f>
        <v/>
      </c>
      <c r="H43" s="4">
        <f>Data!Z42</f>
        <v/>
      </c>
      <c r="I43" s="4">
        <f>Data!AB42</f>
        <v/>
      </c>
      <c r="J43" s="4">
        <f>Data!AD42</f>
        <v/>
      </c>
      <c r="K43" s="4">
        <f>Data!AE42</f>
        <v/>
      </c>
      <c r="L43" s="4">
        <f>Data!AF42</f>
        <v/>
      </c>
      <c r="M43" s="4">
        <f>Data!AG42</f>
        <v/>
      </c>
      <c r="N43" s="4">
        <f>Data!AH42</f>
        <v/>
      </c>
      <c r="O43" s="4">
        <f>Data!AI42</f>
        <v/>
      </c>
      <c r="P43" s="4">
        <f>Data!AJ42</f>
        <v/>
      </c>
      <c r="Q43" s="4">
        <f>Data!AK42</f>
        <v/>
      </c>
      <c r="R43" s="4">
        <f>Data!AL42</f>
        <v/>
      </c>
    </row>
    <row r="44">
      <c r="A44" s="4">
        <f>Data!A43</f>
        <v/>
      </c>
      <c r="B44" s="4">
        <f>Data!B43</f>
        <v/>
      </c>
      <c r="C44" s="4">
        <f>Data!C43</f>
        <v/>
      </c>
      <c r="D44" s="4">
        <f>Data!I43</f>
        <v/>
      </c>
      <c r="E44" s="4">
        <f>Data!J43</f>
        <v/>
      </c>
      <c r="F44" s="4">
        <f>Data!H43</f>
        <v/>
      </c>
      <c r="G44" s="4">
        <f>SUM(Data!Q43:Data!Y43)</f>
        <v/>
      </c>
      <c r="H44" s="4">
        <f>Data!Z43</f>
        <v/>
      </c>
      <c r="I44" s="4">
        <f>Data!AB43</f>
        <v/>
      </c>
      <c r="J44" s="4">
        <f>Data!AD43</f>
        <v/>
      </c>
      <c r="K44" s="4">
        <f>Data!AE43</f>
        <v/>
      </c>
      <c r="L44" s="4">
        <f>Data!AF43</f>
        <v/>
      </c>
      <c r="M44" s="4">
        <f>Data!AG43</f>
        <v/>
      </c>
      <c r="N44" s="4">
        <f>Data!AH43</f>
        <v/>
      </c>
      <c r="O44" s="4">
        <f>Data!AI43</f>
        <v/>
      </c>
      <c r="P44" s="4">
        <f>Data!AJ43</f>
        <v/>
      </c>
      <c r="Q44" s="4">
        <f>Data!AK43</f>
        <v/>
      </c>
      <c r="R44" s="4">
        <f>Data!AL43</f>
        <v/>
      </c>
    </row>
    <row r="45">
      <c r="A45" s="4">
        <f>Data!A44</f>
        <v/>
      </c>
      <c r="B45" s="4">
        <f>Data!B44</f>
        <v/>
      </c>
      <c r="C45" s="4">
        <f>Data!C44</f>
        <v/>
      </c>
      <c r="D45" s="4">
        <f>Data!I44</f>
        <v/>
      </c>
      <c r="E45" s="4">
        <f>Data!J44</f>
        <v/>
      </c>
      <c r="F45" s="4">
        <f>Data!H44</f>
        <v/>
      </c>
      <c r="G45" s="4">
        <f>SUM(Data!Q44:Data!Y44)</f>
        <v/>
      </c>
      <c r="H45" s="4">
        <f>Data!Z44</f>
        <v/>
      </c>
      <c r="I45" s="4">
        <f>Data!AB44</f>
        <v/>
      </c>
      <c r="J45" s="4">
        <f>Data!AD44</f>
        <v/>
      </c>
      <c r="K45" s="4">
        <f>Data!AE44</f>
        <v/>
      </c>
      <c r="L45" s="4">
        <f>Data!AF44</f>
        <v/>
      </c>
      <c r="M45" s="4">
        <f>Data!AG44</f>
        <v/>
      </c>
      <c r="N45" s="4">
        <f>Data!AH44</f>
        <v/>
      </c>
      <c r="O45" s="4">
        <f>Data!AI44</f>
        <v/>
      </c>
      <c r="P45" s="4">
        <f>Data!AJ44</f>
        <v/>
      </c>
      <c r="Q45" s="4">
        <f>Data!AK44</f>
        <v/>
      </c>
      <c r="R45" s="4">
        <f>Data!AL44</f>
        <v/>
      </c>
    </row>
    <row r="46">
      <c r="A46" s="4">
        <f>Data!A45</f>
        <v/>
      </c>
      <c r="B46" s="4">
        <f>Data!B45</f>
        <v/>
      </c>
      <c r="C46" s="4">
        <f>Data!C45</f>
        <v/>
      </c>
      <c r="D46" s="4">
        <f>Data!I45</f>
        <v/>
      </c>
      <c r="E46" s="4">
        <f>Data!J45</f>
        <v/>
      </c>
      <c r="F46" s="4">
        <f>Data!H45</f>
        <v/>
      </c>
      <c r="G46" s="4">
        <f>SUM(Data!Q45:Data!Y45)</f>
        <v/>
      </c>
      <c r="H46" s="4">
        <f>Data!Z45</f>
        <v/>
      </c>
      <c r="I46" s="4">
        <f>Data!AB45</f>
        <v/>
      </c>
      <c r="J46" s="4">
        <f>Data!AD45</f>
        <v/>
      </c>
      <c r="K46" s="4">
        <f>Data!AE45</f>
        <v/>
      </c>
      <c r="L46" s="4">
        <f>Data!AF45</f>
        <v/>
      </c>
      <c r="M46" s="4">
        <f>Data!AG45</f>
        <v/>
      </c>
      <c r="N46" s="4">
        <f>Data!AH45</f>
        <v/>
      </c>
      <c r="O46" s="4">
        <f>Data!AI45</f>
        <v/>
      </c>
      <c r="P46" s="4">
        <f>Data!AJ45</f>
        <v/>
      </c>
      <c r="Q46" s="4">
        <f>Data!AK45</f>
        <v/>
      </c>
      <c r="R46" s="4">
        <f>Data!AL45</f>
        <v/>
      </c>
    </row>
    <row r="47">
      <c r="A47" s="4">
        <f>Data!A46</f>
        <v/>
      </c>
      <c r="B47" s="4">
        <f>Data!B46</f>
        <v/>
      </c>
      <c r="C47" s="4">
        <f>Data!C46</f>
        <v/>
      </c>
      <c r="D47" s="4">
        <f>Data!I46</f>
        <v/>
      </c>
      <c r="E47" s="4">
        <f>Data!J46</f>
        <v/>
      </c>
      <c r="F47" s="4">
        <f>Data!H46</f>
        <v/>
      </c>
      <c r="G47" s="4">
        <f>SUM(Data!Q46:Data!Y46)</f>
        <v/>
      </c>
      <c r="H47" s="4">
        <f>Data!Z46</f>
        <v/>
      </c>
      <c r="I47" s="4">
        <f>Data!AB46</f>
        <v/>
      </c>
      <c r="J47" s="4">
        <f>Data!AD46</f>
        <v/>
      </c>
      <c r="K47" s="4">
        <f>Data!AE46</f>
        <v/>
      </c>
      <c r="L47" s="4">
        <f>Data!AF46</f>
        <v/>
      </c>
      <c r="M47" s="4">
        <f>Data!AG46</f>
        <v/>
      </c>
      <c r="N47" s="4">
        <f>Data!AH46</f>
        <v/>
      </c>
      <c r="O47" s="4">
        <f>Data!AI46</f>
        <v/>
      </c>
      <c r="P47" s="4">
        <f>Data!AJ46</f>
        <v/>
      </c>
      <c r="Q47" s="4">
        <f>Data!AK46</f>
        <v/>
      </c>
      <c r="R47" s="4">
        <f>Data!AL46</f>
        <v/>
      </c>
    </row>
    <row r="48">
      <c r="A48" s="4">
        <f>Data!A47</f>
        <v/>
      </c>
      <c r="B48" s="4">
        <f>Data!B47</f>
        <v/>
      </c>
      <c r="C48" s="4">
        <f>Data!C47</f>
        <v/>
      </c>
      <c r="D48" s="4">
        <f>Data!I47</f>
        <v/>
      </c>
      <c r="E48" s="4">
        <f>Data!J47</f>
        <v/>
      </c>
      <c r="F48" s="4">
        <f>Data!H47</f>
        <v/>
      </c>
      <c r="G48" s="4">
        <f>SUM(Data!Q47:Data!Y47)</f>
        <v/>
      </c>
      <c r="H48" s="4">
        <f>Data!Z47</f>
        <v/>
      </c>
      <c r="I48" s="4">
        <f>Data!AB47</f>
        <v/>
      </c>
      <c r="J48" s="4">
        <f>Data!AD47</f>
        <v/>
      </c>
      <c r="K48" s="4">
        <f>Data!AE47</f>
        <v/>
      </c>
      <c r="L48" s="4">
        <f>Data!AF47</f>
        <v/>
      </c>
      <c r="M48" s="4">
        <f>Data!AG47</f>
        <v/>
      </c>
      <c r="N48" s="4">
        <f>Data!AH47</f>
        <v/>
      </c>
      <c r="O48" s="4">
        <f>Data!AI47</f>
        <v/>
      </c>
      <c r="P48" s="4">
        <f>Data!AJ47</f>
        <v/>
      </c>
      <c r="Q48" s="4">
        <f>Data!AK47</f>
        <v/>
      </c>
      <c r="R48" s="4">
        <f>Data!AL47</f>
        <v/>
      </c>
    </row>
    <row r="49">
      <c r="A49" s="4">
        <f>Data!A48</f>
        <v/>
      </c>
      <c r="B49" s="4">
        <f>Data!B48</f>
        <v/>
      </c>
      <c r="C49" s="4">
        <f>Data!C48</f>
        <v/>
      </c>
      <c r="D49" s="4">
        <f>Data!I48</f>
        <v/>
      </c>
      <c r="E49" s="4">
        <f>Data!J48</f>
        <v/>
      </c>
      <c r="F49" s="4">
        <f>Data!H48</f>
        <v/>
      </c>
      <c r="G49" s="4">
        <f>SUM(Data!Q48:Data!Y48)</f>
        <v/>
      </c>
      <c r="H49" s="4">
        <f>Data!Z48</f>
        <v/>
      </c>
      <c r="I49" s="4">
        <f>Data!AB48</f>
        <v/>
      </c>
      <c r="J49" s="4">
        <f>Data!AD48</f>
        <v/>
      </c>
      <c r="K49" s="4">
        <f>Data!AE48</f>
        <v/>
      </c>
      <c r="L49" s="4">
        <f>Data!AF48</f>
        <v/>
      </c>
      <c r="M49" s="4">
        <f>Data!AG48</f>
        <v/>
      </c>
      <c r="N49" s="4">
        <f>Data!AH48</f>
        <v/>
      </c>
      <c r="O49" s="4">
        <f>Data!AI48</f>
        <v/>
      </c>
      <c r="P49" s="4">
        <f>Data!AJ48</f>
        <v/>
      </c>
      <c r="Q49" s="4">
        <f>Data!AK48</f>
        <v/>
      </c>
      <c r="R49" s="4">
        <f>Data!AL48</f>
        <v/>
      </c>
    </row>
    <row r="50">
      <c r="A50" s="4">
        <f>Data!A49</f>
        <v/>
      </c>
      <c r="B50" s="4">
        <f>Data!B49</f>
        <v/>
      </c>
      <c r="C50" s="4">
        <f>Data!C49</f>
        <v/>
      </c>
      <c r="D50" s="4">
        <f>Data!I49</f>
        <v/>
      </c>
      <c r="E50" s="4">
        <f>Data!J49</f>
        <v/>
      </c>
      <c r="F50" s="4">
        <f>Data!H49</f>
        <v/>
      </c>
      <c r="G50" s="4">
        <f>SUM(Data!Q49:Data!Y49)</f>
        <v/>
      </c>
      <c r="H50" s="4">
        <f>Data!Z49</f>
        <v/>
      </c>
      <c r="I50" s="4">
        <f>Data!AB49</f>
        <v/>
      </c>
      <c r="J50" s="4">
        <f>Data!AD49</f>
        <v/>
      </c>
      <c r="K50" s="4">
        <f>Data!AE49</f>
        <v/>
      </c>
      <c r="L50" s="4">
        <f>Data!AF49</f>
        <v/>
      </c>
      <c r="M50" s="4">
        <f>Data!AG49</f>
        <v/>
      </c>
      <c r="N50" s="4">
        <f>Data!AH49</f>
        <v/>
      </c>
      <c r="O50" s="4">
        <f>Data!AI49</f>
        <v/>
      </c>
      <c r="P50" s="4">
        <f>Data!AJ49</f>
        <v/>
      </c>
      <c r="Q50" s="4">
        <f>Data!AK49</f>
        <v/>
      </c>
      <c r="R50" s="4">
        <f>Data!AL49</f>
        <v/>
      </c>
    </row>
    <row r="51">
      <c r="A51" s="4">
        <f>Data!A50</f>
        <v/>
      </c>
      <c r="B51" s="4">
        <f>Data!B50</f>
        <v/>
      </c>
      <c r="C51" s="4">
        <f>Data!C50</f>
        <v/>
      </c>
      <c r="D51" s="4">
        <f>Data!I50</f>
        <v/>
      </c>
      <c r="E51" s="4">
        <f>Data!J50</f>
        <v/>
      </c>
      <c r="F51" s="4">
        <f>Data!H50</f>
        <v/>
      </c>
      <c r="G51" s="4">
        <f>SUM(Data!Q50:Data!Y50)</f>
        <v/>
      </c>
      <c r="H51" s="4">
        <f>Data!Z50</f>
        <v/>
      </c>
      <c r="I51" s="4">
        <f>Data!AB50</f>
        <v/>
      </c>
      <c r="J51" s="4">
        <f>Data!AD50</f>
        <v/>
      </c>
      <c r="K51" s="4">
        <f>Data!AE50</f>
        <v/>
      </c>
      <c r="L51" s="4">
        <f>Data!AF50</f>
        <v/>
      </c>
      <c r="M51" s="4">
        <f>Data!AG50</f>
        <v/>
      </c>
      <c r="N51" s="4">
        <f>Data!AH50</f>
        <v/>
      </c>
      <c r="O51" s="4">
        <f>Data!AI50</f>
        <v/>
      </c>
      <c r="P51" s="4">
        <f>Data!AJ50</f>
        <v/>
      </c>
      <c r="Q51" s="4">
        <f>Data!AK50</f>
        <v/>
      </c>
      <c r="R51" s="4">
        <f>Data!AL50</f>
        <v/>
      </c>
    </row>
    <row r="52">
      <c r="A52" s="4">
        <f>Data!A51</f>
        <v/>
      </c>
      <c r="B52" s="4">
        <f>Data!B51</f>
        <v/>
      </c>
      <c r="C52" s="4">
        <f>Data!C51</f>
        <v/>
      </c>
      <c r="D52" s="4">
        <f>Data!I51</f>
        <v/>
      </c>
      <c r="E52" s="4">
        <f>Data!J51</f>
        <v/>
      </c>
      <c r="F52" s="4">
        <f>Data!H51</f>
        <v/>
      </c>
      <c r="G52" s="4">
        <f>SUM(Data!Q51:Data!Y51)</f>
        <v/>
      </c>
      <c r="H52" s="4">
        <f>Data!Z51</f>
        <v/>
      </c>
      <c r="I52" s="4">
        <f>Data!AB51</f>
        <v/>
      </c>
      <c r="J52" s="4">
        <f>Data!AD51</f>
        <v/>
      </c>
      <c r="K52" s="4">
        <f>Data!AE51</f>
        <v/>
      </c>
      <c r="L52" s="4">
        <f>Data!AF51</f>
        <v/>
      </c>
      <c r="M52" s="4">
        <f>Data!AG51</f>
        <v/>
      </c>
      <c r="N52" s="4">
        <f>Data!AH51</f>
        <v/>
      </c>
      <c r="O52" s="4">
        <f>Data!AI51</f>
        <v/>
      </c>
      <c r="P52" s="4">
        <f>Data!AJ51</f>
        <v/>
      </c>
      <c r="Q52" s="4">
        <f>Data!AK51</f>
        <v/>
      </c>
      <c r="R52" s="4">
        <f>Data!AL51</f>
        <v/>
      </c>
    </row>
    <row r="53">
      <c r="A53" s="4">
        <f>Data!A52</f>
        <v/>
      </c>
      <c r="B53" s="4">
        <f>Data!B52</f>
        <v/>
      </c>
      <c r="C53" s="4">
        <f>Data!C52</f>
        <v/>
      </c>
      <c r="D53" s="4">
        <f>Data!I52</f>
        <v/>
      </c>
      <c r="E53" s="4">
        <f>Data!J52</f>
        <v/>
      </c>
      <c r="F53" s="4">
        <f>Data!H52</f>
        <v/>
      </c>
      <c r="G53" s="4">
        <f>SUM(Data!Q52:Data!Y52)</f>
        <v/>
      </c>
      <c r="H53" s="4">
        <f>Data!Z52</f>
        <v/>
      </c>
      <c r="I53" s="4">
        <f>Data!AB52</f>
        <v/>
      </c>
      <c r="J53" s="4">
        <f>Data!AD52</f>
        <v/>
      </c>
      <c r="K53" s="4">
        <f>Data!AE52</f>
        <v/>
      </c>
      <c r="L53" s="4">
        <f>Data!AF52</f>
        <v/>
      </c>
      <c r="M53" s="4">
        <f>Data!AG52</f>
        <v/>
      </c>
      <c r="N53" s="4">
        <f>Data!AH52</f>
        <v/>
      </c>
      <c r="O53" s="4">
        <f>Data!AI52</f>
        <v/>
      </c>
      <c r="P53" s="4">
        <f>Data!AJ52</f>
        <v/>
      </c>
      <c r="Q53" s="4">
        <f>Data!AK52</f>
        <v/>
      </c>
      <c r="R53" s="4">
        <f>Data!AL52</f>
        <v/>
      </c>
    </row>
    <row r="54">
      <c r="A54" s="4">
        <f>Data!A53</f>
        <v/>
      </c>
      <c r="B54" s="4">
        <f>Data!B53</f>
        <v/>
      </c>
      <c r="C54" s="4">
        <f>Data!C53</f>
        <v/>
      </c>
      <c r="D54" s="4">
        <f>Data!I53</f>
        <v/>
      </c>
      <c r="E54" s="4">
        <f>Data!J53</f>
        <v/>
      </c>
      <c r="F54" s="4">
        <f>Data!H53</f>
        <v/>
      </c>
      <c r="G54" s="4">
        <f>SUM(Data!Q53:Data!Y53)</f>
        <v/>
      </c>
      <c r="H54" s="4">
        <f>Data!Z53</f>
        <v/>
      </c>
      <c r="I54" s="4">
        <f>Data!AB53</f>
        <v/>
      </c>
      <c r="J54" s="4">
        <f>Data!AD53</f>
        <v/>
      </c>
      <c r="K54" s="4">
        <f>Data!AE53</f>
        <v/>
      </c>
      <c r="L54" s="4">
        <f>Data!AF53</f>
        <v/>
      </c>
      <c r="M54" s="4">
        <f>Data!AG53</f>
        <v/>
      </c>
      <c r="N54" s="4">
        <f>Data!AH53</f>
        <v/>
      </c>
      <c r="O54" s="4">
        <f>Data!AI53</f>
        <v/>
      </c>
      <c r="P54" s="4">
        <f>Data!AJ53</f>
        <v/>
      </c>
      <c r="Q54" s="4">
        <f>Data!AK53</f>
        <v/>
      </c>
      <c r="R54" s="4">
        <f>Data!AL53</f>
        <v/>
      </c>
    </row>
    <row r="55">
      <c r="A55" s="4">
        <f>Data!A54</f>
        <v/>
      </c>
      <c r="B55" s="4">
        <f>Data!B54</f>
        <v/>
      </c>
      <c r="C55" s="4">
        <f>Data!C54</f>
        <v/>
      </c>
      <c r="D55" s="4">
        <f>Data!I54</f>
        <v/>
      </c>
      <c r="E55" s="4">
        <f>Data!J54</f>
        <v/>
      </c>
      <c r="F55" s="4">
        <f>Data!H54</f>
        <v/>
      </c>
      <c r="G55" s="4">
        <f>SUM(Data!Q54:Data!Y54)</f>
        <v/>
      </c>
      <c r="H55" s="4">
        <f>Data!Z54</f>
        <v/>
      </c>
      <c r="I55" s="4">
        <f>Data!AB54</f>
        <v/>
      </c>
      <c r="J55" s="4">
        <f>Data!AD54</f>
        <v/>
      </c>
      <c r="K55" s="4">
        <f>Data!AE54</f>
        <v/>
      </c>
      <c r="L55" s="4">
        <f>Data!AF54</f>
        <v/>
      </c>
      <c r="M55" s="4">
        <f>Data!AG54</f>
        <v/>
      </c>
      <c r="N55" s="4">
        <f>Data!AH54</f>
        <v/>
      </c>
      <c r="O55" s="4">
        <f>Data!AI54</f>
        <v/>
      </c>
      <c r="P55" s="4">
        <f>Data!AJ54</f>
        <v/>
      </c>
      <c r="Q55" s="4">
        <f>Data!AK54</f>
        <v/>
      </c>
      <c r="R55" s="4">
        <f>Data!AL54</f>
        <v/>
      </c>
    </row>
    <row r="56">
      <c r="A56" s="4">
        <f>Data!A55</f>
        <v/>
      </c>
      <c r="B56" s="4">
        <f>Data!B55</f>
        <v/>
      </c>
      <c r="C56" s="4">
        <f>Data!C55</f>
        <v/>
      </c>
      <c r="D56" s="4">
        <f>Data!I55</f>
        <v/>
      </c>
      <c r="E56" s="4">
        <f>Data!J55</f>
        <v/>
      </c>
      <c r="F56" s="4">
        <f>Data!H55</f>
        <v/>
      </c>
      <c r="G56" s="4">
        <f>SUM(Data!Q55:Data!Y55)</f>
        <v/>
      </c>
      <c r="H56" s="4">
        <f>Data!Z55</f>
        <v/>
      </c>
      <c r="I56" s="4">
        <f>Data!AB55</f>
        <v/>
      </c>
      <c r="J56" s="4">
        <f>Data!AD55</f>
        <v/>
      </c>
      <c r="K56" s="4">
        <f>Data!AE55</f>
        <v/>
      </c>
      <c r="L56" s="4">
        <f>Data!AF55</f>
        <v/>
      </c>
      <c r="M56" s="4">
        <f>Data!AG55</f>
        <v/>
      </c>
      <c r="N56" s="4">
        <f>Data!AH55</f>
        <v/>
      </c>
      <c r="O56" s="4">
        <f>Data!AI55</f>
        <v/>
      </c>
      <c r="P56" s="4">
        <f>Data!AJ55</f>
        <v/>
      </c>
      <c r="Q56" s="4">
        <f>Data!AK55</f>
        <v/>
      </c>
      <c r="R56" s="4">
        <f>Data!AL55</f>
        <v/>
      </c>
    </row>
    <row r="57">
      <c r="A57" s="4">
        <f>Data!A56</f>
        <v/>
      </c>
      <c r="B57" s="4">
        <f>Data!B56</f>
        <v/>
      </c>
      <c r="C57" s="4">
        <f>Data!C56</f>
        <v/>
      </c>
      <c r="D57" s="4">
        <f>Data!I56</f>
        <v/>
      </c>
      <c r="E57" s="4">
        <f>Data!J56</f>
        <v/>
      </c>
      <c r="F57" s="4">
        <f>Data!H56</f>
        <v/>
      </c>
      <c r="G57" s="4">
        <f>SUM(Data!Q56:Data!Y56)</f>
        <v/>
      </c>
      <c r="H57" s="4">
        <f>Data!Z56</f>
        <v/>
      </c>
      <c r="I57" s="4">
        <f>Data!AB56</f>
        <v/>
      </c>
      <c r="J57" s="4">
        <f>Data!AD56</f>
        <v/>
      </c>
      <c r="K57" s="4">
        <f>Data!AE56</f>
        <v/>
      </c>
      <c r="L57" s="4">
        <f>Data!AF56</f>
        <v/>
      </c>
      <c r="M57" s="4">
        <f>Data!AG56</f>
        <v/>
      </c>
      <c r="N57" s="4">
        <f>Data!AH56</f>
        <v/>
      </c>
      <c r="O57" s="4">
        <f>Data!AI56</f>
        <v/>
      </c>
      <c r="P57" s="4">
        <f>Data!AJ56</f>
        <v/>
      </c>
      <c r="Q57" s="4">
        <f>Data!AK56</f>
        <v/>
      </c>
      <c r="R57" s="4">
        <f>Data!AL56</f>
        <v/>
      </c>
    </row>
    <row r="58">
      <c r="A58" s="4">
        <f>Data!A57</f>
        <v/>
      </c>
      <c r="B58" s="4">
        <f>Data!B57</f>
        <v/>
      </c>
      <c r="C58" s="4">
        <f>Data!C57</f>
        <v/>
      </c>
      <c r="D58" s="4">
        <f>Data!I57</f>
        <v/>
      </c>
      <c r="E58" s="4">
        <f>Data!J57</f>
        <v/>
      </c>
      <c r="F58" s="4">
        <f>Data!H57</f>
        <v/>
      </c>
      <c r="G58" s="4">
        <f>SUM(Data!Q57:Data!Y57)</f>
        <v/>
      </c>
      <c r="H58" s="4">
        <f>Data!Z57</f>
        <v/>
      </c>
      <c r="I58" s="4">
        <f>Data!AB57</f>
        <v/>
      </c>
      <c r="J58" s="4">
        <f>Data!AD57</f>
        <v/>
      </c>
      <c r="K58" s="4">
        <f>Data!AE57</f>
        <v/>
      </c>
      <c r="L58" s="4">
        <f>Data!AF57</f>
        <v/>
      </c>
      <c r="M58" s="4">
        <f>Data!AG57</f>
        <v/>
      </c>
      <c r="N58" s="4">
        <f>Data!AH57</f>
        <v/>
      </c>
      <c r="O58" s="4">
        <f>Data!AI57</f>
        <v/>
      </c>
      <c r="P58" s="4">
        <f>Data!AJ57</f>
        <v/>
      </c>
      <c r="Q58" s="4">
        <f>Data!AK57</f>
        <v/>
      </c>
      <c r="R58" s="4">
        <f>Data!AL57</f>
        <v/>
      </c>
    </row>
    <row r="59">
      <c r="A59" s="4">
        <f>Data!A58</f>
        <v/>
      </c>
      <c r="B59" s="4">
        <f>Data!B58</f>
        <v/>
      </c>
      <c r="C59" s="4">
        <f>Data!C58</f>
        <v/>
      </c>
      <c r="D59" s="4">
        <f>Data!I58</f>
        <v/>
      </c>
      <c r="E59" s="4">
        <f>Data!J58</f>
        <v/>
      </c>
      <c r="F59" s="4">
        <f>Data!H58</f>
        <v/>
      </c>
      <c r="G59" s="4">
        <f>SUM(Data!Q58:Data!Y58)</f>
        <v/>
      </c>
      <c r="H59" s="4">
        <f>Data!Z58</f>
        <v/>
      </c>
      <c r="I59" s="4">
        <f>Data!AB58</f>
        <v/>
      </c>
      <c r="J59" s="4">
        <f>Data!AD58</f>
        <v/>
      </c>
      <c r="K59" s="4">
        <f>Data!AE58</f>
        <v/>
      </c>
      <c r="L59" s="4">
        <f>Data!AF58</f>
        <v/>
      </c>
      <c r="M59" s="4">
        <f>Data!AG58</f>
        <v/>
      </c>
      <c r="N59" s="4">
        <f>Data!AH58</f>
        <v/>
      </c>
      <c r="O59" s="4">
        <f>Data!AI58</f>
        <v/>
      </c>
      <c r="P59" s="4">
        <f>Data!AJ58</f>
        <v/>
      </c>
      <c r="Q59" s="4">
        <f>Data!AK58</f>
        <v/>
      </c>
      <c r="R59" s="4">
        <f>Data!AL58</f>
        <v/>
      </c>
    </row>
    <row r="60">
      <c r="A60" s="4">
        <f>Data!A59</f>
        <v/>
      </c>
      <c r="B60" s="4">
        <f>Data!B59</f>
        <v/>
      </c>
      <c r="C60" s="4">
        <f>Data!C59</f>
        <v/>
      </c>
      <c r="D60" s="4">
        <f>Data!I59</f>
        <v/>
      </c>
      <c r="E60" s="4">
        <f>Data!J59</f>
        <v/>
      </c>
      <c r="F60" s="4">
        <f>Data!H59</f>
        <v/>
      </c>
      <c r="G60" s="4">
        <f>SUM(Data!Q59:Data!Y59)</f>
        <v/>
      </c>
      <c r="H60" s="4">
        <f>Data!Z59</f>
        <v/>
      </c>
      <c r="I60" s="4">
        <f>Data!AB59</f>
        <v/>
      </c>
      <c r="J60" s="4">
        <f>Data!AD59</f>
        <v/>
      </c>
      <c r="K60" s="4">
        <f>Data!AE59</f>
        <v/>
      </c>
      <c r="L60" s="4">
        <f>Data!AF59</f>
        <v/>
      </c>
      <c r="M60" s="4">
        <f>Data!AG59</f>
        <v/>
      </c>
      <c r="N60" s="4">
        <f>Data!AH59</f>
        <v/>
      </c>
      <c r="O60" s="4">
        <f>Data!AI59</f>
        <v/>
      </c>
      <c r="P60" s="4">
        <f>Data!AJ59</f>
        <v/>
      </c>
      <c r="Q60" s="4">
        <f>Data!AK59</f>
        <v/>
      </c>
      <c r="R60" s="4">
        <f>Data!AL59</f>
        <v/>
      </c>
    </row>
    <row r="61">
      <c r="A61" s="4">
        <f>Data!A60</f>
        <v/>
      </c>
      <c r="B61" s="4">
        <f>Data!B60</f>
        <v/>
      </c>
      <c r="C61" s="4">
        <f>Data!C60</f>
        <v/>
      </c>
      <c r="D61" s="4">
        <f>Data!I60</f>
        <v/>
      </c>
      <c r="E61" s="4">
        <f>Data!J60</f>
        <v/>
      </c>
      <c r="F61" s="4">
        <f>Data!H60</f>
        <v/>
      </c>
      <c r="G61" s="4">
        <f>SUM(Data!Q60:Data!Y60)</f>
        <v/>
      </c>
      <c r="H61" s="4">
        <f>Data!Z60</f>
        <v/>
      </c>
      <c r="I61" s="4">
        <f>Data!AB60</f>
        <v/>
      </c>
      <c r="J61" s="4">
        <f>Data!AD60</f>
        <v/>
      </c>
      <c r="K61" s="4">
        <f>Data!AE60</f>
        <v/>
      </c>
      <c r="L61" s="4">
        <f>Data!AF60</f>
        <v/>
      </c>
      <c r="M61" s="4">
        <f>Data!AG60</f>
        <v/>
      </c>
      <c r="N61" s="4">
        <f>Data!AH60</f>
        <v/>
      </c>
      <c r="O61" s="4">
        <f>Data!AI60</f>
        <v/>
      </c>
      <c r="P61" s="4">
        <f>Data!AJ60</f>
        <v/>
      </c>
      <c r="Q61" s="4">
        <f>Data!AK60</f>
        <v/>
      </c>
      <c r="R61" s="4">
        <f>Data!AL60</f>
        <v/>
      </c>
    </row>
    <row r="62">
      <c r="A62" s="4">
        <f>Data!A61</f>
        <v/>
      </c>
      <c r="B62" s="4">
        <f>Data!B61</f>
        <v/>
      </c>
      <c r="C62" s="4">
        <f>Data!C61</f>
        <v/>
      </c>
      <c r="D62" s="4">
        <f>Data!I61</f>
        <v/>
      </c>
      <c r="E62" s="4">
        <f>Data!J61</f>
        <v/>
      </c>
      <c r="F62" s="4">
        <f>Data!H61</f>
        <v/>
      </c>
      <c r="G62" s="4">
        <f>SUM(Data!Q61:Data!Y61)</f>
        <v/>
      </c>
      <c r="H62" s="4">
        <f>Data!Z61</f>
        <v/>
      </c>
      <c r="I62" s="4">
        <f>Data!AB61</f>
        <v/>
      </c>
      <c r="J62" s="4">
        <f>Data!AD61</f>
        <v/>
      </c>
      <c r="K62" s="4">
        <f>Data!AE61</f>
        <v/>
      </c>
      <c r="L62" s="4">
        <f>Data!AF61</f>
        <v/>
      </c>
      <c r="M62" s="4">
        <f>Data!AG61</f>
        <v/>
      </c>
      <c r="N62" s="4">
        <f>Data!AH61</f>
        <v/>
      </c>
      <c r="O62" s="4">
        <f>Data!AI61</f>
        <v/>
      </c>
      <c r="P62" s="4">
        <f>Data!AJ61</f>
        <v/>
      </c>
      <c r="Q62" s="4">
        <f>Data!AK61</f>
        <v/>
      </c>
      <c r="R62" s="4">
        <f>Data!AL61</f>
        <v/>
      </c>
    </row>
    <row r="63">
      <c r="A63" s="4">
        <f>Data!A62</f>
        <v/>
      </c>
      <c r="B63" s="4">
        <f>Data!B62</f>
        <v/>
      </c>
      <c r="C63" s="4">
        <f>Data!C62</f>
        <v/>
      </c>
      <c r="D63" s="4">
        <f>Data!I62</f>
        <v/>
      </c>
      <c r="E63" s="4">
        <f>Data!J62</f>
        <v/>
      </c>
      <c r="F63" s="4">
        <f>Data!H62</f>
        <v/>
      </c>
      <c r="G63" s="4">
        <f>SUM(Data!Q62:Data!Y62)</f>
        <v/>
      </c>
      <c r="H63" s="4">
        <f>Data!Z62</f>
        <v/>
      </c>
      <c r="I63" s="4">
        <f>Data!AB62</f>
        <v/>
      </c>
      <c r="J63" s="4">
        <f>Data!AD62</f>
        <v/>
      </c>
      <c r="K63" s="4">
        <f>Data!AE62</f>
        <v/>
      </c>
      <c r="L63" s="4">
        <f>Data!AF62</f>
        <v/>
      </c>
      <c r="M63" s="4">
        <f>Data!AG62</f>
        <v/>
      </c>
      <c r="N63" s="4">
        <f>Data!AH62</f>
        <v/>
      </c>
      <c r="O63" s="4">
        <f>Data!AI62</f>
        <v/>
      </c>
      <c r="P63" s="4">
        <f>Data!AJ62</f>
        <v/>
      </c>
      <c r="Q63" s="4">
        <f>Data!AK62</f>
        <v/>
      </c>
      <c r="R63" s="4">
        <f>Data!AL62</f>
        <v/>
      </c>
    </row>
    <row r="64">
      <c r="A64" s="4">
        <f>Data!A63</f>
        <v/>
      </c>
      <c r="B64" s="4">
        <f>Data!B63</f>
        <v/>
      </c>
      <c r="C64" s="4">
        <f>Data!C63</f>
        <v/>
      </c>
      <c r="D64" s="4">
        <f>Data!I63</f>
        <v/>
      </c>
      <c r="E64" s="4">
        <f>Data!J63</f>
        <v/>
      </c>
      <c r="F64" s="4">
        <f>Data!H63</f>
        <v/>
      </c>
      <c r="G64" s="4">
        <f>SUM(Data!Q63:Data!Y63)</f>
        <v/>
      </c>
      <c r="H64" s="4">
        <f>Data!Z63</f>
        <v/>
      </c>
      <c r="I64" s="4">
        <f>Data!AB63</f>
        <v/>
      </c>
      <c r="J64" s="4">
        <f>Data!AD63</f>
        <v/>
      </c>
      <c r="K64" s="4">
        <f>Data!AE63</f>
        <v/>
      </c>
      <c r="L64" s="4">
        <f>Data!AF63</f>
        <v/>
      </c>
      <c r="M64" s="4">
        <f>Data!AG63</f>
        <v/>
      </c>
      <c r="N64" s="4">
        <f>Data!AH63</f>
        <v/>
      </c>
      <c r="O64" s="4">
        <f>Data!AI63</f>
        <v/>
      </c>
      <c r="P64" s="4">
        <f>Data!AJ63</f>
        <v/>
      </c>
      <c r="Q64" s="4">
        <f>Data!AK63</f>
        <v/>
      </c>
      <c r="R64" s="4">
        <f>Data!AL63</f>
        <v/>
      </c>
    </row>
    <row r="65">
      <c r="A65" s="4">
        <f>Data!A64</f>
        <v/>
      </c>
      <c r="B65" s="4">
        <f>Data!B64</f>
        <v/>
      </c>
      <c r="C65" s="4">
        <f>Data!C64</f>
        <v/>
      </c>
      <c r="D65" s="4">
        <f>Data!I64</f>
        <v/>
      </c>
      <c r="E65" s="4">
        <f>Data!J64</f>
        <v/>
      </c>
      <c r="F65" s="4">
        <f>Data!H64</f>
        <v/>
      </c>
      <c r="G65" s="4">
        <f>SUM(Data!Q64:Data!Y64)</f>
        <v/>
      </c>
      <c r="H65" s="4">
        <f>Data!Z64</f>
        <v/>
      </c>
      <c r="I65" s="4">
        <f>Data!AB64</f>
        <v/>
      </c>
      <c r="J65" s="4">
        <f>Data!AD64</f>
        <v/>
      </c>
      <c r="K65" s="4">
        <f>Data!AE64</f>
        <v/>
      </c>
      <c r="L65" s="4">
        <f>Data!AF64</f>
        <v/>
      </c>
      <c r="M65" s="4">
        <f>Data!AG64</f>
        <v/>
      </c>
      <c r="N65" s="4">
        <f>Data!AH64</f>
        <v/>
      </c>
      <c r="O65" s="4">
        <f>Data!AI64</f>
        <v/>
      </c>
      <c r="P65" s="4">
        <f>Data!AJ64</f>
        <v/>
      </c>
      <c r="Q65" s="4">
        <f>Data!AK64</f>
        <v/>
      </c>
      <c r="R65" s="4">
        <f>Data!AL64</f>
        <v/>
      </c>
    </row>
    <row r="66">
      <c r="A66" s="4">
        <f>Data!A65</f>
        <v/>
      </c>
      <c r="B66" s="4">
        <f>Data!B65</f>
        <v/>
      </c>
      <c r="C66" s="4">
        <f>Data!C65</f>
        <v/>
      </c>
      <c r="D66" s="4">
        <f>Data!I65</f>
        <v/>
      </c>
      <c r="E66" s="4">
        <f>Data!J65</f>
        <v/>
      </c>
      <c r="F66" s="4">
        <f>Data!H65</f>
        <v/>
      </c>
      <c r="G66" s="4">
        <f>SUM(Data!Q65:Data!Y65)</f>
        <v/>
      </c>
      <c r="H66" s="4">
        <f>Data!Z65</f>
        <v/>
      </c>
      <c r="I66" s="4">
        <f>Data!AB65</f>
        <v/>
      </c>
      <c r="J66" s="4">
        <f>Data!AD65</f>
        <v/>
      </c>
      <c r="K66" s="4">
        <f>Data!AE65</f>
        <v/>
      </c>
      <c r="L66" s="4">
        <f>Data!AF65</f>
        <v/>
      </c>
      <c r="M66" s="4">
        <f>Data!AG65</f>
        <v/>
      </c>
      <c r="N66" s="4">
        <f>Data!AH65</f>
        <v/>
      </c>
      <c r="O66" s="4">
        <f>Data!AI65</f>
        <v/>
      </c>
      <c r="P66" s="4">
        <f>Data!AJ65</f>
        <v/>
      </c>
      <c r="Q66" s="4">
        <f>Data!AK65</f>
        <v/>
      </c>
      <c r="R66" s="4">
        <f>Data!AL65</f>
        <v/>
      </c>
    </row>
    <row r="67">
      <c r="A67" s="4">
        <f>Data!A66</f>
        <v/>
      </c>
      <c r="B67" s="4">
        <f>Data!B66</f>
        <v/>
      </c>
      <c r="C67" s="4">
        <f>Data!C66</f>
        <v/>
      </c>
      <c r="D67" s="4">
        <f>Data!I66</f>
        <v/>
      </c>
      <c r="E67" s="4">
        <f>Data!J66</f>
        <v/>
      </c>
      <c r="F67" s="4">
        <f>Data!H66</f>
        <v/>
      </c>
      <c r="G67" s="4">
        <f>SUM(Data!Q66:Data!Y66)</f>
        <v/>
      </c>
      <c r="H67" s="4">
        <f>Data!Z66</f>
        <v/>
      </c>
      <c r="I67" s="4">
        <f>Data!AB66</f>
        <v/>
      </c>
      <c r="J67" s="4">
        <f>Data!AD66</f>
        <v/>
      </c>
      <c r="K67" s="4">
        <f>Data!AE66</f>
        <v/>
      </c>
      <c r="L67" s="4">
        <f>Data!AF66</f>
        <v/>
      </c>
      <c r="M67" s="4">
        <f>Data!AG66</f>
        <v/>
      </c>
      <c r="N67" s="4">
        <f>Data!AH66</f>
        <v/>
      </c>
      <c r="O67" s="4">
        <f>Data!AI66</f>
        <v/>
      </c>
      <c r="P67" s="4">
        <f>Data!AJ66</f>
        <v/>
      </c>
      <c r="Q67" s="4">
        <f>Data!AK66</f>
        <v/>
      </c>
      <c r="R67" s="4">
        <f>Data!AL66</f>
        <v/>
      </c>
    </row>
    <row r="68">
      <c r="A68" s="4">
        <f>Data!A67</f>
        <v/>
      </c>
      <c r="B68" s="4">
        <f>Data!B67</f>
        <v/>
      </c>
      <c r="C68" s="4">
        <f>Data!C67</f>
        <v/>
      </c>
      <c r="D68" s="4">
        <f>Data!I67</f>
        <v/>
      </c>
      <c r="E68" s="4">
        <f>Data!J67</f>
        <v/>
      </c>
      <c r="F68" s="4">
        <f>Data!H67</f>
        <v/>
      </c>
      <c r="G68" s="4">
        <f>SUM(Data!Q67:Data!Y67)</f>
        <v/>
      </c>
      <c r="H68" s="4">
        <f>Data!Z67</f>
        <v/>
      </c>
      <c r="I68" s="4">
        <f>Data!AB67</f>
        <v/>
      </c>
      <c r="J68" s="4">
        <f>Data!AD67</f>
        <v/>
      </c>
      <c r="K68" s="4">
        <f>Data!AE67</f>
        <v/>
      </c>
      <c r="L68" s="4">
        <f>Data!AF67</f>
        <v/>
      </c>
      <c r="M68" s="4">
        <f>Data!AG67</f>
        <v/>
      </c>
      <c r="N68" s="4">
        <f>Data!AH67</f>
        <v/>
      </c>
      <c r="O68" s="4">
        <f>Data!AI67</f>
        <v/>
      </c>
      <c r="P68" s="4">
        <f>Data!AJ67</f>
        <v/>
      </c>
      <c r="Q68" s="4">
        <f>Data!AK67</f>
        <v/>
      </c>
      <c r="R68" s="4">
        <f>Data!AL67</f>
        <v/>
      </c>
    </row>
    <row r="69">
      <c r="A69" s="4">
        <f>Data!A68</f>
        <v/>
      </c>
      <c r="B69" s="4">
        <f>Data!B68</f>
        <v/>
      </c>
      <c r="C69" s="4">
        <f>Data!C68</f>
        <v/>
      </c>
      <c r="D69" s="4">
        <f>Data!I68</f>
        <v/>
      </c>
      <c r="E69" s="4">
        <f>Data!J68</f>
        <v/>
      </c>
      <c r="F69" s="4">
        <f>Data!H68</f>
        <v/>
      </c>
      <c r="G69" s="4">
        <f>SUM(Data!Q68:Data!Y68)</f>
        <v/>
      </c>
      <c r="H69" s="4">
        <f>Data!Z68</f>
        <v/>
      </c>
      <c r="I69" s="4">
        <f>Data!AB68</f>
        <v/>
      </c>
      <c r="J69" s="4">
        <f>Data!AD68</f>
        <v/>
      </c>
      <c r="K69" s="4">
        <f>Data!AE68</f>
        <v/>
      </c>
      <c r="L69" s="4">
        <f>Data!AF68</f>
        <v/>
      </c>
      <c r="M69" s="4">
        <f>Data!AG68</f>
        <v/>
      </c>
      <c r="N69" s="4">
        <f>Data!AH68</f>
        <v/>
      </c>
      <c r="O69" s="4">
        <f>Data!AI68</f>
        <v/>
      </c>
      <c r="P69" s="4">
        <f>Data!AJ68</f>
        <v/>
      </c>
      <c r="Q69" s="4">
        <f>Data!AK68</f>
        <v/>
      </c>
      <c r="R69" s="4">
        <f>Data!AL68</f>
        <v/>
      </c>
    </row>
    <row r="70">
      <c r="A70" s="4">
        <f>Data!A69</f>
        <v/>
      </c>
      <c r="B70" s="4">
        <f>Data!B69</f>
        <v/>
      </c>
      <c r="C70" s="4">
        <f>Data!C69</f>
        <v/>
      </c>
      <c r="D70" s="4">
        <f>Data!I69</f>
        <v/>
      </c>
      <c r="E70" s="4">
        <f>Data!J69</f>
        <v/>
      </c>
      <c r="F70" s="4">
        <f>Data!H69</f>
        <v/>
      </c>
      <c r="G70" s="4">
        <f>SUM(Data!Q69:Data!Y69)</f>
        <v/>
      </c>
      <c r="H70" s="4">
        <f>Data!Z69</f>
        <v/>
      </c>
      <c r="I70" s="4">
        <f>Data!AB69</f>
        <v/>
      </c>
      <c r="J70" s="4">
        <f>Data!AD69</f>
        <v/>
      </c>
      <c r="K70" s="4">
        <f>Data!AE69</f>
        <v/>
      </c>
      <c r="L70" s="4">
        <f>Data!AF69</f>
        <v/>
      </c>
      <c r="M70" s="4">
        <f>Data!AG69</f>
        <v/>
      </c>
      <c r="N70" s="4">
        <f>Data!AH69</f>
        <v/>
      </c>
      <c r="O70" s="4">
        <f>Data!AI69</f>
        <v/>
      </c>
      <c r="P70" s="4">
        <f>Data!AJ69</f>
        <v/>
      </c>
      <c r="Q70" s="4">
        <f>Data!AK69</f>
        <v/>
      </c>
      <c r="R70" s="4">
        <f>Data!AL69</f>
        <v/>
      </c>
    </row>
    <row r="71">
      <c r="A71" s="4">
        <f>Data!A70</f>
        <v/>
      </c>
      <c r="B71" s="4">
        <f>Data!B70</f>
        <v/>
      </c>
      <c r="C71" s="4">
        <f>Data!C70</f>
        <v/>
      </c>
      <c r="D71" s="4">
        <f>Data!I70</f>
        <v/>
      </c>
      <c r="E71" s="4">
        <f>Data!J70</f>
        <v/>
      </c>
      <c r="F71" s="4">
        <f>Data!H70</f>
        <v/>
      </c>
      <c r="G71" s="4">
        <f>SUM(Data!Q70:Data!Y70)</f>
        <v/>
      </c>
      <c r="H71" s="4">
        <f>Data!Z70</f>
        <v/>
      </c>
      <c r="I71" s="4">
        <f>Data!AB70</f>
        <v/>
      </c>
      <c r="J71" s="4">
        <f>Data!AD70</f>
        <v/>
      </c>
      <c r="K71" s="4">
        <f>Data!AE70</f>
        <v/>
      </c>
      <c r="L71" s="4">
        <f>Data!AF70</f>
        <v/>
      </c>
      <c r="M71" s="4">
        <f>Data!AG70</f>
        <v/>
      </c>
      <c r="N71" s="4">
        <f>Data!AH70</f>
        <v/>
      </c>
      <c r="O71" s="4">
        <f>Data!AI70</f>
        <v/>
      </c>
      <c r="P71" s="4">
        <f>Data!AJ70</f>
        <v/>
      </c>
      <c r="Q71" s="4">
        <f>Data!AK70</f>
        <v/>
      </c>
      <c r="R71" s="4">
        <f>Data!AL70</f>
        <v/>
      </c>
    </row>
    <row r="72">
      <c r="A72" s="4">
        <f>Data!A71</f>
        <v/>
      </c>
      <c r="B72" s="4">
        <f>Data!B71</f>
        <v/>
      </c>
      <c r="C72" s="4">
        <f>Data!C71</f>
        <v/>
      </c>
      <c r="D72" s="4">
        <f>Data!I71</f>
        <v/>
      </c>
      <c r="E72" s="4">
        <f>Data!J71</f>
        <v/>
      </c>
      <c r="F72" s="4">
        <f>Data!H71</f>
        <v/>
      </c>
      <c r="G72" s="4">
        <f>SUM(Data!Q71:Data!Y71)</f>
        <v/>
      </c>
      <c r="H72" s="4">
        <f>Data!Z71</f>
        <v/>
      </c>
      <c r="I72" s="4">
        <f>Data!AB71</f>
        <v/>
      </c>
      <c r="J72" s="4">
        <f>Data!AD71</f>
        <v/>
      </c>
      <c r="K72" s="4">
        <f>Data!AE71</f>
        <v/>
      </c>
      <c r="L72" s="4">
        <f>Data!AF71</f>
        <v/>
      </c>
      <c r="M72" s="4">
        <f>Data!AG71</f>
        <v/>
      </c>
      <c r="N72" s="4">
        <f>Data!AH71</f>
        <v/>
      </c>
      <c r="O72" s="4">
        <f>Data!AI71</f>
        <v/>
      </c>
      <c r="P72" s="4">
        <f>Data!AJ71</f>
        <v/>
      </c>
      <c r="Q72" s="4">
        <f>Data!AK71</f>
        <v/>
      </c>
      <c r="R72" s="4">
        <f>Data!AL71</f>
        <v/>
      </c>
    </row>
    <row r="73">
      <c r="A73" s="4">
        <f>Data!A72</f>
        <v/>
      </c>
      <c r="B73" s="4">
        <f>Data!B72</f>
        <v/>
      </c>
      <c r="C73" s="4">
        <f>Data!C72</f>
        <v/>
      </c>
      <c r="D73" s="4">
        <f>Data!I72</f>
        <v/>
      </c>
      <c r="E73" s="4">
        <f>Data!J72</f>
        <v/>
      </c>
      <c r="F73" s="4">
        <f>Data!H72</f>
        <v/>
      </c>
      <c r="G73" s="4">
        <f>SUM(Data!Q72:Data!Y72)</f>
        <v/>
      </c>
      <c r="H73" s="4">
        <f>Data!Z72</f>
        <v/>
      </c>
      <c r="I73" s="4">
        <f>Data!AB72</f>
        <v/>
      </c>
      <c r="J73" s="4">
        <f>Data!AD72</f>
        <v/>
      </c>
      <c r="K73" s="4">
        <f>Data!AE72</f>
        <v/>
      </c>
      <c r="L73" s="4">
        <f>Data!AF72</f>
        <v/>
      </c>
      <c r="M73" s="4">
        <f>Data!AG72</f>
        <v/>
      </c>
      <c r="N73" s="4">
        <f>Data!AH72</f>
        <v/>
      </c>
      <c r="O73" s="4">
        <f>Data!AI72</f>
        <v/>
      </c>
      <c r="P73" s="4">
        <f>Data!AJ72</f>
        <v/>
      </c>
      <c r="Q73" s="4">
        <f>Data!AK72</f>
        <v/>
      </c>
      <c r="R73" s="4">
        <f>Data!AL72</f>
        <v/>
      </c>
    </row>
    <row r="74">
      <c r="A74" s="4">
        <f>Data!A73</f>
        <v/>
      </c>
      <c r="B74" s="4">
        <f>Data!B73</f>
        <v/>
      </c>
      <c r="C74" s="4">
        <f>Data!C73</f>
        <v/>
      </c>
      <c r="D74" s="4">
        <f>Data!I73</f>
        <v/>
      </c>
      <c r="E74" s="4">
        <f>Data!J73</f>
        <v/>
      </c>
      <c r="F74" s="4">
        <f>Data!H73</f>
        <v/>
      </c>
      <c r="G74" s="4">
        <f>SUM(Data!Q73:Data!Y73)</f>
        <v/>
      </c>
      <c r="H74" s="4">
        <f>Data!Z73</f>
        <v/>
      </c>
      <c r="I74" s="4">
        <f>Data!AB73</f>
        <v/>
      </c>
      <c r="J74" s="4">
        <f>Data!AD73</f>
        <v/>
      </c>
      <c r="K74" s="4">
        <f>Data!AE73</f>
        <v/>
      </c>
      <c r="L74" s="4">
        <f>Data!AF73</f>
        <v/>
      </c>
      <c r="M74" s="4">
        <f>Data!AG73</f>
        <v/>
      </c>
      <c r="N74" s="4">
        <f>Data!AH73</f>
        <v/>
      </c>
      <c r="O74" s="4">
        <f>Data!AI73</f>
        <v/>
      </c>
      <c r="P74" s="4">
        <f>Data!AJ73</f>
        <v/>
      </c>
      <c r="Q74" s="4">
        <f>Data!AK73</f>
        <v/>
      </c>
      <c r="R74" s="4">
        <f>Data!AL73</f>
        <v/>
      </c>
    </row>
    <row r="75">
      <c r="A75" s="4">
        <f>Data!A74</f>
        <v/>
      </c>
      <c r="B75" s="4">
        <f>Data!B74</f>
        <v/>
      </c>
      <c r="C75" s="4">
        <f>Data!C74</f>
        <v/>
      </c>
      <c r="D75" s="4">
        <f>Data!I74</f>
        <v/>
      </c>
      <c r="E75" s="4">
        <f>Data!J74</f>
        <v/>
      </c>
      <c r="F75" s="4">
        <f>Data!H74</f>
        <v/>
      </c>
      <c r="G75" s="4">
        <f>SUM(Data!Q74:Data!Y74)</f>
        <v/>
      </c>
      <c r="H75" s="4">
        <f>Data!Z74</f>
        <v/>
      </c>
      <c r="I75" s="4">
        <f>Data!AB74</f>
        <v/>
      </c>
      <c r="J75" s="4">
        <f>Data!AD74</f>
        <v/>
      </c>
      <c r="K75" s="4">
        <f>Data!AE74</f>
        <v/>
      </c>
      <c r="L75" s="4">
        <f>Data!AF74</f>
        <v/>
      </c>
      <c r="M75" s="4">
        <f>Data!AG74</f>
        <v/>
      </c>
      <c r="N75" s="4">
        <f>Data!AH74</f>
        <v/>
      </c>
      <c r="O75" s="4">
        <f>Data!AI74</f>
        <v/>
      </c>
      <c r="P75" s="4">
        <f>Data!AJ74</f>
        <v/>
      </c>
      <c r="Q75" s="4">
        <f>Data!AK74</f>
        <v/>
      </c>
      <c r="R75" s="4">
        <f>Data!AL74</f>
        <v/>
      </c>
    </row>
    <row r="76">
      <c r="A76" s="4">
        <f>Data!A75</f>
        <v/>
      </c>
      <c r="B76" s="4">
        <f>Data!B75</f>
        <v/>
      </c>
      <c r="C76" s="4">
        <f>Data!C75</f>
        <v/>
      </c>
      <c r="D76" s="4">
        <f>Data!I75</f>
        <v/>
      </c>
      <c r="E76" s="4">
        <f>Data!J75</f>
        <v/>
      </c>
      <c r="F76" s="4">
        <f>Data!H75</f>
        <v/>
      </c>
      <c r="G76" s="4">
        <f>SUM(Data!Q75:Data!Y75)</f>
        <v/>
      </c>
      <c r="H76" s="4">
        <f>Data!Z75</f>
        <v/>
      </c>
      <c r="I76" s="4">
        <f>Data!AB75</f>
        <v/>
      </c>
      <c r="J76" s="4">
        <f>Data!AD75</f>
        <v/>
      </c>
      <c r="K76" s="4">
        <f>Data!AE75</f>
        <v/>
      </c>
      <c r="L76" s="4">
        <f>Data!AF75</f>
        <v/>
      </c>
      <c r="M76" s="4">
        <f>Data!AG75</f>
        <v/>
      </c>
      <c r="N76" s="4">
        <f>Data!AH75</f>
        <v/>
      </c>
      <c r="O76" s="4">
        <f>Data!AI75</f>
        <v/>
      </c>
      <c r="P76" s="4">
        <f>Data!AJ75</f>
        <v/>
      </c>
      <c r="Q76" s="4">
        <f>Data!AK75</f>
        <v/>
      </c>
      <c r="R76" s="4">
        <f>Data!AL75</f>
        <v/>
      </c>
    </row>
    <row r="77">
      <c r="A77" s="4">
        <f>Data!A76</f>
        <v/>
      </c>
      <c r="B77" s="4">
        <f>Data!B76</f>
        <v/>
      </c>
      <c r="C77" s="4">
        <f>Data!C76</f>
        <v/>
      </c>
      <c r="D77" s="4">
        <f>Data!I76</f>
        <v/>
      </c>
      <c r="E77" s="4">
        <f>Data!J76</f>
        <v/>
      </c>
      <c r="F77" s="4">
        <f>Data!H76</f>
        <v/>
      </c>
      <c r="G77" s="4">
        <f>SUM(Data!Q76:Data!Y76)</f>
        <v/>
      </c>
      <c r="H77" s="4">
        <f>Data!Z76</f>
        <v/>
      </c>
      <c r="I77" s="4">
        <f>Data!AB76</f>
        <v/>
      </c>
      <c r="J77" s="4">
        <f>Data!AD76</f>
        <v/>
      </c>
      <c r="K77" s="4">
        <f>Data!AE76</f>
        <v/>
      </c>
      <c r="L77" s="4">
        <f>Data!AF76</f>
        <v/>
      </c>
      <c r="M77" s="4">
        <f>Data!AG76</f>
        <v/>
      </c>
      <c r="N77" s="4">
        <f>Data!AH76</f>
        <v/>
      </c>
      <c r="O77" s="4">
        <f>Data!AI76</f>
        <v/>
      </c>
      <c r="P77" s="4">
        <f>Data!AJ76</f>
        <v/>
      </c>
      <c r="Q77" s="4">
        <f>Data!AK76</f>
        <v/>
      </c>
      <c r="R77" s="4">
        <f>Data!AL76</f>
        <v/>
      </c>
    </row>
    <row r="78">
      <c r="A78" s="4">
        <f>Data!A77</f>
        <v/>
      </c>
      <c r="B78" s="4">
        <f>Data!B77</f>
        <v/>
      </c>
      <c r="C78" s="4">
        <f>Data!C77</f>
        <v/>
      </c>
      <c r="D78" s="4">
        <f>Data!I77</f>
        <v/>
      </c>
      <c r="E78" s="4">
        <f>Data!J77</f>
        <v/>
      </c>
      <c r="F78" s="4">
        <f>Data!H77</f>
        <v/>
      </c>
      <c r="G78" s="4">
        <f>SUM(Data!Q77:Data!Y77)</f>
        <v/>
      </c>
      <c r="H78" s="4">
        <f>Data!Z77</f>
        <v/>
      </c>
      <c r="I78" s="4">
        <f>Data!AB77</f>
        <v/>
      </c>
      <c r="J78" s="4">
        <f>Data!AD77</f>
        <v/>
      </c>
      <c r="K78" s="4">
        <f>Data!AE77</f>
        <v/>
      </c>
      <c r="L78" s="4">
        <f>Data!AF77</f>
        <v/>
      </c>
      <c r="M78" s="4">
        <f>Data!AG77</f>
        <v/>
      </c>
      <c r="N78" s="4">
        <f>Data!AH77</f>
        <v/>
      </c>
      <c r="O78" s="4">
        <f>Data!AI77</f>
        <v/>
      </c>
      <c r="P78" s="4">
        <f>Data!AJ77</f>
        <v/>
      </c>
      <c r="Q78" s="4">
        <f>Data!AK77</f>
        <v/>
      </c>
      <c r="R78" s="4">
        <f>Data!AL77</f>
        <v/>
      </c>
    </row>
    <row r="79">
      <c r="A79" s="4">
        <f>Data!A78</f>
        <v/>
      </c>
      <c r="B79" s="4">
        <f>Data!B78</f>
        <v/>
      </c>
      <c r="C79" s="4">
        <f>Data!C78</f>
        <v/>
      </c>
      <c r="D79" s="4">
        <f>Data!I78</f>
        <v/>
      </c>
      <c r="E79" s="4">
        <f>Data!J78</f>
        <v/>
      </c>
      <c r="F79" s="4">
        <f>Data!H78</f>
        <v/>
      </c>
      <c r="G79" s="4">
        <f>SUM(Data!Q78:Data!Y78)</f>
        <v/>
      </c>
      <c r="H79" s="4">
        <f>Data!Z78</f>
        <v/>
      </c>
      <c r="I79" s="4">
        <f>Data!AB78</f>
        <v/>
      </c>
      <c r="J79" s="4">
        <f>Data!AD78</f>
        <v/>
      </c>
      <c r="K79" s="4">
        <f>Data!AE78</f>
        <v/>
      </c>
      <c r="L79" s="4">
        <f>Data!AF78</f>
        <v/>
      </c>
      <c r="M79" s="4">
        <f>Data!AG78</f>
        <v/>
      </c>
      <c r="N79" s="4">
        <f>Data!AH78</f>
        <v/>
      </c>
      <c r="O79" s="4">
        <f>Data!AI78</f>
        <v/>
      </c>
      <c r="P79" s="4">
        <f>Data!AJ78</f>
        <v/>
      </c>
      <c r="Q79" s="4">
        <f>Data!AK78</f>
        <v/>
      </c>
      <c r="R79" s="4">
        <f>Data!AL78</f>
        <v/>
      </c>
    </row>
    <row r="80">
      <c r="A80" s="4">
        <f>Data!A79</f>
        <v/>
      </c>
      <c r="B80" s="4">
        <f>Data!B79</f>
        <v/>
      </c>
      <c r="C80" s="4">
        <f>Data!C79</f>
        <v/>
      </c>
      <c r="D80" s="4">
        <f>Data!I79</f>
        <v/>
      </c>
      <c r="E80" s="4">
        <f>Data!J79</f>
        <v/>
      </c>
      <c r="F80" s="4">
        <f>Data!H79</f>
        <v/>
      </c>
      <c r="G80" s="4">
        <f>SUM(Data!Q79:Data!Y79)</f>
        <v/>
      </c>
      <c r="H80" s="4">
        <f>Data!Z79</f>
        <v/>
      </c>
      <c r="I80" s="4">
        <f>Data!AB79</f>
        <v/>
      </c>
      <c r="J80" s="4">
        <f>Data!AD79</f>
        <v/>
      </c>
      <c r="K80" s="4">
        <f>Data!AE79</f>
        <v/>
      </c>
      <c r="L80" s="4">
        <f>Data!AF79</f>
        <v/>
      </c>
      <c r="M80" s="4">
        <f>Data!AG79</f>
        <v/>
      </c>
      <c r="N80" s="4">
        <f>Data!AH79</f>
        <v/>
      </c>
      <c r="O80" s="4">
        <f>Data!AI79</f>
        <v/>
      </c>
      <c r="P80" s="4">
        <f>Data!AJ79</f>
        <v/>
      </c>
      <c r="Q80" s="4">
        <f>Data!AK79</f>
        <v/>
      </c>
      <c r="R80" s="4">
        <f>Data!AL79</f>
        <v/>
      </c>
    </row>
    <row r="81">
      <c r="A81" s="4">
        <f>Data!A80</f>
        <v/>
      </c>
      <c r="B81" s="4">
        <f>Data!B80</f>
        <v/>
      </c>
      <c r="C81" s="4">
        <f>Data!C80</f>
        <v/>
      </c>
      <c r="D81" s="4">
        <f>Data!I80</f>
        <v/>
      </c>
      <c r="E81" s="4">
        <f>Data!J80</f>
        <v/>
      </c>
      <c r="F81" s="4">
        <f>Data!H80</f>
        <v/>
      </c>
      <c r="G81" s="4">
        <f>SUM(Data!Q80:Data!Y80)</f>
        <v/>
      </c>
      <c r="H81" s="4">
        <f>Data!Z80</f>
        <v/>
      </c>
      <c r="I81" s="4">
        <f>Data!AB80</f>
        <v/>
      </c>
      <c r="J81" s="4">
        <f>Data!AD80</f>
        <v/>
      </c>
      <c r="K81" s="4">
        <f>Data!AE80</f>
        <v/>
      </c>
      <c r="L81" s="4">
        <f>Data!AF80</f>
        <v/>
      </c>
      <c r="M81" s="4">
        <f>Data!AG80</f>
        <v/>
      </c>
      <c r="N81" s="4">
        <f>Data!AH80</f>
        <v/>
      </c>
      <c r="O81" s="4">
        <f>Data!AI80</f>
        <v/>
      </c>
      <c r="P81" s="4">
        <f>Data!AJ80</f>
        <v/>
      </c>
      <c r="Q81" s="4">
        <f>Data!AK80</f>
        <v/>
      </c>
      <c r="R81" s="4">
        <f>Data!AL80</f>
        <v/>
      </c>
    </row>
    <row r="82">
      <c r="A82" s="6" t="inlineStr">
        <is>
          <t>TOTAL</t>
        </is>
      </c>
      <c r="B82" s="6" t="n"/>
      <c r="C82" s="6" t="n"/>
      <c r="D82" s="6" t="n"/>
      <c r="E82" s="6" t="n"/>
      <c r="F82" s="6" t="n"/>
      <c r="G82" s="6">
        <f>SUM(G4:G81)</f>
        <v/>
      </c>
      <c r="H82" s="6">
        <f>SUM(H4:H81)</f>
        <v/>
      </c>
      <c r="I82" s="6">
        <f>SUM(I4:I81)</f>
        <v/>
      </c>
      <c r="J82" s="6">
        <f>SUM(J4:J81)</f>
        <v/>
      </c>
      <c r="K82" s="6">
        <f>SUM(K4:K81)</f>
        <v/>
      </c>
      <c r="L82" s="6">
        <f>SUM(L4:L81)</f>
        <v/>
      </c>
      <c r="M82" s="6">
        <f>SUM(M4:M81)</f>
        <v/>
      </c>
      <c r="N82" s="6">
        <f>SUM(N4:N81)</f>
        <v/>
      </c>
      <c r="O82" s="6">
        <f>SUM(O4:O81)</f>
        <v/>
      </c>
      <c r="P82" s="6">
        <f>SUM(P4:P81)</f>
        <v/>
      </c>
      <c r="Q82" s="6">
        <f>SUM(Q4:Q81)</f>
        <v/>
      </c>
      <c r="R82" s="6">
        <f>SUM(R4:R81)</f>
        <v/>
      </c>
    </row>
  </sheetData>
  <autoFilter ref="A3:R81"/>
  <mergeCells count="2">
    <mergeCell ref="A2:R2"/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0" customWidth="1" min="3" max="3"/>
    <col width="18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16" customWidth="1" min="14" max="14"/>
  </cols>
  <sheetData>
    <row r="1" ht="20" customHeight="1">
      <c r="A1" s="1" t="inlineStr">
        <is>
          <t>SUMMARY — outstanding containers grouped by Pickup depot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Group</t>
        </is>
      </c>
      <c r="B2" s="3" t="inlineStr">
        <is>
          <t>Pickup</t>
        </is>
      </c>
      <c r="C2" s="3" t="inlineStr">
        <is>
          <t>Pickup Name</t>
        </is>
      </c>
      <c r="D2" s="3" t="inlineStr">
        <is>
          <t>Number of Records</t>
        </is>
      </c>
      <c r="E2" s="3" t="inlineStr">
        <is>
          <t>GP22</t>
        </is>
      </c>
      <c r="F2" s="3" t="inlineStr">
        <is>
          <t>GP42</t>
        </is>
      </c>
      <c r="G2" s="3" t="inlineStr">
        <is>
          <t>GP45</t>
        </is>
      </c>
      <c r="H2" s="3" t="inlineStr">
        <is>
          <t>RE22</t>
        </is>
      </c>
      <c r="I2" s="3" t="inlineStr">
        <is>
          <t>RE45</t>
        </is>
      </c>
      <c r="J2" s="3" t="inlineStr">
        <is>
          <t>UT22</t>
        </is>
      </c>
      <c r="K2" s="3" t="inlineStr">
        <is>
          <t>UT42</t>
        </is>
      </c>
      <c r="L2" s="3" t="inlineStr">
        <is>
          <t>PC22</t>
        </is>
      </c>
      <c r="M2" s="3" t="inlineStr">
        <is>
          <t>PC42</t>
        </is>
      </c>
      <c r="N2" s="3" t="inlineStr">
        <is>
          <t>Total Containers</t>
        </is>
      </c>
    </row>
    <row r="3">
      <c r="A3" s="4" t="inlineStr">
        <is>
          <t>BKK</t>
        </is>
      </c>
      <c r="B3" s="4" t="inlineStr">
        <is>
          <t>BKK01+BKK04</t>
        </is>
      </c>
      <c r="C3" s="4" t="inlineStr">
        <is>
          <t>PAT TERMINAL 1 &amp; 2 (PORT AUTHORITY OF THAILAND)</t>
        </is>
      </c>
      <c r="D3" s="7">
        <f>COUNTIF(Data!$I:$I,"BKK01")+COUNTIF(Data!$I:$I,"BKK04")</f>
        <v/>
      </c>
      <c r="E3" s="7">
        <f>SUMIF(Data!$I:$I,"BKK01",Data!$AD:$AD)+SUMIF(Data!$I:$I,"BKK04",Data!$AD:$AD)</f>
        <v/>
      </c>
      <c r="F3" s="7">
        <f>SUMIF(Data!$I:$I,"BKK01",Data!$AE:$AE)+SUMIF(Data!$I:$I,"BKK04",Data!$AE:$AE)</f>
        <v/>
      </c>
      <c r="G3" s="7">
        <f>SUMIF(Data!$I:$I,"BKK01",Data!$AF:$AF)+SUMIF(Data!$I:$I,"BKK04",Data!$AF:$AF)</f>
        <v/>
      </c>
      <c r="H3" s="7">
        <f>SUMIF(Data!$I:$I,"BKK01",Data!$AG:$AG)+SUMIF(Data!$I:$I,"BKK04",Data!$AG:$AG)</f>
        <v/>
      </c>
      <c r="I3" s="7">
        <f>SUMIF(Data!$I:$I,"BKK01",Data!$AH:$AH)+SUMIF(Data!$I:$I,"BKK04",Data!$AH:$AH)</f>
        <v/>
      </c>
      <c r="J3" s="7">
        <f>SUMIF(Data!$I:$I,"BKK01",Data!$AI:$AI)+SUMIF(Data!$I:$I,"BKK04",Data!$AI:$AI)</f>
        <v/>
      </c>
      <c r="K3" s="7">
        <f>SUMIF(Data!$I:$I,"BKK01",Data!$AJ:$AJ)+SUMIF(Data!$I:$I,"BKK04",Data!$AJ:$AJ)</f>
        <v/>
      </c>
      <c r="L3" s="7">
        <f>SUMIF(Data!$I:$I,"BKK01",Data!$AK:$AK)+SUMIF(Data!$I:$I,"BKK04",Data!$AK:$AK)</f>
        <v/>
      </c>
      <c r="M3" s="7">
        <f>SUMIF(Data!$I:$I,"BKK01",Data!$AL:$AL)+SUMIF(Data!$I:$I,"BKK04",Data!$AL:$AL)</f>
        <v/>
      </c>
      <c r="N3" s="7">
        <f>SUM(E3:M3)</f>
        <v/>
      </c>
    </row>
    <row r="4">
      <c r="A4" s="4" t="inlineStr">
        <is>
          <t>BKK</t>
        </is>
      </c>
      <c r="B4" s="4" t="inlineStr">
        <is>
          <t>BKK25</t>
        </is>
      </c>
      <c r="C4" s="4" t="inlineStr">
        <is>
          <t>Smart Logistics Service (Thailand ) Co.,Ltd.</t>
        </is>
      </c>
      <c r="D4" s="7">
        <f>COUNTIF(Data!$I:$I,"BKK25")</f>
        <v/>
      </c>
      <c r="E4" s="7">
        <f>SUMIF(Data!$I:$I,"BKK25",Data!$AD:$AD)</f>
        <v/>
      </c>
      <c r="F4" s="7">
        <f>SUMIF(Data!$I:$I,"BKK25",Data!$AE:$AE)</f>
        <v/>
      </c>
      <c r="G4" s="7">
        <f>SUMIF(Data!$I:$I,"BKK25",Data!$AF:$AF)</f>
        <v/>
      </c>
      <c r="H4" s="7">
        <f>SUMIF(Data!$I:$I,"BKK25",Data!$AG:$AG)</f>
        <v/>
      </c>
      <c r="I4" s="7">
        <f>SUMIF(Data!$I:$I,"BKK25",Data!$AH:$AH)</f>
        <v/>
      </c>
      <c r="J4" s="7">
        <f>SUMIF(Data!$I:$I,"BKK25",Data!$AI:$AI)</f>
        <v/>
      </c>
      <c r="K4" s="7">
        <f>SUMIF(Data!$I:$I,"BKK25",Data!$AJ:$AJ)</f>
        <v/>
      </c>
      <c r="L4" s="7">
        <f>SUMIF(Data!$I:$I,"BKK25",Data!$AK:$AK)</f>
        <v/>
      </c>
      <c r="M4" s="7">
        <f>SUMIF(Data!$I:$I,"BKK25",Data!$AL:$AL)</f>
        <v/>
      </c>
      <c r="N4" s="7">
        <f>SUM(E4:M4)</f>
        <v/>
      </c>
    </row>
    <row r="5">
      <c r="A5" s="4" t="inlineStr">
        <is>
          <t>BKK</t>
        </is>
      </c>
      <c r="B5" s="4" t="inlineStr">
        <is>
          <t>BKK27</t>
        </is>
      </c>
      <c r="C5" s="4" t="inlineStr">
        <is>
          <t>B.C. DEPOT CO.,LTD. ( Bang-Na KM.18)</t>
        </is>
      </c>
      <c r="D5" s="7">
        <f>COUNTIF(Data!$I:$I,"BKK27")</f>
        <v/>
      </c>
      <c r="E5" s="7">
        <f>SUMIF(Data!$I:$I,"BKK27",Data!$AD:$AD)</f>
        <v/>
      </c>
      <c r="F5" s="7">
        <f>SUMIF(Data!$I:$I,"BKK27",Data!$AE:$AE)</f>
        <v/>
      </c>
      <c r="G5" s="7">
        <f>SUMIF(Data!$I:$I,"BKK27",Data!$AF:$AF)</f>
        <v/>
      </c>
      <c r="H5" s="7">
        <f>SUMIF(Data!$I:$I,"BKK27",Data!$AG:$AG)</f>
        <v/>
      </c>
      <c r="I5" s="7">
        <f>SUMIF(Data!$I:$I,"BKK27",Data!$AH:$AH)</f>
        <v/>
      </c>
      <c r="J5" s="7">
        <f>SUMIF(Data!$I:$I,"BKK27",Data!$AI:$AI)</f>
        <v/>
      </c>
      <c r="K5" s="7">
        <f>SUMIF(Data!$I:$I,"BKK27",Data!$AJ:$AJ)</f>
        <v/>
      </c>
      <c r="L5" s="7">
        <f>SUMIF(Data!$I:$I,"BKK27",Data!$AK:$AK)</f>
        <v/>
      </c>
      <c r="M5" s="7">
        <f>SUMIF(Data!$I:$I,"BKK27",Data!$AL:$AL)</f>
        <v/>
      </c>
      <c r="N5" s="7">
        <f>SUM(E5:M5)</f>
        <v/>
      </c>
    </row>
    <row r="6">
      <c r="A6" s="4" t="inlineStr">
        <is>
          <t>LCH</t>
        </is>
      </c>
      <c r="B6" s="4" t="inlineStr">
        <is>
          <t>LCH27</t>
        </is>
      </c>
      <c r="C6" s="4" t="inlineStr">
        <is>
          <t>HAST Logistics Co.,Ltd.</t>
        </is>
      </c>
      <c r="D6" s="7">
        <f>COUNTIF(Data!$I:$I,"LCH27")</f>
        <v/>
      </c>
      <c r="E6" s="7">
        <f>SUMIF(Data!$I:$I,"LCH27",Data!$AD:$AD)</f>
        <v/>
      </c>
      <c r="F6" s="7">
        <f>SUMIF(Data!$I:$I,"LCH27",Data!$AE:$AE)</f>
        <v/>
      </c>
      <c r="G6" s="7">
        <f>SUMIF(Data!$I:$I,"LCH27",Data!$AF:$AF)</f>
        <v/>
      </c>
      <c r="H6" s="7">
        <f>SUMIF(Data!$I:$I,"LCH27",Data!$AG:$AG)</f>
        <v/>
      </c>
      <c r="I6" s="7">
        <f>SUMIF(Data!$I:$I,"LCH27",Data!$AH:$AH)</f>
        <v/>
      </c>
      <c r="J6" s="7">
        <f>SUMIF(Data!$I:$I,"LCH27",Data!$AI:$AI)</f>
        <v/>
      </c>
      <c r="K6" s="7">
        <f>SUMIF(Data!$I:$I,"LCH27",Data!$AJ:$AJ)</f>
        <v/>
      </c>
      <c r="L6" s="7">
        <f>SUMIF(Data!$I:$I,"LCH27",Data!$AK:$AK)</f>
        <v/>
      </c>
      <c r="M6" s="7">
        <f>SUMIF(Data!$I:$I,"LCH27",Data!$AL:$AL)</f>
        <v/>
      </c>
      <c r="N6" s="7">
        <f>SUM(E6:M6)</f>
        <v/>
      </c>
    </row>
    <row r="7">
      <c r="A7" s="4" t="inlineStr">
        <is>
          <t>LCH</t>
        </is>
      </c>
      <c r="B7" s="4" t="inlineStr">
        <is>
          <t>LCH28</t>
        </is>
      </c>
      <c r="C7" s="4" t="inlineStr">
        <is>
          <t>CELLO</t>
        </is>
      </c>
      <c r="D7" s="7">
        <f>COUNTIF(Data!$I:$I,"LCH28")</f>
        <v/>
      </c>
      <c r="E7" s="7">
        <f>SUMIF(Data!$I:$I,"LCH28",Data!$AD:$AD)</f>
        <v/>
      </c>
      <c r="F7" s="7">
        <f>SUMIF(Data!$I:$I,"LCH28",Data!$AE:$AE)</f>
        <v/>
      </c>
      <c r="G7" s="7">
        <f>SUMIF(Data!$I:$I,"LCH28",Data!$AF:$AF)</f>
        <v/>
      </c>
      <c r="H7" s="7">
        <f>SUMIF(Data!$I:$I,"LCH28",Data!$AG:$AG)</f>
        <v/>
      </c>
      <c r="I7" s="7">
        <f>SUMIF(Data!$I:$I,"LCH28",Data!$AH:$AH)</f>
        <v/>
      </c>
      <c r="J7" s="7">
        <f>SUMIF(Data!$I:$I,"LCH28",Data!$AI:$AI)</f>
        <v/>
      </c>
      <c r="K7" s="7">
        <f>SUMIF(Data!$I:$I,"LCH28",Data!$AJ:$AJ)</f>
        <v/>
      </c>
      <c r="L7" s="7">
        <f>SUMIF(Data!$I:$I,"LCH28",Data!$AK:$AK)</f>
        <v/>
      </c>
      <c r="M7" s="7">
        <f>SUMIF(Data!$I:$I,"LCH28",Data!$AL:$AL)</f>
        <v/>
      </c>
      <c r="N7" s="7">
        <f>SUM(E7:M7)</f>
        <v/>
      </c>
    </row>
    <row r="8">
      <c r="A8" s="4" t="inlineStr">
        <is>
          <t>LCH</t>
        </is>
      </c>
      <c r="B8" s="4" t="inlineStr">
        <is>
          <t>LCH54</t>
        </is>
      </c>
      <c r="C8" s="4" t="inlineStr">
        <is>
          <t>TIFFA LOGISTICS CENTER CO., LTD.</t>
        </is>
      </c>
      <c r="D8" s="7">
        <f>COUNTIF(Data!$I:$I,"LCH54")</f>
        <v/>
      </c>
      <c r="E8" s="7">
        <f>SUMIF(Data!$I:$I,"LCH54",Data!$AD:$AD)</f>
        <v/>
      </c>
      <c r="F8" s="7">
        <f>SUMIF(Data!$I:$I,"LCH54",Data!$AE:$AE)</f>
        <v/>
      </c>
      <c r="G8" s="7">
        <f>SUMIF(Data!$I:$I,"LCH54",Data!$AF:$AF)</f>
        <v/>
      </c>
      <c r="H8" s="7">
        <f>SUMIF(Data!$I:$I,"LCH54",Data!$AG:$AG)</f>
        <v/>
      </c>
      <c r="I8" s="7">
        <f>SUMIF(Data!$I:$I,"LCH54",Data!$AH:$AH)</f>
        <v/>
      </c>
      <c r="J8" s="7">
        <f>SUMIF(Data!$I:$I,"LCH54",Data!$AI:$AI)</f>
        <v/>
      </c>
      <c r="K8" s="7">
        <f>SUMIF(Data!$I:$I,"LCH54",Data!$AJ:$AJ)</f>
        <v/>
      </c>
      <c r="L8" s="7">
        <f>SUMIF(Data!$I:$I,"LCH54",Data!$AK:$AK)</f>
        <v/>
      </c>
      <c r="M8" s="7">
        <f>SUMIF(Data!$I:$I,"LCH54",Data!$AL:$AL)</f>
        <v/>
      </c>
      <c r="N8" s="7">
        <f>SUM(E8:M8)</f>
        <v/>
      </c>
    </row>
    <row r="9">
      <c r="A9" s="4" t="inlineStr">
        <is>
          <t>LCH</t>
        </is>
      </c>
      <c r="B9" s="4" t="inlineStr">
        <is>
          <t>LCHY5</t>
        </is>
      </c>
      <c r="C9" s="4" t="inlineStr">
        <is>
          <t>PW DEPOT CO., LTD.</t>
        </is>
      </c>
      <c r="D9" s="7">
        <f>COUNTIF(Data!$I:$I,"LCHY5")</f>
        <v/>
      </c>
      <c r="E9" s="7">
        <f>SUMIF(Data!$I:$I,"LCHY5",Data!$AD:$AD)</f>
        <v/>
      </c>
      <c r="F9" s="7">
        <f>SUMIF(Data!$I:$I,"LCHY5",Data!$AE:$AE)</f>
        <v/>
      </c>
      <c r="G9" s="7">
        <f>SUMIF(Data!$I:$I,"LCHY5",Data!$AF:$AF)</f>
        <v/>
      </c>
      <c r="H9" s="7">
        <f>SUMIF(Data!$I:$I,"LCHY5",Data!$AG:$AG)</f>
        <v/>
      </c>
      <c r="I9" s="7">
        <f>SUMIF(Data!$I:$I,"LCHY5",Data!$AH:$AH)</f>
        <v/>
      </c>
      <c r="J9" s="7">
        <f>SUMIF(Data!$I:$I,"LCHY5",Data!$AI:$AI)</f>
        <v/>
      </c>
      <c r="K9" s="7">
        <f>SUMIF(Data!$I:$I,"LCHY5",Data!$AJ:$AJ)</f>
        <v/>
      </c>
      <c r="L9" s="7">
        <f>SUMIF(Data!$I:$I,"LCHY5",Data!$AK:$AK)</f>
        <v/>
      </c>
      <c r="M9" s="7">
        <f>SUMIF(Data!$I:$I,"LCHY5",Data!$AL:$AL)</f>
        <v/>
      </c>
      <c r="N9" s="7">
        <f>SUM(E9:M9)</f>
        <v/>
      </c>
    </row>
    <row r="10">
      <c r="A10" s="6" t="inlineStr">
        <is>
          <t>TOTAL</t>
        </is>
      </c>
      <c r="B10" s="6" t="n"/>
      <c r="C10" s="6" t="n"/>
      <c r="D10" s="8">
        <f>SUM(D3:D9)</f>
        <v/>
      </c>
      <c r="E10" s="8">
        <f>SUM(E3:E9)</f>
        <v/>
      </c>
      <c r="F10" s="8">
        <f>SUM(F3:F9)</f>
        <v/>
      </c>
      <c r="G10" s="8">
        <f>SUM(G3:G9)</f>
        <v/>
      </c>
      <c r="H10" s="8">
        <f>SUM(H3:H9)</f>
        <v/>
      </c>
      <c r="I10" s="8">
        <f>SUM(I3:I9)</f>
        <v/>
      </c>
      <c r="J10" s="8">
        <f>SUM(J3:J9)</f>
        <v/>
      </c>
      <c r="K10" s="8">
        <f>SUM(K3:K9)</f>
        <v/>
      </c>
      <c r="L10" s="8">
        <f>SUM(L3:L9)</f>
        <v/>
      </c>
      <c r="M10" s="8">
        <f>SUM(M3:M9)</f>
        <v/>
      </c>
      <c r="N10" s="8">
        <f>SUM(N3:N9)</f>
        <v/>
      </c>
    </row>
    <row r="13">
      <c r="C13" s="9" t="inlineStr">
        <is>
          <t>Group</t>
        </is>
      </c>
      <c r="D13" s="9" t="inlineStr">
        <is>
          <t>Number of Records</t>
        </is>
      </c>
      <c r="E13" s="9" t="inlineStr">
        <is>
          <t>GP22</t>
        </is>
      </c>
      <c r="F13" s="9" t="inlineStr">
        <is>
          <t>GP42</t>
        </is>
      </c>
      <c r="G13" s="9" t="inlineStr">
        <is>
          <t>GP45</t>
        </is>
      </c>
      <c r="H13" s="9" t="inlineStr">
        <is>
          <t>RE22</t>
        </is>
      </c>
      <c r="I13" s="9" t="inlineStr">
        <is>
          <t>RE45</t>
        </is>
      </c>
      <c r="J13" s="9" t="inlineStr">
        <is>
          <t>UT22</t>
        </is>
      </c>
      <c r="K13" s="9" t="inlineStr">
        <is>
          <t>UT42</t>
        </is>
      </c>
      <c r="L13" s="9" t="inlineStr">
        <is>
          <t>PC22</t>
        </is>
      </c>
      <c r="M13" s="9" t="inlineStr">
        <is>
          <t>PC42</t>
        </is>
      </c>
      <c r="N13" s="9" t="inlineStr">
        <is>
          <t>Total Containers</t>
        </is>
      </c>
    </row>
    <row r="14">
      <c r="C14" s="9" t="inlineStr">
        <is>
          <t>BKK</t>
        </is>
      </c>
      <c r="D14" s="10">
        <f>COUNTIF(Data!$AC:$AC,"BKK")</f>
        <v/>
      </c>
      <c r="E14" s="10">
        <f>SUMIF(Data!$AC:$AC,"BKK",Data!$AD:$AD)</f>
        <v/>
      </c>
      <c r="F14" s="10">
        <f>SUMIF(Data!$AC:$AC,"BKK",Data!$AE:$AE)</f>
        <v/>
      </c>
      <c r="G14" s="10">
        <f>SUMIF(Data!$AC:$AC,"BKK",Data!$AF:$AF)</f>
        <v/>
      </c>
      <c r="H14" s="10">
        <f>SUMIF(Data!$AC:$AC,"BKK",Data!$AG:$AG)</f>
        <v/>
      </c>
      <c r="I14" s="10">
        <f>SUMIF(Data!$AC:$AC,"BKK",Data!$AH:$AH)</f>
        <v/>
      </c>
      <c r="J14" s="10">
        <f>SUMIF(Data!$AC:$AC,"BKK",Data!$AI:$AI)</f>
        <v/>
      </c>
      <c r="K14" s="10">
        <f>SUMIF(Data!$AC:$AC,"BKK",Data!$AJ:$AJ)</f>
        <v/>
      </c>
      <c r="L14" s="10">
        <f>SUMIF(Data!$AC:$AC,"BKK",Data!$AK:$AK)</f>
        <v/>
      </c>
      <c r="M14" s="10">
        <f>SUMIF(Data!$AC:$AC,"BKK",Data!$AL:$AL)</f>
        <v/>
      </c>
      <c r="N14" s="10">
        <f>SUM(E14:M14)</f>
        <v/>
      </c>
    </row>
    <row r="15">
      <c r="C15" s="9" t="inlineStr">
        <is>
          <t>LCH</t>
        </is>
      </c>
      <c r="D15" s="10">
        <f>COUNTIF(Data!$AC:$AC,"LCH")</f>
        <v/>
      </c>
      <c r="E15" s="10">
        <f>SUMIF(Data!$AC:$AC,"LCH",Data!$AD:$AD)</f>
        <v/>
      </c>
      <c r="F15" s="10">
        <f>SUMIF(Data!$AC:$AC,"LCH",Data!$AE:$AE)</f>
        <v/>
      </c>
      <c r="G15" s="10">
        <f>SUMIF(Data!$AC:$AC,"LCH",Data!$AF:$AF)</f>
        <v/>
      </c>
      <c r="H15" s="10">
        <f>SUMIF(Data!$AC:$AC,"LCH",Data!$AG:$AG)</f>
        <v/>
      </c>
      <c r="I15" s="10">
        <f>SUMIF(Data!$AC:$AC,"LCH",Data!$AH:$AH)</f>
        <v/>
      </c>
      <c r="J15" s="10">
        <f>SUMIF(Data!$AC:$AC,"LCH",Data!$AI:$AI)</f>
        <v/>
      </c>
      <c r="K15" s="10">
        <f>SUMIF(Data!$AC:$AC,"LCH",Data!$AJ:$AJ)</f>
        <v/>
      </c>
      <c r="L15" s="10">
        <f>SUMIF(Data!$AC:$AC,"LCH",Data!$AK:$AK)</f>
        <v/>
      </c>
      <c r="M15" s="10">
        <f>SUMIF(Data!$AC:$AC,"LCH",Data!$AL:$AL)</f>
        <v/>
      </c>
      <c r="N15" s="10">
        <f>SUM(E15:M15)</f>
        <v/>
      </c>
    </row>
    <row r="16">
      <c r="C16" s="6" t="inlineStr">
        <is>
          <t>GRAND TOTAL</t>
        </is>
      </c>
      <c r="D16" s="8">
        <f>SUM(D14:D15)</f>
        <v/>
      </c>
      <c r="E16" s="8">
        <f>SUM(E14:E15)</f>
        <v/>
      </c>
      <c r="F16" s="8">
        <f>SUM(F14:F15)</f>
        <v/>
      </c>
      <c r="G16" s="8">
        <f>SUM(G14:G15)</f>
        <v/>
      </c>
      <c r="H16" s="8">
        <f>SUM(H14:H15)</f>
        <v/>
      </c>
      <c r="I16" s="8">
        <f>SUM(I14:I15)</f>
        <v/>
      </c>
      <c r="J16" s="8">
        <f>SUM(J14:J15)</f>
        <v/>
      </c>
      <c r="K16" s="8">
        <f>SUM(K14:K15)</f>
        <v/>
      </c>
      <c r="L16" s="8">
        <f>SUM(L14:L15)</f>
        <v/>
      </c>
      <c r="M16" s="8">
        <f>SUM(M14:M15)</f>
        <v/>
      </c>
      <c r="N16" s="8">
        <f>SUM(N14:N15)</f>
        <v/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2026-10-22T12:16:37Z</dcterms:created>
  <dcterms:modified xmlns:dcterms="http://purl.org/dc/terms/" xmlns:xsi="http://www.w3.org/2001/XMLSchema-instance" xsi:type="dcterms:W3CDTF">2026-10-22T12:16:37Z</dcterms:modified>
</cp:coreProperties>
</file>