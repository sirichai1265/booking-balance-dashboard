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'Data'!$A$2:$AL$1040</definedName>
    <definedName name="_xlnm._FilterDatabase" localSheetId="1" hidden="1">'Balance Summary'!$A$3:$R$1041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0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9-29-PENDING.xls + 9-29-BKG-3WK.xls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HASLS22260601488</t>
        </is>
      </c>
      <c r="B3" s="4" t="inlineStr">
        <is>
          <t>KUS</t>
        </is>
      </c>
      <c r="C3" s="4" t="inlineStr">
        <is>
          <t>2616N</t>
        </is>
      </c>
      <c r="D3" s="4" t="inlineStr">
        <is>
          <t>202610141100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20'x1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20261008</t>
        </is>
      </c>
      <c r="L3" s="4" t="inlineStr">
        <is>
          <t>BILLION LOGISTICS CO., LTD.</t>
        </is>
      </c>
      <c r="M3" s="4" t="inlineStr">
        <is>
          <t>NEWLY WEDS FOODS (THAILAND) LIMITED</t>
        </is>
      </c>
      <c r="N3" s="4" t="inlineStr">
        <is>
          <t>FOODSTUFF</t>
        </is>
      </c>
      <c r="O3" s="4" t="inlineStr">
        <is>
          <t>REQUEST FOOD GRADE CTNR // GOOD AND CLEAN CTNR NO BAD NO SMELL**</t>
        </is>
      </c>
      <c r="P3" s="4" t="inlineStr">
        <is>
          <t>Pickup : 2026-10-08, Return : 2026-10-09</t>
        </is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HASLS22260700838</t>
        </is>
      </c>
      <c r="B4" s="4" t="inlineStr">
        <is>
          <t>KMBK</t>
        </is>
      </c>
      <c r="C4" s="4" t="inlineStr">
        <is>
          <t>2611N</t>
        </is>
      </c>
      <c r="D4" s="4" t="inlineStr">
        <is>
          <t>202610030900</t>
        </is>
      </c>
      <c r="E4" s="4" t="inlineStr"/>
      <c r="F4" s="4" t="inlineStr">
        <is>
          <t>THBKK</t>
        </is>
      </c>
      <c r="G4" s="4" t="inlineStr">
        <is>
          <t>KRPUS</t>
        </is>
      </c>
      <c r="H4" s="4" t="inlineStr">
        <is>
          <t xml:space="preserve">40Hx4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20260928</t>
        </is>
      </c>
      <c r="L4" s="4" t="inlineStr">
        <is>
          <t>HARPERS SEA FREIGHT CO., LTD.</t>
        </is>
      </c>
      <c r="M4" s="4" t="inlineStr">
        <is>
          <t>THAI ASAHI CO., LTD.</t>
        </is>
      </c>
      <c r="N4" s="4" t="inlineStr">
        <is>
          <t xml:space="preserve">POTATO STARCH </t>
        </is>
      </c>
      <c r="O4" s="4" t="inlineStr">
        <is>
          <t>Grade A and food grade container</t>
        </is>
      </c>
      <c r="P4" s="4" t="inlineStr">
        <is>
          <t xml:space="preserve">Pickup : 2026-09-28, Return : 2026-09-29 </t>
        </is>
      </c>
      <c r="Q4" s="4" t="n">
        <v>0</v>
      </c>
      <c r="R4" s="4" t="n">
        <v>0</v>
      </c>
      <c r="S4" s="4" t="n">
        <v>4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3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HASLS22260700857</t>
        </is>
      </c>
      <c r="B5" s="4" t="inlineStr">
        <is>
          <t>KMBK</t>
        </is>
      </c>
      <c r="C5" s="4" t="inlineStr">
        <is>
          <t>2611N</t>
        </is>
      </c>
      <c r="D5" s="4" t="inlineStr">
        <is>
          <t>202610030900</t>
        </is>
      </c>
      <c r="E5" s="4" t="inlineStr"/>
      <c r="F5" s="4" t="inlineStr">
        <is>
          <t>THBKK</t>
        </is>
      </c>
      <c r="G5" s="4" t="inlineStr">
        <is>
          <t>VNSGN</t>
        </is>
      </c>
      <c r="H5" s="4" t="inlineStr">
        <is>
          <t xml:space="preserve">40Hx1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20261001</t>
        </is>
      </c>
      <c r="L5" s="4" t="inlineStr">
        <is>
          <t>PACIFIC STAR ALLIANCE CO., LTD.</t>
        </is>
      </c>
      <c r="M5" s="4" t="inlineStr">
        <is>
          <t>WIN CHANCE INDUSTRIES CO.,LTD.</t>
        </is>
      </c>
      <c r="N5" s="4" t="inlineStr">
        <is>
          <t>SAUCE</t>
        </is>
      </c>
      <c r="O5" s="4" t="inlineStr">
        <is>
          <t>REQUEST GOOD &amp; CLEAN CONTAINER</t>
        </is>
      </c>
      <c r="P5" s="4" t="inlineStr">
        <is>
          <t>Pickup : 2026-10-01, Return : 2026-10-01</t>
        </is>
      </c>
      <c r="Q5" s="4" t="n">
        <v>0</v>
      </c>
      <c r="R5" s="4" t="n">
        <v>0</v>
      </c>
      <c r="S5" s="4" t="n">
        <v>1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HASLS22260701285</t>
        </is>
      </c>
      <c r="B6" s="4" t="inlineStr">
        <is>
          <t>SWIC</t>
        </is>
      </c>
      <c r="C6" s="4" t="inlineStr">
        <is>
          <t>2611N</t>
        </is>
      </c>
      <c r="D6" s="4" t="inlineStr">
        <is>
          <t>202610130700</t>
        </is>
      </c>
      <c r="E6" s="4" t="inlineStr"/>
      <c r="F6" s="4" t="inlineStr">
        <is>
          <t>THBKK</t>
        </is>
      </c>
      <c r="G6" s="4" t="inlineStr">
        <is>
          <t>VNSGN</t>
        </is>
      </c>
      <c r="H6" s="4" t="inlineStr">
        <is>
          <t xml:space="preserve">20'x1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20261005</t>
        </is>
      </c>
      <c r="L6" s="4" t="inlineStr">
        <is>
          <t>CNTRANS EXPRESS CO., LTD.</t>
        </is>
      </c>
      <c r="M6" s="4" t="inlineStr">
        <is>
          <t>SINGHA WORLDWIDE INTERNATIONAL CO., LTD.</t>
        </is>
      </c>
      <c r="N6" s="4" t="inlineStr">
        <is>
          <t>LEMON SODA</t>
        </is>
      </c>
      <c r="O6" s="4" t="inlineStr">
        <is>
          <t>please put the container on the bottom of the vessel. Please pay careful attention to lift on/lift off at CY</t>
        </is>
      </c>
      <c r="P6" s="4" t="inlineStr">
        <is>
          <t>Pickup : 2026-10-05, Return : 2026-10-06</t>
        </is>
      </c>
      <c r="Q6" s="4" t="n">
        <v>1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HASLS22260800662</t>
        </is>
      </c>
      <c r="B7" s="4" t="inlineStr">
        <is>
          <t>SWIC</t>
        </is>
      </c>
      <c r="C7" s="4" t="inlineStr">
        <is>
          <t>2611N</t>
        </is>
      </c>
      <c r="D7" s="4" t="inlineStr">
        <is>
          <t>202610130700</t>
        </is>
      </c>
      <c r="E7" s="4" t="inlineStr"/>
      <c r="F7" s="4" t="inlineStr">
        <is>
          <t>THBKK</t>
        </is>
      </c>
      <c r="G7" s="4" t="inlineStr">
        <is>
          <t>VNSGN</t>
        </is>
      </c>
      <c r="H7" s="4" t="inlineStr">
        <is>
          <t xml:space="preserve">40Hx1 20'x3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20261008</t>
        </is>
      </c>
      <c r="L7" s="4" t="inlineStr">
        <is>
          <t>NIMBLE LOGISTICS CO., LTD.</t>
        </is>
      </c>
      <c r="M7" s="4" t="inlineStr">
        <is>
          <t>METROPOLITAN PLASTIC INDUSTRY COMPANY LIMITED</t>
        </is>
      </c>
      <c r="N7" s="4" t="inlineStr">
        <is>
          <t>FLOORING</t>
        </is>
      </c>
      <c r="O7" s="4" t="inlineStr">
        <is>
          <t>GOOD AND CLEAN CONTAINER</t>
        </is>
      </c>
      <c r="P7" s="4" t="inlineStr">
        <is>
          <t>Pickup : 2026-10-08, Return : 2026-10-09</t>
        </is>
      </c>
      <c r="Q7" s="4" t="n">
        <v>3</v>
      </c>
      <c r="R7" s="4" t="n">
        <v>0</v>
      </c>
      <c r="S7" s="4" t="n">
        <v>1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HASLS22260800908</t>
        </is>
      </c>
      <c r="B8" s="4" t="inlineStr">
        <is>
          <t>KMGY</t>
        </is>
      </c>
      <c r="C8" s="4" t="inlineStr">
        <is>
          <t>2611N</t>
        </is>
      </c>
      <c r="D8" s="4" t="inlineStr">
        <is>
          <t>202610201000</t>
        </is>
      </c>
      <c r="E8" s="4" t="inlineStr"/>
      <c r="F8" s="4" t="inlineStr">
        <is>
          <t>THBKK</t>
        </is>
      </c>
      <c r="G8" s="4" t="inlineStr">
        <is>
          <t>CNXMN</t>
        </is>
      </c>
      <c r="H8" s="4" t="inlineStr">
        <is>
          <t xml:space="preserve">20'x2 </t>
        </is>
      </c>
      <c r="I8" s="4" t="inlineStr">
        <is>
          <t>BKK27</t>
        </is>
      </c>
      <c r="J8" s="4" t="inlineStr">
        <is>
          <t>B.C. DEPOT CO.,LTD. ( Bang-Na KM.18)</t>
        </is>
      </c>
      <c r="K8" s="4" t="inlineStr">
        <is>
          <t>20261009</t>
        </is>
      </c>
      <c r="L8" s="4" t="inlineStr">
        <is>
          <t>CSS LOGISTICS (THAILAND) CO., LTD.</t>
        </is>
      </c>
      <c r="M8" s="4" t="inlineStr">
        <is>
          <t>NORITAKE SCG PLASTER CO., LTD.</t>
        </is>
      </c>
      <c r="N8" s="4" t="inlineStr">
        <is>
          <t>PLASTER</t>
        </is>
      </c>
      <c r="O8" s="4" t="inlineStr">
        <is>
          <t>Floor condition: Clean, dry, free from rust, odor, oil, or chemical residue.
Other condition: No holes, cracks, or damage to walls, floor, or ceiling</t>
        </is>
      </c>
      <c r="P8" s="4" t="inlineStr">
        <is>
          <t xml:space="preserve">Pickup : 2026-10-09, Return : 2026-10-09 (1ST RTN 10/10 W/ORENT) 
 </t>
        </is>
      </c>
      <c r="Q8" s="4" t="n">
        <v>2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HASLS22260801064</t>
        </is>
      </c>
      <c r="B9" s="4" t="inlineStr">
        <is>
          <t>KUS</t>
        </is>
      </c>
      <c r="C9" s="4" t="inlineStr">
        <is>
          <t>2616N</t>
        </is>
      </c>
      <c r="D9" s="4" t="inlineStr">
        <is>
          <t>202610141100</t>
        </is>
      </c>
      <c r="E9" s="4" t="inlineStr"/>
      <c r="F9" s="4" t="inlineStr">
        <is>
          <t>THBKK</t>
        </is>
      </c>
      <c r="G9" s="4" t="inlineStr">
        <is>
          <t>KRINC</t>
        </is>
      </c>
      <c r="H9" s="4" t="inlineStr">
        <is>
          <t xml:space="preserve">20'x5 </t>
        </is>
      </c>
      <c r="I9" s="4" t="inlineStr">
        <is>
          <t>BKK27</t>
        </is>
      </c>
      <c r="J9" s="4" t="inlineStr">
        <is>
          <t>B.C. DEPOT CO.,LTD. ( Bang-Na KM.18)</t>
        </is>
      </c>
      <c r="K9" s="4" t="inlineStr">
        <is>
          <t>20261003</t>
        </is>
      </c>
      <c r="L9" s="4" t="inlineStr">
        <is>
          <t>KORCHINA FREIGHT (THAILAND) CO., LTD.</t>
        </is>
      </c>
      <c r="M9" s="4" t="inlineStr">
        <is>
          <t>RIVER KWAI INTERNATIONAL FOOD INDUSTRY CO., LTD.</t>
        </is>
      </c>
      <c r="N9" s="4" t="inlineStr">
        <is>
          <t>CANNED KERNEL CORN</t>
        </is>
      </c>
      <c r="O9" s="4" t="inlineStr">
        <is>
          <t>GOOD AND CLEAN CONTAINER</t>
        </is>
      </c>
      <c r="P9" s="4" t="inlineStr">
        <is>
          <t>Pickup : 2026-10-03, Return : 2026-10-06</t>
        </is>
      </c>
      <c r="Q9" s="4" t="n">
        <v>5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HASLS22260801065</t>
        </is>
      </c>
      <c r="B10" s="4" t="inlineStr">
        <is>
          <t>SWBT</t>
        </is>
      </c>
      <c r="C10" s="4" t="inlineStr">
        <is>
          <t>2616N</t>
        </is>
      </c>
      <c r="D10" s="4" t="inlineStr">
        <is>
          <t>202610130600</t>
        </is>
      </c>
      <c r="E10" s="4" t="inlineStr"/>
      <c r="F10" s="4" t="inlineStr">
        <is>
          <t>THBKK</t>
        </is>
      </c>
      <c r="G10" s="4" t="inlineStr">
        <is>
          <t>KRINC</t>
        </is>
      </c>
      <c r="H10" s="4" t="inlineStr">
        <is>
          <t xml:space="preserve">20'x5 </t>
        </is>
      </c>
      <c r="I10" s="4" t="inlineStr">
        <is>
          <t>BKK27</t>
        </is>
      </c>
      <c r="J10" s="4" t="inlineStr">
        <is>
          <t>B.C. DEPOT CO.,LTD. ( Bang-Na KM.18)</t>
        </is>
      </c>
      <c r="K10" s="4" t="inlineStr">
        <is>
          <t>20261005</t>
        </is>
      </c>
      <c r="L10" s="4" t="inlineStr">
        <is>
          <t>KORCHINA FREIGHT (THAILAND) CO., LTD.</t>
        </is>
      </c>
      <c r="M10" s="4" t="inlineStr">
        <is>
          <t>RIVER KWAI INTERNATIONAL FOOD INDUSTRY CO., LTD.</t>
        </is>
      </c>
      <c r="N10" s="4" t="inlineStr">
        <is>
          <t>CANNED KERNEL CORN</t>
        </is>
      </c>
      <c r="O10" s="4" t="inlineStr">
        <is>
          <t>GOOD AND CLEAN CONTAINER</t>
        </is>
      </c>
      <c r="P10" s="4" t="inlineStr">
        <is>
          <t>Pickup : 2026-10-05, Return : 2026-10-07</t>
        </is>
      </c>
      <c r="Q10" s="4" t="n">
        <v>5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HASLS22260801161</t>
        </is>
      </c>
      <c r="B11" s="4" t="inlineStr">
        <is>
          <t>SWIC</t>
        </is>
      </c>
      <c r="C11" s="4" t="inlineStr">
        <is>
          <t>2611N</t>
        </is>
      </c>
      <c r="D11" s="4" t="inlineStr">
        <is>
          <t>202610130700</t>
        </is>
      </c>
      <c r="E11" s="4" t="inlineStr"/>
      <c r="F11" s="4" t="inlineStr">
        <is>
          <t>THBKK</t>
        </is>
      </c>
      <c r="G11" s="4" t="inlineStr">
        <is>
          <t>JPKSM</t>
        </is>
      </c>
      <c r="H11" s="4" t="inlineStr">
        <is>
          <t xml:space="preserve">20'x13 </t>
        </is>
      </c>
      <c r="I11" s="4" t="inlineStr">
        <is>
          <t>BKK27</t>
        </is>
      </c>
      <c r="J11" s="4" t="inlineStr">
        <is>
          <t>B.C. DEPOT CO.,LTD. ( Bang-Na KM.18)</t>
        </is>
      </c>
      <c r="K11" s="4" t="inlineStr">
        <is>
          <t>20261009</t>
        </is>
      </c>
      <c r="L11" s="4" t="inlineStr">
        <is>
          <t>MEGALOAD DEVELOPMENT LOGISTICS CO., LTD.</t>
        </is>
      </c>
      <c r="M11" s="4" t="inlineStr">
        <is>
          <t>FISHMEAL MARKETING DEVELOPMENT CO., LTD.</t>
        </is>
      </c>
      <c r="N11" s="4" t="inlineStr">
        <is>
          <t>THAILAND STEAM DRIED FISHMEAL</t>
        </is>
      </c>
      <c r="O11" s="4" t="inlineStr">
        <is>
          <t>** APPROVED BY H.W KANG DD.18/08/2026 ** DG22GPx13 (CLS 9 / UN 2216)</t>
        </is>
      </c>
      <c r="P11" s="4" t="inlineStr">
        <is>
          <t>[FIX]** APPROVED BY H.W KANG DD.18/08/2026 ** DG22GPx13 (CLS 9 / UN 2216)  
Pickup : 2026-10-09, Return : 2026-09-10 EXTEND  CLS TIME 11/1200HRS/FIRST DATE CAN RETURN CNTR DD.10/10</t>
        </is>
      </c>
      <c r="Q11" s="4" t="n">
        <v>13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HASLS22260801164</t>
        </is>
      </c>
      <c r="B12" s="4" t="inlineStr">
        <is>
          <t>SWSP</t>
        </is>
      </c>
      <c r="C12" s="4" t="inlineStr">
        <is>
          <t>2609N</t>
        </is>
      </c>
      <c r="D12" s="4" t="inlineStr">
        <is>
          <t>202610071530</t>
        </is>
      </c>
      <c r="E12" s="4" t="inlineStr"/>
      <c r="F12" s="4" t="inlineStr">
        <is>
          <t>THBKK</t>
        </is>
      </c>
      <c r="G12" s="4" t="inlineStr">
        <is>
          <t>KRPTK</t>
        </is>
      </c>
      <c r="H12" s="4" t="inlineStr">
        <is>
          <t xml:space="preserve">40Hx3 </t>
        </is>
      </c>
      <c r="I12" s="4" t="inlineStr">
        <is>
          <t>BKK27</t>
        </is>
      </c>
      <c r="J12" s="4" t="inlineStr">
        <is>
          <t>B.C. DEPOT CO.,LTD. ( Bang-Na KM.18)</t>
        </is>
      </c>
      <c r="K12" s="4" t="inlineStr">
        <is>
          <t>20260930</t>
        </is>
      </c>
      <c r="L12" s="4" t="inlineStr">
        <is>
          <t>MAXTOP LOGISTICS (THAILAND) CO., LTD.</t>
        </is>
      </c>
      <c r="M12" s="4" t="inlineStr">
        <is>
          <t>FAD THAI LTD.,PART</t>
        </is>
      </c>
      <c r="N12" s="4" t="inlineStr">
        <is>
          <t>RICE HUSK ASH CARBON</t>
        </is>
      </c>
      <c r="O12" s="4" t="inlineStr">
        <is>
          <t>GOOD AND CLEAN CONTAINER</t>
        </is>
      </c>
      <c r="P12" s="4" t="inlineStr">
        <is>
          <t>Pickup : 2026-09-30, Return : 2026-10-01</t>
        </is>
      </c>
      <c r="Q12" s="4" t="n">
        <v>0</v>
      </c>
      <c r="R12" s="4" t="n">
        <v>0</v>
      </c>
      <c r="S12" s="4" t="n">
        <v>3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HASLS22260801364</t>
        </is>
      </c>
      <c r="B13" s="4" t="inlineStr">
        <is>
          <t>SWIC</t>
        </is>
      </c>
      <c r="C13" s="4" t="inlineStr">
        <is>
          <t>2611N</t>
        </is>
      </c>
      <c r="D13" s="4" t="inlineStr">
        <is>
          <t>202610130700</t>
        </is>
      </c>
      <c r="E13" s="4" t="inlineStr"/>
      <c r="F13" s="4" t="inlineStr">
        <is>
          <t>THBKK</t>
        </is>
      </c>
      <c r="G13" s="4" t="inlineStr">
        <is>
          <t>VNSGN</t>
        </is>
      </c>
      <c r="H13" s="4" t="inlineStr">
        <is>
          <t xml:space="preserve">20'x1 </t>
        </is>
      </c>
      <c r="I13" s="4" t="inlineStr">
        <is>
          <t>BKK27</t>
        </is>
      </c>
      <c r="J13" s="4" t="inlineStr">
        <is>
          <t>B.C. DEPOT CO.,LTD. ( Bang-Na KM.18)</t>
        </is>
      </c>
      <c r="K13" s="4" t="inlineStr">
        <is>
          <t>20261009</t>
        </is>
      </c>
      <c r="L13" s="4" t="inlineStr">
        <is>
          <t>ACCORD PILOT LOGISTICS (THAILAND) CO., LTD.</t>
        </is>
      </c>
      <c r="M13" s="4" t="inlineStr">
        <is>
          <t>CROWN FOOD PACKAGING (THAILAND) PUBLIC COMPANY LIMITED</t>
        </is>
      </c>
      <c r="N13" s="4" t="inlineStr">
        <is>
          <t>EMPTY CAN</t>
        </is>
      </c>
      <c r="O13" s="4" t="inlineStr">
        <is>
          <t>REQUEST CLEAN CONTAINER</t>
        </is>
      </c>
      <c r="P13" s="4" t="inlineStr">
        <is>
          <t xml:space="preserve">Pickup : 2026-10-09, Return : 2026-10-09 </t>
        </is>
      </c>
      <c r="Q13" s="4" t="n">
        <v>1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HASLS22260801401</t>
        </is>
      </c>
      <c r="B14" s="4" t="inlineStr">
        <is>
          <t>KMBK</t>
        </is>
      </c>
      <c r="C14" s="4" t="inlineStr">
        <is>
          <t>2611N</t>
        </is>
      </c>
      <c r="D14" s="4" t="inlineStr">
        <is>
          <t>202610030900</t>
        </is>
      </c>
      <c r="E14" s="4" t="inlineStr"/>
      <c r="F14" s="4" t="inlineStr">
        <is>
          <t>THBKK</t>
        </is>
      </c>
      <c r="G14" s="4" t="inlineStr">
        <is>
          <t>JPKIJ</t>
        </is>
      </c>
      <c r="H14" s="4" t="inlineStr">
        <is>
          <t xml:space="preserve">20'x6 </t>
        </is>
      </c>
      <c r="I14" s="4" t="inlineStr">
        <is>
          <t>BKK27</t>
        </is>
      </c>
      <c r="J14" s="4" t="inlineStr">
        <is>
          <t>B.C. DEPOT CO.,LTD. ( Bang-Na KM.18)</t>
        </is>
      </c>
      <c r="K14" s="4" t="inlineStr">
        <is>
          <t>20260928</t>
        </is>
      </c>
      <c r="L14" s="4" t="inlineStr">
        <is>
          <t>GENERAL FOOD PRODUCTS CO., LTD.</t>
        </is>
      </c>
      <c r="M14" s="4" t="inlineStr">
        <is>
          <t>GFM CO., LTD.</t>
        </is>
      </c>
      <c r="N14" s="4" t="inlineStr">
        <is>
          <t>FLOURS</t>
        </is>
      </c>
      <c r="O14" s="4" t="inlineStr">
        <is>
          <t>Container Grade A, Underdeck</t>
        </is>
      </c>
      <c r="P14" s="4" t="inlineStr">
        <is>
          <t xml:space="preserve">Pickup : 2026-09-28, Return : 2026-09-30 </t>
        </is>
      </c>
      <c r="Q14" s="4" t="n">
        <v>6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4</v>
      </c>
      <c r="AA14" s="4" t="n">
        <v>0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HASLS22260801426</t>
        </is>
      </c>
      <c r="B15" s="4" t="inlineStr">
        <is>
          <t>KXM</t>
        </is>
      </c>
      <c r="C15" s="4" t="inlineStr">
        <is>
          <t>2608S</t>
        </is>
      </c>
      <c r="D15" s="4" t="inlineStr">
        <is>
          <t>202610100500</t>
        </is>
      </c>
      <c r="E15" s="4" t="inlineStr">
        <is>
          <t>THLKR</t>
        </is>
      </c>
      <c r="F15" s="4" t="inlineStr">
        <is>
          <t>THLCH</t>
        </is>
      </c>
      <c r="G15" s="4" t="inlineStr">
        <is>
          <t>IDJKT</t>
        </is>
      </c>
      <c r="H15" s="4" t="inlineStr">
        <is>
          <t xml:space="preserve">20'x2 </t>
        </is>
      </c>
      <c r="I15" s="4" t="inlineStr">
        <is>
          <t>BKK27</t>
        </is>
      </c>
      <c r="J15" s="4" t="inlineStr">
        <is>
          <t>B.C. DEPOT CO.,LTD. ( Bang-Na KM.18)</t>
        </is>
      </c>
      <c r="K15" s="4" t="inlineStr">
        <is>
          <t>20261005</t>
        </is>
      </c>
      <c r="L15" s="4" t="inlineStr">
        <is>
          <t>SCGJWD LOGISTICS PUBLIC COMPANY LIMITED</t>
        </is>
      </c>
      <c r="M15" s="4" t="inlineStr">
        <is>
          <t>NORITAKE SCG PLASTER CO., LTD.</t>
        </is>
      </c>
      <c r="N15" s="4" t="inlineStr">
        <is>
          <t>MOULDING PLASTER</t>
        </is>
      </c>
      <c r="O15" s="4" t="inlineStr">
        <is>
          <t>good and clean cont., no oil, no rusty</t>
        </is>
      </c>
      <c r="P15" s="4" t="inlineStr">
        <is>
          <t>CY-RTN : 05-06/10/2026 Paperless Code 2835
Closing Time LKB 07/10/2026 @ 18.00  // REF : ** PT Indoporcelain **</t>
        </is>
      </c>
      <c r="Q15" s="4" t="n">
        <v>2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HASLS22260801526</t>
        </is>
      </c>
      <c r="B16" s="4" t="inlineStr">
        <is>
          <t>DJCF</t>
        </is>
      </c>
      <c r="C16" s="4" t="inlineStr">
        <is>
          <t>0152N</t>
        </is>
      </c>
      <c r="D16" s="4" t="inlineStr">
        <is>
          <t>202610111000</t>
        </is>
      </c>
      <c r="E16" s="4" t="inlineStr"/>
      <c r="F16" s="4" t="inlineStr">
        <is>
          <t>THBKK</t>
        </is>
      </c>
      <c r="G16" s="4" t="inlineStr">
        <is>
          <t>VNSGN</t>
        </is>
      </c>
      <c r="H16" s="4" t="inlineStr">
        <is>
          <t xml:space="preserve">40Hx1 </t>
        </is>
      </c>
      <c r="I16" s="4" t="inlineStr">
        <is>
          <t>BKK27</t>
        </is>
      </c>
      <c r="J16" s="4" t="inlineStr">
        <is>
          <t>B.C. DEPOT CO.,LTD. ( Bang-Na KM.18)</t>
        </is>
      </c>
      <c r="K16" s="4" t="inlineStr">
        <is>
          <t>20261007</t>
        </is>
      </c>
      <c r="L16" s="4" t="inlineStr">
        <is>
          <t>NIMBLE LOGISTICS CO., LTD.</t>
        </is>
      </c>
      <c r="M16" s="4" t="inlineStr">
        <is>
          <t>WELLGROW GLASS INDUSTRY CO., LTD.</t>
        </is>
      </c>
      <c r="N16" s="4" t="inlineStr">
        <is>
          <t>GLASS BOTTLE</t>
        </is>
      </c>
      <c r="O16" s="4" t="inlineStr">
        <is>
          <t>RQST CONTAINER 32.5 TONS.</t>
        </is>
      </c>
      <c r="P16" s="4" t="inlineStr">
        <is>
          <t>Pickup : 2026-10-07, Return : 2026-10-08</t>
        </is>
      </c>
      <c r="Q16" s="4" t="n">
        <v>0</v>
      </c>
      <c r="R16" s="4" t="n">
        <v>0</v>
      </c>
      <c r="S16" s="4" t="n">
        <v>1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HASLS22260801528</t>
        </is>
      </c>
      <c r="B17" s="4" t="inlineStr">
        <is>
          <t>SWDN</t>
        </is>
      </c>
      <c r="C17" s="4" t="inlineStr">
        <is>
          <t>2610N</t>
        </is>
      </c>
      <c r="D17" s="4" t="inlineStr">
        <is>
          <t>202610060900</t>
        </is>
      </c>
      <c r="E17" s="4" t="inlineStr"/>
      <c r="F17" s="4" t="inlineStr">
        <is>
          <t>THBKK</t>
        </is>
      </c>
      <c r="G17" s="4" t="inlineStr">
        <is>
          <t>CNXMN</t>
        </is>
      </c>
      <c r="H17" s="4" t="inlineStr">
        <is>
          <t xml:space="preserve">40Hx2 </t>
        </is>
      </c>
      <c r="I17" s="4" t="inlineStr">
        <is>
          <t>BKK27</t>
        </is>
      </c>
      <c r="J17" s="4" t="inlineStr">
        <is>
          <t>B.C. DEPOT CO.,LTD. ( Bang-Na KM.18)</t>
        </is>
      </c>
      <c r="K17" s="4" t="inlineStr">
        <is>
          <t>20261001</t>
        </is>
      </c>
      <c r="L17" s="4" t="inlineStr">
        <is>
          <t>ACCORD PILOT LOGISTICS (THAILAND) CO., LTD.</t>
        </is>
      </c>
      <c r="M17" s="4" t="inlineStr">
        <is>
          <t>SUKIJ TANNERY LTD., PART.</t>
        </is>
      </c>
      <c r="N17" s="4" t="inlineStr">
        <is>
          <t>WET BLUE PIG SKINS</t>
        </is>
      </c>
      <c r="O17" s="4" t="inlineStr">
        <is>
          <t>REQUEST GOOD &amp; CLEAN CONTAINER ( CONTAINER GRADE A+++)</t>
        </is>
      </c>
      <c r="P17" s="4" t="inlineStr">
        <is>
          <t>Pickup : 2026-10-01, Return : 2026-10-02 (1ST RTN DD: 02/10/26 WO/RENT)</t>
        </is>
      </c>
      <c r="Q17" s="4" t="n">
        <v>0</v>
      </c>
      <c r="R17" s="4" t="n">
        <v>0</v>
      </c>
      <c r="S17" s="4" t="n">
        <v>2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HASLS22260801722</t>
        </is>
      </c>
      <c r="B18" s="4" t="inlineStr">
        <is>
          <t>SWAT</t>
        </is>
      </c>
      <c r="C18" s="4" t="inlineStr">
        <is>
          <t>2610N</t>
        </is>
      </c>
      <c r="D18" s="4" t="inlineStr">
        <is>
          <t>202610071700</t>
        </is>
      </c>
      <c r="E18" s="4" t="inlineStr"/>
      <c r="F18" s="4" t="inlineStr">
        <is>
          <t>THBKK</t>
        </is>
      </c>
      <c r="G18" s="4" t="inlineStr">
        <is>
          <t>TWKEL</t>
        </is>
      </c>
      <c r="H18" s="4" t="inlineStr">
        <is>
          <t xml:space="preserve">40Hx1 </t>
        </is>
      </c>
      <c r="I18" s="4" t="inlineStr">
        <is>
          <t>BKK27</t>
        </is>
      </c>
      <c r="J18" s="4" t="inlineStr">
        <is>
          <t>B.C. DEPOT CO.,LTD. ( Bang-Na KM.18)</t>
        </is>
      </c>
      <c r="K18" s="4" t="inlineStr">
        <is>
          <t>20261002</t>
        </is>
      </c>
      <c r="L18" s="4" t="inlineStr">
        <is>
          <t>INDIGO LINE CO., LTD.</t>
        </is>
      </c>
      <c r="M18" s="4" t="inlineStr">
        <is>
          <t>CHANG YI TRADING CO.,L TD</t>
        </is>
      </c>
      <c r="N18" s="4" t="inlineStr">
        <is>
          <t>COCONUT MILK 2106.90.93</t>
        </is>
      </c>
      <c r="O18" s="4" t="inlineStr">
        <is>
          <t>REQUEST CONTAINER GOOD CONDITION FOR FOODSTUFF</t>
        </is>
      </c>
      <c r="P18" s="4" t="inlineStr">
        <is>
          <t>Pickup : 2026-10-02, Return : 2026-10-03</t>
        </is>
      </c>
      <c r="Q18" s="4" t="n">
        <v>0</v>
      </c>
      <c r="R18" s="4" t="n">
        <v>0</v>
      </c>
      <c r="S18" s="4" t="n">
        <v>1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HASLS22260801865</t>
        </is>
      </c>
      <c r="B19" s="4" t="inlineStr">
        <is>
          <t>SWSP</t>
        </is>
      </c>
      <c r="C19" s="4" t="inlineStr">
        <is>
          <t>2609N</t>
        </is>
      </c>
      <c r="D19" s="4" t="inlineStr">
        <is>
          <t>202610071530</t>
        </is>
      </c>
      <c r="E19" s="4" t="inlineStr"/>
      <c r="F19" s="4" t="inlineStr">
        <is>
          <t>THBKK</t>
        </is>
      </c>
      <c r="G19" s="4" t="inlineStr">
        <is>
          <t>JPSEN</t>
        </is>
      </c>
      <c r="H19" s="4" t="inlineStr">
        <is>
          <t xml:space="preserve">20'x10 </t>
        </is>
      </c>
      <c r="I19" s="4" t="inlineStr">
        <is>
          <t>BKK27</t>
        </is>
      </c>
      <c r="J19" s="4" t="inlineStr">
        <is>
          <t>B.C. DEPOT CO.,LTD. ( Bang-Na KM.18)</t>
        </is>
      </c>
      <c r="K19" s="4" t="inlineStr">
        <is>
          <t>20261003</t>
        </is>
      </c>
      <c r="L19" s="4" t="inlineStr">
        <is>
          <t>STARFISH CO., LTD.</t>
        </is>
      </c>
      <c r="M19" s="4" t="inlineStr">
        <is>
          <t>STARFISH CO., LTD.</t>
        </is>
      </c>
      <c r="N19" s="4" t="inlineStr">
        <is>
          <t>FISH MEAL</t>
        </is>
      </c>
      <c r="O19" s="4" t="inlineStr">
        <is>
          <t>GOOD AND CLEAN CONTAINER</t>
        </is>
      </c>
      <c r="P19" s="4" t="inlineStr">
        <is>
          <t>Pickup : 2026-10-03, Return : 2026-10-05</t>
        </is>
      </c>
      <c r="Q19" s="4" t="n">
        <v>10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HASLS22260801939</t>
        </is>
      </c>
      <c r="B20" s="4" t="inlineStr">
        <is>
          <t>DJCF</t>
        </is>
      </c>
      <c r="C20" s="4" t="inlineStr">
        <is>
          <t>0152N</t>
        </is>
      </c>
      <c r="D20" s="4" t="inlineStr">
        <is>
          <t>202610111000</t>
        </is>
      </c>
      <c r="E20" s="4" t="inlineStr"/>
      <c r="F20" s="4" t="inlineStr">
        <is>
          <t>THBKK</t>
        </is>
      </c>
      <c r="G20" s="4" t="inlineStr">
        <is>
          <t>VNSGN</t>
        </is>
      </c>
      <c r="H20" s="4" t="inlineStr">
        <is>
          <t xml:space="preserve">20'x2 </t>
        </is>
      </c>
      <c r="I20" s="4" t="inlineStr">
        <is>
          <t>BKK27</t>
        </is>
      </c>
      <c r="J20" s="4" t="inlineStr">
        <is>
          <t>B.C. DEPOT CO.,LTD. ( Bang-Na KM.18)</t>
        </is>
      </c>
      <c r="K20" s="4" t="inlineStr">
        <is>
          <t>20261007</t>
        </is>
      </c>
      <c r="L20" s="4" t="inlineStr">
        <is>
          <t>QUANTERM LOGISTICS (THAILAND) CO., LTD.</t>
        </is>
      </c>
      <c r="M20" s="4" t="inlineStr">
        <is>
          <t>THAI GYPSUM PRODUCTS PCL.</t>
        </is>
      </c>
      <c r="N20" s="4" t="inlineStr">
        <is>
          <t>GYPSUM PLASTER - 25202090</t>
        </is>
      </c>
      <c r="O20" s="4" t="inlineStr">
        <is>
          <t>RQST CONTAINER 30 TONS.</t>
        </is>
      </c>
      <c r="P20" s="4" t="inlineStr">
        <is>
          <t xml:space="preserve">Pickup : 2026-10-07, Return : 2026-10-08 </t>
        </is>
      </c>
      <c r="Q20" s="4" t="n">
        <v>2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HASLS22260802092</t>
        </is>
      </c>
      <c r="B21" s="4" t="inlineStr">
        <is>
          <t>SWAT</t>
        </is>
      </c>
      <c r="C21" s="4" t="inlineStr">
        <is>
          <t>2610N</t>
        </is>
      </c>
      <c r="D21" s="4" t="inlineStr">
        <is>
          <t>202610071700</t>
        </is>
      </c>
      <c r="E21" s="4" t="inlineStr"/>
      <c r="F21" s="4" t="inlineStr">
        <is>
          <t>THBKK</t>
        </is>
      </c>
      <c r="G21" s="4" t="inlineStr">
        <is>
          <t>CNSHK</t>
        </is>
      </c>
      <c r="H21" s="4" t="inlineStr">
        <is>
          <t xml:space="preserve">40Hx3 </t>
        </is>
      </c>
      <c r="I21" s="4" t="inlineStr">
        <is>
          <t>BKK27</t>
        </is>
      </c>
      <c r="J21" s="4" t="inlineStr">
        <is>
          <t>B.C. DEPOT CO.,LTD. ( Bang-Na KM.18)</t>
        </is>
      </c>
      <c r="K21" s="4" t="inlineStr">
        <is>
          <t>20261002</t>
        </is>
      </c>
      <c r="L21" s="4" t="inlineStr">
        <is>
          <t>CTI LOGISTICS CO., LTD.</t>
        </is>
      </c>
      <c r="M21" s="4" t="inlineStr">
        <is>
          <t>NMB-MINEBEA THAI LTD.</t>
        </is>
      </c>
      <c r="N21" s="4" t="inlineStr">
        <is>
          <t>BALL BEARING</t>
        </is>
      </c>
      <c r="O21" s="4" t="inlineStr">
        <is>
          <t>REQUEST CLEAN CONTAINER</t>
        </is>
      </c>
      <c r="P21" s="4" t="inlineStr">
        <is>
          <t>Pickup : 2026-10-02, Return : 2026-10-02</t>
        </is>
      </c>
      <c r="Q21" s="4" t="n">
        <v>0</v>
      </c>
      <c r="R21" s="4" t="n">
        <v>0</v>
      </c>
      <c r="S21" s="4" t="n">
        <v>3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HASLS22260802111</t>
        </is>
      </c>
      <c r="B22" s="4" t="inlineStr">
        <is>
          <t>KMBK</t>
        </is>
      </c>
      <c r="C22" s="4" t="inlineStr">
        <is>
          <t>2611N</t>
        </is>
      </c>
      <c r="D22" s="4" t="inlineStr">
        <is>
          <t>202610030900</t>
        </is>
      </c>
      <c r="E22" s="4" t="inlineStr"/>
      <c r="F22" s="4" t="inlineStr">
        <is>
          <t>THBKK</t>
        </is>
      </c>
      <c r="G22" s="4" t="inlineStr">
        <is>
          <t>VNSGN</t>
        </is>
      </c>
      <c r="H22" s="4" t="inlineStr">
        <is>
          <t xml:space="preserve">40Hx5 </t>
        </is>
      </c>
      <c r="I22" s="4" t="inlineStr">
        <is>
          <t>BKK27</t>
        </is>
      </c>
      <c r="J22" s="4" t="inlineStr">
        <is>
          <t>B.C. DEPOT CO.,LTD. ( Bang-Na KM.18)</t>
        </is>
      </c>
      <c r="K22" s="4" t="inlineStr">
        <is>
          <t>20260929</t>
        </is>
      </c>
      <c r="L22" s="4" t="inlineStr">
        <is>
          <t>CAPRICORN LOGISTICS CO., LTD.</t>
        </is>
      </c>
      <c r="M22" s="4" t="inlineStr">
        <is>
          <t>SWAN INDUSTRIES (THAILAND) LTD.</t>
        </is>
      </c>
      <c r="N22" s="4" t="inlineStr">
        <is>
          <t>EMPTY CAN (FOOD CAN)</t>
        </is>
      </c>
      <c r="O22" s="4" t="inlineStr">
        <is>
          <t>need clean &amp; no smell new container for food grade sine our product is food packaging.(Container FOOD GRADE :Meaning it needs to have never transport</t>
        </is>
      </c>
      <c r="P22" s="4" t="inlineStr">
        <is>
          <t>Pickup : 2026-09-29, Return : 2026-09-29 *CONTRACT NO. 323/ VN26/LQ SWAN (LOT.10)*</t>
        </is>
      </c>
      <c r="Q22" s="4" t="n">
        <v>0</v>
      </c>
      <c r="R22" s="4" t="n">
        <v>0</v>
      </c>
      <c r="S22" s="4" t="n">
        <v>5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HASLS22260802115</t>
        </is>
      </c>
      <c r="B23" s="4" t="inlineStr">
        <is>
          <t>KMBK</t>
        </is>
      </c>
      <c r="C23" s="4" t="inlineStr">
        <is>
          <t>2611N</t>
        </is>
      </c>
      <c r="D23" s="4" t="inlineStr">
        <is>
          <t>202610030900</t>
        </is>
      </c>
      <c r="E23" s="4" t="inlineStr"/>
      <c r="F23" s="4" t="inlineStr">
        <is>
          <t>THBKK</t>
        </is>
      </c>
      <c r="G23" s="4" t="inlineStr">
        <is>
          <t>VNSGN</t>
        </is>
      </c>
      <c r="H23" s="4" t="inlineStr">
        <is>
          <t xml:space="preserve">40Hx5 </t>
        </is>
      </c>
      <c r="I23" s="4" t="inlineStr">
        <is>
          <t>BKK27</t>
        </is>
      </c>
      <c r="J23" s="4" t="inlineStr">
        <is>
          <t>B.C. DEPOT CO.,LTD. ( Bang-Na KM.18)</t>
        </is>
      </c>
      <c r="K23" s="4" t="inlineStr">
        <is>
          <t>20260929</t>
        </is>
      </c>
      <c r="L23" s="4" t="inlineStr">
        <is>
          <t>CAPRICORN LOGISTICS CO., LTD.</t>
        </is>
      </c>
      <c r="M23" s="4" t="inlineStr">
        <is>
          <t>SWAN INDUSTRIES (THAILAND) LTD.</t>
        </is>
      </c>
      <c r="N23" s="4" t="inlineStr">
        <is>
          <t>EMPTY CAN (FOOD CAN)</t>
        </is>
      </c>
      <c r="O23" s="4" t="inlineStr">
        <is>
          <t>need clean &amp; no smell new container for food grade sine our product is food packaging.(Container FOOD GRADE :Meaning it needs to have never transport</t>
        </is>
      </c>
      <c r="P23" s="4" t="inlineStr">
        <is>
          <t>Pickup : 2026-09-29, Return : 2026-09-29 *CONTRACT NO. 324/ VN26/LQ SWAN (LOT.10)*</t>
        </is>
      </c>
      <c r="Q23" s="4" t="n">
        <v>0</v>
      </c>
      <c r="R23" s="4" t="n">
        <v>0</v>
      </c>
      <c r="S23" s="4" t="n">
        <v>5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HASLS22260802151</t>
        </is>
      </c>
      <c r="B24" s="4" t="inlineStr">
        <is>
          <t>SWSR</t>
        </is>
      </c>
      <c r="C24" s="4" t="inlineStr">
        <is>
          <t>2611N</t>
        </is>
      </c>
      <c r="D24" s="4" t="inlineStr">
        <is>
          <t>202610110900</t>
        </is>
      </c>
      <c r="E24" s="4" t="inlineStr"/>
      <c r="F24" s="4" t="inlineStr">
        <is>
          <t>THBKK</t>
        </is>
      </c>
      <c r="G24" s="4" t="inlineStr">
        <is>
          <t>HKHKG</t>
        </is>
      </c>
      <c r="H24" s="4" t="inlineStr">
        <is>
          <t xml:space="preserve">20'x1 </t>
        </is>
      </c>
      <c r="I24" s="4" t="inlineStr">
        <is>
          <t>BKK27</t>
        </is>
      </c>
      <c r="J24" s="4" t="inlineStr">
        <is>
          <t>B.C. DEPOT CO.,LTD. ( Bang-Na KM.18)</t>
        </is>
      </c>
      <c r="K24" s="4" t="inlineStr">
        <is>
          <t>20261006</t>
        </is>
      </c>
      <c r="L24" s="4" t="inlineStr">
        <is>
          <t>YUSEN LOGISTICS (THAILAND) CO., LTD.</t>
        </is>
      </c>
      <c r="M24" s="4" t="inlineStr">
        <is>
          <t>COSMOS BREWERY (THAILAND) CO.,LTD.</t>
        </is>
      </c>
      <c r="N24" s="4" t="inlineStr">
        <is>
          <t xml:space="preserve">CHANG SODA WATER </t>
        </is>
      </c>
      <c r="O24" s="4" t="inlineStr">
        <is>
          <t>RQST GOOD CLEAN AND DRY CONTAINER GRADE 'A' PLEASE DO NOT CHANGE VESSEL AND PAPERLESS CODE</t>
        </is>
      </c>
      <c r="P24" s="4" t="inlineStr">
        <is>
          <t>Pickup : 2026-10-06, Return : 2026-10-07</t>
        </is>
      </c>
      <c r="Q24" s="4" t="n">
        <v>1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HASLS22260802169</t>
        </is>
      </c>
      <c r="B25" s="4" t="inlineStr">
        <is>
          <t>SWDN</t>
        </is>
      </c>
      <c r="C25" s="4" t="inlineStr">
        <is>
          <t>2610N</t>
        </is>
      </c>
      <c r="D25" s="4" t="inlineStr">
        <is>
          <t>202610060900</t>
        </is>
      </c>
      <c r="E25" s="4" t="inlineStr"/>
      <c r="F25" s="4" t="inlineStr">
        <is>
          <t>THBKK</t>
        </is>
      </c>
      <c r="G25" s="4" t="inlineStr">
        <is>
          <t>KRINC</t>
        </is>
      </c>
      <c r="H25" s="4" t="inlineStr">
        <is>
          <t xml:space="preserve">20'x1 </t>
        </is>
      </c>
      <c r="I25" s="4" t="inlineStr">
        <is>
          <t>BKK27</t>
        </is>
      </c>
      <c r="J25" s="4" t="inlineStr">
        <is>
          <t>B.C. DEPOT CO.,LTD. ( Bang-Na KM.18)</t>
        </is>
      </c>
      <c r="K25" s="4" t="inlineStr">
        <is>
          <t>20260926</t>
        </is>
      </c>
      <c r="L25" s="4" t="inlineStr">
        <is>
          <t>CELESTIAL XPRESS LOGISTICS (THAILAND) CO., LTD.</t>
        </is>
      </c>
      <c r="M25" s="4" t="inlineStr">
        <is>
          <t>UNICORD PUBLIC COMPANY LIMITED</t>
        </is>
      </c>
      <c r="N25" s="4" t="inlineStr">
        <is>
          <t>PET FOOD</t>
        </is>
      </c>
      <c r="O25" s="4" t="inlineStr">
        <is>
          <t>GOOD AND CLEAN CONTAINER</t>
        </is>
      </c>
      <c r="P25" s="4" t="inlineStr">
        <is>
          <t>Pickup : 2026-09-26, Return : 2026-09-26 
CLS TIME DD.01/10/2026 @ 23.00</t>
        </is>
      </c>
      <c r="Q25" s="4" t="n">
        <v>1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HASLS22260802271</t>
        </is>
      </c>
      <c r="B26" s="4" t="inlineStr">
        <is>
          <t>KMBK</t>
        </is>
      </c>
      <c r="C26" s="4" t="inlineStr">
        <is>
          <t>2611N</t>
        </is>
      </c>
      <c r="D26" s="4" t="inlineStr">
        <is>
          <t>202610030900</t>
        </is>
      </c>
      <c r="E26" s="4" t="inlineStr"/>
      <c r="F26" s="4" t="inlineStr">
        <is>
          <t>THBKK</t>
        </is>
      </c>
      <c r="G26" s="4" t="inlineStr">
        <is>
          <t>JPTMK</t>
        </is>
      </c>
      <c r="H26" s="4" t="inlineStr">
        <is>
          <t xml:space="preserve">40Hx3 </t>
        </is>
      </c>
      <c r="I26" s="4" t="inlineStr">
        <is>
          <t>BKK27</t>
        </is>
      </c>
      <c r="J26" s="4" t="inlineStr">
        <is>
          <t>B.C. DEPOT CO.,LTD. ( Bang-Na KM.18)</t>
        </is>
      </c>
      <c r="K26" s="4" t="inlineStr">
        <is>
          <t>20260929</t>
        </is>
      </c>
      <c r="L26" s="4" t="inlineStr">
        <is>
          <t>YOUNGSUWAT TRADING CO.,LTD.</t>
        </is>
      </c>
      <c r="M26" s="4" t="inlineStr">
        <is>
          <t>YOUNGSUWAT TRADING CO.,LTD.</t>
        </is>
      </c>
      <c r="N26" s="4" t="inlineStr">
        <is>
          <t>CORN COB MEAL</t>
        </is>
      </c>
      <c r="O26" s="4" t="inlineStr">
        <is>
          <t>Req.CNTR : Good, Clean, No Hole, Dry</t>
        </is>
      </c>
      <c r="P26" s="4" t="inlineStr">
        <is>
          <t>Pickup : 2026-09-29, Return : 2026-09-30</t>
        </is>
      </c>
      <c r="Q26" s="4" t="n">
        <v>0</v>
      </c>
      <c r="R26" s="4" t="n">
        <v>0</v>
      </c>
      <c r="S26" s="4" t="n">
        <v>3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HASLS22260802335</t>
        </is>
      </c>
      <c r="B27" s="4" t="inlineStr">
        <is>
          <t>SWAT</t>
        </is>
      </c>
      <c r="C27" s="4" t="inlineStr">
        <is>
          <t>2610N</t>
        </is>
      </c>
      <c r="D27" s="4" t="inlineStr">
        <is>
          <t>202610071700</t>
        </is>
      </c>
      <c r="E27" s="4" t="inlineStr"/>
      <c r="F27" s="4" t="inlineStr">
        <is>
          <t>THBKK</t>
        </is>
      </c>
      <c r="G27" s="4" t="inlineStr">
        <is>
          <t>CNSHK</t>
        </is>
      </c>
      <c r="H27" s="4" t="inlineStr">
        <is>
          <t xml:space="preserve">20'x1 </t>
        </is>
      </c>
      <c r="I27" s="4" t="inlineStr">
        <is>
          <t>BKK27</t>
        </is>
      </c>
      <c r="J27" s="4" t="inlineStr">
        <is>
          <t>B.C. DEPOT CO.,LTD. ( Bang-Na KM.18)</t>
        </is>
      </c>
      <c r="K27" s="4" t="inlineStr">
        <is>
          <t>20261002</t>
        </is>
      </c>
      <c r="L27" s="4" t="inlineStr">
        <is>
          <t>CTI LOGISTICS CO., LTD.</t>
        </is>
      </c>
      <c r="M27" s="4" t="inlineStr">
        <is>
          <t>NMB-MINEBEA THAI LTD.</t>
        </is>
      </c>
      <c r="N27" s="4" t="inlineStr">
        <is>
          <t>BALL BEARING</t>
        </is>
      </c>
      <c r="O27" s="4" t="inlineStr">
        <is>
          <t>REQUEST CLEAN CONTAINER</t>
        </is>
      </c>
      <c r="P27" s="4" t="inlineStr">
        <is>
          <t>Pickup : 2026-10-02, Return : 2026-10-02</t>
        </is>
      </c>
      <c r="Q27" s="4" t="n">
        <v>1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HASLS22260802357</t>
        </is>
      </c>
      <c r="B28" s="4" t="inlineStr">
        <is>
          <t>KMBK</t>
        </is>
      </c>
      <c r="C28" s="4" t="inlineStr">
        <is>
          <t>2611N</t>
        </is>
      </c>
      <c r="D28" s="4" t="inlineStr">
        <is>
          <t>202610030900</t>
        </is>
      </c>
      <c r="E28" s="4" t="inlineStr"/>
      <c r="F28" s="4" t="inlineStr">
        <is>
          <t>THBKK</t>
        </is>
      </c>
      <c r="G28" s="4" t="inlineStr">
        <is>
          <t>VNSGN</t>
        </is>
      </c>
      <c r="H28" s="4" t="inlineStr">
        <is>
          <t xml:space="preserve">20'x1 </t>
        </is>
      </c>
      <c r="I28" s="4" t="inlineStr">
        <is>
          <t>BKK27</t>
        </is>
      </c>
      <c r="J28" s="4" t="inlineStr">
        <is>
          <t>B.C. DEPOT CO.,LTD. ( Bang-Na KM.18)</t>
        </is>
      </c>
      <c r="K28" s="4" t="inlineStr">
        <is>
          <t>20260928</t>
        </is>
      </c>
      <c r="L28" s="4" t="inlineStr">
        <is>
          <t>NIMBLE LOGISTICS CO., LTD.</t>
        </is>
      </c>
      <c r="M28" s="4" t="inlineStr">
        <is>
          <t>CHITA ORGANIC FOOD CO., LTD.</t>
        </is>
      </c>
      <c r="N28" s="4" t="inlineStr">
        <is>
          <t>ORGANIC CHIA PASTA</t>
        </is>
      </c>
      <c r="O28" s="4" t="inlineStr">
        <is>
          <t>GOOD AND CLEAN CONTAINER</t>
        </is>
      </c>
      <c r="P28" s="4" t="inlineStr">
        <is>
          <t>Pickup : 2026-09-28, Return : 2026-09-30</t>
        </is>
      </c>
      <c r="Q28" s="4" t="n">
        <v>1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HASLS22260802452</t>
        </is>
      </c>
      <c r="B29" s="4" t="inlineStr">
        <is>
          <t>SWSR</t>
        </is>
      </c>
      <c r="C29" s="4" t="inlineStr">
        <is>
          <t>2611N</t>
        </is>
      </c>
      <c r="D29" s="4" t="inlineStr">
        <is>
          <t>202610110900</t>
        </is>
      </c>
      <c r="E29" s="4" t="inlineStr"/>
      <c r="F29" s="4" t="inlineStr">
        <is>
          <t>THBKK</t>
        </is>
      </c>
      <c r="G29" s="4" t="inlineStr">
        <is>
          <t>HKHKG</t>
        </is>
      </c>
      <c r="H29" s="4" t="inlineStr">
        <is>
          <t xml:space="preserve">20RFx1 </t>
        </is>
      </c>
      <c r="I29" s="4" t="inlineStr">
        <is>
          <t>BKK27</t>
        </is>
      </c>
      <c r="J29" s="4" t="inlineStr">
        <is>
          <t>B.C. DEPOT CO.,LTD. ( Bang-Na KM.18)</t>
        </is>
      </c>
      <c r="K29" s="4" t="inlineStr">
        <is>
          <t>20261006</t>
        </is>
      </c>
      <c r="L29" s="4" t="inlineStr">
        <is>
          <t>YOTSIAM CO., LTD.</t>
        </is>
      </c>
      <c r="M29" s="4" t="inlineStr">
        <is>
          <t>YOTSIAM CO., LTD.</t>
        </is>
      </c>
      <c r="N29" s="4" t="inlineStr">
        <is>
          <t>GROCERY  ITEM(LEMONGLASS,FRESH LIME,COOKING ITEM)</t>
        </is>
      </c>
      <c r="O29" s="4" t="inlineStr">
        <is>
          <t>(Temp +2.0℃ / Vent 10% Open) RQST CLEAN N GOOD CONT</t>
        </is>
      </c>
      <c r="P29" s="4" t="inlineStr">
        <is>
          <t xml:space="preserve">Pickup : 2026-10-06, Return : 2026-10-07 (Temp +2.0 / Vent 10% Open) </t>
        </is>
      </c>
      <c r="Q29" s="4" t="n">
        <v>0</v>
      </c>
      <c r="R29" s="4" t="n">
        <v>0</v>
      </c>
      <c r="S29" s="4" t="n">
        <v>0</v>
      </c>
      <c r="T29" s="4" t="n">
        <v>1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HASLS22260802566</t>
        </is>
      </c>
      <c r="B30" s="4" t="inlineStr">
        <is>
          <t>HAHM</t>
        </is>
      </c>
      <c r="C30" s="4" t="inlineStr">
        <is>
          <t>2612N</t>
        </is>
      </c>
      <c r="D30" s="4" t="inlineStr">
        <is>
          <t>202610211800</t>
        </is>
      </c>
      <c r="E30" s="4" t="inlineStr"/>
      <c r="F30" s="4" t="inlineStr">
        <is>
          <t>THBKK</t>
        </is>
      </c>
      <c r="G30" s="4" t="inlineStr">
        <is>
          <t>KRPUS</t>
        </is>
      </c>
      <c r="H30" s="4" t="inlineStr">
        <is>
          <t xml:space="preserve">R40Hx1 </t>
        </is>
      </c>
      <c r="I30" s="4" t="inlineStr">
        <is>
          <t>BKK27</t>
        </is>
      </c>
      <c r="J30" s="4" t="inlineStr">
        <is>
          <t>B.C. DEPOT CO.,LTD. ( Bang-Na KM.18)</t>
        </is>
      </c>
      <c r="K30" s="4" t="inlineStr">
        <is>
          <t>20260918</t>
        </is>
      </c>
      <c r="L30" s="4" t="inlineStr">
        <is>
          <t>TRUE MARINE CO., LTD.</t>
        </is>
      </c>
      <c r="M30" s="4" t="inlineStr">
        <is>
          <t>N&amp;N FOODS CO., LTD.</t>
        </is>
      </c>
      <c r="N30" s="4" t="inlineStr">
        <is>
          <t>FROZEN FOOD</t>
        </is>
      </c>
      <c r="O30" s="4" t="inlineStr">
        <is>
          <t>(Temp -20.0℃ / Vent Close) Request good and clean container</t>
        </is>
      </c>
      <c r="P30" s="4" t="inlineStr">
        <is>
          <t xml:space="preserve">Pickup : 2026-09-18, Return : 2026-09-19 (Temp -20.0 / Vent Close)
 CLS TIME 19/10 23.59 </t>
        </is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1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HASLS22260802623</t>
        </is>
      </c>
      <c r="B31" s="4" t="inlineStr">
        <is>
          <t>DJCF</t>
        </is>
      </c>
      <c r="C31" s="4" t="inlineStr">
        <is>
          <t>0152N</t>
        </is>
      </c>
      <c r="D31" s="4" t="inlineStr">
        <is>
          <t>202610111000</t>
        </is>
      </c>
      <c r="E31" s="4" t="inlineStr"/>
      <c r="F31" s="4" t="inlineStr">
        <is>
          <t>THBKK</t>
        </is>
      </c>
      <c r="G31" s="4" t="inlineStr">
        <is>
          <t>VNSGN</t>
        </is>
      </c>
      <c r="H31" s="4" t="inlineStr">
        <is>
          <t xml:space="preserve">20'x1 </t>
        </is>
      </c>
      <c r="I31" s="4" t="inlineStr">
        <is>
          <t>BKK27</t>
        </is>
      </c>
      <c r="J31" s="4" t="inlineStr">
        <is>
          <t>B.C. DEPOT CO.,LTD. ( Bang-Na KM.18)</t>
        </is>
      </c>
      <c r="K31" s="4" t="inlineStr">
        <is>
          <t>20261005</t>
        </is>
      </c>
      <c r="L31" s="4" t="inlineStr">
        <is>
          <t>BILLION LOGISTICS CO., LTD.</t>
        </is>
      </c>
      <c r="M31" s="4" t="inlineStr">
        <is>
          <t>VISTA DISTRIBUTION CO.,LTD.</t>
        </is>
      </c>
      <c r="N31" s="4" t="inlineStr">
        <is>
          <t>FOODSTUFFS</t>
        </is>
      </c>
      <c r="O31" s="4" t="inlineStr">
        <is>
          <t>GOOD AND CLEAN CONTAINER</t>
        </is>
      </c>
      <c r="P31" s="4" t="inlineStr">
        <is>
          <t>Pickup : 2026-10-05, Return : 2026-10-06</t>
        </is>
      </c>
      <c r="Q31" s="4" t="n">
        <v>1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HASLS22260900093</t>
        </is>
      </c>
      <c r="B32" s="4" t="inlineStr">
        <is>
          <t>SWAT</t>
        </is>
      </c>
      <c r="C32" s="4" t="inlineStr">
        <is>
          <t>2610N</t>
        </is>
      </c>
      <c r="D32" s="4" t="inlineStr">
        <is>
          <t>202610071700</t>
        </is>
      </c>
      <c r="E32" s="4" t="inlineStr"/>
      <c r="F32" s="4" t="inlineStr">
        <is>
          <t>THBKK</t>
        </is>
      </c>
      <c r="G32" s="4" t="inlineStr">
        <is>
          <t>KRPUS</t>
        </is>
      </c>
      <c r="H32" s="4" t="inlineStr">
        <is>
          <t xml:space="preserve">20'x1 </t>
        </is>
      </c>
      <c r="I32" s="4" t="inlineStr">
        <is>
          <t>BKK27</t>
        </is>
      </c>
      <c r="J32" s="4" t="inlineStr">
        <is>
          <t>B.C. DEPOT CO.,LTD. ( Bang-Na KM.18)</t>
        </is>
      </c>
      <c r="K32" s="4" t="inlineStr">
        <is>
          <t>20261001</t>
        </is>
      </c>
      <c r="L32" s="4" t="inlineStr">
        <is>
          <t>COS LOGISTICS COMPANY LIMITED</t>
        </is>
      </c>
      <c r="M32" s="4" t="inlineStr">
        <is>
          <t>EQUATOR PURE NATURE CO., LTD</t>
        </is>
      </c>
      <c r="N32" s="4" t="inlineStr">
        <is>
          <t>CLEANING PRODUCT</t>
        </is>
      </c>
      <c r="O32" s="4" t="inlineStr">
        <is>
          <t>REQUEST GOOD AND CLEAN THE CONTAINER</t>
        </is>
      </c>
      <c r="P32" s="4" t="inlineStr">
        <is>
          <t>Pickup : 2026-10-01, Return : 2026-10-02</t>
        </is>
      </c>
      <c r="Q32" s="4" t="n">
        <v>1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HASLS22260900174</t>
        </is>
      </c>
      <c r="B33" s="4" t="inlineStr">
        <is>
          <t>SWSP</t>
        </is>
      </c>
      <c r="C33" s="4" t="inlineStr">
        <is>
          <t>2609N</t>
        </is>
      </c>
      <c r="D33" s="4" t="inlineStr">
        <is>
          <t>202610071530</t>
        </is>
      </c>
      <c r="E33" s="4" t="inlineStr"/>
      <c r="F33" s="4" t="inlineStr">
        <is>
          <t>THBKK</t>
        </is>
      </c>
      <c r="G33" s="4" t="inlineStr">
        <is>
          <t>VNSGN</t>
        </is>
      </c>
      <c r="H33" s="4" t="inlineStr">
        <is>
          <t xml:space="preserve">R40Hx1 </t>
        </is>
      </c>
      <c r="I33" s="4" t="inlineStr">
        <is>
          <t>BKK27</t>
        </is>
      </c>
      <c r="J33" s="4" t="inlineStr">
        <is>
          <t>B.C. DEPOT CO.,LTD. ( Bang-Na KM.18)</t>
        </is>
      </c>
      <c r="K33" s="4" t="inlineStr">
        <is>
          <t>20261002</t>
        </is>
      </c>
      <c r="L33" s="4" t="inlineStr">
        <is>
          <t>INITIAL FREIGHT CO., LTD.</t>
        </is>
      </c>
      <c r="M33" s="4" t="inlineStr">
        <is>
          <t>THE CHOMTHANA CO., LTD.</t>
        </is>
      </c>
      <c r="N33" s="4" t="inlineStr">
        <is>
          <t>FROZEN ICE CREAM</t>
        </is>
      </c>
      <c r="O33" s="4" t="inlineStr">
        <is>
          <t>*PRECOOL* (Temp -25.0℃ / Vent Close) No need compressor DAIKIN
*New container
*Good &amp; Clean condition</t>
        </is>
      </c>
      <c r="P33" s="4" t="inlineStr">
        <is>
          <t>Pickup : 2026-10-02, Return : 2026-10-02  (Temp -25.0 / Vent Close) *PRECOOL*
CLS TIME 03/10/26 @23.59 COST PRE COOL = 1,200 BAHT</t>
        </is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1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HASLS22260900244</t>
        </is>
      </c>
      <c r="B34" s="4" t="inlineStr">
        <is>
          <t>SWAT</t>
        </is>
      </c>
      <c r="C34" s="4" t="inlineStr">
        <is>
          <t>2610N</t>
        </is>
      </c>
      <c r="D34" s="4" t="inlineStr">
        <is>
          <t>202610071700</t>
        </is>
      </c>
      <c r="E34" s="4" t="inlineStr"/>
      <c r="F34" s="4" t="inlineStr">
        <is>
          <t>THBKK</t>
        </is>
      </c>
      <c r="G34" s="4" t="inlineStr">
        <is>
          <t>HKHKG</t>
        </is>
      </c>
      <c r="H34" s="4" t="inlineStr">
        <is>
          <t xml:space="preserve">R40Hx1 </t>
        </is>
      </c>
      <c r="I34" s="4" t="inlineStr">
        <is>
          <t>BKK27</t>
        </is>
      </c>
      <c r="J34" s="4" t="inlineStr">
        <is>
          <t>B.C. DEPOT CO.,LTD. ( Bang-Na KM.18)</t>
        </is>
      </c>
      <c r="K34" s="4" t="inlineStr">
        <is>
          <t>20261001</t>
        </is>
      </c>
      <c r="L34" s="4" t="inlineStr">
        <is>
          <t>KWE-KINTETSU WORLD EXPRESS (THAILAND) CO., LTD.</t>
        </is>
      </c>
      <c r="M34" s="4" t="inlineStr">
        <is>
          <t>KIBUN (THAILAND) CO., LTD.</t>
        </is>
      </c>
      <c r="N34" s="4" t="inlineStr">
        <is>
          <t>FROZEN IMITATION CRAB MEAT</t>
        </is>
      </c>
      <c r="O34" s="4" t="inlineStr">
        <is>
          <t>(Temp -20.0℃ / Vent Close)**REQ GOOD, CLEAN, NO LEAK AND GRADE A CONTAINER**
**</t>
        </is>
      </c>
      <c r="P34" s="4" t="inlineStr">
        <is>
          <t>Pickup : 2026-10-01, Return : 2026-10-02 (Temp -20.0 / Vent Close) 
CLS TIME 05/10/26 @0500</t>
        </is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1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HASLS22260900245</t>
        </is>
      </c>
      <c r="B35" s="4" t="inlineStr">
        <is>
          <t>SWAT</t>
        </is>
      </c>
      <c r="C35" s="4" t="inlineStr">
        <is>
          <t>2610N</t>
        </is>
      </c>
      <c r="D35" s="4" t="inlineStr">
        <is>
          <t>202610071700</t>
        </is>
      </c>
      <c r="E35" s="4" t="inlineStr"/>
      <c r="F35" s="4" t="inlineStr">
        <is>
          <t>THBKK</t>
        </is>
      </c>
      <c r="G35" s="4" t="inlineStr">
        <is>
          <t>HKHKG</t>
        </is>
      </c>
      <c r="H35" s="4" t="inlineStr">
        <is>
          <t xml:space="preserve">R40Hx1 </t>
        </is>
      </c>
      <c r="I35" s="4" t="inlineStr">
        <is>
          <t>BKK27</t>
        </is>
      </c>
      <c r="J35" s="4" t="inlineStr">
        <is>
          <t>B.C. DEPOT CO.,LTD. ( Bang-Na KM.18)</t>
        </is>
      </c>
      <c r="K35" s="4" t="inlineStr">
        <is>
          <t>20261001</t>
        </is>
      </c>
      <c r="L35" s="4" t="inlineStr">
        <is>
          <t>KWE-KINTETSU WORLD EXPRESS (THAILAND) CO., LTD.</t>
        </is>
      </c>
      <c r="M35" s="4" t="inlineStr">
        <is>
          <t>KIBUN (THAILAND) CO., LTD.</t>
        </is>
      </c>
      <c r="N35" s="4" t="inlineStr">
        <is>
          <t>FROZEN IMITATION CRAB MEAT</t>
        </is>
      </c>
      <c r="O35" s="4" t="inlineStr">
        <is>
          <t>(Temp -20.0℃ / Vent Full Open) REQ GOOD, CLEAN, NO LEAK AND GRADE A CONTAINER</t>
        </is>
      </c>
      <c r="P35" s="4" t="inlineStr">
        <is>
          <t xml:space="preserve">Pickup : 2026-10-01, Return : 2026-10-02(Temp -20.0 / Vent Full Open) 
CLS TIME 05/10/26 @0500 </t>
        </is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1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HASLS22260900299</t>
        </is>
      </c>
      <c r="B36" s="4" t="inlineStr">
        <is>
          <t>NSSJ</t>
        </is>
      </c>
      <c r="C36" s="4" t="inlineStr">
        <is>
          <t>2608S</t>
        </is>
      </c>
      <c r="D36" s="4" t="inlineStr">
        <is>
          <t>202610201630</t>
        </is>
      </c>
      <c r="E36" s="4" t="inlineStr">
        <is>
          <t>THLKR</t>
        </is>
      </c>
      <c r="F36" s="4" t="inlineStr">
        <is>
          <t>THLCH</t>
        </is>
      </c>
      <c r="G36" s="4" t="inlineStr">
        <is>
          <t>IDJKT</t>
        </is>
      </c>
      <c r="H36" s="4" t="inlineStr">
        <is>
          <t xml:space="preserve">20'x2 </t>
        </is>
      </c>
      <c r="I36" s="4" t="inlineStr">
        <is>
          <t>BKK27</t>
        </is>
      </c>
      <c r="J36" s="4" t="inlineStr">
        <is>
          <t>B.C. DEPOT CO.,LTD. ( Bang-Na KM.18)</t>
        </is>
      </c>
      <c r="K36" s="4" t="inlineStr">
        <is>
          <t>20261014</t>
        </is>
      </c>
      <c r="L36" s="4" t="inlineStr">
        <is>
          <t>SCGJWD LOGISTICS PUBLIC COMPANY LIMITED</t>
        </is>
      </c>
      <c r="M36" s="4" t="inlineStr">
        <is>
          <t>NORITAKE SCG PLASTER CO., LTD.</t>
        </is>
      </c>
      <c r="N36" s="4" t="inlineStr">
        <is>
          <t>MOULDING PLASTER</t>
        </is>
      </c>
      <c r="O36" s="4" t="inlineStr">
        <is>
          <t>Request good and clean cont., no oil, no rusty</t>
        </is>
      </c>
      <c r="P36" s="4" t="inlineStr">
        <is>
          <t>CY-RTN : 14-15/10/2026  Paperless Code 2835
Closing Time LKB 2026-10-17 @ 23.59 ** PT Indoporcelain **</t>
        </is>
      </c>
      <c r="Q36" s="4" t="n">
        <v>2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HASLS22260900325</t>
        </is>
      </c>
      <c r="B37" s="4" t="inlineStr">
        <is>
          <t>SWAT</t>
        </is>
      </c>
      <c r="C37" s="4" t="inlineStr">
        <is>
          <t>2610N</t>
        </is>
      </c>
      <c r="D37" s="4" t="inlineStr">
        <is>
          <t>202610071700</t>
        </is>
      </c>
      <c r="E37" s="4" t="inlineStr"/>
      <c r="F37" s="4" t="inlineStr">
        <is>
          <t>THBKK</t>
        </is>
      </c>
      <c r="G37" s="4" t="inlineStr">
        <is>
          <t>HKHKG</t>
        </is>
      </c>
      <c r="H37" s="4" t="inlineStr">
        <is>
          <t xml:space="preserve">40Hx1 20'x3 </t>
        </is>
      </c>
      <c r="I37" s="4" t="inlineStr">
        <is>
          <t>BKK27</t>
        </is>
      </c>
      <c r="J37" s="4" t="inlineStr">
        <is>
          <t>B.C. DEPOT CO.,LTD. ( Bang-Na KM.18)</t>
        </is>
      </c>
      <c r="K37" s="4" t="inlineStr">
        <is>
          <t>20260928</t>
        </is>
      </c>
      <c r="L37" s="4" t="inlineStr">
        <is>
          <t>KUEHNE + NAGEL LIMITED</t>
        </is>
      </c>
      <c r="M37" s="4" t="inlineStr">
        <is>
          <t>SINGHA WORLDWIDE INTERNATIONAL CO., LTD.</t>
        </is>
      </c>
      <c r="N37" s="4" t="inlineStr">
        <is>
          <t>BEER ALC 5%</t>
        </is>
      </c>
      <c r="O37" s="4" t="inlineStr">
        <is>
          <t>REQ Underdesk cargo and food grade container no rust and smell</t>
        </is>
      </c>
      <c r="P37" s="4" t="inlineStr">
        <is>
          <t>Pickup : 2026-09-28, Return : 2026-09-30</t>
        </is>
      </c>
      <c r="Q37" s="4" t="n">
        <v>3</v>
      </c>
      <c r="R37" s="4" t="n">
        <v>0</v>
      </c>
      <c r="S37" s="4" t="n">
        <v>1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HASLS22260900374</t>
        </is>
      </c>
      <c r="B38" s="4" t="inlineStr">
        <is>
          <t>SWSP</t>
        </is>
      </c>
      <c r="C38" s="4" t="inlineStr">
        <is>
          <t>2609N</t>
        </is>
      </c>
      <c r="D38" s="4" t="inlineStr">
        <is>
          <t>202610071530</t>
        </is>
      </c>
      <c r="E38" s="4" t="inlineStr"/>
      <c r="F38" s="4" t="inlineStr">
        <is>
          <t>THBKK</t>
        </is>
      </c>
      <c r="G38" s="4" t="inlineStr">
        <is>
          <t>VNSGN</t>
        </is>
      </c>
      <c r="H38" s="4" t="inlineStr">
        <is>
          <t xml:space="preserve">20'x1 </t>
        </is>
      </c>
      <c r="I38" s="4" t="inlineStr">
        <is>
          <t>BKK27</t>
        </is>
      </c>
      <c r="J38" s="4" t="inlineStr">
        <is>
          <t>B.C. DEPOT CO.,LTD. ( Bang-Na KM.18)</t>
        </is>
      </c>
      <c r="K38" s="4" t="inlineStr">
        <is>
          <t>20260929</t>
        </is>
      </c>
      <c r="L38" s="4" t="inlineStr">
        <is>
          <t>GROWTH ON LOGISTICS CO., LTD.</t>
        </is>
      </c>
      <c r="M38" s="4" t="inlineStr">
        <is>
          <t>SCG (THAILAND) CO., LTD.</t>
        </is>
      </c>
      <c r="N38" s="4" t="inlineStr">
        <is>
          <t>VALVE</t>
        </is>
      </c>
      <c r="O38" s="4" t="inlineStr">
        <is>
          <t>RQST GOOD CLEAN &amp; DRY CONT.</t>
        </is>
      </c>
      <c r="P38" s="4" t="inlineStr">
        <is>
          <t>Pickup : 2026-09-29, Return : 2026-09-30 // EXTEND CLS TIME 30/09 @23.00</t>
        </is>
      </c>
      <c r="Q38" s="4" t="n">
        <v>1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HASLS22260900431</t>
        </is>
      </c>
      <c r="B39" s="4" t="inlineStr">
        <is>
          <t>SWAL</t>
        </is>
      </c>
      <c r="C39" s="4" t="inlineStr">
        <is>
          <t>2609N</t>
        </is>
      </c>
      <c r="D39" s="4" t="inlineStr">
        <is>
          <t>202610191500</t>
        </is>
      </c>
      <c r="E39" s="4" t="inlineStr"/>
      <c r="F39" s="4" t="inlineStr">
        <is>
          <t>THBKK</t>
        </is>
      </c>
      <c r="G39" s="4" t="inlineStr">
        <is>
          <t>RUVVO</t>
        </is>
      </c>
      <c r="H39" s="4" t="inlineStr">
        <is>
          <t xml:space="preserve">20'x1 </t>
        </is>
      </c>
      <c r="I39" s="4" t="inlineStr">
        <is>
          <t>BKK27</t>
        </is>
      </c>
      <c r="J39" s="4" t="inlineStr">
        <is>
          <t>B.C. DEPOT CO.,LTD. ( Bang-Na KM.18)</t>
        </is>
      </c>
      <c r="K39" s="4" t="inlineStr">
        <is>
          <t>20261014</t>
        </is>
      </c>
      <c r="L39" s="4" t="inlineStr">
        <is>
          <t>FREIGHT LINKS EXPRESS (THAILAND) CO., LTD.</t>
        </is>
      </c>
      <c r="M39" s="4" t="inlineStr">
        <is>
          <t>PRO AUTOMOTIVE CORPORATION CO., LTD.</t>
        </is>
      </c>
      <c r="N39" s="4" t="inlineStr">
        <is>
          <t>AUTO MOTIVE PART</t>
        </is>
      </c>
      <c r="O39" s="4" t="inlineStr">
        <is>
          <t>GOOD AND CLEAN CONTAINER</t>
        </is>
      </c>
      <c r="P39" s="4" t="inlineStr">
        <is>
          <t>Pickup : 2026-10-14, Return : 2026-10-15</t>
        </is>
      </c>
      <c r="Q39" s="4" t="n">
        <v>1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HASLS22260900444</t>
        </is>
      </c>
      <c r="B40" s="4" t="inlineStr">
        <is>
          <t>SWSP</t>
        </is>
      </c>
      <c r="C40" s="4" t="inlineStr">
        <is>
          <t>2609N</t>
        </is>
      </c>
      <c r="D40" s="4" t="inlineStr">
        <is>
          <t>202610071530</t>
        </is>
      </c>
      <c r="E40" s="4" t="inlineStr"/>
      <c r="F40" s="4" t="inlineStr">
        <is>
          <t>THBKK</t>
        </is>
      </c>
      <c r="G40" s="4" t="inlineStr">
        <is>
          <t>KRKAN</t>
        </is>
      </c>
      <c r="H40" s="4" t="inlineStr">
        <is>
          <t xml:space="preserve">40Hx1 </t>
        </is>
      </c>
      <c r="I40" s="4" t="inlineStr">
        <is>
          <t>BKK27</t>
        </is>
      </c>
      <c r="J40" s="4" t="inlineStr">
        <is>
          <t>B.C. DEPOT CO.,LTD. ( Bang-Na KM.18)</t>
        </is>
      </c>
      <c r="K40" s="4" t="inlineStr">
        <is>
          <t>20261001</t>
        </is>
      </c>
      <c r="L40" s="4" t="inlineStr">
        <is>
          <t>BANGKOK STARCH INDUSTRIAL CO., LTD.</t>
        </is>
      </c>
      <c r="M40" s="4" t="inlineStr">
        <is>
          <t>BANGKOK STARCH INDUSTRIAL CO., LTD.</t>
        </is>
      </c>
      <c r="N40" s="4" t="inlineStr">
        <is>
          <t xml:space="preserve">STARCH </t>
        </is>
      </c>
      <c r="O40" s="4" t="inlineStr">
        <is>
          <t>PLS. RELEASE CTNR FOOD GRADE CONDITION ( FOR LOADING FOODS ) ONLY.</t>
        </is>
      </c>
      <c r="P40" s="4" t="inlineStr">
        <is>
          <t>Pickup : 2026-10-01, Return : 2026-10-02</t>
        </is>
      </c>
      <c r="Q40" s="4" t="n">
        <v>0</v>
      </c>
      <c r="R40" s="4" t="n">
        <v>0</v>
      </c>
      <c r="S40" s="4" t="n">
        <v>1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HASLS22260900445</t>
        </is>
      </c>
      <c r="B41" s="4" t="inlineStr">
        <is>
          <t>SWSR</t>
        </is>
      </c>
      <c r="C41" s="4" t="inlineStr">
        <is>
          <t>2611N</t>
        </is>
      </c>
      <c r="D41" s="4" t="inlineStr">
        <is>
          <t>202610110900</t>
        </is>
      </c>
      <c r="E41" s="4" t="inlineStr"/>
      <c r="F41" s="4" t="inlineStr">
        <is>
          <t>THBKK</t>
        </is>
      </c>
      <c r="G41" s="4" t="inlineStr">
        <is>
          <t>JPSMZ</t>
        </is>
      </c>
      <c r="H41" s="4" t="inlineStr">
        <is>
          <t xml:space="preserve">20'x2 </t>
        </is>
      </c>
      <c r="I41" s="4" t="inlineStr">
        <is>
          <t>BKK27</t>
        </is>
      </c>
      <c r="J41" s="4" t="inlineStr">
        <is>
          <t>B.C. DEPOT CO.,LTD. ( Bang-Na KM.18)</t>
        </is>
      </c>
      <c r="K41" s="4" t="inlineStr">
        <is>
          <t>20260930</t>
        </is>
      </c>
      <c r="L41" s="4" t="inlineStr">
        <is>
          <t>BANGKOK STARCH INDUSTRIAL CO., LTD.</t>
        </is>
      </c>
      <c r="M41" s="4" t="inlineStr">
        <is>
          <t>BANGKOK STARCH INDUSTRIAL CO., LTD.</t>
        </is>
      </c>
      <c r="N41" s="4" t="inlineStr">
        <is>
          <t xml:space="preserve">STARCH </t>
        </is>
      </c>
      <c r="O41" s="4" t="inlineStr">
        <is>
          <t>CONTAINER : PLS. RELEASE CTNR FOOD GRADE CONDITION ( FOR LOADING FOODS ) ONLY.</t>
        </is>
      </c>
      <c r="P41" s="4" t="inlineStr">
        <is>
          <t>Pickup : 2026-09-30, Return : 2026-10-01</t>
        </is>
      </c>
      <c r="Q41" s="4" t="n">
        <v>2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HASLS22260900491</t>
        </is>
      </c>
      <c r="B42" s="4" t="inlineStr">
        <is>
          <t>SWSP</t>
        </is>
      </c>
      <c r="C42" s="4" t="inlineStr">
        <is>
          <t>2609N</t>
        </is>
      </c>
      <c r="D42" s="4" t="inlineStr">
        <is>
          <t>202610071530</t>
        </is>
      </c>
      <c r="E42" s="4" t="inlineStr"/>
      <c r="F42" s="4" t="inlineStr">
        <is>
          <t>THBKK</t>
        </is>
      </c>
      <c r="G42" s="4" t="inlineStr">
        <is>
          <t>VNSGN</t>
        </is>
      </c>
      <c r="H42" s="4" t="inlineStr">
        <is>
          <t xml:space="preserve">20'x1 </t>
        </is>
      </c>
      <c r="I42" s="4" t="inlineStr">
        <is>
          <t>BKK27</t>
        </is>
      </c>
      <c r="J42" s="4" t="inlineStr">
        <is>
          <t>B.C. DEPOT CO.,LTD. ( Bang-Na KM.18)</t>
        </is>
      </c>
      <c r="K42" s="4" t="inlineStr">
        <is>
          <t>20260930</t>
        </is>
      </c>
      <c r="L42" s="4" t="inlineStr">
        <is>
          <t>ACCORD PILOT LOGISTICS (THAILAND) CO., LTD.</t>
        </is>
      </c>
      <c r="M42" s="4" t="inlineStr">
        <is>
          <t>SPF DIANA (THAILAND) CO., LTD.</t>
        </is>
      </c>
      <c r="N42" s="4" t="inlineStr">
        <is>
          <t>DRY CAT FOOD</t>
        </is>
      </c>
      <c r="O42" s="4" t="inlineStr">
        <is>
          <t>GOOD AND CLEAN CONTAINER</t>
        </is>
      </c>
      <c r="P42" s="4" t="inlineStr">
        <is>
          <t>Pickup : 2026-09-30, Return : 2026-10-01</t>
        </is>
      </c>
      <c r="Q42" s="4" t="n">
        <v>1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HASLS22260900492</t>
        </is>
      </c>
      <c r="B43" s="4" t="inlineStr">
        <is>
          <t>KXM</t>
        </is>
      </c>
      <c r="C43" s="4" t="inlineStr">
        <is>
          <t>2608S</t>
        </is>
      </c>
      <c r="D43" s="4" t="inlineStr">
        <is>
          <t>202610100500</t>
        </is>
      </c>
      <c r="E43" s="4" t="inlineStr">
        <is>
          <t>THLKR</t>
        </is>
      </c>
      <c r="F43" s="4" t="inlineStr">
        <is>
          <t>THLCH</t>
        </is>
      </c>
      <c r="G43" s="4" t="inlineStr">
        <is>
          <t>IDJKT</t>
        </is>
      </c>
      <c r="H43" s="4" t="inlineStr">
        <is>
          <t xml:space="preserve">20'x1 </t>
        </is>
      </c>
      <c r="I43" s="4" t="inlineStr">
        <is>
          <t>BKK27</t>
        </is>
      </c>
      <c r="J43" s="4" t="inlineStr">
        <is>
          <t>B.C. DEPOT CO.,LTD. ( Bang-Na KM.18)</t>
        </is>
      </c>
      <c r="K43" s="4" t="inlineStr">
        <is>
          <t>20261006</t>
        </is>
      </c>
      <c r="L43" s="4" t="inlineStr">
        <is>
          <t>ACCORD PILOT LOGISTICS (THAILAND) CO., LTD.</t>
        </is>
      </c>
      <c r="M43" s="4" t="inlineStr">
        <is>
          <t>THAI PLASPAC PUBLIC CO.,LTD.</t>
        </is>
      </c>
      <c r="N43" s="4" t="inlineStr">
        <is>
          <t>PLASTIC CAP</t>
        </is>
      </c>
      <c r="O43" s="4" t="inlineStr">
        <is>
          <t>**REQUEST CLEAN AND GOOD CONTAINER</t>
        </is>
      </c>
      <c r="P43" s="4" t="inlineStr">
        <is>
          <t>Pickup : 2026-10-06, Return : 2026-10-07 Paperless Code 2835
Closing Time LKB 2026-10-07 @ 23.59</t>
        </is>
      </c>
      <c r="Q43" s="4" t="n">
        <v>1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HASLS22260900506</t>
        </is>
      </c>
      <c r="B44" s="4" t="inlineStr">
        <is>
          <t>TSXM</t>
        </is>
      </c>
      <c r="C44" s="4" t="inlineStr">
        <is>
          <t>2618N</t>
        </is>
      </c>
      <c r="D44" s="4" t="inlineStr">
        <is>
          <t>202610192100</t>
        </is>
      </c>
      <c r="E44" s="4" t="inlineStr"/>
      <c r="F44" s="4" t="inlineStr">
        <is>
          <t>THBKK</t>
        </is>
      </c>
      <c r="G44" s="4" t="inlineStr">
        <is>
          <t>HKHKG</t>
        </is>
      </c>
      <c r="H44" s="4" t="inlineStr">
        <is>
          <t xml:space="preserve">R40Hx1 </t>
        </is>
      </c>
      <c r="I44" s="4" t="inlineStr">
        <is>
          <t>BKK27</t>
        </is>
      </c>
      <c r="J44" s="4" t="inlineStr">
        <is>
          <t>B.C. DEPOT CO.,LTD. ( Bang-Na KM.18)</t>
        </is>
      </c>
      <c r="K44" s="4" t="inlineStr">
        <is>
          <t>20261015</t>
        </is>
      </c>
      <c r="L44" s="4" t="inlineStr">
        <is>
          <t>UCP LOGISTICS CO., LTD.</t>
        </is>
      </c>
      <c r="M44" s="4" t="inlineStr">
        <is>
          <t>B. FOODS PRODUCT INTERNATIONAL CO.,LTD.</t>
        </is>
      </c>
      <c r="N44" s="4" t="inlineStr">
        <is>
          <t>FROZEN CHICKEN MEAT</t>
        </is>
      </c>
      <c r="O44" s="4" t="inlineStr">
        <is>
          <t>(Temp -22.0℃ / Vent Close) REQUEST FOOD GRADE CONTAINER</t>
        </is>
      </c>
      <c r="P44" s="4" t="inlineStr">
        <is>
          <t xml:space="preserve">Pickup : 2026-10-15, Return : 2026-10-16 RF45REx1 (Temp -22.0 / Vent Close) 
CLS TIME : 17/10/2026 @09.00 [1ST RTN 16/10/2026 W/O ELECTRIC] </t>
        </is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1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HASLS22260900516</t>
        </is>
      </c>
      <c r="B45" s="4" t="inlineStr">
        <is>
          <t>KXM</t>
        </is>
      </c>
      <c r="C45" s="4" t="inlineStr">
        <is>
          <t>2608S</t>
        </is>
      </c>
      <c r="D45" s="4" t="inlineStr">
        <is>
          <t>202610100500</t>
        </is>
      </c>
      <c r="E45" s="4" t="inlineStr">
        <is>
          <t>THLKR</t>
        </is>
      </c>
      <c r="F45" s="4" t="inlineStr">
        <is>
          <t>THLCH</t>
        </is>
      </c>
      <c r="G45" s="4" t="inlineStr">
        <is>
          <t>IDJKT</t>
        </is>
      </c>
      <c r="H45" s="4" t="inlineStr">
        <is>
          <t xml:space="preserve">20'x1 </t>
        </is>
      </c>
      <c r="I45" s="4" t="inlineStr">
        <is>
          <t>BKK27</t>
        </is>
      </c>
      <c r="J45" s="4" t="inlineStr">
        <is>
          <t>B.C. DEPOT CO.,LTD. ( Bang-Na KM.18)</t>
        </is>
      </c>
      <c r="K45" s="4" t="inlineStr">
        <is>
          <t>20261007</t>
        </is>
      </c>
      <c r="L45" s="4" t="inlineStr">
        <is>
          <t>ACE LOGISTICS (THAILAND) CO., LTD.</t>
        </is>
      </c>
      <c r="M45" s="4" t="inlineStr">
        <is>
          <t>HYMOLD (THAILAND) LIMITED</t>
        </is>
      </c>
      <c r="N45" s="4" t="inlineStr">
        <is>
          <t>FERRO SILICON MAGNESIUM</t>
        </is>
      </c>
      <c r="O45" s="4" t="inlineStr">
        <is>
          <t>GOOD AND CLEAN CONTAINER</t>
        </is>
      </c>
      <c r="P45" s="4" t="inlineStr">
        <is>
          <t>Pickup : 2026-10-07, Return : 2026-10-08 Paperless Code 2835
Closing Time LKB 2026-10-08 @ 12.00</t>
        </is>
      </c>
      <c r="Q45" s="4" t="n">
        <v>1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HASLS22260900520</t>
        </is>
      </c>
      <c r="B46" s="4" t="inlineStr">
        <is>
          <t>NSSJ</t>
        </is>
      </c>
      <c r="C46" s="4" t="inlineStr">
        <is>
          <t>2608S</t>
        </is>
      </c>
      <c r="D46" s="4" t="inlineStr">
        <is>
          <t>202610201630</t>
        </is>
      </c>
      <c r="E46" s="4" t="inlineStr">
        <is>
          <t>THLKR</t>
        </is>
      </c>
      <c r="F46" s="4" t="inlineStr">
        <is>
          <t>THLCH</t>
        </is>
      </c>
      <c r="G46" s="4" t="inlineStr">
        <is>
          <t>IDJKT</t>
        </is>
      </c>
      <c r="H46" s="4" t="inlineStr">
        <is>
          <t xml:space="preserve">20'x1 </t>
        </is>
      </c>
      <c r="I46" s="4" t="inlineStr">
        <is>
          <t>BKK27</t>
        </is>
      </c>
      <c r="J46" s="4" t="inlineStr">
        <is>
          <t>B.C. DEPOT CO.,LTD. ( Bang-Na KM.18)</t>
        </is>
      </c>
      <c r="K46" s="4" t="inlineStr">
        <is>
          <t>20261015</t>
        </is>
      </c>
      <c r="L46" s="4" t="inlineStr">
        <is>
          <t>ACE LOGISTICS (THAILAND) CO., LTD.</t>
        </is>
      </c>
      <c r="M46" s="4" t="inlineStr">
        <is>
          <t>HYMOLD (THAILAND) LIMITED</t>
        </is>
      </c>
      <c r="N46" s="4" t="inlineStr">
        <is>
          <t>FERRO SILICON MAGNESIUM</t>
        </is>
      </c>
      <c r="O46" s="4" t="inlineStr">
        <is>
          <t>GOOD AND CLEAN CONTAINER</t>
        </is>
      </c>
      <c r="P46" s="4" t="inlineStr">
        <is>
          <t>Pickup : 2026-10-15, Return : 2026-10-16 Paperless Code 2835
Closing Time LKB 2026-10-17 @ 15.00</t>
        </is>
      </c>
      <c r="Q46" s="4" t="n">
        <v>1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HASLS22260900662</t>
        </is>
      </c>
      <c r="B47" s="4" t="inlineStr">
        <is>
          <t>SWMM</t>
        </is>
      </c>
      <c r="C47" s="4" t="inlineStr">
        <is>
          <t>2610N</t>
        </is>
      </c>
      <c r="D47" s="4" t="inlineStr">
        <is>
          <t>202610210400</t>
        </is>
      </c>
      <c r="E47" s="4" t="inlineStr"/>
      <c r="F47" s="4" t="inlineStr">
        <is>
          <t>THBKK</t>
        </is>
      </c>
      <c r="G47" s="4" t="inlineStr">
        <is>
          <t>JPMYJ</t>
        </is>
      </c>
      <c r="H47" s="4" t="inlineStr">
        <is>
          <t xml:space="preserve">20'x1 </t>
        </is>
      </c>
      <c r="I47" s="4" t="inlineStr">
        <is>
          <t>BKK27</t>
        </is>
      </c>
      <c r="J47" s="4" t="inlineStr">
        <is>
          <t>B.C. DEPOT CO.,LTD. ( Bang-Na KM.18)</t>
        </is>
      </c>
      <c r="K47" s="4" t="inlineStr">
        <is>
          <t>20261012</t>
        </is>
      </c>
      <c r="L47" s="4" t="inlineStr">
        <is>
          <t>GENERAL FOOD PRODUCTS CO., LTD.</t>
        </is>
      </c>
      <c r="M47" s="4" t="inlineStr">
        <is>
          <t>GENERAL FOOD PRODUCTS CO., LTD.</t>
        </is>
      </c>
      <c r="N47" s="4" t="inlineStr">
        <is>
          <t>FLOURS</t>
        </is>
      </c>
      <c r="O47" s="4" t="inlineStr">
        <is>
          <t>Container Grade A, Underdeck</t>
        </is>
      </c>
      <c r="P47" s="4" t="inlineStr">
        <is>
          <t xml:space="preserve">Pickup : 2026-10-12, Return : 2026-10-15 </t>
        </is>
      </c>
      <c r="Q47" s="4" t="n">
        <v>1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HASLS22260900677</t>
        </is>
      </c>
      <c r="B48" s="4" t="inlineStr">
        <is>
          <t>SWDN</t>
        </is>
      </c>
      <c r="C48" s="4" t="inlineStr">
        <is>
          <t>2610N</t>
        </is>
      </c>
      <c r="D48" s="4" t="inlineStr">
        <is>
          <t>202610060900</t>
        </is>
      </c>
      <c r="E48" s="4" t="inlineStr"/>
      <c r="F48" s="4" t="inlineStr">
        <is>
          <t>THBKK</t>
        </is>
      </c>
      <c r="G48" s="4" t="inlineStr">
        <is>
          <t>KRINC</t>
        </is>
      </c>
      <c r="H48" s="4" t="inlineStr">
        <is>
          <t xml:space="preserve">40Hx1 20'x1 </t>
        </is>
      </c>
      <c r="I48" s="4" t="inlineStr">
        <is>
          <t>BKK27</t>
        </is>
      </c>
      <c r="J48" s="4" t="inlineStr">
        <is>
          <t>B.C. DEPOT CO.,LTD. ( Bang-Na KM.18)</t>
        </is>
      </c>
      <c r="K48" s="4" t="inlineStr">
        <is>
          <t>20260929</t>
        </is>
      </c>
      <c r="L48" s="4" t="inlineStr">
        <is>
          <t>YUSEN LOGISTICS (THAILAND) CO., LTD.</t>
        </is>
      </c>
      <c r="M48" s="4" t="inlineStr">
        <is>
          <t>YUSEN LOGISTICS (THAILAND) CO., LTD.</t>
        </is>
      </c>
      <c r="N48" s="4" t="inlineStr">
        <is>
          <t>PRINTING FOR INDUSTRY</t>
        </is>
      </c>
      <c r="O48" s="4" t="inlineStr">
        <is>
          <t>GOOD AND CLEAN CONTAINER</t>
        </is>
      </c>
      <c r="P48" s="4" t="inlineStr">
        <is>
          <t>Pickup : 2026-09-29, Return : 2026-09-29 [1ST RTN 29/09/2026 W/O RENT]</t>
        </is>
      </c>
      <c r="Q48" s="4" t="n">
        <v>1</v>
      </c>
      <c r="R48" s="4" t="n">
        <v>0</v>
      </c>
      <c r="S48" s="4" t="n">
        <v>1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HASLS22260900711</t>
        </is>
      </c>
      <c r="B49" s="4" t="inlineStr">
        <is>
          <t>KMBK</t>
        </is>
      </c>
      <c r="C49" s="4" t="inlineStr">
        <is>
          <t>2611N</t>
        </is>
      </c>
      <c r="D49" s="4" t="inlineStr">
        <is>
          <t>202610030900</t>
        </is>
      </c>
      <c r="E49" s="4" t="inlineStr"/>
      <c r="F49" s="4" t="inlineStr">
        <is>
          <t>THBKK</t>
        </is>
      </c>
      <c r="G49" s="4" t="inlineStr">
        <is>
          <t>VNSGN</t>
        </is>
      </c>
      <c r="H49" s="4" t="inlineStr">
        <is>
          <t xml:space="preserve">R40Hx1 </t>
        </is>
      </c>
      <c r="I49" s="4" t="inlineStr">
        <is>
          <t>BKK27</t>
        </is>
      </c>
      <c r="J49" s="4" t="inlineStr">
        <is>
          <t>B.C. DEPOT CO.,LTD. ( Bang-Na KM.18)</t>
        </is>
      </c>
      <c r="K49" s="4" t="inlineStr">
        <is>
          <t>20261001</t>
        </is>
      </c>
      <c r="L49" s="4" t="inlineStr">
        <is>
          <t>PACIFIC STAR ALLIANCE CO., LTD.</t>
        </is>
      </c>
      <c r="M49" s="4" t="inlineStr">
        <is>
          <t>WIN CHANCE INDUSTRIES CO.,LTD.</t>
        </is>
      </c>
      <c r="N49" s="4" t="inlineStr">
        <is>
          <t>SAUCE</t>
        </is>
      </c>
      <c r="O49" s="4" t="inlineStr">
        <is>
          <t>*PRE-COOL* RF45REx1 (Temp -18.0℃ / Vent Close)</t>
        </is>
      </c>
      <c r="P49" s="4" t="inlineStr">
        <is>
          <t>Pickup : 2026-10-01, Return : 2026-10-01  (Temp -18.0 / Vent Close) *PRECOOL*
CLS TIME  01/10/26 @23.59   COST PRE-COOL = 1,200 BAHT</t>
        </is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1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HASLS22260900715</t>
        </is>
      </c>
      <c r="B50" s="4" t="inlineStr">
        <is>
          <t>SWMM</t>
        </is>
      </c>
      <c r="C50" s="4" t="inlineStr">
        <is>
          <t>2610N</t>
        </is>
      </c>
      <c r="D50" s="4" t="inlineStr">
        <is>
          <t>202610210400</t>
        </is>
      </c>
      <c r="E50" s="4" t="inlineStr"/>
      <c r="F50" s="4" t="inlineStr">
        <is>
          <t>THBKK</t>
        </is>
      </c>
      <c r="G50" s="4" t="inlineStr">
        <is>
          <t>KRPTK</t>
        </is>
      </c>
      <c r="H50" s="4" t="inlineStr">
        <is>
          <t xml:space="preserve">20'x10 </t>
        </is>
      </c>
      <c r="I50" s="4" t="inlineStr">
        <is>
          <t>BKK27</t>
        </is>
      </c>
      <c r="J50" s="4" t="inlineStr">
        <is>
          <t>B.C. DEPOT CO.,LTD. ( Bang-Na KM.18)</t>
        </is>
      </c>
      <c r="K50" s="4" t="inlineStr">
        <is>
          <t>20261012</t>
        </is>
      </c>
      <c r="L50" s="4" t="inlineStr">
        <is>
          <t>DP WORLD LOGISTICS SOLUTIONS (THAILAND) COMPANY LIMITED</t>
        </is>
      </c>
      <c r="M50" s="4" t="inlineStr">
        <is>
          <t>DP WORLD LOGISTICS SOLUTIONS (THAILAND) COMPANY LIMITED</t>
        </is>
      </c>
      <c r="N50" s="4" t="inlineStr">
        <is>
          <t>SOYBEAN OIL</t>
        </is>
      </c>
      <c r="O50" s="4" t="inlineStr">
        <is>
          <t>**APPROVE BY hwkang2 DD: 28/09/26** *FLEXIBAG*
SURVEY + Pickup : 2026-10-12</t>
        </is>
      </c>
      <c r="P50" s="4" t="inlineStr">
        <is>
          <t>**APPROVE BY hwkang2 DD: 28/09/26** *FLEXIBAG*
SURVEY + Pickup : 2026-10-12, Return : 2026-10-14 (1ST RTN DD: 15/10/26 WO/RENT)</t>
        </is>
      </c>
      <c r="Q50" s="4" t="n">
        <v>10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HASLS22260900730</t>
        </is>
      </c>
      <c r="B51" s="4" t="inlineStr">
        <is>
          <t>DJCF</t>
        </is>
      </c>
      <c r="C51" s="4" t="inlineStr">
        <is>
          <t>0152N</t>
        </is>
      </c>
      <c r="D51" s="4" t="inlineStr">
        <is>
          <t>202610111000</t>
        </is>
      </c>
      <c r="E51" s="4" t="inlineStr"/>
      <c r="F51" s="4" t="inlineStr">
        <is>
          <t>THBKK</t>
        </is>
      </c>
      <c r="G51" s="4" t="inlineStr">
        <is>
          <t>VNSGN</t>
        </is>
      </c>
      <c r="H51" s="4" t="inlineStr">
        <is>
          <t xml:space="preserve">40Hx1 </t>
        </is>
      </c>
      <c r="I51" s="4" t="inlineStr">
        <is>
          <t>BKK27</t>
        </is>
      </c>
      <c r="J51" s="4" t="inlineStr">
        <is>
          <t>B.C. DEPOT CO.,LTD. ( Bang-Na KM.18)</t>
        </is>
      </c>
      <c r="K51" s="4" t="inlineStr">
        <is>
          <t>20261005</t>
        </is>
      </c>
      <c r="L51" s="4" t="inlineStr">
        <is>
          <t>SDS-ACUTECH CO., LTD.</t>
        </is>
      </c>
      <c r="M51" s="4" t="inlineStr">
        <is>
          <t>APEX CIRCUIT (THAILAND) CO., LTD.</t>
        </is>
      </c>
      <c r="N51" s="4" t="inlineStr">
        <is>
          <t>PRINTED CIRCUIT BOARD</t>
        </is>
      </c>
      <c r="O51" s="4" t="inlineStr">
        <is>
          <t>GOOD AND CLEAN CONTAINER</t>
        </is>
      </c>
      <c r="P51" s="4" t="inlineStr">
        <is>
          <t xml:space="preserve">Pickup : 2026-10-05, Return : 2026-10-06 </t>
        </is>
      </c>
      <c r="Q51" s="4" t="n">
        <v>0</v>
      </c>
      <c r="R51" s="4" t="n">
        <v>0</v>
      </c>
      <c r="S51" s="4" t="n">
        <v>1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HASLS22260900762</t>
        </is>
      </c>
      <c r="B52" s="4" t="inlineStr">
        <is>
          <t>HAB</t>
        </is>
      </c>
      <c r="C52" s="4" t="inlineStr">
        <is>
          <t>2612N</t>
        </is>
      </c>
      <c r="D52" s="4" t="inlineStr">
        <is>
          <t>202610251800</t>
        </is>
      </c>
      <c r="E52" s="4" t="inlineStr">
        <is>
          <t>THSRP</t>
        </is>
      </c>
      <c r="F52" s="4" t="inlineStr">
        <is>
          <t>THLCH</t>
        </is>
      </c>
      <c r="G52" s="4" t="inlineStr">
        <is>
          <t>CNSHA</t>
        </is>
      </c>
      <c r="H52" s="4" t="inlineStr">
        <is>
          <t xml:space="preserve">40Hx3 20'x1 </t>
        </is>
      </c>
      <c r="I52" s="4" t="inlineStr">
        <is>
          <t>BKK27</t>
        </is>
      </c>
      <c r="J52" s="4" t="inlineStr">
        <is>
          <t>B.C. DEPOT CO.,LTD. ( Bang-Na KM.18)</t>
        </is>
      </c>
      <c r="K52" s="4" t="inlineStr">
        <is>
          <t>20261017</t>
        </is>
      </c>
      <c r="L52" s="4" t="inlineStr">
        <is>
          <t>ELC CONTAINER LINES CO.,LTD.</t>
        </is>
      </c>
      <c r="M52" s="4" t="inlineStr">
        <is>
          <t>THAI ARROW PRODUCTS CO., LTD.</t>
        </is>
      </c>
      <c r="N52" s="4" t="inlineStr">
        <is>
          <t>RAW MATERIAL</t>
        </is>
      </c>
      <c r="O52" s="4" t="inlineStr">
        <is>
          <t>GOOD AND CLEAN CONTAINER</t>
        </is>
      </c>
      <c r="P52" s="4" t="inlineStr">
        <is>
          <t>Pickup : 2026-10-17, Return SRP : 2026-10-20 [PAPERLESS CODE 2829]
CLS TIME 20/10/26 @23.59</t>
        </is>
      </c>
      <c r="Q52" s="4" t="n">
        <v>1</v>
      </c>
      <c r="R52" s="4" t="n">
        <v>0</v>
      </c>
      <c r="S52" s="4" t="n">
        <v>3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HASLS22260900775</t>
        </is>
      </c>
      <c r="B53" s="4" t="inlineStr">
        <is>
          <t>SWDN</t>
        </is>
      </c>
      <c r="C53" s="4" t="inlineStr">
        <is>
          <t>2610N</t>
        </is>
      </c>
      <c r="D53" s="4" t="inlineStr">
        <is>
          <t>202610060900</t>
        </is>
      </c>
      <c r="E53" s="4" t="inlineStr"/>
      <c r="F53" s="4" t="inlineStr">
        <is>
          <t>THBKK</t>
        </is>
      </c>
      <c r="G53" s="4" t="inlineStr">
        <is>
          <t>KRINC</t>
        </is>
      </c>
      <c r="H53" s="4" t="inlineStr">
        <is>
          <t xml:space="preserve">20'x1 </t>
        </is>
      </c>
      <c r="I53" s="4" t="inlineStr">
        <is>
          <t>BKK27</t>
        </is>
      </c>
      <c r="J53" s="4" t="inlineStr">
        <is>
          <t>B.C. DEPOT CO.,LTD. ( Bang-Na KM.18)</t>
        </is>
      </c>
      <c r="K53" s="4" t="inlineStr">
        <is>
          <t>20260928</t>
        </is>
      </c>
      <c r="L53" s="4" t="inlineStr">
        <is>
          <t>GATEWAY CONTAINER LINE CO., LTD.</t>
        </is>
      </c>
      <c r="M53" s="4" t="inlineStr">
        <is>
          <t>I-TAIL CORPORATION PUBLIC COMPANY LIMITED</t>
        </is>
      </c>
      <c r="N53" s="4" t="inlineStr">
        <is>
          <t>PET FOOD</t>
        </is>
      </c>
      <c r="O53" s="4" t="inlineStr">
        <is>
          <t>GOOD AND CLEAN CONTAINER</t>
        </is>
      </c>
      <c r="P53" s="4" t="inlineStr">
        <is>
          <t xml:space="preserve">Pickup : 2026-09-28, Return : 2026-09-29 (1ST RTN 29/09 W/O RENT) 
 </t>
        </is>
      </c>
      <c r="Q53" s="4" t="n">
        <v>1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HASLS22260900782</t>
        </is>
      </c>
      <c r="B54" s="4" t="inlineStr">
        <is>
          <t>KMTP</t>
        </is>
      </c>
      <c r="C54" s="4" t="inlineStr">
        <is>
          <t>2612N</t>
        </is>
      </c>
      <c r="D54" s="4" t="inlineStr">
        <is>
          <t>202610120800</t>
        </is>
      </c>
      <c r="E54" s="4" t="inlineStr"/>
      <c r="F54" s="4" t="inlineStr">
        <is>
          <t>THBKK</t>
        </is>
      </c>
      <c r="G54" s="4" t="inlineStr">
        <is>
          <t>HKHKG</t>
        </is>
      </c>
      <c r="H54" s="4" t="inlineStr">
        <is>
          <t xml:space="preserve">20'x3 </t>
        </is>
      </c>
      <c r="I54" s="4" t="inlineStr">
        <is>
          <t>BKK27</t>
        </is>
      </c>
      <c r="J54" s="4" t="inlineStr">
        <is>
          <t>B.C. DEPOT CO.,LTD. ( Bang-Na KM.18)</t>
        </is>
      </c>
      <c r="K54" s="4" t="inlineStr">
        <is>
          <t>20261001</t>
        </is>
      </c>
      <c r="L54" s="4" t="inlineStr">
        <is>
          <t>CARGO CARE LOGISTICS CO., LTD.</t>
        </is>
      </c>
      <c r="M54" s="4" t="inlineStr">
        <is>
          <t>RIVER KWAI INTERNATIONAL FOOD INDUSTRY CO., LTD.</t>
        </is>
      </c>
      <c r="N54" s="4" t="inlineStr">
        <is>
          <t>SWEET CORN</t>
        </is>
      </c>
      <c r="O54" s="4" t="inlineStr">
        <is>
          <t>Good and clean Container (Food Grade)
(No leaks, no odors, and no oil stains.)</t>
        </is>
      </c>
      <c r="P54" s="4" t="inlineStr">
        <is>
          <t xml:space="preserve">Pickup : 2026-10-07, Return : 2026-10-08  </t>
        </is>
      </c>
      <c r="Q54" s="4" t="n">
        <v>3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HASLS22260900788</t>
        </is>
      </c>
      <c r="B55" s="4" t="inlineStr">
        <is>
          <t>KJT</t>
        </is>
      </c>
      <c r="C55" s="4" t="inlineStr">
        <is>
          <t>2611N</t>
        </is>
      </c>
      <c r="D55" s="4" t="inlineStr">
        <is>
          <t>202610141800</t>
        </is>
      </c>
      <c r="E55" s="4" t="inlineStr"/>
      <c r="F55" s="4" t="inlineStr">
        <is>
          <t>THBKK</t>
        </is>
      </c>
      <c r="G55" s="4" t="inlineStr">
        <is>
          <t>TWKEL</t>
        </is>
      </c>
      <c r="H55" s="4" t="inlineStr">
        <is>
          <t xml:space="preserve">40Hx2 </t>
        </is>
      </c>
      <c r="I55" s="4" t="inlineStr">
        <is>
          <t>BKK27</t>
        </is>
      </c>
      <c r="J55" s="4" t="inlineStr">
        <is>
          <t>B.C. DEPOT CO.,LTD. ( Bang-Na KM.18)</t>
        </is>
      </c>
      <c r="K55" s="4" t="inlineStr">
        <is>
          <t>20261009</t>
        </is>
      </c>
      <c r="L55" s="4" t="inlineStr">
        <is>
          <t>INDIGO LINE CO., LTD.</t>
        </is>
      </c>
      <c r="M55" s="4" t="inlineStr">
        <is>
          <t>CHANG YI TRADING CO.,L TD</t>
        </is>
      </c>
      <c r="N55" s="4" t="inlineStr">
        <is>
          <t xml:space="preserve">FOODSTUFFS </t>
        </is>
      </c>
      <c r="O55" s="4" t="inlineStr">
        <is>
          <t>REUQEST CONTIANER GOOD CONDITION FOR FOODSTUFF</t>
        </is>
      </c>
      <c r="P55" s="4" t="inlineStr">
        <is>
          <t xml:space="preserve">Pickup : 2026-10-09, Return : 2026-10-10 </t>
        </is>
      </c>
      <c r="Q55" s="4" t="n">
        <v>0</v>
      </c>
      <c r="R55" s="4" t="n">
        <v>0</v>
      </c>
      <c r="S55" s="4" t="n">
        <v>2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HASLS22260900796</t>
        </is>
      </c>
      <c r="B56" s="4" t="inlineStr">
        <is>
          <t>SWSP</t>
        </is>
      </c>
      <c r="C56" s="4" t="inlineStr">
        <is>
          <t>2609N</t>
        </is>
      </c>
      <c r="D56" s="4" t="inlineStr">
        <is>
          <t>202610071530</t>
        </is>
      </c>
      <c r="E56" s="4" t="inlineStr"/>
      <c r="F56" s="4" t="inlineStr">
        <is>
          <t>THBKK</t>
        </is>
      </c>
      <c r="G56" s="4" t="inlineStr">
        <is>
          <t>JPSDJ</t>
        </is>
      </c>
      <c r="H56" s="4" t="inlineStr">
        <is>
          <t xml:space="preserve">20'x1 </t>
        </is>
      </c>
      <c r="I56" s="4" t="inlineStr">
        <is>
          <t>BKK27</t>
        </is>
      </c>
      <c r="J56" s="4" t="inlineStr">
        <is>
          <t>B.C. DEPOT CO.,LTD. ( Bang-Na KM.18)</t>
        </is>
      </c>
      <c r="K56" s="4" t="inlineStr">
        <is>
          <t>20260929</t>
        </is>
      </c>
      <c r="L56" s="4" t="inlineStr">
        <is>
          <t>BIRLA CARBON (THAILAND) PUBLIC COMPANY LIMITED</t>
        </is>
      </c>
      <c r="M56" s="4" t="inlineStr">
        <is>
          <t>BIRLA CARBON (THAILAND) PUBLIC COMPANY LIMITED</t>
        </is>
      </c>
      <c r="N56" s="4" t="inlineStr">
        <is>
          <t>CABON BLACK</t>
        </is>
      </c>
      <c r="O56" s="4" t="inlineStr">
        <is>
          <t>**Clean container / No rust / No hole / No sharp surface inside areas in container</t>
        </is>
      </c>
      <c r="P56" s="4" t="inlineStr">
        <is>
          <t xml:space="preserve">Pickup : 2026-09-29, Return : 2026-10-01 
 </t>
        </is>
      </c>
      <c r="Q56" s="4" t="n">
        <v>1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HASLS22260900810</t>
        </is>
      </c>
      <c r="B57" s="4" t="inlineStr">
        <is>
          <t>KUS</t>
        </is>
      </c>
      <c r="C57" s="4" t="inlineStr">
        <is>
          <t>2616N</t>
        </is>
      </c>
      <c r="D57" s="4" t="inlineStr">
        <is>
          <t>202610141100</t>
        </is>
      </c>
      <c r="E57" s="4" t="inlineStr"/>
      <c r="F57" s="4" t="inlineStr">
        <is>
          <t>THBKK</t>
        </is>
      </c>
      <c r="G57" s="4" t="inlineStr">
        <is>
          <t>JPTKS</t>
        </is>
      </c>
      <c r="H57" s="4" t="inlineStr">
        <is>
          <t xml:space="preserve">40Hx4 </t>
        </is>
      </c>
      <c r="I57" s="4" t="inlineStr">
        <is>
          <t>BKK27</t>
        </is>
      </c>
      <c r="J57" s="4" t="inlineStr">
        <is>
          <t>B.C. DEPOT CO.,LTD. ( Bang-Na KM.18)</t>
        </is>
      </c>
      <c r="K57" s="4" t="inlineStr">
        <is>
          <t>20261008</t>
        </is>
      </c>
      <c r="L57" s="4" t="inlineStr">
        <is>
          <t>YOUNGSUWAT TRADING CO.,LTD.</t>
        </is>
      </c>
      <c r="M57" s="4" t="inlineStr">
        <is>
          <t>YOUNGSUWAT TRADING CO.,LTD.</t>
        </is>
      </c>
      <c r="N57" s="4" t="inlineStr">
        <is>
          <t>CORN COB MEAL</t>
        </is>
      </c>
      <c r="O57" s="4" t="inlineStr">
        <is>
          <t>Req.CNTR : Good, Clean, No Hole, Dry,</t>
        </is>
      </c>
      <c r="P57" s="4" t="inlineStr">
        <is>
          <t>Pickup : 2026-10-08, Return : 2026-10-09</t>
        </is>
      </c>
      <c r="Q57" s="4" t="n">
        <v>0</v>
      </c>
      <c r="R57" s="4" t="n">
        <v>0</v>
      </c>
      <c r="S57" s="4" t="n">
        <v>4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HASLS22260900812</t>
        </is>
      </c>
      <c r="B58" s="4" t="inlineStr">
        <is>
          <t>KUS</t>
        </is>
      </c>
      <c r="C58" s="4" t="inlineStr">
        <is>
          <t>2616N</t>
        </is>
      </c>
      <c r="D58" s="4" t="inlineStr">
        <is>
          <t>202610141100</t>
        </is>
      </c>
      <c r="E58" s="4" t="inlineStr"/>
      <c r="F58" s="4" t="inlineStr">
        <is>
          <t>THBKK</t>
        </is>
      </c>
      <c r="G58" s="4" t="inlineStr">
        <is>
          <t>JPKIJ</t>
        </is>
      </c>
      <c r="H58" s="4" t="inlineStr">
        <is>
          <t xml:space="preserve">40Hx2 </t>
        </is>
      </c>
      <c r="I58" s="4" t="inlineStr">
        <is>
          <t>BKK27</t>
        </is>
      </c>
      <c r="J58" s="4" t="inlineStr">
        <is>
          <t>B.C. DEPOT CO.,LTD. ( Bang-Na KM.18)</t>
        </is>
      </c>
      <c r="K58" s="4" t="inlineStr">
        <is>
          <t>20261008</t>
        </is>
      </c>
      <c r="L58" s="4" t="inlineStr">
        <is>
          <t>YOUNGSUWAT TRADING CO.,LTD.</t>
        </is>
      </c>
      <c r="M58" s="4" t="inlineStr">
        <is>
          <t>YOUNGSUWAT TRADING CO.,LTD.</t>
        </is>
      </c>
      <c r="N58" s="4" t="inlineStr">
        <is>
          <t>CORN COB MEAL</t>
        </is>
      </c>
      <c r="O58" s="4" t="inlineStr">
        <is>
          <t>Req.CNTR : Good, Clean, No Hole, Dry</t>
        </is>
      </c>
      <c r="P58" s="4" t="inlineStr">
        <is>
          <t>Pickup : 2026-10-08, Return : 2026-10-09</t>
        </is>
      </c>
      <c r="Q58" s="4" t="n">
        <v>0</v>
      </c>
      <c r="R58" s="4" t="n">
        <v>0</v>
      </c>
      <c r="S58" s="4" t="n">
        <v>2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HASLS22260900813</t>
        </is>
      </c>
      <c r="B59" s="4" t="inlineStr">
        <is>
          <t>SWBT</t>
        </is>
      </c>
      <c r="C59" s="4" t="inlineStr">
        <is>
          <t>2616N</t>
        </is>
      </c>
      <c r="D59" s="4" t="inlineStr">
        <is>
          <t>202610130600</t>
        </is>
      </c>
      <c r="E59" s="4" t="inlineStr"/>
      <c r="F59" s="4" t="inlineStr">
        <is>
          <t>THBKK</t>
        </is>
      </c>
      <c r="G59" s="4" t="inlineStr">
        <is>
          <t>JPTMK</t>
        </is>
      </c>
      <c r="H59" s="4" t="inlineStr">
        <is>
          <t xml:space="preserve">40Hx2 </t>
        </is>
      </c>
      <c r="I59" s="4" t="inlineStr">
        <is>
          <t>BKK27</t>
        </is>
      </c>
      <c r="J59" s="4" t="inlineStr">
        <is>
          <t>B.C. DEPOT CO.,LTD. ( Bang-Na KM.18)</t>
        </is>
      </c>
      <c r="K59" s="4" t="inlineStr">
        <is>
          <t>20261007</t>
        </is>
      </c>
      <c r="L59" s="4" t="inlineStr">
        <is>
          <t>YOUNGSUWAT TRADING CO.,LTD.</t>
        </is>
      </c>
      <c r="M59" s="4" t="inlineStr">
        <is>
          <t>YOUNGSUWAT TRADING CO.,LTD.</t>
        </is>
      </c>
      <c r="N59" s="4" t="inlineStr">
        <is>
          <t>CORN COB MEAL</t>
        </is>
      </c>
      <c r="O59" s="4" t="inlineStr">
        <is>
          <t>Req.CNTR : Good, Clean, No Hole, Dry,</t>
        </is>
      </c>
      <c r="P59" s="4" t="inlineStr">
        <is>
          <t>Pickup : 2026-10-07, Return : 2026-10-08</t>
        </is>
      </c>
      <c r="Q59" s="4" t="n">
        <v>0</v>
      </c>
      <c r="R59" s="4" t="n">
        <v>0</v>
      </c>
      <c r="S59" s="4" t="n">
        <v>2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HASLS22260900821</t>
        </is>
      </c>
      <c r="B60" s="4" t="inlineStr">
        <is>
          <t>SWAL</t>
        </is>
      </c>
      <c r="C60" s="4" t="inlineStr">
        <is>
          <t>2609N</t>
        </is>
      </c>
      <c r="D60" s="4" t="inlineStr">
        <is>
          <t>202610191500</t>
        </is>
      </c>
      <c r="E60" s="4" t="inlineStr"/>
      <c r="F60" s="4" t="inlineStr">
        <is>
          <t>THBKK</t>
        </is>
      </c>
      <c r="G60" s="4" t="inlineStr">
        <is>
          <t>JPTKS</t>
        </is>
      </c>
      <c r="H60" s="4" t="inlineStr">
        <is>
          <t xml:space="preserve">40Hx3 </t>
        </is>
      </c>
      <c r="I60" s="4" t="inlineStr">
        <is>
          <t>BKK27</t>
        </is>
      </c>
      <c r="J60" s="4" t="inlineStr">
        <is>
          <t>B.C. DEPOT CO.,LTD. ( Bang-Na KM.18)</t>
        </is>
      </c>
      <c r="K60" s="4" t="inlineStr">
        <is>
          <t>20261014</t>
        </is>
      </c>
      <c r="L60" s="4" t="inlineStr">
        <is>
          <t>YOUNGSUWAT TRADING CO.,LTD.</t>
        </is>
      </c>
      <c r="M60" s="4" t="inlineStr">
        <is>
          <t>YOUNGSUWAT TRADING CO.,LTD.</t>
        </is>
      </c>
      <c r="N60" s="4" t="inlineStr">
        <is>
          <t>CORN COB MEAL</t>
        </is>
      </c>
      <c r="O60" s="4" t="inlineStr">
        <is>
          <t>Req.CNTR : Good, Clean, No Hole, Dry,</t>
        </is>
      </c>
      <c r="P60" s="4" t="inlineStr">
        <is>
          <t>Pickup : 2026-10-14, Return : 2026-10-15</t>
        </is>
      </c>
      <c r="Q60" s="4" t="n">
        <v>0</v>
      </c>
      <c r="R60" s="4" t="n">
        <v>0</v>
      </c>
      <c r="S60" s="4" t="n">
        <v>3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HASLS22260900822</t>
        </is>
      </c>
      <c r="B61" s="4" t="inlineStr">
        <is>
          <t>SWAL</t>
        </is>
      </c>
      <c r="C61" s="4" t="inlineStr">
        <is>
          <t>2609N</t>
        </is>
      </c>
      <c r="D61" s="4" t="inlineStr">
        <is>
          <t>202610191500</t>
        </is>
      </c>
      <c r="E61" s="4" t="inlineStr"/>
      <c r="F61" s="4" t="inlineStr">
        <is>
          <t>THBKK</t>
        </is>
      </c>
      <c r="G61" s="4" t="inlineStr">
        <is>
          <t>JPKIJ</t>
        </is>
      </c>
      <c r="H61" s="4" t="inlineStr">
        <is>
          <t xml:space="preserve">40Hx2 </t>
        </is>
      </c>
      <c r="I61" s="4" t="inlineStr">
        <is>
          <t>BKK27</t>
        </is>
      </c>
      <c r="J61" s="4" t="inlineStr">
        <is>
          <t>B.C. DEPOT CO.,LTD. ( Bang-Na KM.18)</t>
        </is>
      </c>
      <c r="K61" s="4" t="inlineStr">
        <is>
          <t>20261014</t>
        </is>
      </c>
      <c r="L61" s="4" t="inlineStr">
        <is>
          <t>YOUNGSUWAT TRADING CO.,LTD.</t>
        </is>
      </c>
      <c r="M61" s="4" t="inlineStr">
        <is>
          <t>YOUNGSUWAT TRADING CO.,LTD.</t>
        </is>
      </c>
      <c r="N61" s="4" t="inlineStr">
        <is>
          <t>CORN COB MEAL</t>
        </is>
      </c>
      <c r="O61" s="4" t="inlineStr">
        <is>
          <t>Req.CNTR : Good, Clean, No Hole, Dry</t>
        </is>
      </c>
      <c r="P61" s="4" t="inlineStr">
        <is>
          <t>Pickup : 2026-10-14, Return : 2026-10-15</t>
        </is>
      </c>
      <c r="Q61" s="4" t="n">
        <v>0</v>
      </c>
      <c r="R61" s="4" t="n">
        <v>0</v>
      </c>
      <c r="S61" s="4" t="n">
        <v>2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HASLS22260900823</t>
        </is>
      </c>
      <c r="B62" s="4" t="inlineStr">
        <is>
          <t>SWAL</t>
        </is>
      </c>
      <c r="C62" s="4" t="inlineStr">
        <is>
          <t>2609N</t>
        </is>
      </c>
      <c r="D62" s="4" t="inlineStr">
        <is>
          <t>202610191500</t>
        </is>
      </c>
      <c r="E62" s="4" t="inlineStr"/>
      <c r="F62" s="4" t="inlineStr">
        <is>
          <t>THBKK</t>
        </is>
      </c>
      <c r="G62" s="4" t="inlineStr">
        <is>
          <t>JPTOS</t>
        </is>
      </c>
      <c r="H62" s="4" t="inlineStr">
        <is>
          <t xml:space="preserve">40Hx2 </t>
        </is>
      </c>
      <c r="I62" s="4" t="inlineStr">
        <is>
          <t>BKK27</t>
        </is>
      </c>
      <c r="J62" s="4" t="inlineStr">
        <is>
          <t>B.C. DEPOT CO.,LTD. ( Bang-Na KM.18)</t>
        </is>
      </c>
      <c r="K62" s="4" t="inlineStr">
        <is>
          <t>20261014</t>
        </is>
      </c>
      <c r="L62" s="4" t="inlineStr">
        <is>
          <t>YOUNGSUWAT TRADING CO.,LTD.</t>
        </is>
      </c>
      <c r="M62" s="4" t="inlineStr">
        <is>
          <t>YOUNGSUWAT TRADING CO.,LTD.</t>
        </is>
      </c>
      <c r="N62" s="4" t="inlineStr">
        <is>
          <t>CORN COB MEAL</t>
        </is>
      </c>
      <c r="O62" s="4" t="inlineStr">
        <is>
          <t>Req.CNTR : Good, Clean, No Hole, Dry</t>
        </is>
      </c>
      <c r="P62" s="4" t="inlineStr">
        <is>
          <t xml:space="preserve">Pickup : 2026-10-14, Return : 2026-10-15 </t>
        </is>
      </c>
      <c r="Q62" s="4" t="n">
        <v>0</v>
      </c>
      <c r="R62" s="4" t="n">
        <v>0</v>
      </c>
      <c r="S62" s="4" t="n">
        <v>2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HASLS22260900859</t>
        </is>
      </c>
      <c r="B63" s="4" t="inlineStr">
        <is>
          <t>SWMM</t>
        </is>
      </c>
      <c r="C63" s="4" t="inlineStr">
        <is>
          <t>2610N</t>
        </is>
      </c>
      <c r="D63" s="4" t="inlineStr">
        <is>
          <t>202610210400</t>
        </is>
      </c>
      <c r="E63" s="4" t="inlineStr"/>
      <c r="F63" s="4" t="inlineStr">
        <is>
          <t>THBKK</t>
        </is>
      </c>
      <c r="G63" s="4" t="inlineStr">
        <is>
          <t>VNSGN</t>
        </is>
      </c>
      <c r="H63" s="4" t="inlineStr">
        <is>
          <t xml:space="preserve">20'x1 </t>
        </is>
      </c>
      <c r="I63" s="4" t="inlineStr">
        <is>
          <t>BKK27</t>
        </is>
      </c>
      <c r="J63" s="4" t="inlineStr">
        <is>
          <t>B.C. DEPOT CO.,LTD. ( Bang-Na KM.18)</t>
        </is>
      </c>
      <c r="K63" s="4" t="inlineStr">
        <is>
          <t>20261016</t>
        </is>
      </c>
      <c r="L63" s="4" t="inlineStr">
        <is>
          <t>ACCORD PILOT LOGISTICS (THAILAND) CO., LTD.</t>
        </is>
      </c>
      <c r="M63" s="4" t="inlineStr">
        <is>
          <t>THAI MARSOL CO., LTD.</t>
        </is>
      </c>
      <c r="N63" s="4" t="inlineStr">
        <is>
          <t xml:space="preserve">PAPER LAMINATED </t>
        </is>
      </c>
      <c r="O63" s="4" t="inlineStr">
        <is>
          <t>REQUEST GOOD &amp; CLEAN CONTAINER ( CONTAINER GRADE A+++)</t>
        </is>
      </c>
      <c r="P63" s="4" t="inlineStr">
        <is>
          <t>Pickup : 2026-10-16, Return : 2026-10-16
CLS TIME DD.16/10/2026 @ 23.59</t>
        </is>
      </c>
      <c r="Q63" s="4" t="n">
        <v>1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HASLS22260900861</t>
        </is>
      </c>
      <c r="B64" s="4" t="inlineStr">
        <is>
          <t>KXM</t>
        </is>
      </c>
      <c r="C64" s="4" t="inlineStr">
        <is>
          <t>2608S</t>
        </is>
      </c>
      <c r="D64" s="4" t="inlineStr">
        <is>
          <t>202610100500</t>
        </is>
      </c>
      <c r="E64" s="4" t="inlineStr">
        <is>
          <t>THLKR</t>
        </is>
      </c>
      <c r="F64" s="4" t="inlineStr">
        <is>
          <t>THLCH</t>
        </is>
      </c>
      <c r="G64" s="4" t="inlineStr">
        <is>
          <t>IDJKT</t>
        </is>
      </c>
      <c r="H64" s="4" t="inlineStr">
        <is>
          <t xml:space="preserve">40Hx2 </t>
        </is>
      </c>
      <c r="I64" s="4" t="inlineStr">
        <is>
          <t>BKK27</t>
        </is>
      </c>
      <c r="J64" s="4" t="inlineStr">
        <is>
          <t>B.C. DEPOT CO.,LTD. ( Bang-Na KM.18)</t>
        </is>
      </c>
      <c r="K64" s="4" t="inlineStr">
        <is>
          <t>20261002</t>
        </is>
      </c>
      <c r="L64" s="4" t="inlineStr">
        <is>
          <t>HARBOUR NAVIGATION CO., LTD.</t>
        </is>
      </c>
      <c r="M64" s="4" t="inlineStr">
        <is>
          <t>TAOKAENOI FOOD &amp; MARKETING PUBLIC CO., LTD.</t>
        </is>
      </c>
      <c r="N64" s="4" t="inlineStr">
        <is>
          <t>SEAWEED</t>
        </is>
      </c>
      <c r="O64" s="4" t="inlineStr">
        <is>
          <t>REQUEST FOOD GRADE, A GRADE CLEAN AND GOOD CONTAINER</t>
        </is>
      </c>
      <c r="P64" s="4" t="inlineStr">
        <is>
          <t>Pickup : 2026-10-02, Return : 2026-10-03 Paperless Code 2835
Closing Time LKB 2026-10-07 @ 18.00</t>
        </is>
      </c>
      <c r="Q64" s="4" t="n">
        <v>0</v>
      </c>
      <c r="R64" s="4" t="n">
        <v>0</v>
      </c>
      <c r="S64" s="4" t="n">
        <v>2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HASLS22260900883</t>
        </is>
      </c>
      <c r="B65" s="4" t="inlineStr">
        <is>
          <t>KMBK</t>
        </is>
      </c>
      <c r="C65" s="4" t="inlineStr">
        <is>
          <t>2611N</t>
        </is>
      </c>
      <c r="D65" s="4" t="inlineStr">
        <is>
          <t>202610030900</t>
        </is>
      </c>
      <c r="E65" s="4" t="inlineStr"/>
      <c r="F65" s="4" t="inlineStr">
        <is>
          <t>THBKK</t>
        </is>
      </c>
      <c r="G65" s="4" t="inlineStr">
        <is>
          <t>JPNAH</t>
        </is>
      </c>
      <c r="H65" s="4" t="inlineStr">
        <is>
          <t xml:space="preserve">R40Hx1 </t>
        </is>
      </c>
      <c r="I65" s="4" t="inlineStr">
        <is>
          <t>BKK27</t>
        </is>
      </c>
      <c r="J65" s="4" t="inlineStr">
        <is>
          <t>B.C. DEPOT CO.,LTD. ( Bang-Na KM.18)</t>
        </is>
      </c>
      <c r="K65" s="4" t="inlineStr">
        <is>
          <t>20260928</t>
        </is>
      </c>
      <c r="L65" s="4" t="inlineStr">
        <is>
          <t>SIAM I-LOGISTICS LTD.</t>
        </is>
      </c>
      <c r="M65" s="4" t="inlineStr">
        <is>
          <t>CARGILL MEATS (THAILAND) LIMITED</t>
        </is>
      </c>
      <c r="N65" s="4" t="inlineStr">
        <is>
          <t>FROZEN CHICKEN</t>
        </is>
      </c>
      <c r="O65" s="4" t="inlineStr">
        <is>
          <t>(Temp -18.0℃ / Vent Close) EQUEST GOOD AND CLEAN CONTAINER</t>
        </is>
      </c>
      <c r="P65" s="4" t="inlineStr">
        <is>
          <t>Pickup : 2026-09-28, Return : 2026-09-29 RF45REx1 (Temp -18.0 / Vent Close) 
Closing Time 2026-10-01 @ 23.59 (1ST 30/09 W/O RENT)</t>
        </is>
      </c>
      <c r="Q65" s="4" t="n">
        <v>0</v>
      </c>
      <c r="R65" s="4" t="n">
        <v>0</v>
      </c>
      <c r="S65" s="4" t="n">
        <v>0</v>
      </c>
      <c r="T65" s="4" t="n">
        <v>0</v>
      </c>
      <c r="U65" s="4" t="n">
        <v>1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HASLS22260900892</t>
        </is>
      </c>
      <c r="B66" s="4" t="inlineStr">
        <is>
          <t>SWSR</t>
        </is>
      </c>
      <c r="C66" s="4" t="inlineStr">
        <is>
          <t>2611N</t>
        </is>
      </c>
      <c r="D66" s="4" t="inlineStr">
        <is>
          <t>202610110900</t>
        </is>
      </c>
      <c r="E66" s="4" t="inlineStr"/>
      <c r="F66" s="4" t="inlineStr">
        <is>
          <t>THBKK</t>
        </is>
      </c>
      <c r="G66" s="4" t="inlineStr">
        <is>
          <t>HKHKG</t>
        </is>
      </c>
      <c r="H66" s="4" t="inlineStr">
        <is>
          <t xml:space="preserve">20'x1 </t>
        </is>
      </c>
      <c r="I66" s="4" t="inlineStr">
        <is>
          <t>BKK27</t>
        </is>
      </c>
      <c r="J66" s="4" t="inlineStr">
        <is>
          <t>B.C. DEPOT CO.,LTD. ( Bang-Na KM.18)</t>
        </is>
      </c>
      <c r="K66" s="4" t="inlineStr">
        <is>
          <t>20261005</t>
        </is>
      </c>
      <c r="L66" s="4" t="inlineStr">
        <is>
          <t>ACCORD PILOT LOGISTICS (THAILAND) CO., LTD.</t>
        </is>
      </c>
      <c r="M66" s="4" t="inlineStr">
        <is>
          <t>THAI PLASPAC PUBLIC CO.,LTD.</t>
        </is>
      </c>
      <c r="N66" s="4" t="inlineStr">
        <is>
          <t>PLASTIC CAP</t>
        </is>
      </c>
      <c r="O66" s="4" t="inlineStr">
        <is>
          <t>REQUEST CLEAN AND GOOD CONTAINER **</t>
        </is>
      </c>
      <c r="P66" s="4" t="inlineStr">
        <is>
          <t>CY-RTN  : 05-06/10/2026 (1ST RTN DD: 03/10/26 WO/RENT)</t>
        </is>
      </c>
      <c r="Q66" s="4" t="n">
        <v>1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HASLS22260900897</t>
        </is>
      </c>
      <c r="B67" s="4" t="inlineStr">
        <is>
          <t>SWDN</t>
        </is>
      </c>
      <c r="C67" s="4" t="inlineStr">
        <is>
          <t>2610N</t>
        </is>
      </c>
      <c r="D67" s="4" t="inlineStr">
        <is>
          <t>202610060900</t>
        </is>
      </c>
      <c r="E67" s="4" t="inlineStr"/>
      <c r="F67" s="4" t="inlineStr">
        <is>
          <t>THBKK</t>
        </is>
      </c>
      <c r="G67" s="4" t="inlineStr">
        <is>
          <t>KRINC</t>
        </is>
      </c>
      <c r="H67" s="4" t="inlineStr">
        <is>
          <t xml:space="preserve">20'x1 </t>
        </is>
      </c>
      <c r="I67" s="4" t="inlineStr">
        <is>
          <t>BKK27</t>
        </is>
      </c>
      <c r="J67" s="4" t="inlineStr">
        <is>
          <t>B.C. DEPOT CO.,LTD. ( Bang-Na KM.18)</t>
        </is>
      </c>
      <c r="K67" s="4" t="inlineStr">
        <is>
          <t>20261001</t>
        </is>
      </c>
      <c r="L67" s="4" t="inlineStr">
        <is>
          <t>HAST LOGISTICS CO., LTD.</t>
        </is>
      </c>
      <c r="M67" s="4" t="inlineStr">
        <is>
          <t>BANGKOK THAI-RUS INTERCORP CO., LTD.</t>
        </is>
      </c>
      <c r="N67" s="4" t="inlineStr">
        <is>
          <t>FOODS AND BEVERAGES</t>
        </is>
      </c>
      <c r="O67" s="4" t="inlineStr">
        <is>
          <t>Food grade shipping container/ clean without smell required.</t>
        </is>
      </c>
      <c r="P67" s="4" t="inlineStr">
        <is>
          <t>Pickup : 2026-10-01, Return : 2026-10-03</t>
        </is>
      </c>
      <c r="Q67" s="4" t="n">
        <v>1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HASLS22260900909</t>
        </is>
      </c>
      <c r="B68" s="4" t="inlineStr">
        <is>
          <t>SWSP</t>
        </is>
      </c>
      <c r="C68" s="4" t="inlineStr">
        <is>
          <t>2609N</t>
        </is>
      </c>
      <c r="D68" s="4" t="inlineStr">
        <is>
          <t>202610071530</t>
        </is>
      </c>
      <c r="E68" s="4" t="inlineStr"/>
      <c r="F68" s="4" t="inlineStr">
        <is>
          <t>THBKK</t>
        </is>
      </c>
      <c r="G68" s="4" t="inlineStr">
        <is>
          <t>VNSGN</t>
        </is>
      </c>
      <c r="H68" s="4" t="inlineStr">
        <is>
          <t xml:space="preserve">R40Hx6 </t>
        </is>
      </c>
      <c r="I68" s="4" t="inlineStr">
        <is>
          <t>BKK27</t>
        </is>
      </c>
      <c r="J68" s="4" t="inlineStr">
        <is>
          <t>B.C. DEPOT CO.,LTD. ( Bang-Na KM.18)</t>
        </is>
      </c>
      <c r="K68" s="4" t="inlineStr">
        <is>
          <t>20260928</t>
        </is>
      </c>
      <c r="L68" s="4" t="inlineStr">
        <is>
          <t>SIAM I-LOGISTICS LTD.</t>
        </is>
      </c>
      <c r="M68" s="4" t="inlineStr">
        <is>
          <t>GOLDEN PRIZE CANNING CO., LTD.</t>
        </is>
      </c>
      <c r="N68" s="4" t="inlineStr">
        <is>
          <t>FROZEN TUNA</t>
        </is>
      </c>
      <c r="O68" s="4" t="inlineStr">
        <is>
          <t>(Temp -25.0℃ / Vent Close) 
REQUEST GOOD AND CLEAN CONTAINER</t>
        </is>
      </c>
      <c r="P68" s="4" t="inlineStr">
        <is>
          <t>Pickup : 2026-09-28, Return : 2026-09-28(Temp -25.0 / Vent Close) 
CLOSING TIME 2026-10-04 @ 0500 (1ST 02/10 RETURN W/O RENT)</t>
        </is>
      </c>
      <c r="Q68" s="4" t="n">
        <v>0</v>
      </c>
      <c r="R68" s="4" t="n">
        <v>0</v>
      </c>
      <c r="S68" s="4" t="n">
        <v>0</v>
      </c>
      <c r="T68" s="4" t="n">
        <v>0</v>
      </c>
      <c r="U68" s="4" t="n">
        <v>6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HASLS22260900912</t>
        </is>
      </c>
      <c r="B69" s="4" t="inlineStr">
        <is>
          <t>KMBK</t>
        </is>
      </c>
      <c r="C69" s="4" t="inlineStr">
        <is>
          <t>2611N</t>
        </is>
      </c>
      <c r="D69" s="4" t="inlineStr">
        <is>
          <t>202610030900</t>
        </is>
      </c>
      <c r="E69" s="4" t="inlineStr"/>
      <c r="F69" s="4" t="inlineStr">
        <is>
          <t>THBKK</t>
        </is>
      </c>
      <c r="G69" s="4" t="inlineStr">
        <is>
          <t>VNSGN</t>
        </is>
      </c>
      <c r="H69" s="4" t="inlineStr">
        <is>
          <t xml:space="preserve">20RFx1 </t>
        </is>
      </c>
      <c r="I69" s="4" t="inlineStr">
        <is>
          <t>BKK27</t>
        </is>
      </c>
      <c r="J69" s="4" t="inlineStr">
        <is>
          <t>B.C. DEPOT CO.,LTD. ( Bang-Na KM.18)</t>
        </is>
      </c>
      <c r="K69" s="4" t="inlineStr">
        <is>
          <t>20260929</t>
        </is>
      </c>
      <c r="L69" s="4" t="inlineStr">
        <is>
          <t>FIBS LOGISTICS CO., LTD.</t>
        </is>
      </c>
      <c r="M69" s="4" t="inlineStr">
        <is>
          <t>THAI DELMAR CO., LTD.</t>
        </is>
      </c>
      <c r="N69" s="4" t="inlineStr">
        <is>
          <t>FROZEN BREADED ALASKA POLLOCK FILLET</t>
        </is>
      </c>
      <c r="O69" s="4" t="inlineStr">
        <is>
          <t>(Temp -23.0℃ / Vent Close) REQUEST CLEAN CONTAINER AND GOOD CONDITION</t>
        </is>
      </c>
      <c r="P69" s="4" t="inlineStr">
        <is>
          <t>Pickup : 2026-09-29, Return : 2026-09-30 (Temp -23.0 / Vent Close) 
CLS TIME 01/10/26 @23.59</t>
        </is>
      </c>
      <c r="Q69" s="4" t="n">
        <v>0</v>
      </c>
      <c r="R69" s="4" t="n">
        <v>0</v>
      </c>
      <c r="S69" s="4" t="n">
        <v>0</v>
      </c>
      <c r="T69" s="4" t="n">
        <v>1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HASLS22260900942</t>
        </is>
      </c>
      <c r="B70" s="4" t="inlineStr">
        <is>
          <t>SWSP</t>
        </is>
      </c>
      <c r="C70" s="4" t="inlineStr">
        <is>
          <t>2609N</t>
        </is>
      </c>
      <c r="D70" s="4" t="inlineStr">
        <is>
          <t>202610071530</t>
        </is>
      </c>
      <c r="E70" s="4" t="inlineStr"/>
      <c r="F70" s="4" t="inlineStr">
        <is>
          <t>THBKK</t>
        </is>
      </c>
      <c r="G70" s="4" t="inlineStr">
        <is>
          <t>VNSGN</t>
        </is>
      </c>
      <c r="H70" s="4" t="inlineStr">
        <is>
          <t xml:space="preserve">20'x1 </t>
        </is>
      </c>
      <c r="I70" s="4" t="inlineStr">
        <is>
          <t>BKK27</t>
        </is>
      </c>
      <c r="J70" s="4" t="inlineStr">
        <is>
          <t>B.C. DEPOT CO.,LTD. ( Bang-Na KM.18)</t>
        </is>
      </c>
      <c r="K70" s="4" t="inlineStr">
        <is>
          <t>20261001</t>
        </is>
      </c>
      <c r="L70" s="4" t="inlineStr">
        <is>
          <t>MACPRO EXPRESS CO., LTD.</t>
        </is>
      </c>
      <c r="M70" s="4" t="inlineStr">
        <is>
          <t>THAI NAKORN PATANA CO., LTD.</t>
        </is>
      </c>
      <c r="N70" s="4" t="inlineStr">
        <is>
          <t>MEDICAL PRODUCT</t>
        </is>
      </c>
      <c r="O70" s="4" t="inlineStr">
        <is>
          <t>GOOD &amp; CLEAN CONTAINER</t>
        </is>
      </c>
      <c r="P70" s="4" t="inlineStr">
        <is>
          <t>Pickup : 2026-10-01, Return : 2026-10-02</t>
        </is>
      </c>
      <c r="Q70" s="4" t="n">
        <v>1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HASLS22260900956</t>
        </is>
      </c>
      <c r="B71" s="4" t="inlineStr">
        <is>
          <t>SWDN</t>
        </is>
      </c>
      <c r="C71" s="4" t="inlineStr">
        <is>
          <t>2610N</t>
        </is>
      </c>
      <c r="D71" s="4" t="inlineStr">
        <is>
          <t>202610060900</t>
        </is>
      </c>
      <c r="E71" s="4" t="inlineStr"/>
      <c r="F71" s="4" t="inlineStr">
        <is>
          <t>THBKK</t>
        </is>
      </c>
      <c r="G71" s="4" t="inlineStr">
        <is>
          <t>KRINC</t>
        </is>
      </c>
      <c r="H71" s="4" t="inlineStr">
        <is>
          <t xml:space="preserve">20'x1 </t>
        </is>
      </c>
      <c r="I71" s="4" t="inlineStr">
        <is>
          <t>BKK27</t>
        </is>
      </c>
      <c r="J71" s="4" t="inlineStr">
        <is>
          <t>B.C. DEPOT CO.,LTD. ( Bang-Na KM.18)</t>
        </is>
      </c>
      <c r="K71" s="4" t="inlineStr">
        <is>
          <t>20260928</t>
        </is>
      </c>
      <c r="L71" s="4" t="inlineStr">
        <is>
          <t>DIMERCO EXPRESS (THAILAND) CO., LTD.</t>
        </is>
      </c>
      <c r="M71" s="4" t="inlineStr">
        <is>
          <t>KOHLER (THAILAND) PUBLIC CO., LTD.</t>
        </is>
      </c>
      <c r="N71" s="4" t="inlineStr">
        <is>
          <t>SANITARYWARE</t>
        </is>
      </c>
      <c r="O71" s="4" t="inlineStr">
        <is>
          <t>Request clean container</t>
        </is>
      </c>
      <c r="P71" s="4" t="inlineStr">
        <is>
          <t>Pickup : 2026-09-28, Return : 2026-09-29</t>
        </is>
      </c>
      <c r="Q71" s="4" t="n">
        <v>1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HASLS22260900959</t>
        </is>
      </c>
      <c r="B72" s="4" t="inlineStr">
        <is>
          <t>SWDN</t>
        </is>
      </c>
      <c r="C72" s="4" t="inlineStr">
        <is>
          <t>2610N</t>
        </is>
      </c>
      <c r="D72" s="4" t="inlineStr">
        <is>
          <t>202610060900</t>
        </is>
      </c>
      <c r="E72" s="4" t="inlineStr"/>
      <c r="F72" s="4" t="inlineStr">
        <is>
          <t>THBKK</t>
        </is>
      </c>
      <c r="G72" s="4" t="inlineStr">
        <is>
          <t>KRINC</t>
        </is>
      </c>
      <c r="H72" s="4" t="inlineStr">
        <is>
          <t xml:space="preserve">20'x1 </t>
        </is>
      </c>
      <c r="I72" s="4" t="inlineStr">
        <is>
          <t>BKK27</t>
        </is>
      </c>
      <c r="J72" s="4" t="inlineStr">
        <is>
          <t>B.C. DEPOT CO.,LTD. ( Bang-Na KM.18)</t>
        </is>
      </c>
      <c r="K72" s="4" t="inlineStr">
        <is>
          <t>20261001</t>
        </is>
      </c>
      <c r="L72" s="4" t="inlineStr">
        <is>
          <t>HAST LOGISTICS CO., LTD.</t>
        </is>
      </c>
      <c r="M72" s="4" t="inlineStr">
        <is>
          <t>T&amp;K BANGKOK FOODS CO.,LTD.</t>
        </is>
      </c>
      <c r="N72" s="4" t="inlineStr">
        <is>
          <t>FOODS AND BEVERAGES</t>
        </is>
      </c>
      <c r="O72" s="4" t="inlineStr">
        <is>
          <t>Food grade shipping container/ clean without smell required.</t>
        </is>
      </c>
      <c r="P72" s="4" t="inlineStr">
        <is>
          <t>Pickup : 2026-10-01, Return : 2026-10-02</t>
        </is>
      </c>
      <c r="Q72" s="4" t="n">
        <v>1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HASLS22260900995</t>
        </is>
      </c>
      <c r="B73" s="4" t="inlineStr">
        <is>
          <t>SWSP</t>
        </is>
      </c>
      <c r="C73" s="4" t="inlineStr">
        <is>
          <t>2609N</t>
        </is>
      </c>
      <c r="D73" s="4" t="inlineStr">
        <is>
          <t>202610071530</t>
        </is>
      </c>
      <c r="E73" s="4" t="inlineStr"/>
      <c r="F73" s="4" t="inlineStr">
        <is>
          <t>THBKK</t>
        </is>
      </c>
      <c r="G73" s="4" t="inlineStr">
        <is>
          <t>VNSGN</t>
        </is>
      </c>
      <c r="H73" s="4" t="inlineStr">
        <is>
          <t xml:space="preserve">20'x1 </t>
        </is>
      </c>
      <c r="I73" s="4" t="inlineStr">
        <is>
          <t>BKK27</t>
        </is>
      </c>
      <c r="J73" s="4" t="inlineStr">
        <is>
          <t>B.C. DEPOT CO.,LTD. ( Bang-Na KM.18)</t>
        </is>
      </c>
      <c r="K73" s="4" t="inlineStr">
        <is>
          <t>20260930</t>
        </is>
      </c>
      <c r="L73" s="4" t="inlineStr">
        <is>
          <t>BEE LOGISTICS (THAILAND) CO., LTD.</t>
        </is>
      </c>
      <c r="M73" s="4" t="inlineStr">
        <is>
          <t>HERITAGE SNACKS &amp; FOOD CO., LTD.</t>
        </is>
      </c>
      <c r="N73" s="4" t="inlineStr">
        <is>
          <t>FOODSTUFF</t>
        </is>
      </c>
      <c r="O73" s="4" t="inlineStr">
        <is>
          <t>GOOD AND CLEAN CONTAINER</t>
        </is>
      </c>
      <c r="P73" s="4" t="inlineStr">
        <is>
          <t xml:space="preserve">Pickup : 2026-09-30, Return : 2026-10-01 
 </t>
        </is>
      </c>
      <c r="Q73" s="4" t="n">
        <v>1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HASLS22260900996</t>
        </is>
      </c>
      <c r="B74" s="4" t="inlineStr">
        <is>
          <t>KMBK</t>
        </is>
      </c>
      <c r="C74" s="4" t="inlineStr">
        <is>
          <t>2611N</t>
        </is>
      </c>
      <c r="D74" s="4" t="inlineStr">
        <is>
          <t>202610030900</t>
        </is>
      </c>
      <c r="E74" s="4" t="inlineStr"/>
      <c r="F74" s="4" t="inlineStr">
        <is>
          <t>THBKK</t>
        </is>
      </c>
      <c r="G74" s="4" t="inlineStr">
        <is>
          <t>VNSGN</t>
        </is>
      </c>
      <c r="H74" s="4" t="inlineStr">
        <is>
          <t xml:space="preserve">40Hx1 </t>
        </is>
      </c>
      <c r="I74" s="4" t="inlineStr">
        <is>
          <t>BKK27</t>
        </is>
      </c>
      <c r="J74" s="4" t="inlineStr">
        <is>
          <t>B.C. DEPOT CO.,LTD. ( Bang-Na KM.18)</t>
        </is>
      </c>
      <c r="K74" s="4" t="inlineStr">
        <is>
          <t>20260928</t>
        </is>
      </c>
      <c r="L74" s="4" t="inlineStr">
        <is>
          <t>ITL SERVICES AND LOGISTICS CO., LTD.</t>
        </is>
      </c>
      <c r="M74" s="4" t="inlineStr">
        <is>
          <t>VISTA DISTRIBUTION CO.,LTD.</t>
        </is>
      </c>
      <c r="N74" s="4" t="inlineStr">
        <is>
          <t>BISCUITS</t>
        </is>
      </c>
      <c r="O74" s="4" t="inlineStr">
        <is>
          <t>GOOD AND CLEAN CONTAINER</t>
        </is>
      </c>
      <c r="P74" s="4" t="inlineStr">
        <is>
          <t>Pickup : 2026-09-28, Return : 2026-09-29</t>
        </is>
      </c>
      <c r="Q74" s="4" t="n">
        <v>0</v>
      </c>
      <c r="R74" s="4" t="n">
        <v>0</v>
      </c>
      <c r="S74" s="4" t="n">
        <v>1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HASLS22260901005</t>
        </is>
      </c>
      <c r="B75" s="4" t="inlineStr">
        <is>
          <t>YSVY</t>
        </is>
      </c>
      <c r="C75" s="4" t="inlineStr">
        <is>
          <t>2608S</t>
        </is>
      </c>
      <c r="D75" s="4" t="inlineStr">
        <is>
          <t>202610190700</t>
        </is>
      </c>
      <c r="E75" s="4" t="inlineStr">
        <is>
          <t>THLKR</t>
        </is>
      </c>
      <c r="F75" s="4" t="inlineStr">
        <is>
          <t>THLCH</t>
        </is>
      </c>
      <c r="G75" s="4" t="inlineStr">
        <is>
          <t>IDJKT</t>
        </is>
      </c>
      <c r="H75" s="4" t="inlineStr">
        <is>
          <t xml:space="preserve">20'x22 </t>
        </is>
      </c>
      <c r="I75" s="4" t="inlineStr">
        <is>
          <t>BKK27</t>
        </is>
      </c>
      <c r="J75" s="4" t="inlineStr">
        <is>
          <t>B.C. DEPOT CO.,LTD. ( Bang-Na KM.18)</t>
        </is>
      </c>
      <c r="K75" s="4" t="inlineStr">
        <is>
          <t>20261012</t>
        </is>
      </c>
      <c r="L75" s="4" t="inlineStr">
        <is>
          <t>YUSEN LOGISTICS (THAILAND) CO., LTD.</t>
        </is>
      </c>
      <c r="M75" s="4" t="inlineStr">
        <is>
          <t>THE SIAM REFRACTORY INDUSTRY CO., LTD.</t>
        </is>
      </c>
      <c r="N75" s="4" t="inlineStr">
        <is>
          <t>REFRACTORY BRICKS, BLOCKS</t>
        </is>
      </c>
      <c r="O75" s="4" t="inlineStr">
        <is>
          <t>GOOD AND CLEAN CONTAINER</t>
        </is>
      </c>
      <c r="P75" s="4" t="inlineStr">
        <is>
          <t>Pickup : 2026-10-12, Return : 2026-10-15 Paperless Code 2835
Closing Time LKB 2026-10-15 @ 18.00</t>
        </is>
      </c>
      <c r="Q75" s="4" t="n">
        <v>22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HASLS22260901099</t>
        </is>
      </c>
      <c r="B76" s="4" t="inlineStr">
        <is>
          <t>KMBK</t>
        </is>
      </c>
      <c r="C76" s="4" t="inlineStr">
        <is>
          <t>2611N</t>
        </is>
      </c>
      <c r="D76" s="4" t="inlineStr">
        <is>
          <t>202610030900</t>
        </is>
      </c>
      <c r="E76" s="4" t="inlineStr"/>
      <c r="F76" s="4" t="inlineStr">
        <is>
          <t>THBKK</t>
        </is>
      </c>
      <c r="G76" s="4" t="inlineStr">
        <is>
          <t>VNSGN</t>
        </is>
      </c>
      <c r="H76" s="4" t="inlineStr">
        <is>
          <t xml:space="preserve">20'x1 </t>
        </is>
      </c>
      <c r="I76" s="4" t="inlineStr">
        <is>
          <t>BKK27</t>
        </is>
      </c>
      <c r="J76" s="4" t="inlineStr">
        <is>
          <t>B.C. DEPOT CO.,LTD. ( Bang-Na KM.18)</t>
        </is>
      </c>
      <c r="K76" s="4" t="inlineStr">
        <is>
          <t>20260929</t>
        </is>
      </c>
      <c r="L76" s="4" t="inlineStr">
        <is>
          <t>INTENTION FREIGHT CO., LTD.</t>
        </is>
      </c>
      <c r="M76" s="4" t="inlineStr">
        <is>
          <t>BEST SUPPLY 2015 CO., LTD.</t>
        </is>
      </c>
      <c r="N76" s="4" t="inlineStr">
        <is>
          <t>I-GLS (FOOD ADDITIVE) (I-GLASS)</t>
        </is>
      </c>
      <c r="O76" s="4" t="inlineStr">
        <is>
          <t>GOOD AND CLEAN CONTAINER</t>
        </is>
      </c>
      <c r="P76" s="4" t="inlineStr">
        <is>
          <t>Pickup : 2026-09-29, Return : 2026-09-30 (1ST RETUR DD.29/09/26)</t>
        </is>
      </c>
      <c r="Q76" s="4" t="n">
        <v>1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HASLS22260901105</t>
        </is>
      </c>
      <c r="B77" s="4" t="inlineStr">
        <is>
          <t>SWSP</t>
        </is>
      </c>
      <c r="C77" s="4" t="inlineStr">
        <is>
          <t>2609N</t>
        </is>
      </c>
      <c r="D77" s="4" t="inlineStr">
        <is>
          <t>202610071530</t>
        </is>
      </c>
      <c r="E77" s="4" t="inlineStr"/>
      <c r="F77" s="4" t="inlineStr">
        <is>
          <t>THBKK</t>
        </is>
      </c>
      <c r="G77" s="4" t="inlineStr">
        <is>
          <t>KRPTK</t>
        </is>
      </c>
      <c r="H77" s="4" t="inlineStr">
        <is>
          <t xml:space="preserve">R40Hx1 </t>
        </is>
      </c>
      <c r="I77" s="4" t="inlineStr">
        <is>
          <t>BKK27</t>
        </is>
      </c>
      <c r="J77" s="4" t="inlineStr">
        <is>
          <t>B.C. DEPOT CO.,LTD. ( Bang-Na KM.18)</t>
        </is>
      </c>
      <c r="K77" s="4" t="inlineStr">
        <is>
          <t>20260930</t>
        </is>
      </c>
      <c r="L77" s="4" t="inlineStr">
        <is>
          <t>LAND SEA SKY CO., LTD.</t>
        </is>
      </c>
      <c r="M77" s="4" t="inlineStr">
        <is>
          <t>SAHA FARMS  INTERNATIONAL CO LTD</t>
        </is>
      </c>
      <c r="N77" s="4" t="inlineStr">
        <is>
          <t>FROZEN CHICKEN COOK</t>
        </is>
      </c>
      <c r="O77" s="4" t="inlineStr">
        <is>
          <t>(Temp -18.0℃ / Vent Close)</t>
        </is>
      </c>
      <c r="P77" s="4" t="inlineStr">
        <is>
          <t>Pickup : 2026-09-30, Return : 2026-10-02 RF45REx1 (Temp -18.0 / Vent Close) 
CLS TIME : 03/10/26 @23.59 (1ST DATE RTN 02/10/2026 W/O ELECTRIC)</t>
        </is>
      </c>
      <c r="Q77" s="4" t="n">
        <v>0</v>
      </c>
      <c r="R77" s="4" t="n">
        <v>0</v>
      </c>
      <c r="S77" s="4" t="n">
        <v>0</v>
      </c>
      <c r="T77" s="4" t="n">
        <v>0</v>
      </c>
      <c r="U77" s="4" t="n">
        <v>1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HASLS22260901128</t>
        </is>
      </c>
      <c r="B78" s="4" t="inlineStr">
        <is>
          <t>YSVY</t>
        </is>
      </c>
      <c r="C78" s="4" t="inlineStr">
        <is>
          <t>2608S</t>
        </is>
      </c>
      <c r="D78" s="4" t="inlineStr">
        <is>
          <t>202610190700</t>
        </is>
      </c>
      <c r="E78" s="4" t="inlineStr">
        <is>
          <t>THLKR</t>
        </is>
      </c>
      <c r="F78" s="4" t="inlineStr">
        <is>
          <t>THLCH</t>
        </is>
      </c>
      <c r="G78" s="4" t="inlineStr">
        <is>
          <t>IDJKT</t>
        </is>
      </c>
      <c r="H78" s="4" t="inlineStr">
        <is>
          <t xml:space="preserve">40Hx1 </t>
        </is>
      </c>
      <c r="I78" s="4" t="inlineStr">
        <is>
          <t>BKK27</t>
        </is>
      </c>
      <c r="J78" s="4" t="inlineStr">
        <is>
          <t>B.C. DEPOT CO.,LTD. ( Bang-Na KM.18)</t>
        </is>
      </c>
      <c r="K78" s="4" t="inlineStr">
        <is>
          <t>20261014</t>
        </is>
      </c>
      <c r="L78" s="4" t="inlineStr">
        <is>
          <t>ACCORD PILOT LOGISTICS (THAILAND) CO., LTD.</t>
        </is>
      </c>
      <c r="M78" s="4" t="inlineStr">
        <is>
          <t>THAI PLASPAC PUBLIC CO.,LTD.</t>
        </is>
      </c>
      <c r="N78" s="4" t="inlineStr">
        <is>
          <t>PLATIC CAP</t>
        </is>
      </c>
      <c r="O78" s="4" t="inlineStr">
        <is>
          <t>REQUEST GOOD &amp; CLEAN CONTAINER</t>
        </is>
      </c>
      <c r="P78" s="4" t="inlineStr">
        <is>
          <t>Pickup : 2026-10-14, Return : 2026-10-14 Paperless Code 2835
Closing Time LKB 2026-10-15 @ 18.00</t>
        </is>
      </c>
      <c r="Q78" s="4" t="n">
        <v>0</v>
      </c>
      <c r="R78" s="4" t="n">
        <v>0</v>
      </c>
      <c r="S78" s="4" t="n">
        <v>1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  <row r="79">
      <c r="A79" s="4" t="inlineStr">
        <is>
          <t>HASLS22260901147</t>
        </is>
      </c>
      <c r="B79" s="4" t="inlineStr">
        <is>
          <t>DJCF</t>
        </is>
      </c>
      <c r="C79" s="4" t="inlineStr">
        <is>
          <t>0152N</t>
        </is>
      </c>
      <c r="D79" s="4" t="inlineStr">
        <is>
          <t>202610111000</t>
        </is>
      </c>
      <c r="E79" s="4" t="inlineStr"/>
      <c r="F79" s="4" t="inlineStr">
        <is>
          <t>THBKK</t>
        </is>
      </c>
      <c r="G79" s="4" t="inlineStr">
        <is>
          <t>VNSGN</t>
        </is>
      </c>
      <c r="H79" s="4" t="inlineStr">
        <is>
          <t xml:space="preserve">20'x1 </t>
        </is>
      </c>
      <c r="I79" s="4" t="inlineStr">
        <is>
          <t>BKK27</t>
        </is>
      </c>
      <c r="J79" s="4" t="inlineStr">
        <is>
          <t>B.C. DEPOT CO.,LTD. ( Bang-Na KM.18)</t>
        </is>
      </c>
      <c r="K79" s="4" t="inlineStr">
        <is>
          <t>20261005</t>
        </is>
      </c>
      <c r="L79" s="4" t="inlineStr">
        <is>
          <t>BILLION LOGISTICS CO., LTD.</t>
        </is>
      </c>
      <c r="M79" s="4" t="inlineStr">
        <is>
          <t>NEWLY WEDS FOODS (THAILAND) LIMITED</t>
        </is>
      </c>
      <c r="N79" s="4" t="inlineStr">
        <is>
          <t>FOODSTUFF</t>
        </is>
      </c>
      <c r="O79" s="4" t="inlineStr">
        <is>
          <t>*REQUEST FOOD GRADE CTNR // GOOD AND CLEAN CTNR NO BAD NO SMELL*</t>
        </is>
      </c>
      <c r="P79" s="4" t="inlineStr">
        <is>
          <t xml:space="preserve">Pickup : 2026-10-05, Return : 2026-10-06 
 </t>
        </is>
      </c>
      <c r="Q79" s="4" t="n">
        <v>1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>
        <f>SUM(Q79:Y79)-Z79</f>
        <v/>
      </c>
      <c r="AC79" s="4">
        <f>IF(I79="","",IF(OR(LEFT(I79,3)="BKK",I79="LCH55"),"BKK",IF(LEFT(I79,3)="LCH","LCH","OTHER")))</f>
        <v/>
      </c>
      <c r="AD79" s="4">
        <f>MAX(0,Q79-MAX(0,Z79))</f>
        <v/>
      </c>
      <c r="AE79" s="4">
        <f>MAX(0,R79-MAX(0,Z79-SUM(Q79:Q79)))</f>
        <v/>
      </c>
      <c r="AF79" s="4">
        <f>MAX(0,S79-MAX(0,Z79-SUM(Q79:R79)))</f>
        <v/>
      </c>
      <c r="AG79" s="4">
        <f>MAX(0,T79-MAX(0,Z79-SUM(Q79:S79)))</f>
        <v/>
      </c>
      <c r="AH79" s="4">
        <f>MAX(0,U79-MAX(0,Z79-SUM(Q79:T79)))</f>
        <v/>
      </c>
      <c r="AI79" s="4">
        <f>MAX(0,V79-MAX(0,Z79-SUM(Q79:U79)))</f>
        <v/>
      </c>
      <c r="AJ79" s="4">
        <f>MAX(0,W79-MAX(0,Z79-SUM(Q79:V79)))</f>
        <v/>
      </c>
      <c r="AK79" s="4">
        <f>MAX(0,X79-MAX(0,Z79-SUM(Q79:W79)))</f>
        <v/>
      </c>
      <c r="AL79" s="4">
        <f>MAX(0,Y79-MAX(0,Z79-SUM(Q79:X79)))</f>
        <v/>
      </c>
    </row>
    <row r="80">
      <c r="A80" s="4" t="inlineStr">
        <is>
          <t>HASLS22260901154</t>
        </is>
      </c>
      <c r="B80" s="4" t="inlineStr">
        <is>
          <t>SWSP</t>
        </is>
      </c>
      <c r="C80" s="4" t="inlineStr">
        <is>
          <t>2609N</t>
        </is>
      </c>
      <c r="D80" s="4" t="inlineStr">
        <is>
          <t>202610071530</t>
        </is>
      </c>
      <c r="E80" s="4" t="inlineStr"/>
      <c r="F80" s="4" t="inlineStr">
        <is>
          <t>THBKK</t>
        </is>
      </c>
      <c r="G80" s="4" t="inlineStr">
        <is>
          <t>VNSGN</t>
        </is>
      </c>
      <c r="H80" s="4" t="inlineStr">
        <is>
          <t xml:space="preserve">40Hx31 </t>
        </is>
      </c>
      <c r="I80" s="4" t="inlineStr">
        <is>
          <t>BKK27</t>
        </is>
      </c>
      <c r="J80" s="4" t="inlineStr">
        <is>
          <t>B.C. DEPOT CO.,LTD. ( Bang-Na KM.18)</t>
        </is>
      </c>
      <c r="K80" s="4" t="inlineStr">
        <is>
          <t>20260928</t>
        </is>
      </c>
      <c r="L80" s="4" t="inlineStr">
        <is>
          <t>METRO PARTICLE CO., LTD.</t>
        </is>
      </c>
      <c r="M80" s="4" t="inlineStr">
        <is>
          <t>METRO PARTICLE CO., LTD.</t>
        </is>
      </c>
      <c r="N80" s="4" t="inlineStr">
        <is>
          <t>PARTICLE BOARD</t>
        </is>
      </c>
      <c r="O80" s="4" t="inlineStr">
        <is>
          <t>RQST CNTR UPGRADE 32.50 TONS</t>
        </is>
      </c>
      <c r="P80" s="4" t="inlineStr">
        <is>
          <t>CY -  RTN DD. 28/09 - 28/09/2026 /RQST CNTR UPGRADE 32.50TONS</t>
        </is>
      </c>
      <c r="Q80" s="4" t="n">
        <v>0</v>
      </c>
      <c r="R80" s="4" t="n">
        <v>0</v>
      </c>
      <c r="S80" s="4" t="n">
        <v>31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>
        <f>SUM(Q80:Y80)-Z80</f>
        <v/>
      </c>
      <c r="AC80" s="4">
        <f>IF(I80="","",IF(OR(LEFT(I80,3)="BKK",I80="LCH55"),"BKK",IF(LEFT(I80,3)="LCH","LCH","OTHER")))</f>
        <v/>
      </c>
      <c r="AD80" s="4">
        <f>MAX(0,Q80-MAX(0,Z80))</f>
        <v/>
      </c>
      <c r="AE80" s="4">
        <f>MAX(0,R80-MAX(0,Z80-SUM(Q80:Q80)))</f>
        <v/>
      </c>
      <c r="AF80" s="4">
        <f>MAX(0,S80-MAX(0,Z80-SUM(Q80:R80)))</f>
        <v/>
      </c>
      <c r="AG80" s="4">
        <f>MAX(0,T80-MAX(0,Z80-SUM(Q80:S80)))</f>
        <v/>
      </c>
      <c r="AH80" s="4">
        <f>MAX(0,U80-MAX(0,Z80-SUM(Q80:T80)))</f>
        <v/>
      </c>
      <c r="AI80" s="4">
        <f>MAX(0,V80-MAX(0,Z80-SUM(Q80:U80)))</f>
        <v/>
      </c>
      <c r="AJ80" s="4">
        <f>MAX(0,W80-MAX(0,Z80-SUM(Q80:V80)))</f>
        <v/>
      </c>
      <c r="AK80" s="4">
        <f>MAX(0,X80-MAX(0,Z80-SUM(Q80:W80)))</f>
        <v/>
      </c>
      <c r="AL80" s="4">
        <f>MAX(0,Y80-MAX(0,Z80-SUM(Q80:X80)))</f>
        <v/>
      </c>
    </row>
    <row r="81">
      <c r="A81" s="4" t="inlineStr">
        <is>
          <t>HASLS22260901190</t>
        </is>
      </c>
      <c r="B81" s="4" t="inlineStr">
        <is>
          <t>SWAT</t>
        </is>
      </c>
      <c r="C81" s="4" t="inlineStr">
        <is>
          <t>2610N</t>
        </is>
      </c>
      <c r="D81" s="4" t="inlineStr">
        <is>
          <t>202610071700</t>
        </is>
      </c>
      <c r="E81" s="4" t="inlineStr"/>
      <c r="F81" s="4" t="inlineStr">
        <is>
          <t>THBKK</t>
        </is>
      </c>
      <c r="G81" s="4" t="inlineStr">
        <is>
          <t>HKHKG</t>
        </is>
      </c>
      <c r="H81" s="4" t="inlineStr">
        <is>
          <t xml:space="preserve">20'x1 </t>
        </is>
      </c>
      <c r="I81" s="4" t="inlineStr">
        <is>
          <t>BKK27</t>
        </is>
      </c>
      <c r="J81" s="4" t="inlineStr">
        <is>
          <t>B.C. DEPOT CO.,LTD. ( Bang-Na KM.18)</t>
        </is>
      </c>
      <c r="K81" s="4" t="inlineStr">
        <is>
          <t>20261001</t>
        </is>
      </c>
      <c r="L81" s="4" t="inlineStr">
        <is>
          <t>YUSEN LOGISTICS (THAILAND) CO., LTD.</t>
        </is>
      </c>
      <c r="M81" s="4" t="inlineStr">
        <is>
          <t>COSMOS BREWERY (THAILAND) CO.,LTD.</t>
        </is>
      </c>
      <c r="N81" s="4" t="inlineStr">
        <is>
          <t xml:space="preserve">BOTTLED CHANG BEER </t>
        </is>
      </c>
      <c r="O81" s="4" t="inlineStr">
        <is>
          <t>RQST GOOD CLEAN AND DRY CONTAINER GRADE 'A' PLEASE DO NOT CHANGE VESSEL AND PAPERLESS CODE</t>
        </is>
      </c>
      <c r="P81" s="4" t="inlineStr">
        <is>
          <t>Pickup : 2026-10-01, Return : 2026-10-02</t>
        </is>
      </c>
      <c r="Q81" s="4" t="n">
        <v>1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>
        <f>SUM(Q81:Y81)-Z81</f>
        <v/>
      </c>
      <c r="AC81" s="4">
        <f>IF(I81="","",IF(OR(LEFT(I81,3)="BKK",I81="LCH55"),"BKK",IF(LEFT(I81,3)="LCH","LCH","OTHER")))</f>
        <v/>
      </c>
      <c r="AD81" s="4">
        <f>MAX(0,Q81-MAX(0,Z81))</f>
        <v/>
      </c>
      <c r="AE81" s="4">
        <f>MAX(0,R81-MAX(0,Z81-SUM(Q81:Q81)))</f>
        <v/>
      </c>
      <c r="AF81" s="4">
        <f>MAX(0,S81-MAX(0,Z81-SUM(Q81:R81)))</f>
        <v/>
      </c>
      <c r="AG81" s="4">
        <f>MAX(0,T81-MAX(0,Z81-SUM(Q81:S81)))</f>
        <v/>
      </c>
      <c r="AH81" s="4">
        <f>MAX(0,U81-MAX(0,Z81-SUM(Q81:T81)))</f>
        <v/>
      </c>
      <c r="AI81" s="4">
        <f>MAX(0,V81-MAX(0,Z81-SUM(Q81:U81)))</f>
        <v/>
      </c>
      <c r="AJ81" s="4">
        <f>MAX(0,W81-MAX(0,Z81-SUM(Q81:V81)))</f>
        <v/>
      </c>
      <c r="AK81" s="4">
        <f>MAX(0,X81-MAX(0,Z81-SUM(Q81:W81)))</f>
        <v/>
      </c>
      <c r="AL81" s="4">
        <f>MAX(0,Y81-MAX(0,Z81-SUM(Q81:X81)))</f>
        <v/>
      </c>
    </row>
    <row r="82">
      <c r="A82" s="4" t="inlineStr">
        <is>
          <t>HASLS22260901210</t>
        </is>
      </c>
      <c r="B82" s="4" t="inlineStr">
        <is>
          <t>SWIC</t>
        </is>
      </c>
      <c r="C82" s="4" t="inlineStr">
        <is>
          <t>2611N</t>
        </is>
      </c>
      <c r="D82" s="4" t="inlineStr">
        <is>
          <t>202610130700</t>
        </is>
      </c>
      <c r="E82" s="4" t="inlineStr"/>
      <c r="F82" s="4" t="inlineStr">
        <is>
          <t>THBKK</t>
        </is>
      </c>
      <c r="G82" s="4" t="inlineStr">
        <is>
          <t>KRPUS</t>
        </is>
      </c>
      <c r="H82" s="4" t="inlineStr">
        <is>
          <t xml:space="preserve">40Hx1 </t>
        </is>
      </c>
      <c r="I82" s="4" t="inlineStr">
        <is>
          <t>BKK27</t>
        </is>
      </c>
      <c r="J82" s="4" t="inlineStr">
        <is>
          <t>B.C. DEPOT CO.,LTD. ( Bang-Na KM.18)</t>
        </is>
      </c>
      <c r="K82" s="4" t="inlineStr">
        <is>
          <t>20261006</t>
        </is>
      </c>
      <c r="L82" s="4" t="inlineStr">
        <is>
          <t>CELESTIAL XPRESS LOGISTICS (THAILAND) CO., LTD.</t>
        </is>
      </c>
      <c r="M82" s="4" t="inlineStr">
        <is>
          <t>NISSIN FOODS (THAILAND) CO., LTD.</t>
        </is>
      </c>
      <c r="N82" s="4" t="inlineStr">
        <is>
          <t>NISSIN INSTANT CUP NOODLES</t>
        </is>
      </c>
      <c r="O82" s="4" t="inlineStr">
        <is>
          <t>GOOD AND CLEAN CONTAINER</t>
        </is>
      </c>
      <c r="P82" s="4" t="inlineStr">
        <is>
          <t>Pickup : 2026-10-06, Return : 2026-10-08</t>
        </is>
      </c>
      <c r="Q82" s="4" t="n">
        <v>0</v>
      </c>
      <c r="R82" s="4" t="n">
        <v>0</v>
      </c>
      <c r="S82" s="4" t="n">
        <v>1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>
        <f>SUM(Q82:Y82)-Z82</f>
        <v/>
      </c>
      <c r="AC82" s="4">
        <f>IF(I82="","",IF(OR(LEFT(I82,3)="BKK",I82="LCH55"),"BKK",IF(LEFT(I82,3)="LCH","LCH","OTHER")))</f>
        <v/>
      </c>
      <c r="AD82" s="4">
        <f>MAX(0,Q82-MAX(0,Z82))</f>
        <v/>
      </c>
      <c r="AE82" s="4">
        <f>MAX(0,R82-MAX(0,Z82-SUM(Q82:Q82)))</f>
        <v/>
      </c>
      <c r="AF82" s="4">
        <f>MAX(0,S82-MAX(0,Z82-SUM(Q82:R82)))</f>
        <v/>
      </c>
      <c r="AG82" s="4">
        <f>MAX(0,T82-MAX(0,Z82-SUM(Q82:S82)))</f>
        <v/>
      </c>
      <c r="AH82" s="4">
        <f>MAX(0,U82-MAX(0,Z82-SUM(Q82:T82)))</f>
        <v/>
      </c>
      <c r="AI82" s="4">
        <f>MAX(0,V82-MAX(0,Z82-SUM(Q82:U82)))</f>
        <v/>
      </c>
      <c r="AJ82" s="4">
        <f>MAX(0,W82-MAX(0,Z82-SUM(Q82:V82)))</f>
        <v/>
      </c>
      <c r="AK82" s="4">
        <f>MAX(0,X82-MAX(0,Z82-SUM(Q82:W82)))</f>
        <v/>
      </c>
      <c r="AL82" s="4">
        <f>MAX(0,Y82-MAX(0,Z82-SUM(Q82:X82)))</f>
        <v/>
      </c>
    </row>
    <row r="83">
      <c r="A83" s="4" t="inlineStr">
        <is>
          <t>HASLS22260901214</t>
        </is>
      </c>
      <c r="B83" s="4" t="inlineStr">
        <is>
          <t>SWDN</t>
        </is>
      </c>
      <c r="C83" s="4" t="inlineStr">
        <is>
          <t>2610N</t>
        </is>
      </c>
      <c r="D83" s="4" t="inlineStr">
        <is>
          <t>202610060900</t>
        </is>
      </c>
      <c r="E83" s="4" t="inlineStr"/>
      <c r="F83" s="4" t="inlineStr">
        <is>
          <t>THBKK</t>
        </is>
      </c>
      <c r="G83" s="4" t="inlineStr">
        <is>
          <t>KRINC</t>
        </is>
      </c>
      <c r="H83" s="4" t="inlineStr">
        <is>
          <t xml:space="preserve">R40Hx1 </t>
        </is>
      </c>
      <c r="I83" s="4" t="inlineStr">
        <is>
          <t>BKK27</t>
        </is>
      </c>
      <c r="J83" s="4" t="inlineStr">
        <is>
          <t>B.C. DEPOT CO.,LTD. ( Bang-Na KM.18)</t>
        </is>
      </c>
      <c r="K83" s="4" t="inlineStr">
        <is>
          <t>20260929</t>
        </is>
      </c>
      <c r="L83" s="4" t="inlineStr">
        <is>
          <t>LEO GLOBAL LOGISTICS PUBLIC COMPANY LIMITED</t>
        </is>
      </c>
      <c r="M83" s="4" t="inlineStr">
        <is>
          <t>TAKO FOODS INDUSTRY CO., LTD.</t>
        </is>
      </c>
      <c r="N83" s="4" t="inlineStr">
        <is>
          <t>FRUIT JUICE</t>
        </is>
      </c>
      <c r="O83" s="4" t="inlineStr">
        <is>
          <t>RF45REx1 (Temp -18.0℃ / Vent Close) clean, no odor and suitable for food product.</t>
        </is>
      </c>
      <c r="P83" s="4" t="inlineStr">
        <is>
          <t xml:space="preserve">Pickup : 2026-09-29, Return : 2026-09-30 (Temp -18.0 / Vent Close)
 CLS TIME 01/10 @12.00 [1ST RTN 30/09 W/O ELECTRIC] </t>
        </is>
      </c>
      <c r="Q83" s="4" t="n">
        <v>0</v>
      </c>
      <c r="R83" s="4" t="n">
        <v>0</v>
      </c>
      <c r="S83" s="4" t="n">
        <v>0</v>
      </c>
      <c r="T83" s="4" t="n">
        <v>0</v>
      </c>
      <c r="U83" s="4" t="n">
        <v>1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>
        <f>SUM(Q83:Y83)-Z83</f>
        <v/>
      </c>
      <c r="AC83" s="4">
        <f>IF(I83="","",IF(OR(LEFT(I83,3)="BKK",I83="LCH55"),"BKK",IF(LEFT(I83,3)="LCH","LCH","OTHER")))</f>
        <v/>
      </c>
      <c r="AD83" s="4">
        <f>MAX(0,Q83-MAX(0,Z83))</f>
        <v/>
      </c>
      <c r="AE83" s="4">
        <f>MAX(0,R83-MAX(0,Z83-SUM(Q83:Q83)))</f>
        <v/>
      </c>
      <c r="AF83" s="4">
        <f>MAX(0,S83-MAX(0,Z83-SUM(Q83:R83)))</f>
        <v/>
      </c>
      <c r="AG83" s="4">
        <f>MAX(0,T83-MAX(0,Z83-SUM(Q83:S83)))</f>
        <v/>
      </c>
      <c r="AH83" s="4">
        <f>MAX(0,U83-MAX(0,Z83-SUM(Q83:T83)))</f>
        <v/>
      </c>
      <c r="AI83" s="4">
        <f>MAX(0,V83-MAX(0,Z83-SUM(Q83:U83)))</f>
        <v/>
      </c>
      <c r="AJ83" s="4">
        <f>MAX(0,W83-MAX(0,Z83-SUM(Q83:V83)))</f>
        <v/>
      </c>
      <c r="AK83" s="4">
        <f>MAX(0,X83-MAX(0,Z83-SUM(Q83:W83)))</f>
        <v/>
      </c>
      <c r="AL83" s="4">
        <f>MAX(0,Y83-MAX(0,Z83-SUM(Q83:X83)))</f>
        <v/>
      </c>
    </row>
    <row r="84">
      <c r="A84" s="4" t="inlineStr">
        <is>
          <t>HASLS22260901215</t>
        </is>
      </c>
      <c r="B84" s="4" t="inlineStr">
        <is>
          <t>SWMM</t>
        </is>
      </c>
      <c r="C84" s="4" t="inlineStr">
        <is>
          <t>2610N</t>
        </is>
      </c>
      <c r="D84" s="4" t="inlineStr">
        <is>
          <t>202610210400</t>
        </is>
      </c>
      <c r="E84" s="4" t="inlineStr"/>
      <c r="F84" s="4" t="inlineStr">
        <is>
          <t>THBKK</t>
        </is>
      </c>
      <c r="G84" s="4" t="inlineStr">
        <is>
          <t>JPKSM</t>
        </is>
      </c>
      <c r="H84" s="4" t="inlineStr">
        <is>
          <t xml:space="preserve">20'x12 </t>
        </is>
      </c>
      <c r="I84" s="4" t="inlineStr">
        <is>
          <t>BKK27</t>
        </is>
      </c>
      <c r="J84" s="4" t="inlineStr">
        <is>
          <t>B.C. DEPOT CO.,LTD. ( Bang-Na KM.18)</t>
        </is>
      </c>
      <c r="K84" s="4" t="inlineStr">
        <is>
          <t>20261012</t>
        </is>
      </c>
      <c r="L84" s="4" t="inlineStr">
        <is>
          <t>MEGALOAD DEVELOPMENT LOGISTICS CO., LTD.</t>
        </is>
      </c>
      <c r="M84" s="4" t="inlineStr">
        <is>
          <t>FISHMEAL MARKETING DEVELOPMENT CO., LTD.</t>
        </is>
      </c>
      <c r="N84" s="4" t="inlineStr">
        <is>
          <t>THAILAND STEAM DRIED FISHMEAL</t>
        </is>
      </c>
      <c r="O84" s="4" t="inlineStr">
        <is>
          <t>**APPROVE BY hwkang2 DD: 28/09/26**DG22GPx12 (CLS 9 / UN 2216)</t>
        </is>
      </c>
      <c r="P84" s="4" t="inlineStr">
        <is>
          <t>**APPROVE BY hwkang2 DD: 28/09/26** DG22GPx12 (CLS 9 / UN 2216) 
Pickup : 2026-10-12, Return : 2026-10-14  (CLS TIME 17/10/26 @23.59 , 1ST RTN DD: 17/10/26 WO/RENT)</t>
        </is>
      </c>
      <c r="Q84" s="4" t="n">
        <v>12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>
        <f>SUM(Q84:Y84)-Z84</f>
        <v/>
      </c>
      <c r="AC84" s="4">
        <f>IF(I84="","",IF(OR(LEFT(I84,3)="BKK",I84="LCH55"),"BKK",IF(LEFT(I84,3)="LCH","LCH","OTHER")))</f>
        <v/>
      </c>
      <c r="AD84" s="4">
        <f>MAX(0,Q84-MAX(0,Z84))</f>
        <v/>
      </c>
      <c r="AE84" s="4">
        <f>MAX(0,R84-MAX(0,Z84-SUM(Q84:Q84)))</f>
        <v/>
      </c>
      <c r="AF84" s="4">
        <f>MAX(0,S84-MAX(0,Z84-SUM(Q84:R84)))</f>
        <v/>
      </c>
      <c r="AG84" s="4">
        <f>MAX(0,T84-MAX(0,Z84-SUM(Q84:S84)))</f>
        <v/>
      </c>
      <c r="AH84" s="4">
        <f>MAX(0,U84-MAX(0,Z84-SUM(Q84:T84)))</f>
        <v/>
      </c>
      <c r="AI84" s="4">
        <f>MAX(0,V84-MAX(0,Z84-SUM(Q84:U84)))</f>
        <v/>
      </c>
      <c r="AJ84" s="4">
        <f>MAX(0,W84-MAX(0,Z84-SUM(Q84:V84)))</f>
        <v/>
      </c>
      <c r="AK84" s="4">
        <f>MAX(0,X84-MAX(0,Z84-SUM(Q84:W84)))</f>
        <v/>
      </c>
      <c r="AL84" s="4">
        <f>MAX(0,Y84-MAX(0,Z84-SUM(Q84:X84)))</f>
        <v/>
      </c>
    </row>
    <row r="85">
      <c r="A85" s="4" t="inlineStr">
        <is>
          <t>HASLS22260901235</t>
        </is>
      </c>
      <c r="B85" s="4" t="inlineStr">
        <is>
          <t>SWBT</t>
        </is>
      </c>
      <c r="C85" s="4" t="inlineStr">
        <is>
          <t>2616N</t>
        </is>
      </c>
      <c r="D85" s="4" t="inlineStr">
        <is>
          <t>202610130600</t>
        </is>
      </c>
      <c r="E85" s="4" t="inlineStr"/>
      <c r="F85" s="4" t="inlineStr">
        <is>
          <t>THBKK</t>
        </is>
      </c>
      <c r="G85" s="4" t="inlineStr">
        <is>
          <t>KRPTK</t>
        </is>
      </c>
      <c r="H85" s="4" t="inlineStr">
        <is>
          <t xml:space="preserve">R40Hx1 </t>
        </is>
      </c>
      <c r="I85" s="4" t="inlineStr">
        <is>
          <t>BKK27</t>
        </is>
      </c>
      <c r="J85" s="4" t="inlineStr">
        <is>
          <t>B.C. DEPOT CO.,LTD. ( Bang-Na KM.18)</t>
        </is>
      </c>
      <c r="K85" s="4" t="inlineStr">
        <is>
          <t>20261006</t>
        </is>
      </c>
      <c r="L85" s="4" t="inlineStr">
        <is>
          <t>LAND SEA SKY CO., LTD.</t>
        </is>
      </c>
      <c r="M85" s="4" t="inlineStr">
        <is>
          <t>SAHA FARMS  INTERNATIONAL CO LTD</t>
        </is>
      </c>
      <c r="N85" s="4" t="inlineStr">
        <is>
          <t>FROZEN CHICKEN COOK</t>
        </is>
      </c>
      <c r="O85" s="4" t="inlineStr">
        <is>
          <t>(Temp -18.0℃ / Vent Close)</t>
        </is>
      </c>
      <c r="P85" s="4" t="inlineStr">
        <is>
          <t xml:space="preserve">Pickup : 2026-10-06, Return : 2026-10-10 (Temp -18.0 / Vent Close) 
CLS TIME : 11/10/2026 @08.00 </t>
        </is>
      </c>
      <c r="Q85" s="4" t="n">
        <v>0</v>
      </c>
      <c r="R85" s="4" t="n">
        <v>0</v>
      </c>
      <c r="S85" s="4" t="n">
        <v>0</v>
      </c>
      <c r="T85" s="4" t="n">
        <v>0</v>
      </c>
      <c r="U85" s="4" t="n">
        <v>1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>
        <f>SUM(Q85:Y85)-Z85</f>
        <v/>
      </c>
      <c r="AC85" s="4">
        <f>IF(I85="","",IF(OR(LEFT(I85,3)="BKK",I85="LCH55"),"BKK",IF(LEFT(I85,3)="LCH","LCH","OTHER")))</f>
        <v/>
      </c>
      <c r="AD85" s="4">
        <f>MAX(0,Q85-MAX(0,Z85))</f>
        <v/>
      </c>
      <c r="AE85" s="4">
        <f>MAX(0,R85-MAX(0,Z85-SUM(Q85:Q85)))</f>
        <v/>
      </c>
      <c r="AF85" s="4">
        <f>MAX(0,S85-MAX(0,Z85-SUM(Q85:R85)))</f>
        <v/>
      </c>
      <c r="AG85" s="4">
        <f>MAX(0,T85-MAX(0,Z85-SUM(Q85:S85)))</f>
        <v/>
      </c>
      <c r="AH85" s="4">
        <f>MAX(0,U85-MAX(0,Z85-SUM(Q85:T85)))</f>
        <v/>
      </c>
      <c r="AI85" s="4">
        <f>MAX(0,V85-MAX(0,Z85-SUM(Q85:U85)))</f>
        <v/>
      </c>
      <c r="AJ85" s="4">
        <f>MAX(0,W85-MAX(0,Z85-SUM(Q85:V85)))</f>
        <v/>
      </c>
      <c r="AK85" s="4">
        <f>MAX(0,X85-MAX(0,Z85-SUM(Q85:W85)))</f>
        <v/>
      </c>
      <c r="AL85" s="4">
        <f>MAX(0,Y85-MAX(0,Z85-SUM(Q85:X85)))</f>
        <v/>
      </c>
    </row>
    <row r="86">
      <c r="A86" s="4" t="inlineStr">
        <is>
          <t>HASLS22260901237</t>
        </is>
      </c>
      <c r="B86" s="4" t="inlineStr">
        <is>
          <t>SWMM</t>
        </is>
      </c>
      <c r="C86" s="4" t="inlineStr">
        <is>
          <t>2610N</t>
        </is>
      </c>
      <c r="D86" s="4" t="inlineStr">
        <is>
          <t>202610210400</t>
        </is>
      </c>
      <c r="E86" s="4" t="inlineStr"/>
      <c r="F86" s="4" t="inlineStr">
        <is>
          <t>THBKK</t>
        </is>
      </c>
      <c r="G86" s="4" t="inlineStr">
        <is>
          <t>KRPTK</t>
        </is>
      </c>
      <c r="H86" s="4" t="inlineStr">
        <is>
          <t xml:space="preserve">R40Hx10 </t>
        </is>
      </c>
      <c r="I86" s="4" t="inlineStr">
        <is>
          <t>BKK27</t>
        </is>
      </c>
      <c r="J86" s="4" t="inlineStr">
        <is>
          <t>B.C. DEPOT CO.,LTD. ( Bang-Na KM.18)</t>
        </is>
      </c>
      <c r="K86" s="4" t="inlineStr">
        <is>
          <t>20261012</t>
        </is>
      </c>
      <c r="L86" s="4" t="inlineStr">
        <is>
          <t>LAND SEA SKY CO., LTD.</t>
        </is>
      </c>
      <c r="M86" s="4" t="inlineStr">
        <is>
          <t>SAHA FARMS  INTERNATIONAL CO LTD</t>
        </is>
      </c>
      <c r="N86" s="4" t="inlineStr">
        <is>
          <t>FROZEN CHICKEN COOK</t>
        </is>
      </c>
      <c r="O86" s="4" t="inlineStr">
        <is>
          <t>RF45REx10 (Temp -18.0℃ / Vent Close)</t>
        </is>
      </c>
      <c r="P86" s="4" t="inlineStr">
        <is>
          <t xml:space="preserve">Pickup : 2026-10-12, Return : 2026-10-16 RF45REx10 (Temp -18.0 / Vent Close) 
CLS TIME : 17/10/2026 @02.00 </t>
        </is>
      </c>
      <c r="Q86" s="4" t="n">
        <v>0</v>
      </c>
      <c r="R86" s="4" t="n">
        <v>0</v>
      </c>
      <c r="S86" s="4" t="n">
        <v>0</v>
      </c>
      <c r="T86" s="4" t="n">
        <v>0</v>
      </c>
      <c r="U86" s="4" t="n">
        <v>10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>
        <f>SUM(Q86:Y86)-Z86</f>
        <v/>
      </c>
      <c r="AC86" s="4">
        <f>IF(I86="","",IF(OR(LEFT(I86,3)="BKK",I86="LCH55"),"BKK",IF(LEFT(I86,3)="LCH","LCH","OTHER")))</f>
        <v/>
      </c>
      <c r="AD86" s="4">
        <f>MAX(0,Q86-MAX(0,Z86))</f>
        <v/>
      </c>
      <c r="AE86" s="4">
        <f>MAX(0,R86-MAX(0,Z86-SUM(Q86:Q86)))</f>
        <v/>
      </c>
      <c r="AF86" s="4">
        <f>MAX(0,S86-MAX(0,Z86-SUM(Q86:R86)))</f>
        <v/>
      </c>
      <c r="AG86" s="4">
        <f>MAX(0,T86-MAX(0,Z86-SUM(Q86:S86)))</f>
        <v/>
      </c>
      <c r="AH86" s="4">
        <f>MAX(0,U86-MAX(0,Z86-SUM(Q86:T86)))</f>
        <v/>
      </c>
      <c r="AI86" s="4">
        <f>MAX(0,V86-MAX(0,Z86-SUM(Q86:U86)))</f>
        <v/>
      </c>
      <c r="AJ86" s="4">
        <f>MAX(0,W86-MAX(0,Z86-SUM(Q86:V86)))</f>
        <v/>
      </c>
      <c r="AK86" s="4">
        <f>MAX(0,X86-MAX(0,Z86-SUM(Q86:W86)))</f>
        <v/>
      </c>
      <c r="AL86" s="4">
        <f>MAX(0,Y86-MAX(0,Z86-SUM(Q86:X86)))</f>
        <v/>
      </c>
    </row>
    <row r="87">
      <c r="A87" s="4" t="inlineStr">
        <is>
          <t>HASLS22260901245</t>
        </is>
      </c>
      <c r="B87" s="4" t="inlineStr">
        <is>
          <t>KMBK</t>
        </is>
      </c>
      <c r="C87" s="4" t="inlineStr">
        <is>
          <t>2611N</t>
        </is>
      </c>
      <c r="D87" s="4" t="inlineStr">
        <is>
          <t>202610030900</t>
        </is>
      </c>
      <c r="E87" s="4" t="inlineStr"/>
      <c r="F87" s="4" t="inlineStr">
        <is>
          <t>THBKK</t>
        </is>
      </c>
      <c r="G87" s="4" t="inlineStr">
        <is>
          <t>JPMIZ</t>
        </is>
      </c>
      <c r="H87" s="4" t="inlineStr">
        <is>
          <t xml:space="preserve">20'x7 </t>
        </is>
      </c>
      <c r="I87" s="4" t="inlineStr">
        <is>
          <t>BKK27</t>
        </is>
      </c>
      <c r="J87" s="4" t="inlineStr">
        <is>
          <t>B.C. DEPOT CO.,LTD. ( Bang-Na KM.18)</t>
        </is>
      </c>
      <c r="K87" s="4" t="inlineStr">
        <is>
          <t>20260929</t>
        </is>
      </c>
      <c r="L87" s="4" t="inlineStr">
        <is>
          <t>BANGKOK COLD STORAGE SERVICE,LTD</t>
        </is>
      </c>
      <c r="M87" s="4" t="inlineStr">
        <is>
          <t>UENO FINE CHEMICALS INDUSTRY (THAILAND) LTD.</t>
        </is>
      </c>
      <c r="N87" s="4" t="inlineStr">
        <is>
          <t>SUGAR AND SORBITOL</t>
        </is>
      </c>
      <c r="O87" s="4" t="inlineStr">
        <is>
          <t>REQ : CNTR FOOD GRADE(A) AND CLEAN NO SMELL</t>
        </is>
      </c>
      <c r="P87" s="4" t="inlineStr">
        <is>
          <t xml:space="preserve">Pickup : 2026-09-29, Return : 2026-09-29 </t>
        </is>
      </c>
      <c r="Q87" s="4" t="n">
        <v>7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>
        <f>SUM(Q87:Y87)-Z87</f>
        <v/>
      </c>
      <c r="AC87" s="4">
        <f>IF(I87="","",IF(OR(LEFT(I87,3)="BKK",I87="LCH55"),"BKK",IF(LEFT(I87,3)="LCH","LCH","OTHER")))</f>
        <v/>
      </c>
      <c r="AD87" s="4">
        <f>MAX(0,Q87-MAX(0,Z87))</f>
        <v/>
      </c>
      <c r="AE87" s="4">
        <f>MAX(0,R87-MAX(0,Z87-SUM(Q87:Q87)))</f>
        <v/>
      </c>
      <c r="AF87" s="4">
        <f>MAX(0,S87-MAX(0,Z87-SUM(Q87:R87)))</f>
        <v/>
      </c>
      <c r="AG87" s="4">
        <f>MAX(0,T87-MAX(0,Z87-SUM(Q87:S87)))</f>
        <v/>
      </c>
      <c r="AH87" s="4">
        <f>MAX(0,U87-MAX(0,Z87-SUM(Q87:T87)))</f>
        <v/>
      </c>
      <c r="AI87" s="4">
        <f>MAX(0,V87-MAX(0,Z87-SUM(Q87:U87)))</f>
        <v/>
      </c>
      <c r="AJ87" s="4">
        <f>MAX(0,W87-MAX(0,Z87-SUM(Q87:V87)))</f>
        <v/>
      </c>
      <c r="AK87" s="4">
        <f>MAX(0,X87-MAX(0,Z87-SUM(Q87:W87)))</f>
        <v/>
      </c>
      <c r="AL87" s="4">
        <f>MAX(0,Y87-MAX(0,Z87-SUM(Q87:X87)))</f>
        <v/>
      </c>
    </row>
    <row r="88">
      <c r="A88" s="4" t="inlineStr">
        <is>
          <t>HASLS22260901273</t>
        </is>
      </c>
      <c r="B88" s="4" t="inlineStr">
        <is>
          <t>SWDN</t>
        </is>
      </c>
      <c r="C88" s="4" t="inlineStr">
        <is>
          <t>2610N</t>
        </is>
      </c>
      <c r="D88" s="4" t="inlineStr">
        <is>
          <t>202610060900</t>
        </is>
      </c>
      <c r="E88" s="4" t="inlineStr"/>
      <c r="F88" s="4" t="inlineStr">
        <is>
          <t>THBKK</t>
        </is>
      </c>
      <c r="G88" s="4" t="inlineStr">
        <is>
          <t>KRINC</t>
        </is>
      </c>
      <c r="H88" s="4" t="inlineStr">
        <is>
          <t xml:space="preserve">R40Hx1 </t>
        </is>
      </c>
      <c r="I88" s="4" t="inlineStr">
        <is>
          <t>BKK27</t>
        </is>
      </c>
      <c r="J88" s="4" t="inlineStr">
        <is>
          <t>B.C. DEPOT CO.,LTD. ( Bang-Na KM.18)</t>
        </is>
      </c>
      <c r="K88" s="4" t="inlineStr">
        <is>
          <t>20261003</t>
        </is>
      </c>
      <c r="L88" s="4" t="inlineStr">
        <is>
          <t>ITL SERVICES AND LOGISTICS CO., LTD.</t>
        </is>
      </c>
      <c r="M88" s="4" t="inlineStr">
        <is>
          <t>YUNE INTERTRADE CO.,LTD.</t>
        </is>
      </c>
      <c r="N88" s="4" t="inlineStr">
        <is>
          <t>PINEAPPLE ICE / MELON / COCONUT</t>
        </is>
      </c>
      <c r="O88" s="4" t="inlineStr">
        <is>
          <t>*PRE-COOL*  RF45REx1 (Temp -25.0℃ / Vent Close)</t>
        </is>
      </c>
      <c r="P88" s="4" t="inlineStr">
        <is>
          <t xml:space="preserve">Pickup : 2026-10-03, Return : 2026-10-03 (Temp -25.0 / Vent Close) *PRE-COOL* 
 PRE-COOL COST = 1,200 BAHT // CLS TIME 04/10 @23.59 [1ST RTN 03/10 W/O ELECTRIC] 
 </t>
        </is>
      </c>
      <c r="Q88" s="4" t="n">
        <v>0</v>
      </c>
      <c r="R88" s="4" t="n">
        <v>0</v>
      </c>
      <c r="S88" s="4" t="n">
        <v>0</v>
      </c>
      <c r="T88" s="4" t="n">
        <v>0</v>
      </c>
      <c r="U88" s="4" t="n">
        <v>1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>
        <f>SUM(Q88:Y88)-Z88</f>
        <v/>
      </c>
      <c r="AC88" s="4">
        <f>IF(I88="","",IF(OR(LEFT(I88,3)="BKK",I88="LCH55"),"BKK",IF(LEFT(I88,3)="LCH","LCH","OTHER")))</f>
        <v/>
      </c>
      <c r="AD88" s="4">
        <f>MAX(0,Q88-MAX(0,Z88))</f>
        <v/>
      </c>
      <c r="AE88" s="4">
        <f>MAX(0,R88-MAX(0,Z88-SUM(Q88:Q88)))</f>
        <v/>
      </c>
      <c r="AF88" s="4">
        <f>MAX(0,S88-MAX(0,Z88-SUM(Q88:R88)))</f>
        <v/>
      </c>
      <c r="AG88" s="4">
        <f>MAX(0,T88-MAX(0,Z88-SUM(Q88:S88)))</f>
        <v/>
      </c>
      <c r="AH88" s="4">
        <f>MAX(0,U88-MAX(0,Z88-SUM(Q88:T88)))</f>
        <v/>
      </c>
      <c r="AI88" s="4">
        <f>MAX(0,V88-MAX(0,Z88-SUM(Q88:U88)))</f>
        <v/>
      </c>
      <c r="AJ88" s="4">
        <f>MAX(0,W88-MAX(0,Z88-SUM(Q88:V88)))</f>
        <v/>
      </c>
      <c r="AK88" s="4">
        <f>MAX(0,X88-MAX(0,Z88-SUM(Q88:W88)))</f>
        <v/>
      </c>
      <c r="AL88" s="4">
        <f>MAX(0,Y88-MAX(0,Z88-SUM(Q88:X88)))</f>
        <v/>
      </c>
    </row>
    <row r="89">
      <c r="A89" s="4" t="inlineStr">
        <is>
          <t>HASLS22260901281</t>
        </is>
      </c>
      <c r="B89" s="4" t="inlineStr">
        <is>
          <t>KMBK</t>
        </is>
      </c>
      <c r="C89" s="4" t="inlineStr">
        <is>
          <t>2611N</t>
        </is>
      </c>
      <c r="D89" s="4" t="inlineStr">
        <is>
          <t>202610030900</t>
        </is>
      </c>
      <c r="E89" s="4" t="inlineStr"/>
      <c r="F89" s="4" t="inlineStr">
        <is>
          <t>THBKK</t>
        </is>
      </c>
      <c r="G89" s="4" t="inlineStr">
        <is>
          <t>JPSDJ</t>
        </is>
      </c>
      <c r="H89" s="4" t="inlineStr">
        <is>
          <t xml:space="preserve">R40Hx1 </t>
        </is>
      </c>
      <c r="I89" s="4" t="inlineStr">
        <is>
          <t>BKK27</t>
        </is>
      </c>
      <c r="J89" s="4" t="inlineStr">
        <is>
          <t>B.C. DEPOT CO.,LTD. ( Bang-Na KM.18)</t>
        </is>
      </c>
      <c r="K89" s="4" t="inlineStr">
        <is>
          <t>20260928</t>
        </is>
      </c>
      <c r="L89" s="4" t="inlineStr">
        <is>
          <t>KODAI (THAILAND) CO., LTD.</t>
        </is>
      </c>
      <c r="M89" s="4" t="inlineStr">
        <is>
          <t>MCKEY FOOD SERVICES</t>
        </is>
      </c>
      <c r="N89" s="4" t="inlineStr">
        <is>
          <t>FROZEN CHICKEN</t>
        </is>
      </c>
      <c r="O89" s="4" t="inlineStr">
        <is>
          <t>RF45REx1 (Temp -25.0℃ / Vent Close) Req. Thermo King or Carrier containers tare weight not exceeding 4.6 tons, GRADE A CONTAINER Clean and in good</t>
        </is>
      </c>
      <c r="P89" s="4" t="inlineStr">
        <is>
          <t xml:space="preserve">[FIX][FIX]Pickup : 2026-09-28, Return : 2026-09-29 RF45REx1 (Temp -25.0 / Vent Close) 
CLS TIME : 30/09/2026 @14.00 </t>
        </is>
      </c>
      <c r="Q89" s="4" t="n">
        <v>0</v>
      </c>
      <c r="R89" s="4" t="n">
        <v>0</v>
      </c>
      <c r="S89" s="4" t="n">
        <v>0</v>
      </c>
      <c r="T89" s="4" t="n">
        <v>0</v>
      </c>
      <c r="U89" s="4" t="n">
        <v>1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>
        <f>SUM(Q89:Y89)-Z89</f>
        <v/>
      </c>
      <c r="AC89" s="4">
        <f>IF(I89="","",IF(OR(LEFT(I89,3)="BKK",I89="LCH55"),"BKK",IF(LEFT(I89,3)="LCH","LCH","OTHER")))</f>
        <v/>
      </c>
      <c r="AD89" s="4">
        <f>MAX(0,Q89-MAX(0,Z89))</f>
        <v/>
      </c>
      <c r="AE89" s="4">
        <f>MAX(0,R89-MAX(0,Z89-SUM(Q89:Q89)))</f>
        <v/>
      </c>
      <c r="AF89" s="4">
        <f>MAX(0,S89-MAX(0,Z89-SUM(Q89:R89)))</f>
        <v/>
      </c>
      <c r="AG89" s="4">
        <f>MAX(0,T89-MAX(0,Z89-SUM(Q89:S89)))</f>
        <v/>
      </c>
      <c r="AH89" s="4">
        <f>MAX(0,U89-MAX(0,Z89-SUM(Q89:T89)))</f>
        <v/>
      </c>
      <c r="AI89" s="4">
        <f>MAX(0,V89-MAX(0,Z89-SUM(Q89:U89)))</f>
        <v/>
      </c>
      <c r="AJ89" s="4">
        <f>MAX(0,W89-MAX(0,Z89-SUM(Q89:V89)))</f>
        <v/>
      </c>
      <c r="AK89" s="4">
        <f>MAX(0,X89-MAX(0,Z89-SUM(Q89:W89)))</f>
        <v/>
      </c>
      <c r="AL89" s="4">
        <f>MAX(0,Y89-MAX(0,Z89-SUM(Q89:X89)))</f>
        <v/>
      </c>
    </row>
    <row r="90">
      <c r="A90" s="4" t="inlineStr">
        <is>
          <t>HASLS22260901286</t>
        </is>
      </c>
      <c r="B90" s="4" t="inlineStr">
        <is>
          <t>SWSP</t>
        </is>
      </c>
      <c r="C90" s="4" t="inlineStr">
        <is>
          <t>2609N</t>
        </is>
      </c>
      <c r="D90" s="4" t="inlineStr">
        <is>
          <t>202610071530</t>
        </is>
      </c>
      <c r="E90" s="4" t="inlineStr"/>
      <c r="F90" s="4" t="inlineStr">
        <is>
          <t>THBKK</t>
        </is>
      </c>
      <c r="G90" s="4" t="inlineStr">
        <is>
          <t>VNSGN</t>
        </is>
      </c>
      <c r="H90" s="4" t="inlineStr">
        <is>
          <t xml:space="preserve">20RFx1 </t>
        </is>
      </c>
      <c r="I90" s="4" t="inlineStr">
        <is>
          <t>BKK27</t>
        </is>
      </c>
      <c r="J90" s="4" t="inlineStr">
        <is>
          <t>B.C. DEPOT CO.,LTD. ( Bang-Na KM.18)</t>
        </is>
      </c>
      <c r="K90" s="4" t="inlineStr">
        <is>
          <t>20261002</t>
        </is>
      </c>
      <c r="L90" s="4" t="inlineStr">
        <is>
          <t>ROYAL SUVARNABHUMI LOGISTIC CO., LTD.</t>
        </is>
      </c>
      <c r="M90" s="4" t="inlineStr">
        <is>
          <t>TOP PACIFIC CO., LTD.</t>
        </is>
      </c>
      <c r="N90" s="4" t="inlineStr">
        <is>
          <t>NATURAL MENTHOL CRYSTAL</t>
        </is>
      </c>
      <c r="O90" s="4" t="inlineStr">
        <is>
          <t>*PRE-COOL* RF22REx1 (Temp +18.0℃ / Vent Close) REQUEST CONTAINER GRADE A, WITH NO RUST, DUST DENT LEK CLEAN NO SMELL</t>
        </is>
      </c>
      <c r="P90" s="4" t="inlineStr">
        <is>
          <t xml:space="preserve">Pickup : 2026-10-02, Return : 2026-10-02 (Temp 18.0 / Vent Close) *PRE-COOL*
COST PRECOOL = 1,000 BAHT  // CLS TIME 03/10 @23.59 [1ST RTN 02/10 W/O ELECTRIC] </t>
        </is>
      </c>
      <c r="Q90" s="4" t="n">
        <v>0</v>
      </c>
      <c r="R90" s="4" t="n">
        <v>0</v>
      </c>
      <c r="S90" s="4" t="n">
        <v>0</v>
      </c>
      <c r="T90" s="4" t="n">
        <v>1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>
        <f>SUM(Q90:Y90)-Z90</f>
        <v/>
      </c>
      <c r="AC90" s="4">
        <f>IF(I90="","",IF(OR(LEFT(I90,3)="BKK",I90="LCH55"),"BKK",IF(LEFT(I90,3)="LCH","LCH","OTHER")))</f>
        <v/>
      </c>
      <c r="AD90" s="4">
        <f>MAX(0,Q90-MAX(0,Z90))</f>
        <v/>
      </c>
      <c r="AE90" s="4">
        <f>MAX(0,R90-MAX(0,Z90-SUM(Q90:Q90)))</f>
        <v/>
      </c>
      <c r="AF90" s="4">
        <f>MAX(0,S90-MAX(0,Z90-SUM(Q90:R90)))</f>
        <v/>
      </c>
      <c r="AG90" s="4">
        <f>MAX(0,T90-MAX(0,Z90-SUM(Q90:S90)))</f>
        <v/>
      </c>
      <c r="AH90" s="4">
        <f>MAX(0,U90-MAX(0,Z90-SUM(Q90:T90)))</f>
        <v/>
      </c>
      <c r="AI90" s="4">
        <f>MAX(0,V90-MAX(0,Z90-SUM(Q90:U90)))</f>
        <v/>
      </c>
      <c r="AJ90" s="4">
        <f>MAX(0,W90-MAX(0,Z90-SUM(Q90:V90)))</f>
        <v/>
      </c>
      <c r="AK90" s="4">
        <f>MAX(0,X90-MAX(0,Z90-SUM(Q90:W90)))</f>
        <v/>
      </c>
      <c r="AL90" s="4">
        <f>MAX(0,Y90-MAX(0,Z90-SUM(Q90:X90)))</f>
        <v/>
      </c>
    </row>
    <row r="91">
      <c r="A91" s="4" t="inlineStr">
        <is>
          <t>HASLS22260901318</t>
        </is>
      </c>
      <c r="B91" s="4" t="inlineStr">
        <is>
          <t>DJCF</t>
        </is>
      </c>
      <c r="C91" s="4" t="inlineStr">
        <is>
          <t>0152N</t>
        </is>
      </c>
      <c r="D91" s="4" t="inlineStr">
        <is>
          <t>202610111000</t>
        </is>
      </c>
      <c r="E91" s="4" t="inlineStr"/>
      <c r="F91" s="4" t="inlineStr">
        <is>
          <t>THBKK</t>
        </is>
      </c>
      <c r="G91" s="4" t="inlineStr">
        <is>
          <t>VNSGN</t>
        </is>
      </c>
      <c r="H91" s="4" t="inlineStr">
        <is>
          <t xml:space="preserve">40Hx10 </t>
        </is>
      </c>
      <c r="I91" s="4" t="inlineStr">
        <is>
          <t>BKK27</t>
        </is>
      </c>
      <c r="J91" s="4" t="inlineStr">
        <is>
          <t>B.C. DEPOT CO.,LTD. ( Bang-Na KM.18)</t>
        </is>
      </c>
      <c r="K91" s="4" t="inlineStr">
        <is>
          <t>20261005</t>
        </is>
      </c>
      <c r="L91" s="4" t="inlineStr">
        <is>
          <t>ACCORD PILOT LOGISTICS (THAILAND) CO., LTD.</t>
        </is>
      </c>
      <c r="M91" s="4" t="inlineStr">
        <is>
          <t>LOHAKIJ RUNG CHAREON SUB CO., LTD.</t>
        </is>
      </c>
      <c r="N91" s="4" t="inlineStr">
        <is>
          <t xml:space="preserve">EMPTY CAN </t>
        </is>
      </c>
      <c r="O91" s="4" t="inlineStr">
        <is>
          <t>GOOD AND CLEAN CONTAINER</t>
        </is>
      </c>
      <c r="P91" s="4" t="inlineStr">
        <is>
          <t>Pickup : 2026-10-05, Return : 2026-10-06
PO:12(06)</t>
        </is>
      </c>
      <c r="Q91" s="4" t="n">
        <v>0</v>
      </c>
      <c r="R91" s="4" t="n">
        <v>0</v>
      </c>
      <c r="S91" s="4" t="n">
        <v>10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>
        <f>SUM(Q91:Y91)-Z91</f>
        <v/>
      </c>
      <c r="AC91" s="4">
        <f>IF(I91="","",IF(OR(LEFT(I91,3)="BKK",I91="LCH55"),"BKK",IF(LEFT(I91,3)="LCH","LCH","OTHER")))</f>
        <v/>
      </c>
      <c r="AD91" s="4">
        <f>MAX(0,Q91-MAX(0,Z91))</f>
        <v/>
      </c>
      <c r="AE91" s="4">
        <f>MAX(0,R91-MAX(0,Z91-SUM(Q91:Q91)))</f>
        <v/>
      </c>
      <c r="AF91" s="4">
        <f>MAX(0,S91-MAX(0,Z91-SUM(Q91:R91)))</f>
        <v/>
      </c>
      <c r="AG91" s="4">
        <f>MAX(0,T91-MAX(0,Z91-SUM(Q91:S91)))</f>
        <v/>
      </c>
      <c r="AH91" s="4">
        <f>MAX(0,U91-MAX(0,Z91-SUM(Q91:T91)))</f>
        <v/>
      </c>
      <c r="AI91" s="4">
        <f>MAX(0,V91-MAX(0,Z91-SUM(Q91:U91)))</f>
        <v/>
      </c>
      <c r="AJ91" s="4">
        <f>MAX(0,W91-MAX(0,Z91-SUM(Q91:V91)))</f>
        <v/>
      </c>
      <c r="AK91" s="4">
        <f>MAX(0,X91-MAX(0,Z91-SUM(Q91:W91)))</f>
        <v/>
      </c>
      <c r="AL91" s="4">
        <f>MAX(0,Y91-MAX(0,Z91-SUM(Q91:X91)))</f>
        <v/>
      </c>
    </row>
    <row r="92">
      <c r="A92" s="4" t="inlineStr">
        <is>
          <t>HASLS22260901319</t>
        </is>
      </c>
      <c r="B92" s="4" t="inlineStr">
        <is>
          <t>SWMM</t>
        </is>
      </c>
      <c r="C92" s="4" t="inlineStr">
        <is>
          <t>2610N</t>
        </is>
      </c>
      <c r="D92" s="4" t="inlineStr">
        <is>
          <t>202610210400</t>
        </is>
      </c>
      <c r="E92" s="4" t="inlineStr"/>
      <c r="F92" s="4" t="inlineStr">
        <is>
          <t>THBKK</t>
        </is>
      </c>
      <c r="G92" s="4" t="inlineStr">
        <is>
          <t>VNSGN</t>
        </is>
      </c>
      <c r="H92" s="4" t="inlineStr">
        <is>
          <t xml:space="preserve">40Hx10 </t>
        </is>
      </c>
      <c r="I92" s="4" t="inlineStr">
        <is>
          <t>BKK27</t>
        </is>
      </c>
      <c r="J92" s="4" t="inlineStr">
        <is>
          <t>B.C. DEPOT CO.,LTD. ( Bang-Na KM.18)</t>
        </is>
      </c>
      <c r="K92" s="4" t="inlineStr">
        <is>
          <t>20261012</t>
        </is>
      </c>
      <c r="L92" s="4" t="inlineStr">
        <is>
          <t>ACCORD PILOT LOGISTICS (THAILAND) CO., LTD.</t>
        </is>
      </c>
      <c r="M92" s="4" t="inlineStr">
        <is>
          <t>LOHAKIJ RUNG CHAREON SUB CO., LTD.</t>
        </is>
      </c>
      <c r="N92" s="4" t="inlineStr">
        <is>
          <t xml:space="preserve">EMPTY CAN </t>
        </is>
      </c>
      <c r="O92" s="4" t="inlineStr">
        <is>
          <t>GOOD AND CLEAN CONTAINER</t>
        </is>
      </c>
      <c r="P92" s="4" t="inlineStr">
        <is>
          <t>Pickup : 2026-10-12, Return : 2026-10-14
PO:13(01)</t>
        </is>
      </c>
      <c r="Q92" s="4" t="n">
        <v>0</v>
      </c>
      <c r="R92" s="4" t="n">
        <v>0</v>
      </c>
      <c r="S92" s="4" t="n">
        <v>10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>
        <f>SUM(Q92:Y92)-Z92</f>
        <v/>
      </c>
      <c r="AC92" s="4">
        <f>IF(I92="","",IF(OR(LEFT(I92,3)="BKK",I92="LCH55"),"BKK",IF(LEFT(I92,3)="LCH","LCH","OTHER")))</f>
        <v/>
      </c>
      <c r="AD92" s="4">
        <f>MAX(0,Q92-MAX(0,Z92))</f>
        <v/>
      </c>
      <c r="AE92" s="4">
        <f>MAX(0,R92-MAX(0,Z92-SUM(Q92:Q92)))</f>
        <v/>
      </c>
      <c r="AF92" s="4">
        <f>MAX(0,S92-MAX(0,Z92-SUM(Q92:R92)))</f>
        <v/>
      </c>
      <c r="AG92" s="4">
        <f>MAX(0,T92-MAX(0,Z92-SUM(Q92:S92)))</f>
        <v/>
      </c>
      <c r="AH92" s="4">
        <f>MAX(0,U92-MAX(0,Z92-SUM(Q92:T92)))</f>
        <v/>
      </c>
      <c r="AI92" s="4">
        <f>MAX(0,V92-MAX(0,Z92-SUM(Q92:U92)))</f>
        <v/>
      </c>
      <c r="AJ92" s="4">
        <f>MAX(0,W92-MAX(0,Z92-SUM(Q92:V92)))</f>
        <v/>
      </c>
      <c r="AK92" s="4">
        <f>MAX(0,X92-MAX(0,Z92-SUM(Q92:W92)))</f>
        <v/>
      </c>
      <c r="AL92" s="4">
        <f>MAX(0,Y92-MAX(0,Z92-SUM(Q92:X92)))</f>
        <v/>
      </c>
    </row>
    <row r="93">
      <c r="A93" s="4" t="inlineStr">
        <is>
          <t>HASLS22260901336</t>
        </is>
      </c>
      <c r="B93" s="4" t="inlineStr">
        <is>
          <t>DJCF</t>
        </is>
      </c>
      <c r="C93" s="4" t="inlineStr">
        <is>
          <t>0152N</t>
        </is>
      </c>
      <c r="D93" s="4" t="inlineStr">
        <is>
          <t>202610111000</t>
        </is>
      </c>
      <c r="E93" s="4" t="inlineStr"/>
      <c r="F93" s="4" t="inlineStr">
        <is>
          <t>THBKK</t>
        </is>
      </c>
      <c r="G93" s="4" t="inlineStr">
        <is>
          <t>KRPUS</t>
        </is>
      </c>
      <c r="H93" s="4" t="inlineStr">
        <is>
          <t xml:space="preserve">20'x5 </t>
        </is>
      </c>
      <c r="I93" s="4" t="inlineStr">
        <is>
          <t>BKK27</t>
        </is>
      </c>
      <c r="J93" s="4" t="inlineStr">
        <is>
          <t>B.C. DEPOT CO.,LTD. ( Bang-Na KM.18)</t>
        </is>
      </c>
      <c r="K93" s="4" t="inlineStr">
        <is>
          <t>20261005</t>
        </is>
      </c>
      <c r="L93" s="4" t="inlineStr">
        <is>
          <t>LOGITEM (THAILAND) CO., LTD.</t>
        </is>
      </c>
      <c r="M93" s="4" t="inlineStr">
        <is>
          <t>SUNSWEET PUBLIC COMPANY LIMITED</t>
        </is>
      </c>
      <c r="N93" s="4" t="inlineStr">
        <is>
          <t>CANNED SWEET CORN</t>
        </is>
      </c>
      <c r="O93" s="4" t="inlineStr">
        <is>
          <t>GOOD CONDITION / ขอตู้แห้ง สะอาด ไม่มีสี ไม่มีกลิ่น ไม่มีสนิ่ม</t>
        </is>
      </c>
      <c r="P93" s="4" t="inlineStr">
        <is>
          <t xml:space="preserve">Pickup : 2026-10-05, Return : 2026-10-08 
 </t>
        </is>
      </c>
      <c r="Q93" s="4" t="n">
        <v>5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>
        <f>SUM(Q93:Y93)-Z93</f>
        <v/>
      </c>
      <c r="AC93" s="4">
        <f>IF(I93="","",IF(OR(LEFT(I93,3)="BKK",I93="LCH55"),"BKK",IF(LEFT(I93,3)="LCH","LCH","OTHER")))</f>
        <v/>
      </c>
      <c r="AD93" s="4">
        <f>MAX(0,Q93-MAX(0,Z93))</f>
        <v/>
      </c>
      <c r="AE93" s="4">
        <f>MAX(0,R93-MAX(0,Z93-SUM(Q93:Q93)))</f>
        <v/>
      </c>
      <c r="AF93" s="4">
        <f>MAX(0,S93-MAX(0,Z93-SUM(Q93:R93)))</f>
        <v/>
      </c>
      <c r="AG93" s="4">
        <f>MAX(0,T93-MAX(0,Z93-SUM(Q93:S93)))</f>
        <v/>
      </c>
      <c r="AH93" s="4">
        <f>MAX(0,U93-MAX(0,Z93-SUM(Q93:T93)))</f>
        <v/>
      </c>
      <c r="AI93" s="4">
        <f>MAX(0,V93-MAX(0,Z93-SUM(Q93:U93)))</f>
        <v/>
      </c>
      <c r="AJ93" s="4">
        <f>MAX(0,W93-MAX(0,Z93-SUM(Q93:V93)))</f>
        <v/>
      </c>
      <c r="AK93" s="4">
        <f>MAX(0,X93-MAX(0,Z93-SUM(Q93:W93)))</f>
        <v/>
      </c>
      <c r="AL93" s="4">
        <f>MAX(0,Y93-MAX(0,Z93-SUM(Q93:X93)))</f>
        <v/>
      </c>
    </row>
    <row r="94">
      <c r="A94" s="4" t="inlineStr">
        <is>
          <t>HASLS22260901371</t>
        </is>
      </c>
      <c r="B94" s="4" t="inlineStr">
        <is>
          <t>SWSR</t>
        </is>
      </c>
      <c r="C94" s="4" t="inlineStr">
        <is>
          <t>2611N</t>
        </is>
      </c>
      <c r="D94" s="4" t="inlineStr">
        <is>
          <t>202610110900</t>
        </is>
      </c>
      <c r="E94" s="4" t="inlineStr"/>
      <c r="F94" s="4" t="inlineStr">
        <is>
          <t>THBKK</t>
        </is>
      </c>
      <c r="G94" s="4" t="inlineStr">
        <is>
          <t>CNXMN</t>
        </is>
      </c>
      <c r="H94" s="4" t="inlineStr">
        <is>
          <t xml:space="preserve">20'x4 </t>
        </is>
      </c>
      <c r="I94" s="4" t="inlineStr">
        <is>
          <t>BKK27</t>
        </is>
      </c>
      <c r="J94" s="4" t="inlineStr">
        <is>
          <t>B.C. DEPOT CO.,LTD. ( Bang-Na KM.18)</t>
        </is>
      </c>
      <c r="K94" s="4" t="inlineStr">
        <is>
          <t>20261005</t>
        </is>
      </c>
      <c r="L94" s="4" t="inlineStr">
        <is>
          <t>MARCH LOGISTICS CO., LTD.</t>
        </is>
      </c>
      <c r="M94" s="4" t="inlineStr">
        <is>
          <t>STARPRO PTR STARCH (THAILAND) CO., LTD.</t>
        </is>
      </c>
      <c r="N94" s="4" t="inlineStr">
        <is>
          <t>STARCH</t>
        </is>
      </c>
      <c r="O94" s="4" t="inlineStr">
        <is>
          <t>GOOD AND CLEAN CONTAINER</t>
        </is>
      </c>
      <c r="P94" s="4" t="inlineStr">
        <is>
          <t>Pickup : 2026-10-05, Return : 2026-10-07</t>
        </is>
      </c>
      <c r="Q94" s="4" t="n">
        <v>4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>
        <f>SUM(Q94:Y94)-Z94</f>
        <v/>
      </c>
      <c r="AC94" s="4">
        <f>IF(I94="","",IF(OR(LEFT(I94,3)="BKK",I94="LCH55"),"BKK",IF(LEFT(I94,3)="LCH","LCH","OTHER")))</f>
        <v/>
      </c>
      <c r="AD94" s="4">
        <f>MAX(0,Q94-MAX(0,Z94))</f>
        <v/>
      </c>
      <c r="AE94" s="4">
        <f>MAX(0,R94-MAX(0,Z94-SUM(Q94:Q94)))</f>
        <v/>
      </c>
      <c r="AF94" s="4">
        <f>MAX(0,S94-MAX(0,Z94-SUM(Q94:R94)))</f>
        <v/>
      </c>
      <c r="AG94" s="4">
        <f>MAX(0,T94-MAX(0,Z94-SUM(Q94:S94)))</f>
        <v/>
      </c>
      <c r="AH94" s="4">
        <f>MAX(0,U94-MAX(0,Z94-SUM(Q94:T94)))</f>
        <v/>
      </c>
      <c r="AI94" s="4">
        <f>MAX(0,V94-MAX(0,Z94-SUM(Q94:U94)))</f>
        <v/>
      </c>
      <c r="AJ94" s="4">
        <f>MAX(0,W94-MAX(0,Z94-SUM(Q94:V94)))</f>
        <v/>
      </c>
      <c r="AK94" s="4">
        <f>MAX(0,X94-MAX(0,Z94-SUM(Q94:W94)))</f>
        <v/>
      </c>
      <c r="AL94" s="4">
        <f>MAX(0,Y94-MAX(0,Z94-SUM(Q94:X94)))</f>
        <v/>
      </c>
    </row>
    <row r="95">
      <c r="A95" s="4" t="inlineStr">
        <is>
          <t>HASLS22260901381</t>
        </is>
      </c>
      <c r="B95" s="4" t="inlineStr">
        <is>
          <t>DJCF</t>
        </is>
      </c>
      <c r="C95" s="4" t="inlineStr">
        <is>
          <t>0152N</t>
        </is>
      </c>
      <c r="D95" s="4" t="inlineStr">
        <is>
          <t>202610111000</t>
        </is>
      </c>
      <c r="E95" s="4" t="inlineStr"/>
      <c r="F95" s="4" t="inlineStr">
        <is>
          <t>THBKK</t>
        </is>
      </c>
      <c r="G95" s="4" t="inlineStr">
        <is>
          <t>VNSGN</t>
        </is>
      </c>
      <c r="H95" s="4" t="inlineStr">
        <is>
          <t xml:space="preserve">R40Hx1 </t>
        </is>
      </c>
      <c r="I95" s="4" t="inlineStr">
        <is>
          <t>BKK27</t>
        </is>
      </c>
      <c r="J95" s="4" t="inlineStr">
        <is>
          <t>B.C. DEPOT CO.,LTD. ( Bang-Na KM.18)</t>
        </is>
      </c>
      <c r="K95" s="4" t="inlineStr">
        <is>
          <t>20261007</t>
        </is>
      </c>
      <c r="L95" s="4" t="inlineStr">
        <is>
          <t>FIBS LOGISTICS CO., LTD.</t>
        </is>
      </c>
      <c r="M95" s="4" t="inlineStr">
        <is>
          <t>KIBUN (THAILAND) CO., LTD.</t>
        </is>
      </c>
      <c r="N95" s="4" t="inlineStr">
        <is>
          <t>FROZEN IMITATION CRAB MEAT</t>
        </is>
      </c>
      <c r="O95" s="4" t="inlineStr">
        <is>
          <t>RF45REx1 (Temp -20.0℃ / Vent Close) REQUEST CLEAN CONTAINER AND GOOD CONDITION</t>
        </is>
      </c>
      <c r="P95" s="4" t="inlineStr">
        <is>
          <t xml:space="preserve">Pickup : 2026-10-07, Return : 2026-10-08 RF45REx1 (Temp -20.0 / Vent Close)  
CLS TIME : 09/10/2026 @12.00 </t>
        </is>
      </c>
      <c r="Q95" s="4" t="n">
        <v>0</v>
      </c>
      <c r="R95" s="4" t="n">
        <v>0</v>
      </c>
      <c r="S95" s="4" t="n">
        <v>0</v>
      </c>
      <c r="T95" s="4" t="n">
        <v>0</v>
      </c>
      <c r="U95" s="4" t="n">
        <v>1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>
        <f>SUM(Q95:Y95)-Z95</f>
        <v/>
      </c>
      <c r="AC95" s="4">
        <f>IF(I95="","",IF(OR(LEFT(I95,3)="BKK",I95="LCH55"),"BKK",IF(LEFT(I95,3)="LCH","LCH","OTHER")))</f>
        <v/>
      </c>
      <c r="AD95" s="4">
        <f>MAX(0,Q95-MAX(0,Z95))</f>
        <v/>
      </c>
      <c r="AE95" s="4">
        <f>MAX(0,R95-MAX(0,Z95-SUM(Q95:Q95)))</f>
        <v/>
      </c>
      <c r="AF95" s="4">
        <f>MAX(0,S95-MAX(0,Z95-SUM(Q95:R95)))</f>
        <v/>
      </c>
      <c r="AG95" s="4">
        <f>MAX(0,T95-MAX(0,Z95-SUM(Q95:S95)))</f>
        <v/>
      </c>
      <c r="AH95" s="4">
        <f>MAX(0,U95-MAX(0,Z95-SUM(Q95:T95)))</f>
        <v/>
      </c>
      <c r="AI95" s="4">
        <f>MAX(0,V95-MAX(0,Z95-SUM(Q95:U95)))</f>
        <v/>
      </c>
      <c r="AJ95" s="4">
        <f>MAX(0,W95-MAX(0,Z95-SUM(Q95:V95)))</f>
        <v/>
      </c>
      <c r="AK95" s="4">
        <f>MAX(0,X95-MAX(0,Z95-SUM(Q95:W95)))</f>
        <v/>
      </c>
      <c r="AL95" s="4">
        <f>MAX(0,Y95-MAX(0,Z95-SUM(Q95:X95)))</f>
        <v/>
      </c>
    </row>
    <row r="96">
      <c r="A96" s="4" t="inlineStr">
        <is>
          <t>HASLS22260901383</t>
        </is>
      </c>
      <c r="B96" s="4" t="inlineStr">
        <is>
          <t>KMBK</t>
        </is>
      </c>
      <c r="C96" s="4" t="inlineStr">
        <is>
          <t>2612N</t>
        </is>
      </c>
      <c r="D96" s="4" t="inlineStr">
        <is>
          <t>202610240200</t>
        </is>
      </c>
      <c r="E96" s="4" t="inlineStr"/>
      <c r="F96" s="4" t="inlineStr">
        <is>
          <t>THBKK</t>
        </is>
      </c>
      <c r="G96" s="4" t="inlineStr">
        <is>
          <t>VNSGN</t>
        </is>
      </c>
      <c r="H96" s="4" t="inlineStr">
        <is>
          <t xml:space="preserve">20'x10 </t>
        </is>
      </c>
      <c r="I96" s="4" t="inlineStr">
        <is>
          <t>BKK27</t>
        </is>
      </c>
      <c r="J96" s="4" t="inlineStr">
        <is>
          <t>B.C. DEPOT CO.,LTD. ( Bang-Na KM.18)</t>
        </is>
      </c>
      <c r="K96" s="4" t="inlineStr">
        <is>
          <t>20261017</t>
        </is>
      </c>
      <c r="L96" s="4" t="inlineStr">
        <is>
          <t>SCGJWD LOGISTICS PUBLIC COMPANY LIMITED</t>
        </is>
      </c>
      <c r="M96" s="4" t="inlineStr">
        <is>
          <t>SCG INTERNATIONAL CORPORATION CO., LTD.</t>
        </is>
      </c>
      <c r="N96" s="4" t="inlineStr">
        <is>
          <t>WHITE CLINKER</t>
        </is>
      </c>
      <c r="O96" s="4" t="inlineStr">
        <is>
          <t>GOOD AND CLEAN CONTAINER</t>
        </is>
      </c>
      <c r="P96" s="4" t="inlineStr">
        <is>
          <t>CY-RTN :17-19/10/2026
REF : 26IHWCL92</t>
        </is>
      </c>
      <c r="Q96" s="4" t="n">
        <v>10</v>
      </c>
      <c r="R96" s="4" t="n">
        <v>0</v>
      </c>
      <c r="S96" s="4" t="n">
        <v>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>
        <f>SUM(Q96:Y96)-Z96</f>
        <v/>
      </c>
      <c r="AC96" s="4">
        <f>IF(I96="","",IF(OR(LEFT(I96,3)="BKK",I96="LCH55"),"BKK",IF(LEFT(I96,3)="LCH","LCH","OTHER")))</f>
        <v/>
      </c>
      <c r="AD96" s="4">
        <f>MAX(0,Q96-MAX(0,Z96))</f>
        <v/>
      </c>
      <c r="AE96" s="4">
        <f>MAX(0,R96-MAX(0,Z96-SUM(Q96:Q96)))</f>
        <v/>
      </c>
      <c r="AF96" s="4">
        <f>MAX(0,S96-MAX(0,Z96-SUM(Q96:R96)))</f>
        <v/>
      </c>
      <c r="AG96" s="4">
        <f>MAX(0,T96-MAX(0,Z96-SUM(Q96:S96)))</f>
        <v/>
      </c>
      <c r="AH96" s="4">
        <f>MAX(0,U96-MAX(0,Z96-SUM(Q96:T96)))</f>
        <v/>
      </c>
      <c r="AI96" s="4">
        <f>MAX(0,V96-MAX(0,Z96-SUM(Q96:U96)))</f>
        <v/>
      </c>
      <c r="AJ96" s="4">
        <f>MAX(0,W96-MAX(0,Z96-SUM(Q96:V96)))</f>
        <v/>
      </c>
      <c r="AK96" s="4">
        <f>MAX(0,X96-MAX(0,Z96-SUM(Q96:W96)))</f>
        <v/>
      </c>
      <c r="AL96" s="4">
        <f>MAX(0,Y96-MAX(0,Z96-SUM(Q96:X96)))</f>
        <v/>
      </c>
    </row>
    <row r="97">
      <c r="A97" s="4" t="inlineStr">
        <is>
          <t>HASLS22260901396</t>
        </is>
      </c>
      <c r="B97" s="4" t="inlineStr">
        <is>
          <t>KMBK</t>
        </is>
      </c>
      <c r="C97" s="4" t="inlineStr">
        <is>
          <t>2611N</t>
        </is>
      </c>
      <c r="D97" s="4" t="inlineStr">
        <is>
          <t>202610030900</t>
        </is>
      </c>
      <c r="E97" s="4" t="inlineStr"/>
      <c r="F97" s="4" t="inlineStr">
        <is>
          <t>THBKK</t>
        </is>
      </c>
      <c r="G97" s="4" t="inlineStr">
        <is>
          <t>JPSBS</t>
        </is>
      </c>
      <c r="H97" s="4" t="inlineStr">
        <is>
          <t xml:space="preserve">20'x3 </t>
        </is>
      </c>
      <c r="I97" s="4" t="inlineStr">
        <is>
          <t>BKK27</t>
        </is>
      </c>
      <c r="J97" s="4" t="inlineStr">
        <is>
          <t>B.C. DEPOT CO.,LTD. ( Bang-Na KM.18)</t>
        </is>
      </c>
      <c r="K97" s="4" t="inlineStr">
        <is>
          <t>20260930</t>
        </is>
      </c>
      <c r="L97" s="4" t="inlineStr">
        <is>
          <t>MILKYWAY INTERNATIONAL SUPPLY CHAIN SERVICES (THAILAND) CO., LTD.</t>
        </is>
      </c>
      <c r="M97" s="4" t="inlineStr">
        <is>
          <t>TASCO INTERNATIONAL CO., LTD.</t>
        </is>
      </c>
      <c r="N97" s="4" t="inlineStr">
        <is>
          <t>FISH MEAL</t>
        </is>
      </c>
      <c r="O97" s="4" t="inlineStr">
        <is>
          <t>GOOD AND CLEAN CONTAINER</t>
        </is>
      </c>
      <c r="P97" s="4" t="inlineStr">
        <is>
          <t>Pickup : 2026-09-30, Return : 2026-10-01 (EXTEND CLS 01/10/26 @23.59)</t>
        </is>
      </c>
      <c r="Q97" s="4" t="n">
        <v>3</v>
      </c>
      <c r="R97" s="4" t="n">
        <v>0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>
        <f>SUM(Q97:Y97)-Z97</f>
        <v/>
      </c>
      <c r="AC97" s="4">
        <f>IF(I97="","",IF(OR(LEFT(I97,3)="BKK",I97="LCH55"),"BKK",IF(LEFT(I97,3)="LCH","LCH","OTHER")))</f>
        <v/>
      </c>
      <c r="AD97" s="4">
        <f>MAX(0,Q97-MAX(0,Z97))</f>
        <v/>
      </c>
      <c r="AE97" s="4">
        <f>MAX(0,R97-MAX(0,Z97-SUM(Q97:Q97)))</f>
        <v/>
      </c>
      <c r="AF97" s="4">
        <f>MAX(0,S97-MAX(0,Z97-SUM(Q97:R97)))</f>
        <v/>
      </c>
      <c r="AG97" s="4">
        <f>MAX(0,T97-MAX(0,Z97-SUM(Q97:S97)))</f>
        <v/>
      </c>
      <c r="AH97" s="4">
        <f>MAX(0,U97-MAX(0,Z97-SUM(Q97:T97)))</f>
        <v/>
      </c>
      <c r="AI97" s="4">
        <f>MAX(0,V97-MAX(0,Z97-SUM(Q97:U97)))</f>
        <v/>
      </c>
      <c r="AJ97" s="4">
        <f>MAX(0,W97-MAX(0,Z97-SUM(Q97:V97)))</f>
        <v/>
      </c>
      <c r="AK97" s="4">
        <f>MAX(0,X97-MAX(0,Z97-SUM(Q97:W97)))</f>
        <v/>
      </c>
      <c r="AL97" s="4">
        <f>MAX(0,Y97-MAX(0,Z97-SUM(Q97:X97)))</f>
        <v/>
      </c>
    </row>
    <row r="98">
      <c r="A98" s="4" t="inlineStr">
        <is>
          <t>HASLS22260901400</t>
        </is>
      </c>
      <c r="B98" s="4" t="inlineStr">
        <is>
          <t>KMTP</t>
        </is>
      </c>
      <c r="C98" s="4" t="inlineStr">
        <is>
          <t>2612N</t>
        </is>
      </c>
      <c r="D98" s="4" t="inlineStr">
        <is>
          <t>202610120800</t>
        </is>
      </c>
      <c r="E98" s="4" t="inlineStr"/>
      <c r="F98" s="4" t="inlineStr">
        <is>
          <t>THBKK</t>
        </is>
      </c>
      <c r="G98" s="4" t="inlineStr">
        <is>
          <t>JPHIJ</t>
        </is>
      </c>
      <c r="H98" s="4" t="inlineStr">
        <is>
          <t xml:space="preserve">40Hx1 20'x2 </t>
        </is>
      </c>
      <c r="I98" s="4" t="inlineStr">
        <is>
          <t>BKK27</t>
        </is>
      </c>
      <c r="J98" s="4" t="inlineStr">
        <is>
          <t>B.C. DEPOT CO.,LTD. ( Bang-Na KM.18)</t>
        </is>
      </c>
      <c r="K98" s="4" t="inlineStr">
        <is>
          <t>20261007</t>
        </is>
      </c>
      <c r="L98" s="4" t="inlineStr">
        <is>
          <t>BANGKOK COLD STORAGE SERVICE,LTD</t>
        </is>
      </c>
      <c r="M98" s="4" t="inlineStr">
        <is>
          <t>UENO FINE CHEMICALS INDUSTRY (THAILAND) LTD.</t>
        </is>
      </c>
      <c r="N98" s="4" t="inlineStr">
        <is>
          <t>SUGAR AND SORBITOL</t>
        </is>
      </c>
      <c r="O98" s="4" t="inlineStr">
        <is>
          <t>REQ CONTAINERS FOOD GRADE(A) AND CLEAN NO SMELL.</t>
        </is>
      </c>
      <c r="P98" s="4" t="inlineStr">
        <is>
          <t>Pickup : 2026-10-07, Return : 2026-10-09</t>
        </is>
      </c>
      <c r="Q98" s="4" t="n">
        <v>2</v>
      </c>
      <c r="R98" s="4" t="n">
        <v>0</v>
      </c>
      <c r="S98" s="4" t="n">
        <v>1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>
        <f>SUM(Q98:Y98)-Z98</f>
        <v/>
      </c>
      <c r="AC98" s="4">
        <f>IF(I98="","",IF(OR(LEFT(I98,3)="BKK",I98="LCH55"),"BKK",IF(LEFT(I98,3)="LCH","LCH","OTHER")))</f>
        <v/>
      </c>
      <c r="AD98" s="4">
        <f>MAX(0,Q98-MAX(0,Z98))</f>
        <v/>
      </c>
      <c r="AE98" s="4">
        <f>MAX(0,R98-MAX(0,Z98-SUM(Q98:Q98)))</f>
        <v/>
      </c>
      <c r="AF98" s="4">
        <f>MAX(0,S98-MAX(0,Z98-SUM(Q98:R98)))</f>
        <v/>
      </c>
      <c r="AG98" s="4">
        <f>MAX(0,T98-MAX(0,Z98-SUM(Q98:S98)))</f>
        <v/>
      </c>
      <c r="AH98" s="4">
        <f>MAX(0,U98-MAX(0,Z98-SUM(Q98:T98)))</f>
        <v/>
      </c>
      <c r="AI98" s="4">
        <f>MAX(0,V98-MAX(0,Z98-SUM(Q98:U98)))</f>
        <v/>
      </c>
      <c r="AJ98" s="4">
        <f>MAX(0,W98-MAX(0,Z98-SUM(Q98:V98)))</f>
        <v/>
      </c>
      <c r="AK98" s="4">
        <f>MAX(0,X98-MAX(0,Z98-SUM(Q98:W98)))</f>
        <v/>
      </c>
      <c r="AL98" s="4">
        <f>MAX(0,Y98-MAX(0,Z98-SUM(Q98:X98)))</f>
        <v/>
      </c>
    </row>
    <row r="99">
      <c r="A99" s="4" t="inlineStr">
        <is>
          <t>HASLS22260901442</t>
        </is>
      </c>
      <c r="B99" s="4" t="inlineStr">
        <is>
          <t>SWBT</t>
        </is>
      </c>
      <c r="C99" s="4" t="inlineStr">
        <is>
          <t>2616N</t>
        </is>
      </c>
      <c r="D99" s="4" t="inlineStr">
        <is>
          <t>202610130600</t>
        </is>
      </c>
      <c r="E99" s="4" t="inlineStr"/>
      <c r="F99" s="4" t="inlineStr">
        <is>
          <t>THBKK</t>
        </is>
      </c>
      <c r="G99" s="4" t="inlineStr">
        <is>
          <t>JPTYO</t>
        </is>
      </c>
      <c r="H99" s="4" t="inlineStr">
        <is>
          <t xml:space="preserve">20'x5 </t>
        </is>
      </c>
      <c r="I99" s="4" t="inlineStr">
        <is>
          <t>BKK27</t>
        </is>
      </c>
      <c r="J99" s="4" t="inlineStr">
        <is>
          <t>B.C. DEPOT CO.,LTD. ( Bang-Na KM.18)</t>
        </is>
      </c>
      <c r="K99" s="4" t="inlineStr">
        <is>
          <t>20261007</t>
        </is>
      </c>
      <c r="L99" s="4" t="inlineStr">
        <is>
          <t>MILKYWAY INTERNATIONAL SUPPLY CHAIN SERVICES (THAILAND) CO., LTD.</t>
        </is>
      </c>
      <c r="M99" s="4" t="inlineStr">
        <is>
          <t>TASCO INTERNATIONAL CO., LTD.</t>
        </is>
      </c>
      <c r="N99" s="4" t="inlineStr">
        <is>
          <t>FISH MEAL</t>
        </is>
      </c>
      <c r="O99" s="4" t="inlineStr">
        <is>
          <t>GOOD AND CLEAN CONTAINER</t>
        </is>
      </c>
      <c r="P99" s="4" t="inlineStr">
        <is>
          <t>[FIX]Pickup : 2026-10-07, Return : 2026-10-08</t>
        </is>
      </c>
      <c r="Q99" s="4" t="n">
        <v>5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>
        <f>SUM(Q99:Y99)-Z99</f>
        <v/>
      </c>
      <c r="AC99" s="4">
        <f>IF(I99="","",IF(OR(LEFT(I99,3)="BKK",I99="LCH55"),"BKK",IF(LEFT(I99,3)="LCH","LCH","OTHER")))</f>
        <v/>
      </c>
      <c r="AD99" s="4">
        <f>MAX(0,Q99-MAX(0,Z99))</f>
        <v/>
      </c>
      <c r="AE99" s="4">
        <f>MAX(0,R99-MAX(0,Z99-SUM(Q99:Q99)))</f>
        <v/>
      </c>
      <c r="AF99" s="4">
        <f>MAX(0,S99-MAX(0,Z99-SUM(Q99:R99)))</f>
        <v/>
      </c>
      <c r="AG99" s="4">
        <f>MAX(0,T99-MAX(0,Z99-SUM(Q99:S99)))</f>
        <v/>
      </c>
      <c r="AH99" s="4">
        <f>MAX(0,U99-MAX(0,Z99-SUM(Q99:T99)))</f>
        <v/>
      </c>
      <c r="AI99" s="4">
        <f>MAX(0,V99-MAX(0,Z99-SUM(Q99:U99)))</f>
        <v/>
      </c>
      <c r="AJ99" s="4">
        <f>MAX(0,W99-MAX(0,Z99-SUM(Q99:V99)))</f>
        <v/>
      </c>
      <c r="AK99" s="4">
        <f>MAX(0,X99-MAX(0,Z99-SUM(Q99:W99)))</f>
        <v/>
      </c>
      <c r="AL99" s="4">
        <f>MAX(0,Y99-MAX(0,Z99-SUM(Q99:X99)))</f>
        <v/>
      </c>
    </row>
    <row r="100">
      <c r="A100" s="4" t="inlineStr">
        <is>
          <t>HASLS22260901448</t>
        </is>
      </c>
      <c r="B100" s="4" t="inlineStr">
        <is>
          <t>KMGY</t>
        </is>
      </c>
      <c r="C100" s="4" t="inlineStr">
        <is>
          <t>2611N</t>
        </is>
      </c>
      <c r="D100" s="4" t="inlineStr">
        <is>
          <t>202610201000</t>
        </is>
      </c>
      <c r="E100" s="4" t="inlineStr"/>
      <c r="F100" s="4" t="inlineStr">
        <is>
          <t>THBKK</t>
        </is>
      </c>
      <c r="G100" s="4" t="inlineStr">
        <is>
          <t>KRINC</t>
        </is>
      </c>
      <c r="H100" s="4" t="inlineStr">
        <is>
          <t xml:space="preserve">20'x1 </t>
        </is>
      </c>
      <c r="I100" s="4" t="inlineStr">
        <is>
          <t>BKK27</t>
        </is>
      </c>
      <c r="J100" s="4" t="inlineStr">
        <is>
          <t>B.C. DEPOT CO.,LTD. ( Bang-Na KM.18)</t>
        </is>
      </c>
      <c r="K100" s="4" t="inlineStr">
        <is>
          <t>20261012</t>
        </is>
      </c>
      <c r="L100" s="4" t="inlineStr">
        <is>
          <t>COFE COMPANY LIMITED</t>
        </is>
      </c>
      <c r="M100" s="4" t="inlineStr">
        <is>
          <t>COFE COMPANY LIMITED</t>
        </is>
      </c>
      <c r="N100" s="4" t="inlineStr">
        <is>
          <t>COFE-COCONUT FLOWER WATER</t>
        </is>
      </c>
      <c r="O100" s="4" t="inlineStr">
        <is>
          <t>GOOD AND CLEAN CONTAINER</t>
        </is>
      </c>
      <c r="P100" s="4" t="inlineStr">
        <is>
          <t>CY-RTN : 12-14/10/2026 *1ST RETURN CNTR DD.14/10/2026*
REF : PL-EX26-08001</t>
        </is>
      </c>
      <c r="Q100" s="4" t="n">
        <v>1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>
        <f>SUM(Q100:Y100)-Z100</f>
        <v/>
      </c>
      <c r="AC100" s="4">
        <f>IF(I100="","",IF(OR(LEFT(I100,3)="BKK",I100="LCH55"),"BKK",IF(LEFT(I100,3)="LCH","LCH","OTHER")))</f>
        <v/>
      </c>
      <c r="AD100" s="4">
        <f>MAX(0,Q100-MAX(0,Z100))</f>
        <v/>
      </c>
      <c r="AE100" s="4">
        <f>MAX(0,R100-MAX(0,Z100-SUM(Q100:Q100)))</f>
        <v/>
      </c>
      <c r="AF100" s="4">
        <f>MAX(0,S100-MAX(0,Z100-SUM(Q100:R100)))</f>
        <v/>
      </c>
      <c r="AG100" s="4">
        <f>MAX(0,T100-MAX(0,Z100-SUM(Q100:S100)))</f>
        <v/>
      </c>
      <c r="AH100" s="4">
        <f>MAX(0,U100-MAX(0,Z100-SUM(Q100:T100)))</f>
        <v/>
      </c>
      <c r="AI100" s="4">
        <f>MAX(0,V100-MAX(0,Z100-SUM(Q100:U100)))</f>
        <v/>
      </c>
      <c r="AJ100" s="4">
        <f>MAX(0,W100-MAX(0,Z100-SUM(Q100:V100)))</f>
        <v/>
      </c>
      <c r="AK100" s="4">
        <f>MAX(0,X100-MAX(0,Z100-SUM(Q100:W100)))</f>
        <v/>
      </c>
      <c r="AL100" s="4">
        <f>MAX(0,Y100-MAX(0,Z100-SUM(Q100:X100)))</f>
        <v/>
      </c>
    </row>
    <row r="101">
      <c r="A101" s="4" t="inlineStr">
        <is>
          <t>HASLS22260901451</t>
        </is>
      </c>
      <c r="B101" s="4" t="inlineStr">
        <is>
          <t>SWDN</t>
        </is>
      </c>
      <c r="C101" s="4" t="inlineStr">
        <is>
          <t>2610N</t>
        </is>
      </c>
      <c r="D101" s="4" t="inlineStr">
        <is>
          <t>202610060900</t>
        </is>
      </c>
      <c r="E101" s="4" t="inlineStr"/>
      <c r="F101" s="4" t="inlineStr">
        <is>
          <t>THBKK</t>
        </is>
      </c>
      <c r="G101" s="4" t="inlineStr">
        <is>
          <t>HKHKG</t>
        </is>
      </c>
      <c r="H101" s="4" t="inlineStr">
        <is>
          <t xml:space="preserve">20'x3 </t>
        </is>
      </c>
      <c r="I101" s="4" t="inlineStr">
        <is>
          <t>BKK27</t>
        </is>
      </c>
      <c r="J101" s="4" t="inlineStr">
        <is>
          <t>B.C. DEPOT CO.,LTD. ( Bang-Na KM.18)</t>
        </is>
      </c>
      <c r="K101" s="4" t="inlineStr">
        <is>
          <t>20260925</t>
        </is>
      </c>
      <c r="L101" s="4" t="inlineStr">
        <is>
          <t>SS EXCELLENT NETWORK CO.,LTD</t>
        </is>
      </c>
      <c r="M101" s="4" t="inlineStr">
        <is>
          <t>SS EXCELLENT NETWORK CO.,LTD</t>
        </is>
      </c>
      <c r="N101" s="4" t="inlineStr">
        <is>
          <t>COPPER INGOT</t>
        </is>
      </c>
      <c r="O101" s="4" t="inlineStr">
        <is>
          <t>RQST CONTAINER 30 TONS.</t>
        </is>
      </c>
      <c r="P101" s="4" t="inlineStr">
        <is>
          <t xml:space="preserve">Pickup : 2026-09-25, Return : 2026-09-26 (1ST RETURN 29/09/26)
 </t>
        </is>
      </c>
      <c r="Q101" s="4" t="n">
        <v>3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>
        <f>SUM(Q101:Y101)-Z101</f>
        <v/>
      </c>
      <c r="AC101" s="4">
        <f>IF(I101="","",IF(OR(LEFT(I101,3)="BKK",I101="LCH55"),"BKK",IF(LEFT(I101,3)="LCH","LCH","OTHER")))</f>
        <v/>
      </c>
      <c r="AD101" s="4">
        <f>MAX(0,Q101-MAX(0,Z101))</f>
        <v/>
      </c>
      <c r="AE101" s="4">
        <f>MAX(0,R101-MAX(0,Z101-SUM(Q101:Q101)))</f>
        <v/>
      </c>
      <c r="AF101" s="4">
        <f>MAX(0,S101-MAX(0,Z101-SUM(Q101:R101)))</f>
        <v/>
      </c>
      <c r="AG101" s="4">
        <f>MAX(0,T101-MAX(0,Z101-SUM(Q101:S101)))</f>
        <v/>
      </c>
      <c r="AH101" s="4">
        <f>MAX(0,U101-MAX(0,Z101-SUM(Q101:T101)))</f>
        <v/>
      </c>
      <c r="AI101" s="4">
        <f>MAX(0,V101-MAX(0,Z101-SUM(Q101:U101)))</f>
        <v/>
      </c>
      <c r="AJ101" s="4">
        <f>MAX(0,W101-MAX(0,Z101-SUM(Q101:V101)))</f>
        <v/>
      </c>
      <c r="AK101" s="4">
        <f>MAX(0,X101-MAX(0,Z101-SUM(Q101:W101)))</f>
        <v/>
      </c>
      <c r="AL101" s="4">
        <f>MAX(0,Y101-MAX(0,Z101-SUM(Q101:X101)))</f>
        <v/>
      </c>
    </row>
    <row r="102">
      <c r="A102" s="4" t="inlineStr">
        <is>
          <t>HASLS22260901457</t>
        </is>
      </c>
      <c r="B102" s="4" t="inlineStr">
        <is>
          <t>SWAT</t>
        </is>
      </c>
      <c r="C102" s="4" t="inlineStr">
        <is>
          <t>2610N</t>
        </is>
      </c>
      <c r="D102" s="4" t="inlineStr">
        <is>
          <t>202610071700</t>
        </is>
      </c>
      <c r="E102" s="4" t="inlineStr"/>
      <c r="F102" s="4" t="inlineStr">
        <is>
          <t>THBKK</t>
        </is>
      </c>
      <c r="G102" s="4" t="inlineStr">
        <is>
          <t>HKHKG</t>
        </is>
      </c>
      <c r="H102" s="4" t="inlineStr">
        <is>
          <t xml:space="preserve">20'x3 </t>
        </is>
      </c>
      <c r="I102" s="4" t="inlineStr">
        <is>
          <t>BKK27</t>
        </is>
      </c>
      <c r="J102" s="4" t="inlineStr">
        <is>
          <t>B.C. DEPOT CO.,LTD. ( Bang-Na KM.18)</t>
        </is>
      </c>
      <c r="K102" s="4" t="inlineStr">
        <is>
          <t>20260929</t>
        </is>
      </c>
      <c r="L102" s="4" t="inlineStr">
        <is>
          <t>SS EXCELLENT NETWORK CO.,LTD</t>
        </is>
      </c>
      <c r="M102" s="4" t="inlineStr">
        <is>
          <t>SS EXCELLENT NETWORK CO.,LTD</t>
        </is>
      </c>
      <c r="N102" s="4" t="inlineStr">
        <is>
          <t>COPPER INGOT</t>
        </is>
      </c>
      <c r="O102" s="4" t="inlineStr">
        <is>
          <t>RQST CONTAINER 30 TONS.</t>
        </is>
      </c>
      <c r="P102" s="4" t="inlineStr">
        <is>
          <t xml:space="preserve">Pickup : 2026-09-29, Return : 2026-09-30 
 </t>
        </is>
      </c>
      <c r="Q102" s="4" t="n">
        <v>3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>
        <f>SUM(Q102:Y102)-Z102</f>
        <v/>
      </c>
      <c r="AC102" s="4">
        <f>IF(I102="","",IF(OR(LEFT(I102,3)="BKK",I102="LCH55"),"BKK",IF(LEFT(I102,3)="LCH","LCH","OTHER")))</f>
        <v/>
      </c>
      <c r="AD102" s="4">
        <f>MAX(0,Q102-MAX(0,Z102))</f>
        <v/>
      </c>
      <c r="AE102" s="4">
        <f>MAX(0,R102-MAX(0,Z102-SUM(Q102:Q102)))</f>
        <v/>
      </c>
      <c r="AF102" s="4">
        <f>MAX(0,S102-MAX(0,Z102-SUM(Q102:R102)))</f>
        <v/>
      </c>
      <c r="AG102" s="4">
        <f>MAX(0,T102-MAX(0,Z102-SUM(Q102:S102)))</f>
        <v/>
      </c>
      <c r="AH102" s="4">
        <f>MAX(0,U102-MAX(0,Z102-SUM(Q102:T102)))</f>
        <v/>
      </c>
      <c r="AI102" s="4">
        <f>MAX(0,V102-MAX(0,Z102-SUM(Q102:U102)))</f>
        <v/>
      </c>
      <c r="AJ102" s="4">
        <f>MAX(0,W102-MAX(0,Z102-SUM(Q102:V102)))</f>
        <v/>
      </c>
      <c r="AK102" s="4">
        <f>MAX(0,X102-MAX(0,Z102-SUM(Q102:W102)))</f>
        <v/>
      </c>
      <c r="AL102" s="4">
        <f>MAX(0,Y102-MAX(0,Z102-SUM(Q102:X102)))</f>
        <v/>
      </c>
    </row>
    <row r="103">
      <c r="A103" s="4" t="inlineStr">
        <is>
          <t>HASLS22260901458</t>
        </is>
      </c>
      <c r="B103" s="4" t="inlineStr">
        <is>
          <t>SWAT</t>
        </is>
      </c>
      <c r="C103" s="4" t="inlineStr">
        <is>
          <t>2610N</t>
        </is>
      </c>
      <c r="D103" s="4" t="inlineStr">
        <is>
          <t>202610071700</t>
        </is>
      </c>
      <c r="E103" s="4" t="inlineStr"/>
      <c r="F103" s="4" t="inlineStr">
        <is>
          <t>THBKK</t>
        </is>
      </c>
      <c r="G103" s="4" t="inlineStr">
        <is>
          <t>HKHKG</t>
        </is>
      </c>
      <c r="H103" s="4" t="inlineStr">
        <is>
          <t xml:space="preserve">40Hx3 </t>
        </is>
      </c>
      <c r="I103" s="4" t="inlineStr">
        <is>
          <t>BKK27</t>
        </is>
      </c>
      <c r="J103" s="4" t="inlineStr">
        <is>
          <t>B.C. DEPOT CO.,LTD. ( Bang-Na KM.18)</t>
        </is>
      </c>
      <c r="K103" s="4" t="inlineStr">
        <is>
          <t>20260929</t>
        </is>
      </c>
      <c r="L103" s="4" t="inlineStr">
        <is>
          <t>SS EXCELLENT NETWORK CO.,LTD</t>
        </is>
      </c>
      <c r="M103" s="4" t="inlineStr">
        <is>
          <t>SS EXCELLENT NETWORK CO.,LTD</t>
        </is>
      </c>
      <c r="N103" s="4" t="inlineStr">
        <is>
          <t>COPPER INGOT</t>
        </is>
      </c>
      <c r="O103" s="4" t="inlineStr">
        <is>
          <t>RQST COTNAINER 32.5 TONS</t>
        </is>
      </c>
      <c r="P103" s="4" t="inlineStr">
        <is>
          <t xml:space="preserve">Pickup : 2026-09-29, Return : 2026-09-30 </t>
        </is>
      </c>
      <c r="Q103" s="4" t="n">
        <v>0</v>
      </c>
      <c r="R103" s="4" t="n">
        <v>0</v>
      </c>
      <c r="S103" s="4" t="n">
        <v>3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>
        <f>SUM(Q103:Y103)-Z103</f>
        <v/>
      </c>
      <c r="AC103" s="4">
        <f>IF(I103="","",IF(OR(LEFT(I103,3)="BKK",I103="LCH55"),"BKK",IF(LEFT(I103,3)="LCH","LCH","OTHER")))</f>
        <v/>
      </c>
      <c r="AD103" s="4">
        <f>MAX(0,Q103-MAX(0,Z103))</f>
        <v/>
      </c>
      <c r="AE103" s="4">
        <f>MAX(0,R103-MAX(0,Z103-SUM(Q103:Q103)))</f>
        <v/>
      </c>
      <c r="AF103" s="4">
        <f>MAX(0,S103-MAX(0,Z103-SUM(Q103:R103)))</f>
        <v/>
      </c>
      <c r="AG103" s="4">
        <f>MAX(0,T103-MAX(0,Z103-SUM(Q103:S103)))</f>
        <v/>
      </c>
      <c r="AH103" s="4">
        <f>MAX(0,U103-MAX(0,Z103-SUM(Q103:T103)))</f>
        <v/>
      </c>
      <c r="AI103" s="4">
        <f>MAX(0,V103-MAX(0,Z103-SUM(Q103:U103)))</f>
        <v/>
      </c>
      <c r="AJ103" s="4">
        <f>MAX(0,W103-MAX(0,Z103-SUM(Q103:V103)))</f>
        <v/>
      </c>
      <c r="AK103" s="4">
        <f>MAX(0,X103-MAX(0,Z103-SUM(Q103:W103)))</f>
        <v/>
      </c>
      <c r="AL103" s="4">
        <f>MAX(0,Y103-MAX(0,Z103-SUM(Q103:X103)))</f>
        <v/>
      </c>
    </row>
    <row r="104">
      <c r="A104" s="4" t="inlineStr">
        <is>
          <t>HASLS22260901471</t>
        </is>
      </c>
      <c r="B104" s="4" t="inlineStr">
        <is>
          <t>CMA</t>
        </is>
      </c>
      <c r="C104" s="4" t="inlineStr">
        <is>
          <t>2615N</t>
        </is>
      </c>
      <c r="D104" s="4" t="inlineStr">
        <is>
          <t>202610172300</t>
        </is>
      </c>
      <c r="E104" s="4" t="inlineStr"/>
      <c r="F104" s="4" t="inlineStr">
        <is>
          <t>THBKK</t>
        </is>
      </c>
      <c r="G104" s="4" t="inlineStr">
        <is>
          <t>CNSHK</t>
        </is>
      </c>
      <c r="H104" s="4" t="inlineStr">
        <is>
          <t xml:space="preserve">40Hx2 </t>
        </is>
      </c>
      <c r="I104" s="4" t="inlineStr">
        <is>
          <t>BKK27</t>
        </is>
      </c>
      <c r="J104" s="4" t="inlineStr">
        <is>
          <t>B.C. DEPOT CO.,LTD. ( Bang-Na KM.18)</t>
        </is>
      </c>
      <c r="K104" s="4" t="inlineStr">
        <is>
          <t>20261012</t>
        </is>
      </c>
      <c r="L104" s="4" t="inlineStr">
        <is>
          <t>DIMERCO EXPRESS (THAILAND) CO., LTD.</t>
        </is>
      </c>
      <c r="M104" s="4" t="inlineStr">
        <is>
          <t>THAIMAN INDUSTRIES CO., LTD.</t>
        </is>
      </c>
      <c r="N104" s="4" t="inlineStr">
        <is>
          <t>MULTIPLE YARN OF POLYESTER</t>
        </is>
      </c>
      <c r="O104" s="4" t="inlineStr">
        <is>
          <t>GOOD AND CLEAN CONTAINER</t>
        </is>
      </c>
      <c r="P104" s="4" t="inlineStr">
        <is>
          <t>Pickup : 2026-10-12, Return : 2026-10-12</t>
        </is>
      </c>
      <c r="Q104" s="4" t="n">
        <v>0</v>
      </c>
      <c r="R104" s="4" t="n">
        <v>0</v>
      </c>
      <c r="S104" s="4" t="n">
        <v>2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>
        <f>SUM(Q104:Y104)-Z104</f>
        <v/>
      </c>
      <c r="AC104" s="4">
        <f>IF(I104="","",IF(OR(LEFT(I104,3)="BKK",I104="LCH55"),"BKK",IF(LEFT(I104,3)="LCH","LCH","OTHER")))</f>
        <v/>
      </c>
      <c r="AD104" s="4">
        <f>MAX(0,Q104-MAX(0,Z104))</f>
        <v/>
      </c>
      <c r="AE104" s="4">
        <f>MAX(0,R104-MAX(0,Z104-SUM(Q104:Q104)))</f>
        <v/>
      </c>
      <c r="AF104" s="4">
        <f>MAX(0,S104-MAX(0,Z104-SUM(Q104:R104)))</f>
        <v/>
      </c>
      <c r="AG104" s="4">
        <f>MAX(0,T104-MAX(0,Z104-SUM(Q104:S104)))</f>
        <v/>
      </c>
      <c r="AH104" s="4">
        <f>MAX(0,U104-MAX(0,Z104-SUM(Q104:T104)))</f>
        <v/>
      </c>
      <c r="AI104" s="4">
        <f>MAX(0,V104-MAX(0,Z104-SUM(Q104:U104)))</f>
        <v/>
      </c>
      <c r="AJ104" s="4">
        <f>MAX(0,W104-MAX(0,Z104-SUM(Q104:V104)))</f>
        <v/>
      </c>
      <c r="AK104" s="4">
        <f>MAX(0,X104-MAX(0,Z104-SUM(Q104:W104)))</f>
        <v/>
      </c>
      <c r="AL104" s="4">
        <f>MAX(0,Y104-MAX(0,Z104-SUM(Q104:X104)))</f>
        <v/>
      </c>
    </row>
    <row r="105">
      <c r="A105" s="4" t="inlineStr">
        <is>
          <t>HASLS22260901473</t>
        </is>
      </c>
      <c r="B105" s="4" t="inlineStr">
        <is>
          <t>SKOR</t>
        </is>
      </c>
      <c r="C105" s="4" t="inlineStr">
        <is>
          <t>2612N</t>
        </is>
      </c>
      <c r="D105" s="4" t="inlineStr">
        <is>
          <t>202610181700</t>
        </is>
      </c>
      <c r="E105" s="4" t="inlineStr"/>
      <c r="F105" s="4" t="inlineStr">
        <is>
          <t>THBKK</t>
        </is>
      </c>
      <c r="G105" s="4" t="inlineStr">
        <is>
          <t>CNXMN</t>
        </is>
      </c>
      <c r="H105" s="4" t="inlineStr">
        <is>
          <t xml:space="preserve">20'x2 </t>
        </is>
      </c>
      <c r="I105" s="4" t="inlineStr">
        <is>
          <t>BKK27</t>
        </is>
      </c>
      <c r="J105" s="4" t="inlineStr">
        <is>
          <t>B.C. DEPOT CO.,LTD. ( Bang-Na KM.18)</t>
        </is>
      </c>
      <c r="K105" s="4" t="inlineStr">
        <is>
          <t>20261010</t>
        </is>
      </c>
      <c r="L105" s="4" t="inlineStr">
        <is>
          <t>DIMERCO EXPRESS (THAILAND) CO., LTD.</t>
        </is>
      </c>
      <c r="M105" s="4" t="inlineStr">
        <is>
          <t>ASIA MODIFIED STARCH CO.,LTD.</t>
        </is>
      </c>
      <c r="N105" s="4" t="inlineStr">
        <is>
          <t xml:space="preserve">MODIFIED STARCH </t>
        </is>
      </c>
      <c r="O105" s="4" t="inlineStr">
        <is>
          <t>Dry &amp; Clean Container (Food Grade) / Container grade A</t>
        </is>
      </c>
      <c r="P105" s="4" t="inlineStr">
        <is>
          <t>Pickup : 2026-10-10, Return : 2026-10-12 [1ST RTN 13/10/2026 W/O RENT]</t>
        </is>
      </c>
      <c r="Q105" s="4" t="n">
        <v>2</v>
      </c>
      <c r="R105" s="4" t="n">
        <v>0</v>
      </c>
      <c r="S105" s="4" t="n">
        <v>0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>
        <f>SUM(Q105:Y105)-Z105</f>
        <v/>
      </c>
      <c r="AC105" s="4">
        <f>IF(I105="","",IF(OR(LEFT(I105,3)="BKK",I105="LCH55"),"BKK",IF(LEFT(I105,3)="LCH","LCH","OTHER")))</f>
        <v/>
      </c>
      <c r="AD105" s="4">
        <f>MAX(0,Q105-MAX(0,Z105))</f>
        <v/>
      </c>
      <c r="AE105" s="4">
        <f>MAX(0,R105-MAX(0,Z105-SUM(Q105:Q105)))</f>
        <v/>
      </c>
      <c r="AF105" s="4">
        <f>MAX(0,S105-MAX(0,Z105-SUM(Q105:R105)))</f>
        <v/>
      </c>
      <c r="AG105" s="4">
        <f>MAX(0,T105-MAX(0,Z105-SUM(Q105:S105)))</f>
        <v/>
      </c>
      <c r="AH105" s="4">
        <f>MAX(0,U105-MAX(0,Z105-SUM(Q105:T105)))</f>
        <v/>
      </c>
      <c r="AI105" s="4">
        <f>MAX(0,V105-MAX(0,Z105-SUM(Q105:U105)))</f>
        <v/>
      </c>
      <c r="AJ105" s="4">
        <f>MAX(0,W105-MAX(0,Z105-SUM(Q105:V105)))</f>
        <v/>
      </c>
      <c r="AK105" s="4">
        <f>MAX(0,X105-MAX(0,Z105-SUM(Q105:W105)))</f>
        <v/>
      </c>
      <c r="AL105" s="4">
        <f>MAX(0,Y105-MAX(0,Z105-SUM(Q105:X105)))</f>
        <v/>
      </c>
    </row>
    <row r="106">
      <c r="A106" s="4" t="inlineStr">
        <is>
          <t>HASLS22260901474</t>
        </is>
      </c>
      <c r="B106" s="4" t="inlineStr">
        <is>
          <t>SWDN</t>
        </is>
      </c>
      <c r="C106" s="4" t="inlineStr">
        <is>
          <t>2611N</t>
        </is>
      </c>
      <c r="D106" s="4" t="inlineStr">
        <is>
          <t>202610270900</t>
        </is>
      </c>
      <c r="E106" s="4" t="inlineStr"/>
      <c r="F106" s="4" t="inlineStr">
        <is>
          <t>THBKK</t>
        </is>
      </c>
      <c r="G106" s="4" t="inlineStr">
        <is>
          <t>CNXMN</t>
        </is>
      </c>
      <c r="H106" s="4" t="inlineStr">
        <is>
          <t xml:space="preserve">20'x2 </t>
        </is>
      </c>
      <c r="I106" s="4" t="inlineStr">
        <is>
          <t>BKK27</t>
        </is>
      </c>
      <c r="J106" s="4" t="inlineStr">
        <is>
          <t>B.C. DEPOT CO.,LTD. ( Bang-Na KM.18)</t>
        </is>
      </c>
      <c r="K106" s="4" t="inlineStr">
        <is>
          <t>20261015</t>
        </is>
      </c>
      <c r="L106" s="4" t="inlineStr">
        <is>
          <t>DIMERCO EXPRESS (THAILAND) CO., LTD.</t>
        </is>
      </c>
      <c r="M106" s="4" t="inlineStr">
        <is>
          <t>ASIA MODIFIED STARCH CO.,LTD.</t>
        </is>
      </c>
      <c r="N106" s="4" t="inlineStr">
        <is>
          <t xml:space="preserve">MODIFIED STARCH </t>
        </is>
      </c>
      <c r="O106" s="4" t="inlineStr">
        <is>
          <t>Dry &amp; Clean Container (Food Grade) / Container grade A</t>
        </is>
      </c>
      <c r="P106" s="4" t="inlineStr">
        <is>
          <t>Pickup : 2026-10-15, Return : 2026-10-17</t>
        </is>
      </c>
      <c r="Q106" s="4" t="n">
        <v>2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>
        <f>SUM(Q106:Y106)-Z106</f>
        <v/>
      </c>
      <c r="AC106" s="4">
        <f>IF(I106="","",IF(OR(LEFT(I106,3)="BKK",I106="LCH55"),"BKK",IF(LEFT(I106,3)="LCH","LCH","OTHER")))</f>
        <v/>
      </c>
      <c r="AD106" s="4">
        <f>MAX(0,Q106-MAX(0,Z106))</f>
        <v/>
      </c>
      <c r="AE106" s="4">
        <f>MAX(0,R106-MAX(0,Z106-SUM(Q106:Q106)))</f>
        <v/>
      </c>
      <c r="AF106" s="4">
        <f>MAX(0,S106-MAX(0,Z106-SUM(Q106:R106)))</f>
        <v/>
      </c>
      <c r="AG106" s="4">
        <f>MAX(0,T106-MAX(0,Z106-SUM(Q106:S106)))</f>
        <v/>
      </c>
      <c r="AH106" s="4">
        <f>MAX(0,U106-MAX(0,Z106-SUM(Q106:T106)))</f>
        <v/>
      </c>
      <c r="AI106" s="4">
        <f>MAX(0,V106-MAX(0,Z106-SUM(Q106:U106)))</f>
        <v/>
      </c>
      <c r="AJ106" s="4">
        <f>MAX(0,W106-MAX(0,Z106-SUM(Q106:V106)))</f>
        <v/>
      </c>
      <c r="AK106" s="4">
        <f>MAX(0,X106-MAX(0,Z106-SUM(Q106:W106)))</f>
        <v/>
      </c>
      <c r="AL106" s="4">
        <f>MAX(0,Y106-MAX(0,Z106-SUM(Q106:X106)))</f>
        <v/>
      </c>
    </row>
    <row r="107">
      <c r="A107" s="4" t="inlineStr">
        <is>
          <t>HASLS22260901487</t>
        </is>
      </c>
      <c r="B107" s="4" t="inlineStr">
        <is>
          <t>DJCF</t>
        </is>
      </c>
      <c r="C107" s="4" t="inlineStr">
        <is>
          <t>0152N</t>
        </is>
      </c>
      <c r="D107" s="4" t="inlineStr">
        <is>
          <t>202610111000</t>
        </is>
      </c>
      <c r="E107" s="4" t="inlineStr"/>
      <c r="F107" s="4" t="inlineStr">
        <is>
          <t>THBKK</t>
        </is>
      </c>
      <c r="G107" s="4" t="inlineStr">
        <is>
          <t>VNSGN</t>
        </is>
      </c>
      <c r="H107" s="4" t="inlineStr">
        <is>
          <t xml:space="preserve">R40Hx1 </t>
        </is>
      </c>
      <c r="I107" s="4" t="inlineStr">
        <is>
          <t>BKK27</t>
        </is>
      </c>
      <c r="J107" s="4" t="inlineStr">
        <is>
          <t>B.C. DEPOT CO.,LTD. ( Bang-Na KM.18)</t>
        </is>
      </c>
      <c r="K107" s="4" t="inlineStr">
        <is>
          <t>20261007</t>
        </is>
      </c>
      <c r="L107" s="4" t="inlineStr">
        <is>
          <t>OPENSEA CARGO SERVICE CO., LTD.</t>
        </is>
      </c>
      <c r="M107" s="4" t="inlineStr">
        <is>
          <t>KCG CORPORATION PUBLIC COMPANY LIMITED</t>
        </is>
      </c>
      <c r="N107" s="4" t="inlineStr">
        <is>
          <t>CHEESE</t>
        </is>
      </c>
      <c r="O107" s="4" t="inlineStr">
        <is>
          <t>*PRECOOL* (Temp +0.0℃ / Vent Close) CONTAINER FOOD GRADE</t>
        </is>
      </c>
      <c r="P107" s="4" t="inlineStr">
        <is>
          <t>Pickup : 2026-10-07, Return : 2026-10-08 (Temp +0.0 / Vent Close) *PRECOOL*
CLS TIME 09/10/26 @23.59 COST PRECOOL = 1,200 BAHT</t>
        </is>
      </c>
      <c r="Q107" s="4" t="n">
        <v>0</v>
      </c>
      <c r="R107" s="4" t="n">
        <v>0</v>
      </c>
      <c r="S107" s="4" t="n">
        <v>0</v>
      </c>
      <c r="T107" s="4" t="n">
        <v>0</v>
      </c>
      <c r="U107" s="4" t="n">
        <v>1</v>
      </c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>
        <f>SUM(Q107:Y107)-Z107</f>
        <v/>
      </c>
      <c r="AC107" s="4">
        <f>IF(I107="","",IF(OR(LEFT(I107,3)="BKK",I107="LCH55"),"BKK",IF(LEFT(I107,3)="LCH","LCH","OTHER")))</f>
        <v/>
      </c>
      <c r="AD107" s="4">
        <f>MAX(0,Q107-MAX(0,Z107))</f>
        <v/>
      </c>
      <c r="AE107" s="4">
        <f>MAX(0,R107-MAX(0,Z107-SUM(Q107:Q107)))</f>
        <v/>
      </c>
      <c r="AF107" s="4">
        <f>MAX(0,S107-MAX(0,Z107-SUM(Q107:R107)))</f>
        <v/>
      </c>
      <c r="AG107" s="4">
        <f>MAX(0,T107-MAX(0,Z107-SUM(Q107:S107)))</f>
        <v/>
      </c>
      <c r="AH107" s="4">
        <f>MAX(0,U107-MAX(0,Z107-SUM(Q107:T107)))</f>
        <v/>
      </c>
      <c r="AI107" s="4">
        <f>MAX(0,V107-MAX(0,Z107-SUM(Q107:U107)))</f>
        <v/>
      </c>
      <c r="AJ107" s="4">
        <f>MAX(0,W107-MAX(0,Z107-SUM(Q107:V107)))</f>
        <v/>
      </c>
      <c r="AK107" s="4">
        <f>MAX(0,X107-MAX(0,Z107-SUM(Q107:W107)))</f>
        <v/>
      </c>
      <c r="AL107" s="4">
        <f>MAX(0,Y107-MAX(0,Z107-SUM(Q107:X107)))</f>
        <v/>
      </c>
    </row>
    <row r="108">
      <c r="A108" s="4" t="inlineStr">
        <is>
          <t>HASLS22260901488</t>
        </is>
      </c>
      <c r="B108" s="4" t="inlineStr">
        <is>
          <t>KMTP</t>
        </is>
      </c>
      <c r="C108" s="4" t="inlineStr">
        <is>
          <t>2612N</t>
        </is>
      </c>
      <c r="D108" s="4" t="inlineStr">
        <is>
          <t>202610120800</t>
        </is>
      </c>
      <c r="E108" s="4" t="inlineStr"/>
      <c r="F108" s="4" t="inlineStr">
        <is>
          <t>THBKK</t>
        </is>
      </c>
      <c r="G108" s="4" t="inlineStr">
        <is>
          <t>HKHKG</t>
        </is>
      </c>
      <c r="H108" s="4" t="inlineStr">
        <is>
          <t xml:space="preserve">20'x1 </t>
        </is>
      </c>
      <c r="I108" s="4" t="inlineStr">
        <is>
          <t>BKK27</t>
        </is>
      </c>
      <c r="J108" s="4" t="inlineStr">
        <is>
          <t>B.C. DEPOT CO.,LTD. ( Bang-Na KM.18)</t>
        </is>
      </c>
      <c r="K108" s="4" t="inlineStr">
        <is>
          <t>20261008</t>
        </is>
      </c>
      <c r="L108" s="4" t="inlineStr">
        <is>
          <t>VARA FOOD &amp; DRINK CO., LTD.</t>
        </is>
      </c>
      <c r="M108" s="4" t="inlineStr">
        <is>
          <t>VARA FOOD &amp; DRINK CO., LTD.</t>
        </is>
      </c>
      <c r="N108" s="4" t="inlineStr">
        <is>
          <t>CANNED GOODS</t>
        </is>
      </c>
      <c r="O108" s="4" t="inlineStr">
        <is>
          <t>REQUEST CLEAN CONTAINER, NO RUST</t>
        </is>
      </c>
      <c r="P108" s="4" t="inlineStr">
        <is>
          <t>Pickup : 2026-10-08, Return : 2026-10-09</t>
        </is>
      </c>
      <c r="Q108" s="4" t="n">
        <v>1</v>
      </c>
      <c r="R108" s="4" t="n">
        <v>0</v>
      </c>
      <c r="S108" s="4" t="n">
        <v>0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>
        <f>SUM(Q108:Y108)-Z108</f>
        <v/>
      </c>
      <c r="AC108" s="4">
        <f>IF(I108="","",IF(OR(LEFT(I108,3)="BKK",I108="LCH55"),"BKK",IF(LEFT(I108,3)="LCH","LCH","OTHER")))</f>
        <v/>
      </c>
      <c r="AD108" s="4">
        <f>MAX(0,Q108-MAX(0,Z108))</f>
        <v/>
      </c>
      <c r="AE108" s="4">
        <f>MAX(0,R108-MAX(0,Z108-SUM(Q108:Q108)))</f>
        <v/>
      </c>
      <c r="AF108" s="4">
        <f>MAX(0,S108-MAX(0,Z108-SUM(Q108:R108)))</f>
        <v/>
      </c>
      <c r="AG108" s="4">
        <f>MAX(0,T108-MAX(0,Z108-SUM(Q108:S108)))</f>
        <v/>
      </c>
      <c r="AH108" s="4">
        <f>MAX(0,U108-MAX(0,Z108-SUM(Q108:T108)))</f>
        <v/>
      </c>
      <c r="AI108" s="4">
        <f>MAX(0,V108-MAX(0,Z108-SUM(Q108:U108)))</f>
        <v/>
      </c>
      <c r="AJ108" s="4">
        <f>MAX(0,W108-MAX(0,Z108-SUM(Q108:V108)))</f>
        <v/>
      </c>
      <c r="AK108" s="4">
        <f>MAX(0,X108-MAX(0,Z108-SUM(Q108:W108)))</f>
        <v/>
      </c>
      <c r="AL108" s="4">
        <f>MAX(0,Y108-MAX(0,Z108-SUM(Q108:X108)))</f>
        <v/>
      </c>
    </row>
    <row r="109">
      <c r="A109" s="4" t="inlineStr">
        <is>
          <t>HASLS22260901489</t>
        </is>
      </c>
      <c r="B109" s="4" t="inlineStr">
        <is>
          <t>DJCF</t>
        </is>
      </c>
      <c r="C109" s="4" t="inlineStr">
        <is>
          <t>0152N</t>
        </is>
      </c>
      <c r="D109" s="4" t="inlineStr">
        <is>
          <t>202610111000</t>
        </is>
      </c>
      <c r="E109" s="4" t="inlineStr"/>
      <c r="F109" s="4" t="inlineStr">
        <is>
          <t>THBKK</t>
        </is>
      </c>
      <c r="G109" s="4" t="inlineStr">
        <is>
          <t>VNSGN</t>
        </is>
      </c>
      <c r="H109" s="4" t="inlineStr">
        <is>
          <t xml:space="preserve">40Hx1 20'x1 </t>
        </is>
      </c>
      <c r="I109" s="4" t="inlineStr">
        <is>
          <t>BKK27</t>
        </is>
      </c>
      <c r="J109" s="4" t="inlineStr">
        <is>
          <t>B.C. DEPOT CO.,LTD. ( Bang-Na KM.18)</t>
        </is>
      </c>
      <c r="K109" s="4" t="inlineStr">
        <is>
          <t>20261007</t>
        </is>
      </c>
      <c r="L109" s="4" t="inlineStr">
        <is>
          <t>DYNAMIC INTERTRANSPORT CO., LTD.</t>
        </is>
      </c>
      <c r="M109" s="4" t="inlineStr">
        <is>
          <t>UCHIYAMA(THAILAND)CO.,LTD.</t>
        </is>
      </c>
      <c r="N109" s="4" t="inlineStr">
        <is>
          <t>SPARE PART</t>
        </is>
      </c>
      <c r="O109" s="4" t="inlineStr">
        <is>
          <t>REQ CLEAN CONTAINER AND GRADE A</t>
        </is>
      </c>
      <c r="P109" s="4" t="inlineStr">
        <is>
          <t>Pickup : 2026-10-07, Return : 2026-10-08</t>
        </is>
      </c>
      <c r="Q109" s="4" t="n">
        <v>1</v>
      </c>
      <c r="R109" s="4" t="n">
        <v>0</v>
      </c>
      <c r="S109" s="4" t="n">
        <v>1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>
        <f>SUM(Q109:Y109)-Z109</f>
        <v/>
      </c>
      <c r="AC109" s="4">
        <f>IF(I109="","",IF(OR(LEFT(I109,3)="BKK",I109="LCH55"),"BKK",IF(LEFT(I109,3)="LCH","LCH","OTHER")))</f>
        <v/>
      </c>
      <c r="AD109" s="4">
        <f>MAX(0,Q109-MAX(0,Z109))</f>
        <v/>
      </c>
      <c r="AE109" s="4">
        <f>MAX(0,R109-MAX(0,Z109-SUM(Q109:Q109)))</f>
        <v/>
      </c>
      <c r="AF109" s="4">
        <f>MAX(0,S109-MAX(0,Z109-SUM(Q109:R109)))</f>
        <v/>
      </c>
      <c r="AG109" s="4">
        <f>MAX(0,T109-MAX(0,Z109-SUM(Q109:S109)))</f>
        <v/>
      </c>
      <c r="AH109" s="4">
        <f>MAX(0,U109-MAX(0,Z109-SUM(Q109:T109)))</f>
        <v/>
      </c>
      <c r="AI109" s="4">
        <f>MAX(0,V109-MAX(0,Z109-SUM(Q109:U109)))</f>
        <v/>
      </c>
      <c r="AJ109" s="4">
        <f>MAX(0,W109-MAX(0,Z109-SUM(Q109:V109)))</f>
        <v/>
      </c>
      <c r="AK109" s="4">
        <f>MAX(0,X109-MAX(0,Z109-SUM(Q109:W109)))</f>
        <v/>
      </c>
      <c r="AL109" s="4">
        <f>MAX(0,Y109-MAX(0,Z109-SUM(Q109:X109)))</f>
        <v/>
      </c>
    </row>
    <row r="110">
      <c r="A110" s="4" t="inlineStr">
        <is>
          <t>HASLS22260901490</t>
        </is>
      </c>
      <c r="B110" s="4" t="inlineStr">
        <is>
          <t>SWMM</t>
        </is>
      </c>
      <c r="C110" s="4" t="inlineStr">
        <is>
          <t>2610N</t>
        </is>
      </c>
      <c r="D110" s="4" t="inlineStr">
        <is>
          <t>202610210400</t>
        </is>
      </c>
      <c r="E110" s="4" t="inlineStr"/>
      <c r="F110" s="4" t="inlineStr">
        <is>
          <t>THBKK</t>
        </is>
      </c>
      <c r="G110" s="4" t="inlineStr">
        <is>
          <t>VNSGN</t>
        </is>
      </c>
      <c r="H110" s="4" t="inlineStr">
        <is>
          <t xml:space="preserve">R40Hx1 </t>
        </is>
      </c>
      <c r="I110" s="4" t="inlineStr">
        <is>
          <t>BKK27</t>
        </is>
      </c>
      <c r="J110" s="4" t="inlineStr">
        <is>
          <t>B.C. DEPOT CO.,LTD. ( Bang-Na KM.18)</t>
        </is>
      </c>
      <c r="K110" s="4" t="inlineStr">
        <is>
          <t>20261015</t>
        </is>
      </c>
      <c r="L110" s="4" t="inlineStr">
        <is>
          <t>OPENSEA CARGO SERVICE CO., LTD.</t>
        </is>
      </c>
      <c r="M110" s="4" t="inlineStr">
        <is>
          <t>KCG CORPORATION PUBLIC COMPANY LIMITED</t>
        </is>
      </c>
      <c r="N110" s="4" t="inlineStr">
        <is>
          <t>CHEESE</t>
        </is>
      </c>
      <c r="O110" s="4" t="inlineStr">
        <is>
          <t>*PRECOOL* (Temp +0.0℃ / Vent Close) CONTAINER FOOD GRADE</t>
        </is>
      </c>
      <c r="P110" s="4" t="inlineStr">
        <is>
          <t>Pickup : 2026-10-15, Return : 2026-10-15 (Temp +0.0 / Vent Close) *PRECOOL*
CLS TIME 16/10/26 @23.59 COST PRECOOL = 1,200 BAHT</t>
        </is>
      </c>
      <c r="Q110" s="4" t="n">
        <v>0</v>
      </c>
      <c r="R110" s="4" t="n">
        <v>0</v>
      </c>
      <c r="S110" s="4" t="n">
        <v>0</v>
      </c>
      <c r="T110" s="4" t="n">
        <v>0</v>
      </c>
      <c r="U110" s="4" t="n">
        <v>1</v>
      </c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>
        <f>SUM(Q110:Y110)-Z110</f>
        <v/>
      </c>
      <c r="AC110" s="4">
        <f>IF(I110="","",IF(OR(LEFT(I110,3)="BKK",I110="LCH55"),"BKK",IF(LEFT(I110,3)="LCH","LCH","OTHER")))</f>
        <v/>
      </c>
      <c r="AD110" s="4">
        <f>MAX(0,Q110-MAX(0,Z110))</f>
        <v/>
      </c>
      <c r="AE110" s="4">
        <f>MAX(0,R110-MAX(0,Z110-SUM(Q110:Q110)))</f>
        <v/>
      </c>
      <c r="AF110" s="4">
        <f>MAX(0,S110-MAX(0,Z110-SUM(Q110:R110)))</f>
        <v/>
      </c>
      <c r="AG110" s="4">
        <f>MAX(0,T110-MAX(0,Z110-SUM(Q110:S110)))</f>
        <v/>
      </c>
      <c r="AH110" s="4">
        <f>MAX(0,U110-MAX(0,Z110-SUM(Q110:T110)))</f>
        <v/>
      </c>
      <c r="AI110" s="4">
        <f>MAX(0,V110-MAX(0,Z110-SUM(Q110:U110)))</f>
        <v/>
      </c>
      <c r="AJ110" s="4">
        <f>MAX(0,W110-MAX(0,Z110-SUM(Q110:V110)))</f>
        <v/>
      </c>
      <c r="AK110" s="4">
        <f>MAX(0,X110-MAX(0,Z110-SUM(Q110:W110)))</f>
        <v/>
      </c>
      <c r="AL110" s="4">
        <f>MAX(0,Y110-MAX(0,Z110-SUM(Q110:X110)))</f>
        <v/>
      </c>
    </row>
    <row r="111">
      <c r="A111" s="4" t="inlineStr">
        <is>
          <t>HASLS22260901493</t>
        </is>
      </c>
      <c r="B111" s="4" t="inlineStr">
        <is>
          <t>SWMM</t>
        </is>
      </c>
      <c r="C111" s="4" t="inlineStr">
        <is>
          <t>2610N</t>
        </is>
      </c>
      <c r="D111" s="4" t="inlineStr">
        <is>
          <t>202610210400</t>
        </is>
      </c>
      <c r="E111" s="4" t="inlineStr"/>
      <c r="F111" s="4" t="inlineStr">
        <is>
          <t>THBKK</t>
        </is>
      </c>
      <c r="G111" s="4" t="inlineStr">
        <is>
          <t>VNSGN</t>
        </is>
      </c>
      <c r="H111" s="4" t="inlineStr">
        <is>
          <t xml:space="preserve">R40Hx1 </t>
        </is>
      </c>
      <c r="I111" s="4" t="inlineStr">
        <is>
          <t>BKK27</t>
        </is>
      </c>
      <c r="J111" s="4" t="inlineStr">
        <is>
          <t>B.C. DEPOT CO.,LTD. ( Bang-Na KM.18)</t>
        </is>
      </c>
      <c r="K111" s="4" t="inlineStr">
        <is>
          <t>20261016</t>
        </is>
      </c>
      <c r="L111" s="4" t="inlineStr">
        <is>
          <t>OPENSEA CARGO SERVICE CO., LTD.</t>
        </is>
      </c>
      <c r="M111" s="4" t="inlineStr">
        <is>
          <t>KCG CORPORATION PUBLIC COMPANY LIMITED</t>
        </is>
      </c>
      <c r="N111" s="4" t="inlineStr">
        <is>
          <t>CHEESE</t>
        </is>
      </c>
      <c r="O111" s="4" t="inlineStr">
        <is>
          <t>(Temp +0.0℃ / Vent Close) CONTAINER FOOD GRADE</t>
        </is>
      </c>
      <c r="P111" s="4" t="inlineStr">
        <is>
          <t>Pickup : 2026-10-16, Return : 2026-10-16 (Temp +0.0 / Vent Close) *PRECOOL*
CLS TIME 16/10/26 @23.59 COST PRECOOL = 1,200 BAHT</t>
        </is>
      </c>
      <c r="Q111" s="4" t="n">
        <v>0</v>
      </c>
      <c r="R111" s="4" t="n">
        <v>0</v>
      </c>
      <c r="S111" s="4" t="n">
        <v>0</v>
      </c>
      <c r="T111" s="4" t="n">
        <v>0</v>
      </c>
      <c r="U111" s="4" t="n">
        <v>1</v>
      </c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>
        <f>SUM(Q111:Y111)-Z111</f>
        <v/>
      </c>
      <c r="AC111" s="4">
        <f>IF(I111="","",IF(OR(LEFT(I111,3)="BKK",I111="LCH55"),"BKK",IF(LEFT(I111,3)="LCH","LCH","OTHER")))</f>
        <v/>
      </c>
      <c r="AD111" s="4">
        <f>MAX(0,Q111-MAX(0,Z111))</f>
        <v/>
      </c>
      <c r="AE111" s="4">
        <f>MAX(0,R111-MAX(0,Z111-SUM(Q111:Q111)))</f>
        <v/>
      </c>
      <c r="AF111" s="4">
        <f>MAX(0,S111-MAX(0,Z111-SUM(Q111:R111)))</f>
        <v/>
      </c>
      <c r="AG111" s="4">
        <f>MAX(0,T111-MAX(0,Z111-SUM(Q111:S111)))</f>
        <v/>
      </c>
      <c r="AH111" s="4">
        <f>MAX(0,U111-MAX(0,Z111-SUM(Q111:T111)))</f>
        <v/>
      </c>
      <c r="AI111" s="4">
        <f>MAX(0,V111-MAX(0,Z111-SUM(Q111:U111)))</f>
        <v/>
      </c>
      <c r="AJ111" s="4">
        <f>MAX(0,W111-MAX(0,Z111-SUM(Q111:V111)))</f>
        <v/>
      </c>
      <c r="AK111" s="4">
        <f>MAX(0,X111-MAX(0,Z111-SUM(Q111:W111)))</f>
        <v/>
      </c>
      <c r="AL111" s="4">
        <f>MAX(0,Y111-MAX(0,Z111-SUM(Q111:X111)))</f>
        <v/>
      </c>
    </row>
    <row r="112">
      <c r="A112" s="4" t="inlineStr">
        <is>
          <t>HASLS22260901494</t>
        </is>
      </c>
      <c r="B112" s="4" t="inlineStr">
        <is>
          <t>YSVY</t>
        </is>
      </c>
      <c r="C112" s="4" t="inlineStr">
        <is>
          <t>2608S</t>
        </is>
      </c>
      <c r="D112" s="4" t="inlineStr">
        <is>
          <t>202610190700</t>
        </is>
      </c>
      <c r="E112" s="4" t="inlineStr"/>
      <c r="F112" s="4" t="inlineStr">
        <is>
          <t>THLCH</t>
        </is>
      </c>
      <c r="G112" s="4" t="inlineStr">
        <is>
          <t>IDJKT</t>
        </is>
      </c>
      <c r="H112" s="4" t="inlineStr">
        <is>
          <t xml:space="preserve">20'x1 </t>
        </is>
      </c>
      <c r="I112" s="4" t="inlineStr">
        <is>
          <t>BKK27</t>
        </is>
      </c>
      <c r="J112" s="4" t="inlineStr">
        <is>
          <t>B.C. DEPOT CO.,LTD. ( Bang-Na KM.18)</t>
        </is>
      </c>
      <c r="K112" s="4" t="inlineStr">
        <is>
          <t>20261014</t>
        </is>
      </c>
      <c r="L112" s="4" t="inlineStr">
        <is>
          <t>ACE LOGISTICS (THAILAND) CO., LTD.</t>
        </is>
      </c>
      <c r="M112" s="4" t="inlineStr">
        <is>
          <t>HYMOLD (THAILAND) LIMITED</t>
        </is>
      </c>
      <c r="N112" s="4" t="inlineStr">
        <is>
          <t>FERRO SILICON MAGNESIUM</t>
        </is>
      </c>
      <c r="O112" s="4" t="inlineStr">
        <is>
          <t>GOOD AND CLEAN CONTAINER</t>
        </is>
      </c>
      <c r="P112" s="4" t="inlineStr">
        <is>
          <t>Pickup : 2026-10-14, Return : 2026-10-15 Paperless Code 2835
Closing Time LKB 2026-10-15 @ 18.00</t>
        </is>
      </c>
      <c r="Q112" s="4" t="n">
        <v>1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0</v>
      </c>
      <c r="AA112" s="4" t="n">
        <v>0</v>
      </c>
      <c r="AB112" s="4">
        <f>SUM(Q112:Y112)-Z112</f>
        <v/>
      </c>
      <c r="AC112" s="4">
        <f>IF(I112="","",IF(OR(LEFT(I112,3)="BKK",I112="LCH55"),"BKK",IF(LEFT(I112,3)="LCH","LCH","OTHER")))</f>
        <v/>
      </c>
      <c r="AD112" s="4">
        <f>MAX(0,Q112-MAX(0,Z112))</f>
        <v/>
      </c>
      <c r="AE112" s="4">
        <f>MAX(0,R112-MAX(0,Z112-SUM(Q112:Q112)))</f>
        <v/>
      </c>
      <c r="AF112" s="4">
        <f>MAX(0,S112-MAX(0,Z112-SUM(Q112:R112)))</f>
        <v/>
      </c>
      <c r="AG112" s="4">
        <f>MAX(0,T112-MAX(0,Z112-SUM(Q112:S112)))</f>
        <v/>
      </c>
      <c r="AH112" s="4">
        <f>MAX(0,U112-MAX(0,Z112-SUM(Q112:T112)))</f>
        <v/>
      </c>
      <c r="AI112" s="4">
        <f>MAX(0,V112-MAX(0,Z112-SUM(Q112:U112)))</f>
        <v/>
      </c>
      <c r="AJ112" s="4">
        <f>MAX(0,W112-MAX(0,Z112-SUM(Q112:V112)))</f>
        <v/>
      </c>
      <c r="AK112" s="4">
        <f>MAX(0,X112-MAX(0,Z112-SUM(Q112:W112)))</f>
        <v/>
      </c>
      <c r="AL112" s="4">
        <f>MAX(0,Y112-MAX(0,Z112-SUM(Q112:X112)))</f>
        <v/>
      </c>
    </row>
    <row r="113">
      <c r="A113" s="4" t="inlineStr">
        <is>
          <t>HASLS22260901497</t>
        </is>
      </c>
      <c r="B113" s="4" t="inlineStr">
        <is>
          <t>SWAT</t>
        </is>
      </c>
      <c r="C113" s="4" t="inlineStr">
        <is>
          <t>2610N</t>
        </is>
      </c>
      <c r="D113" s="4" t="inlineStr">
        <is>
          <t>202610071700</t>
        </is>
      </c>
      <c r="E113" s="4" t="inlineStr"/>
      <c r="F113" s="4" t="inlineStr">
        <is>
          <t>THBKK</t>
        </is>
      </c>
      <c r="G113" s="4" t="inlineStr">
        <is>
          <t>TWKEL</t>
        </is>
      </c>
      <c r="H113" s="4" t="inlineStr">
        <is>
          <t xml:space="preserve">40Hx1 </t>
        </is>
      </c>
      <c r="I113" s="4" t="inlineStr">
        <is>
          <t>BKK27</t>
        </is>
      </c>
      <c r="J113" s="4" t="inlineStr">
        <is>
          <t>B.C. DEPOT CO.,LTD. ( Bang-Na KM.18)</t>
        </is>
      </c>
      <c r="K113" s="4" t="inlineStr">
        <is>
          <t>20261003</t>
        </is>
      </c>
      <c r="L113" s="4" t="inlineStr">
        <is>
          <t>COSMO LOGISTICS CO., LTD.</t>
        </is>
      </c>
      <c r="M113" s="4" t="inlineStr">
        <is>
          <t>L. LIGHTING GLASS CO., LTD.</t>
        </is>
      </c>
      <c r="N113" s="4" t="inlineStr">
        <is>
          <t>GLASS TUBES FOR ELECTRIC LIGHTING</t>
        </is>
      </c>
      <c r="O113" s="4" t="inlineStr">
        <is>
          <t>GOOD AND CLEAN CONTAINER</t>
        </is>
      </c>
      <c r="P113" s="4" t="inlineStr">
        <is>
          <t xml:space="preserve">Pickup : 2026-10-03, Return : 2026-10-03 
</t>
        </is>
      </c>
      <c r="Q113" s="4" t="n">
        <v>0</v>
      </c>
      <c r="R113" s="4" t="n">
        <v>0</v>
      </c>
      <c r="S113" s="4" t="n">
        <v>1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>
        <f>SUM(Q113:Y113)-Z113</f>
        <v/>
      </c>
      <c r="AC113" s="4">
        <f>IF(I113="","",IF(OR(LEFT(I113,3)="BKK",I113="LCH55"),"BKK",IF(LEFT(I113,3)="LCH","LCH","OTHER")))</f>
        <v/>
      </c>
      <c r="AD113" s="4">
        <f>MAX(0,Q113-MAX(0,Z113))</f>
        <v/>
      </c>
      <c r="AE113" s="4">
        <f>MAX(0,R113-MAX(0,Z113-SUM(Q113:Q113)))</f>
        <v/>
      </c>
      <c r="AF113" s="4">
        <f>MAX(0,S113-MAX(0,Z113-SUM(Q113:R113)))</f>
        <v/>
      </c>
      <c r="AG113" s="4">
        <f>MAX(0,T113-MAX(0,Z113-SUM(Q113:S113)))</f>
        <v/>
      </c>
      <c r="AH113" s="4">
        <f>MAX(0,U113-MAX(0,Z113-SUM(Q113:T113)))</f>
        <v/>
      </c>
      <c r="AI113" s="4">
        <f>MAX(0,V113-MAX(0,Z113-SUM(Q113:U113)))</f>
        <v/>
      </c>
      <c r="AJ113" s="4">
        <f>MAX(0,W113-MAX(0,Z113-SUM(Q113:V113)))</f>
        <v/>
      </c>
      <c r="AK113" s="4">
        <f>MAX(0,X113-MAX(0,Z113-SUM(Q113:W113)))</f>
        <v/>
      </c>
      <c r="AL113" s="4">
        <f>MAX(0,Y113-MAX(0,Z113-SUM(Q113:X113)))</f>
        <v/>
      </c>
    </row>
    <row r="114">
      <c r="A114" s="4" t="inlineStr">
        <is>
          <t>HASLS22260901499</t>
        </is>
      </c>
      <c r="B114" s="4" t="inlineStr">
        <is>
          <t>KJT</t>
        </is>
      </c>
      <c r="C114" s="4" t="inlineStr">
        <is>
          <t>2611N</t>
        </is>
      </c>
      <c r="D114" s="4" t="inlineStr">
        <is>
          <t>202610141800</t>
        </is>
      </c>
      <c r="E114" s="4" t="inlineStr"/>
      <c r="F114" s="4" t="inlineStr">
        <is>
          <t>THBKK</t>
        </is>
      </c>
      <c r="G114" s="4" t="inlineStr">
        <is>
          <t>TWKEL</t>
        </is>
      </c>
      <c r="H114" s="4" t="inlineStr">
        <is>
          <t xml:space="preserve">40Hx1 </t>
        </is>
      </c>
      <c r="I114" s="4" t="inlineStr">
        <is>
          <t>BKK27</t>
        </is>
      </c>
      <c r="J114" s="4" t="inlineStr">
        <is>
          <t>B.C. DEPOT CO.,LTD. ( Bang-Na KM.18)</t>
        </is>
      </c>
      <c r="K114" s="4" t="inlineStr">
        <is>
          <t>20261009</t>
        </is>
      </c>
      <c r="L114" s="4" t="inlineStr">
        <is>
          <t>COSMO LOGISTICS CO., LTD.</t>
        </is>
      </c>
      <c r="M114" s="4" t="inlineStr">
        <is>
          <t>L. LIGHTING GLASS CO., LTD.</t>
        </is>
      </c>
      <c r="N114" s="4" t="inlineStr">
        <is>
          <t>GLASS TUBES FOR ELECTRIC LIGHTING</t>
        </is>
      </c>
      <c r="O114" s="4" t="inlineStr">
        <is>
          <t>GOOD AND CLEAN CONTAINER</t>
        </is>
      </c>
      <c r="P114" s="4" t="inlineStr">
        <is>
          <t>Pickup : 2026-10-09, Return : 2026-10-09</t>
        </is>
      </c>
      <c r="Q114" s="4" t="n">
        <v>0</v>
      </c>
      <c r="R114" s="4" t="n">
        <v>0</v>
      </c>
      <c r="S114" s="4" t="n">
        <v>1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>
        <f>SUM(Q114:Y114)-Z114</f>
        <v/>
      </c>
      <c r="AC114" s="4">
        <f>IF(I114="","",IF(OR(LEFT(I114,3)="BKK",I114="LCH55"),"BKK",IF(LEFT(I114,3)="LCH","LCH","OTHER")))</f>
        <v/>
      </c>
      <c r="AD114" s="4">
        <f>MAX(0,Q114-MAX(0,Z114))</f>
        <v/>
      </c>
      <c r="AE114" s="4">
        <f>MAX(0,R114-MAX(0,Z114-SUM(Q114:Q114)))</f>
        <v/>
      </c>
      <c r="AF114" s="4">
        <f>MAX(0,S114-MAX(0,Z114-SUM(Q114:R114)))</f>
        <v/>
      </c>
      <c r="AG114" s="4">
        <f>MAX(0,T114-MAX(0,Z114-SUM(Q114:S114)))</f>
        <v/>
      </c>
      <c r="AH114" s="4">
        <f>MAX(0,U114-MAX(0,Z114-SUM(Q114:T114)))</f>
        <v/>
      </c>
      <c r="AI114" s="4">
        <f>MAX(0,V114-MAX(0,Z114-SUM(Q114:U114)))</f>
        <v/>
      </c>
      <c r="AJ114" s="4">
        <f>MAX(0,W114-MAX(0,Z114-SUM(Q114:V114)))</f>
        <v/>
      </c>
      <c r="AK114" s="4">
        <f>MAX(0,X114-MAX(0,Z114-SUM(Q114:W114)))</f>
        <v/>
      </c>
      <c r="AL114" s="4">
        <f>MAX(0,Y114-MAX(0,Z114-SUM(Q114:X114)))</f>
        <v/>
      </c>
    </row>
    <row r="115">
      <c r="A115" s="4" t="inlineStr">
        <is>
          <t>HASLS22260901512</t>
        </is>
      </c>
      <c r="B115" s="4" t="inlineStr">
        <is>
          <t>SWMM</t>
        </is>
      </c>
      <c r="C115" s="4" t="inlineStr">
        <is>
          <t>2610N</t>
        </is>
      </c>
      <c r="D115" s="4" t="inlineStr">
        <is>
          <t>202610210400</t>
        </is>
      </c>
      <c r="E115" s="4" t="inlineStr"/>
      <c r="F115" s="4" t="inlineStr">
        <is>
          <t>THBKK</t>
        </is>
      </c>
      <c r="G115" s="4" t="inlineStr">
        <is>
          <t>VNSGN</t>
        </is>
      </c>
      <c r="H115" s="4" t="inlineStr">
        <is>
          <t xml:space="preserve">20'x5 </t>
        </is>
      </c>
      <c r="I115" s="4" t="inlineStr">
        <is>
          <t>BKK27</t>
        </is>
      </c>
      <c r="J115" s="4" t="inlineStr">
        <is>
          <t>B.C. DEPOT CO.,LTD. ( Bang-Na KM.18)</t>
        </is>
      </c>
      <c r="K115" s="4" t="inlineStr">
        <is>
          <t>20261012</t>
        </is>
      </c>
      <c r="L115" s="4" t="inlineStr">
        <is>
          <t>POLAR STAR CO., LTD.</t>
        </is>
      </c>
      <c r="M115" s="4" t="inlineStr">
        <is>
          <t>EVERSHINING INGREDIENT CO.,LTD.</t>
        </is>
      </c>
      <c r="N115" s="4" t="inlineStr">
        <is>
          <t>PROTEIN ANIMAL</t>
        </is>
      </c>
      <c r="O115" s="4" t="inlineStr">
        <is>
          <t>GOOD AND CLEAN CONTAINER</t>
        </is>
      </c>
      <c r="P115" s="4" t="inlineStr">
        <is>
          <t>Pickup : 2026-10-12, Return : 2026-10-14</t>
        </is>
      </c>
      <c r="Q115" s="4" t="n">
        <v>5</v>
      </c>
      <c r="R115" s="4" t="n">
        <v>0</v>
      </c>
      <c r="S115" s="4" t="n">
        <v>0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>
        <f>SUM(Q115:Y115)-Z115</f>
        <v/>
      </c>
      <c r="AC115" s="4">
        <f>IF(I115="","",IF(OR(LEFT(I115,3)="BKK",I115="LCH55"),"BKK",IF(LEFT(I115,3)="LCH","LCH","OTHER")))</f>
        <v/>
      </c>
      <c r="AD115" s="4">
        <f>MAX(0,Q115-MAX(0,Z115))</f>
        <v/>
      </c>
      <c r="AE115" s="4">
        <f>MAX(0,R115-MAX(0,Z115-SUM(Q115:Q115)))</f>
        <v/>
      </c>
      <c r="AF115" s="4">
        <f>MAX(0,S115-MAX(0,Z115-SUM(Q115:R115)))</f>
        <v/>
      </c>
      <c r="AG115" s="4">
        <f>MAX(0,T115-MAX(0,Z115-SUM(Q115:S115)))</f>
        <v/>
      </c>
      <c r="AH115" s="4">
        <f>MAX(0,U115-MAX(0,Z115-SUM(Q115:T115)))</f>
        <v/>
      </c>
      <c r="AI115" s="4">
        <f>MAX(0,V115-MAX(0,Z115-SUM(Q115:U115)))</f>
        <v/>
      </c>
      <c r="AJ115" s="4">
        <f>MAX(0,W115-MAX(0,Z115-SUM(Q115:V115)))</f>
        <v/>
      </c>
      <c r="AK115" s="4">
        <f>MAX(0,X115-MAX(0,Z115-SUM(Q115:W115)))</f>
        <v/>
      </c>
      <c r="AL115" s="4">
        <f>MAX(0,Y115-MAX(0,Z115-SUM(Q115:X115)))</f>
        <v/>
      </c>
    </row>
    <row r="116">
      <c r="A116" s="4" t="inlineStr">
        <is>
          <t>HASLS22260901515</t>
        </is>
      </c>
      <c r="B116" s="4" t="inlineStr">
        <is>
          <t>KUS</t>
        </is>
      </c>
      <c r="C116" s="4" t="inlineStr">
        <is>
          <t>2616N</t>
        </is>
      </c>
      <c r="D116" s="4" t="inlineStr">
        <is>
          <t>202610141100</t>
        </is>
      </c>
      <c r="E116" s="4" t="inlineStr"/>
      <c r="F116" s="4" t="inlineStr">
        <is>
          <t>THBKK</t>
        </is>
      </c>
      <c r="G116" s="4" t="inlineStr">
        <is>
          <t>VNSGN</t>
        </is>
      </c>
      <c r="H116" s="4" t="inlineStr">
        <is>
          <t xml:space="preserve">20'x2 </t>
        </is>
      </c>
      <c r="I116" s="4" t="inlineStr">
        <is>
          <t>BKK27</t>
        </is>
      </c>
      <c r="J116" s="4" t="inlineStr">
        <is>
          <t>B.C. DEPOT CO.,LTD. ( Bang-Na KM.18)</t>
        </is>
      </c>
      <c r="K116" s="4" t="inlineStr">
        <is>
          <t>20261008</t>
        </is>
      </c>
      <c r="L116" s="4" t="inlineStr">
        <is>
          <t>EAST-LINK CORPORATION CO., LTD.</t>
        </is>
      </c>
      <c r="M116" s="4" t="inlineStr">
        <is>
          <t>COSMOS BREWERY (THAILAND) CO.,LTD.</t>
        </is>
      </c>
      <c r="N116" s="4" t="inlineStr">
        <is>
          <t>BEER ALC 5%</t>
        </is>
      </c>
      <c r="O116" s="4" t="inlineStr">
        <is>
          <t>RQS CONTAINER GRADE-A FOR FOOD COMMODITY.</t>
        </is>
      </c>
      <c r="P116" s="4" t="inlineStr">
        <is>
          <t>Pickup : 2026-10-08, Return : 2026-10-09</t>
        </is>
      </c>
      <c r="Q116" s="4" t="n">
        <v>2</v>
      </c>
      <c r="R116" s="4" t="n">
        <v>0</v>
      </c>
      <c r="S116" s="4" t="n">
        <v>0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>
        <f>SUM(Q116:Y116)-Z116</f>
        <v/>
      </c>
      <c r="AC116" s="4">
        <f>IF(I116="","",IF(OR(LEFT(I116,3)="BKK",I116="LCH55"),"BKK",IF(LEFT(I116,3)="LCH","LCH","OTHER")))</f>
        <v/>
      </c>
      <c r="AD116" s="4">
        <f>MAX(0,Q116-MAX(0,Z116))</f>
        <v/>
      </c>
      <c r="AE116" s="4">
        <f>MAX(0,R116-MAX(0,Z116-SUM(Q116:Q116)))</f>
        <v/>
      </c>
      <c r="AF116" s="4">
        <f>MAX(0,S116-MAX(0,Z116-SUM(Q116:R116)))</f>
        <v/>
      </c>
      <c r="AG116" s="4">
        <f>MAX(0,T116-MAX(0,Z116-SUM(Q116:S116)))</f>
        <v/>
      </c>
      <c r="AH116" s="4">
        <f>MAX(0,U116-MAX(0,Z116-SUM(Q116:T116)))</f>
        <v/>
      </c>
      <c r="AI116" s="4">
        <f>MAX(0,V116-MAX(0,Z116-SUM(Q116:U116)))</f>
        <v/>
      </c>
      <c r="AJ116" s="4">
        <f>MAX(0,W116-MAX(0,Z116-SUM(Q116:V116)))</f>
        <v/>
      </c>
      <c r="AK116" s="4">
        <f>MAX(0,X116-MAX(0,Z116-SUM(Q116:W116)))</f>
        <v/>
      </c>
      <c r="AL116" s="4">
        <f>MAX(0,Y116-MAX(0,Z116-SUM(Q116:X116)))</f>
        <v/>
      </c>
    </row>
    <row r="117">
      <c r="A117" s="4" t="inlineStr">
        <is>
          <t>HASLS22260901521</t>
        </is>
      </c>
      <c r="B117" s="4" t="inlineStr">
        <is>
          <t>KJT</t>
        </is>
      </c>
      <c r="C117" s="4" t="inlineStr">
        <is>
          <t>2611N</t>
        </is>
      </c>
      <c r="D117" s="4" t="inlineStr">
        <is>
          <t>202610141800</t>
        </is>
      </c>
      <c r="E117" s="4" t="inlineStr"/>
      <c r="F117" s="4" t="inlineStr">
        <is>
          <t>THBKK</t>
        </is>
      </c>
      <c r="G117" s="4" t="inlineStr">
        <is>
          <t>TWKEL</t>
        </is>
      </c>
      <c r="H117" s="4" t="inlineStr">
        <is>
          <t xml:space="preserve">20'x2 </t>
        </is>
      </c>
      <c r="I117" s="4" t="inlineStr">
        <is>
          <t>BKK27</t>
        </is>
      </c>
      <c r="J117" s="4" t="inlineStr">
        <is>
          <t>B.C. DEPOT CO.,LTD. ( Bang-Na KM.18)</t>
        </is>
      </c>
      <c r="K117" s="4" t="inlineStr">
        <is>
          <t>20261008</t>
        </is>
      </c>
      <c r="L117" s="4" t="inlineStr">
        <is>
          <t>FREIGHT RANGERS CO., LTD.</t>
        </is>
      </c>
      <c r="M117" s="4" t="inlineStr">
        <is>
          <t>HI-Q FOOD  PRODUCTS CO., LTD.</t>
        </is>
      </c>
      <c r="N117" s="4" t="inlineStr">
        <is>
          <t>PET FOODS PRODUCTS</t>
        </is>
      </c>
      <c r="O117" s="4" t="inlineStr">
        <is>
          <t>CLEAN AND GOOD CONTAINER</t>
        </is>
      </c>
      <c r="P117" s="4" t="inlineStr">
        <is>
          <t xml:space="preserve">Pickup : 2026-10-08, Return : 2026-10-10  </t>
        </is>
      </c>
      <c r="Q117" s="4" t="n">
        <v>2</v>
      </c>
      <c r="R117" s="4" t="n">
        <v>0</v>
      </c>
      <c r="S117" s="4" t="n">
        <v>0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>
        <f>SUM(Q117:Y117)-Z117</f>
        <v/>
      </c>
      <c r="AC117" s="4">
        <f>IF(I117="","",IF(OR(LEFT(I117,3)="BKK",I117="LCH55"),"BKK",IF(LEFT(I117,3)="LCH","LCH","OTHER")))</f>
        <v/>
      </c>
      <c r="AD117" s="4">
        <f>MAX(0,Q117-MAX(0,Z117))</f>
        <v/>
      </c>
      <c r="AE117" s="4">
        <f>MAX(0,R117-MAX(0,Z117-SUM(Q117:Q117)))</f>
        <v/>
      </c>
      <c r="AF117" s="4">
        <f>MAX(0,S117-MAX(0,Z117-SUM(Q117:R117)))</f>
        <v/>
      </c>
      <c r="AG117" s="4">
        <f>MAX(0,T117-MAX(0,Z117-SUM(Q117:S117)))</f>
        <v/>
      </c>
      <c r="AH117" s="4">
        <f>MAX(0,U117-MAX(0,Z117-SUM(Q117:T117)))</f>
        <v/>
      </c>
      <c r="AI117" s="4">
        <f>MAX(0,V117-MAX(0,Z117-SUM(Q117:U117)))</f>
        <v/>
      </c>
      <c r="AJ117" s="4">
        <f>MAX(0,W117-MAX(0,Z117-SUM(Q117:V117)))</f>
        <v/>
      </c>
      <c r="AK117" s="4">
        <f>MAX(0,X117-MAX(0,Z117-SUM(Q117:W117)))</f>
        <v/>
      </c>
      <c r="AL117" s="4">
        <f>MAX(0,Y117-MAX(0,Z117-SUM(Q117:X117)))</f>
        <v/>
      </c>
    </row>
    <row r="118">
      <c r="A118" s="4" t="inlineStr">
        <is>
          <t>HASLS22260901542</t>
        </is>
      </c>
      <c r="B118" s="4" t="inlineStr">
        <is>
          <t>SWSP</t>
        </is>
      </c>
      <c r="C118" s="4" t="inlineStr">
        <is>
          <t>2609N</t>
        </is>
      </c>
      <c r="D118" s="4" t="inlineStr">
        <is>
          <t>202610071530</t>
        </is>
      </c>
      <c r="E118" s="4" t="inlineStr"/>
      <c r="F118" s="4" t="inlineStr">
        <is>
          <t>THBKK</t>
        </is>
      </c>
      <c r="G118" s="4" t="inlineStr">
        <is>
          <t>VNSGN</t>
        </is>
      </c>
      <c r="H118" s="4" t="inlineStr">
        <is>
          <t xml:space="preserve">20'x1 </t>
        </is>
      </c>
      <c r="I118" s="4" t="inlineStr">
        <is>
          <t>BKK27</t>
        </is>
      </c>
      <c r="J118" s="4" t="inlineStr">
        <is>
          <t>B.C. DEPOT CO.,LTD. ( Bang-Na KM.18)</t>
        </is>
      </c>
      <c r="K118" s="4" t="inlineStr">
        <is>
          <t>20260930</t>
        </is>
      </c>
      <c r="L118" s="4" t="inlineStr">
        <is>
          <t>COS LOGISTICS COMPANY LIMITED</t>
        </is>
      </c>
      <c r="M118" s="4" t="inlineStr">
        <is>
          <t>JEWELRY PLASTER LIMITED</t>
        </is>
      </c>
      <c r="N118" s="4" t="inlineStr">
        <is>
          <t>INVESTMENT POWDER</t>
        </is>
      </c>
      <c r="O118" s="4" t="inlineStr">
        <is>
          <t>REQUEST GOOD AND CLEAN THE CONTAINER</t>
        </is>
      </c>
      <c r="P118" s="4" t="inlineStr">
        <is>
          <t>Pickup : 2026-09-30, Return : 2026-10-01</t>
        </is>
      </c>
      <c r="Q118" s="4" t="n">
        <v>1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>
        <f>SUM(Q118:Y118)-Z118</f>
        <v/>
      </c>
      <c r="AC118" s="4">
        <f>IF(I118="","",IF(OR(LEFT(I118,3)="BKK",I118="LCH55"),"BKK",IF(LEFT(I118,3)="LCH","LCH","OTHER")))</f>
        <v/>
      </c>
      <c r="AD118" s="4">
        <f>MAX(0,Q118-MAX(0,Z118))</f>
        <v/>
      </c>
      <c r="AE118" s="4">
        <f>MAX(0,R118-MAX(0,Z118-SUM(Q118:Q118)))</f>
        <v/>
      </c>
      <c r="AF118" s="4">
        <f>MAX(0,S118-MAX(0,Z118-SUM(Q118:R118)))</f>
        <v/>
      </c>
      <c r="AG118" s="4">
        <f>MAX(0,T118-MAX(0,Z118-SUM(Q118:S118)))</f>
        <v/>
      </c>
      <c r="AH118" s="4">
        <f>MAX(0,U118-MAX(0,Z118-SUM(Q118:T118)))</f>
        <v/>
      </c>
      <c r="AI118" s="4">
        <f>MAX(0,V118-MAX(0,Z118-SUM(Q118:U118)))</f>
        <v/>
      </c>
      <c r="AJ118" s="4">
        <f>MAX(0,W118-MAX(0,Z118-SUM(Q118:V118)))</f>
        <v/>
      </c>
      <c r="AK118" s="4">
        <f>MAX(0,X118-MAX(0,Z118-SUM(Q118:W118)))</f>
        <v/>
      </c>
      <c r="AL118" s="4">
        <f>MAX(0,Y118-MAX(0,Z118-SUM(Q118:X118)))</f>
        <v/>
      </c>
    </row>
    <row r="119">
      <c r="A119" s="4" t="inlineStr">
        <is>
          <t>HASLS22260901554</t>
        </is>
      </c>
      <c r="B119" s="4" t="inlineStr">
        <is>
          <t>HAHM</t>
        </is>
      </c>
      <c r="C119" s="4" t="inlineStr">
        <is>
          <t>2612N</t>
        </is>
      </c>
      <c r="D119" s="4" t="inlineStr">
        <is>
          <t>202610211800</t>
        </is>
      </c>
      <c r="E119" s="4" t="inlineStr"/>
      <c r="F119" s="4" t="inlineStr">
        <is>
          <t>THBKK</t>
        </is>
      </c>
      <c r="G119" s="4" t="inlineStr">
        <is>
          <t>VNSGN</t>
        </is>
      </c>
      <c r="H119" s="4" t="inlineStr">
        <is>
          <t xml:space="preserve">40Hx8 </t>
        </is>
      </c>
      <c r="I119" s="4" t="inlineStr">
        <is>
          <t>BKK27</t>
        </is>
      </c>
      <c r="J119" s="4" t="inlineStr">
        <is>
          <t>B.C. DEPOT CO.,LTD. ( Bang-Na KM.18)</t>
        </is>
      </c>
      <c r="K119" s="4" t="inlineStr">
        <is>
          <t>20261016</t>
        </is>
      </c>
      <c r="L119" s="4" t="inlineStr">
        <is>
          <t>ACCORD PILOT LOGISTICS (THAILAND) CO., LTD.</t>
        </is>
      </c>
      <c r="M119" s="4" t="inlineStr">
        <is>
          <t>NEO CORPORATE PUBLIC COMPANY LIMITED</t>
        </is>
      </c>
      <c r="N119" s="4" t="inlineStr">
        <is>
          <t>DETERGENTS</t>
        </is>
      </c>
      <c r="O119" s="4" t="inlineStr">
        <is>
          <t>RQST CNTR 32.5 TONS // 40'HQ GOOD &amp; CLEAN.</t>
        </is>
      </c>
      <c r="P119" s="4" t="inlineStr">
        <is>
          <t>Pickup : 2026-10-16, Return : 2026-10-17</t>
        </is>
      </c>
      <c r="Q119" s="4" t="n">
        <v>0</v>
      </c>
      <c r="R119" s="4" t="n">
        <v>0</v>
      </c>
      <c r="S119" s="4" t="n">
        <v>8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0</v>
      </c>
      <c r="AB119" s="4">
        <f>SUM(Q119:Y119)-Z119</f>
        <v/>
      </c>
      <c r="AC119" s="4">
        <f>IF(I119="","",IF(OR(LEFT(I119,3)="BKK",I119="LCH55"),"BKK",IF(LEFT(I119,3)="LCH","LCH","OTHER")))</f>
        <v/>
      </c>
      <c r="AD119" s="4">
        <f>MAX(0,Q119-MAX(0,Z119))</f>
        <v/>
      </c>
      <c r="AE119" s="4">
        <f>MAX(0,R119-MAX(0,Z119-SUM(Q119:Q119)))</f>
        <v/>
      </c>
      <c r="AF119" s="4">
        <f>MAX(0,S119-MAX(0,Z119-SUM(Q119:R119)))</f>
        <v/>
      </c>
      <c r="AG119" s="4">
        <f>MAX(0,T119-MAX(0,Z119-SUM(Q119:S119)))</f>
        <v/>
      </c>
      <c r="AH119" s="4">
        <f>MAX(0,U119-MAX(0,Z119-SUM(Q119:T119)))</f>
        <v/>
      </c>
      <c r="AI119" s="4">
        <f>MAX(0,V119-MAX(0,Z119-SUM(Q119:U119)))</f>
        <v/>
      </c>
      <c r="AJ119" s="4">
        <f>MAX(0,W119-MAX(0,Z119-SUM(Q119:V119)))</f>
        <v/>
      </c>
      <c r="AK119" s="4">
        <f>MAX(0,X119-MAX(0,Z119-SUM(Q119:W119)))</f>
        <v/>
      </c>
      <c r="AL119" s="4">
        <f>MAX(0,Y119-MAX(0,Z119-SUM(Q119:X119)))</f>
        <v/>
      </c>
    </row>
    <row r="120">
      <c r="A120" s="4" t="inlineStr">
        <is>
          <t>HASLS22260901569</t>
        </is>
      </c>
      <c r="B120" s="4" t="inlineStr">
        <is>
          <t>KMBK</t>
        </is>
      </c>
      <c r="C120" s="4" t="inlineStr">
        <is>
          <t>2611N</t>
        </is>
      </c>
      <c r="D120" s="4" t="inlineStr">
        <is>
          <t>202610030900</t>
        </is>
      </c>
      <c r="E120" s="4" t="inlineStr"/>
      <c r="F120" s="4" t="inlineStr">
        <is>
          <t>THBKK</t>
        </is>
      </c>
      <c r="G120" s="4" t="inlineStr">
        <is>
          <t>VNSGN</t>
        </is>
      </c>
      <c r="H120" s="4" t="inlineStr">
        <is>
          <t xml:space="preserve">20'x1 </t>
        </is>
      </c>
      <c r="I120" s="4" t="inlineStr">
        <is>
          <t>BKK27</t>
        </is>
      </c>
      <c r="J120" s="4" t="inlineStr">
        <is>
          <t>B.C. DEPOT CO.,LTD. ( Bang-Na KM.18)</t>
        </is>
      </c>
      <c r="K120" s="4" t="inlineStr">
        <is>
          <t>20260929</t>
        </is>
      </c>
      <c r="L120" s="4" t="inlineStr">
        <is>
          <t>CMS LOGISTICS GROUP (THAILAND) CO., LTD.</t>
        </is>
      </c>
      <c r="M120" s="4" t="inlineStr">
        <is>
          <t>SIAM PLASMA CORPORATION LTD.</t>
        </is>
      </c>
      <c r="N120" s="4" t="inlineStr">
        <is>
          <t>PACKLING GEL</t>
        </is>
      </c>
      <c r="O120" s="4" t="inlineStr">
        <is>
          <t>GOOD AND CLEAN CONTAINER</t>
        </is>
      </c>
      <c r="P120" s="4" t="inlineStr">
        <is>
          <t xml:space="preserve">Pickup : 2026-09-29, Return : 2026-09-29 </t>
        </is>
      </c>
      <c r="Q120" s="4" t="n">
        <v>1</v>
      </c>
      <c r="R120" s="4" t="n">
        <v>0</v>
      </c>
      <c r="S120" s="4" t="n">
        <v>0</v>
      </c>
      <c r="T120" s="4" t="n">
        <v>0</v>
      </c>
      <c r="U120" s="4" t="n">
        <v>0</v>
      </c>
      <c r="V120" s="4" t="n">
        <v>0</v>
      </c>
      <c r="W120" s="4" t="n">
        <v>0</v>
      </c>
      <c r="X120" s="4" t="n">
        <v>0</v>
      </c>
      <c r="Y120" s="4" t="n">
        <v>0</v>
      </c>
      <c r="Z120" s="4" t="n">
        <v>0</v>
      </c>
      <c r="AA120" s="4" t="n">
        <v>0</v>
      </c>
      <c r="AB120" s="4">
        <f>SUM(Q120:Y120)-Z120</f>
        <v/>
      </c>
      <c r="AC120" s="4">
        <f>IF(I120="","",IF(OR(LEFT(I120,3)="BKK",I120="LCH55"),"BKK",IF(LEFT(I120,3)="LCH","LCH","OTHER")))</f>
        <v/>
      </c>
      <c r="AD120" s="4">
        <f>MAX(0,Q120-MAX(0,Z120))</f>
        <v/>
      </c>
      <c r="AE120" s="4">
        <f>MAX(0,R120-MAX(0,Z120-SUM(Q120:Q120)))</f>
        <v/>
      </c>
      <c r="AF120" s="4">
        <f>MAX(0,S120-MAX(0,Z120-SUM(Q120:R120)))</f>
        <v/>
      </c>
      <c r="AG120" s="4">
        <f>MAX(0,T120-MAX(0,Z120-SUM(Q120:S120)))</f>
        <v/>
      </c>
      <c r="AH120" s="4">
        <f>MAX(0,U120-MAX(0,Z120-SUM(Q120:T120)))</f>
        <v/>
      </c>
      <c r="AI120" s="4">
        <f>MAX(0,V120-MAX(0,Z120-SUM(Q120:U120)))</f>
        <v/>
      </c>
      <c r="AJ120" s="4">
        <f>MAX(0,W120-MAX(0,Z120-SUM(Q120:V120)))</f>
        <v/>
      </c>
      <c r="AK120" s="4">
        <f>MAX(0,X120-MAX(0,Z120-SUM(Q120:W120)))</f>
        <v/>
      </c>
      <c r="AL120" s="4">
        <f>MAX(0,Y120-MAX(0,Z120-SUM(Q120:X120)))</f>
        <v/>
      </c>
    </row>
    <row r="121">
      <c r="A121" s="4" t="inlineStr">
        <is>
          <t>HASLS22260901571</t>
        </is>
      </c>
      <c r="B121" s="4" t="inlineStr">
        <is>
          <t>KMTP</t>
        </is>
      </c>
      <c r="C121" s="4" t="inlineStr">
        <is>
          <t>2612N</t>
        </is>
      </c>
      <c r="D121" s="4" t="inlineStr">
        <is>
          <t>202610120800</t>
        </is>
      </c>
      <c r="E121" s="4" t="inlineStr"/>
      <c r="F121" s="4" t="inlineStr">
        <is>
          <t>THBKK</t>
        </is>
      </c>
      <c r="G121" s="4" t="inlineStr">
        <is>
          <t>HKHKG</t>
        </is>
      </c>
      <c r="H121" s="4" t="inlineStr">
        <is>
          <t xml:space="preserve">40Hx1 </t>
        </is>
      </c>
      <c r="I121" s="4" t="inlineStr">
        <is>
          <t>BKK27</t>
        </is>
      </c>
      <c r="J121" s="4" t="inlineStr">
        <is>
          <t>B.C. DEPOT CO.,LTD. ( Bang-Na KM.18)</t>
        </is>
      </c>
      <c r="K121" s="4" t="inlineStr">
        <is>
          <t>20261006</t>
        </is>
      </c>
      <c r="L121" s="4" t="inlineStr">
        <is>
          <t>BILLION LOGISTICS CO., LTD.</t>
        </is>
      </c>
      <c r="M121" s="4" t="inlineStr">
        <is>
          <t>NEWLY WEDS FOODS (THAILAND) LIMITED</t>
        </is>
      </c>
      <c r="N121" s="4" t="inlineStr">
        <is>
          <t>FOODSTUFF</t>
        </is>
      </c>
      <c r="O121" s="4" t="inlineStr">
        <is>
          <t>*REQUEST FOOD GRADE CTNR // GOOD AND CLEAN CTNR NO BAD NO SMELL**</t>
        </is>
      </c>
      <c r="P121" s="4" t="inlineStr">
        <is>
          <t>Pickup : 2026-10-06, Return : 2026-10-07</t>
        </is>
      </c>
      <c r="Q121" s="4" t="n">
        <v>0</v>
      </c>
      <c r="R121" s="4" t="n">
        <v>0</v>
      </c>
      <c r="S121" s="4" t="n">
        <v>1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0</v>
      </c>
      <c r="Z121" s="4" t="n">
        <v>0</v>
      </c>
      <c r="AA121" s="4" t="n">
        <v>0</v>
      </c>
      <c r="AB121" s="4">
        <f>SUM(Q121:Y121)-Z121</f>
        <v/>
      </c>
      <c r="AC121" s="4">
        <f>IF(I121="","",IF(OR(LEFT(I121,3)="BKK",I121="LCH55"),"BKK",IF(LEFT(I121,3)="LCH","LCH","OTHER")))</f>
        <v/>
      </c>
      <c r="AD121" s="4">
        <f>MAX(0,Q121-MAX(0,Z121))</f>
        <v/>
      </c>
      <c r="AE121" s="4">
        <f>MAX(0,R121-MAX(0,Z121-SUM(Q121:Q121)))</f>
        <v/>
      </c>
      <c r="AF121" s="4">
        <f>MAX(0,S121-MAX(0,Z121-SUM(Q121:R121)))</f>
        <v/>
      </c>
      <c r="AG121" s="4">
        <f>MAX(0,T121-MAX(0,Z121-SUM(Q121:S121)))</f>
        <v/>
      </c>
      <c r="AH121" s="4">
        <f>MAX(0,U121-MAX(0,Z121-SUM(Q121:T121)))</f>
        <v/>
      </c>
      <c r="AI121" s="4">
        <f>MAX(0,V121-MAX(0,Z121-SUM(Q121:U121)))</f>
        <v/>
      </c>
      <c r="AJ121" s="4">
        <f>MAX(0,W121-MAX(0,Z121-SUM(Q121:V121)))</f>
        <v/>
      </c>
      <c r="AK121" s="4">
        <f>MAX(0,X121-MAX(0,Z121-SUM(Q121:W121)))</f>
        <v/>
      </c>
      <c r="AL121" s="4">
        <f>MAX(0,Y121-MAX(0,Z121-SUM(Q121:X121)))</f>
        <v/>
      </c>
    </row>
    <row r="122">
      <c r="A122" s="4" t="inlineStr">
        <is>
          <t>HASLS22260901573</t>
        </is>
      </c>
      <c r="B122" s="4" t="inlineStr">
        <is>
          <t>KMGY</t>
        </is>
      </c>
      <c r="C122" s="4" t="inlineStr">
        <is>
          <t>2611N</t>
        </is>
      </c>
      <c r="D122" s="4" t="inlineStr">
        <is>
          <t>202610201000</t>
        </is>
      </c>
      <c r="E122" s="4" t="inlineStr"/>
      <c r="F122" s="4" t="inlineStr">
        <is>
          <t>THBKK</t>
        </is>
      </c>
      <c r="G122" s="4" t="inlineStr">
        <is>
          <t>HKHKG</t>
        </is>
      </c>
      <c r="H122" s="4" t="inlineStr">
        <is>
          <t xml:space="preserve">20'x1 </t>
        </is>
      </c>
      <c r="I122" s="4" t="inlineStr">
        <is>
          <t>BKK27</t>
        </is>
      </c>
      <c r="J122" s="4" t="inlineStr">
        <is>
          <t>B.C. DEPOT CO.,LTD. ( Bang-Na KM.18)</t>
        </is>
      </c>
      <c r="K122" s="4" t="inlineStr">
        <is>
          <t>20261014</t>
        </is>
      </c>
      <c r="L122" s="4" t="inlineStr">
        <is>
          <t>BILLION LOGISTICS CO., LTD.</t>
        </is>
      </c>
      <c r="M122" s="4" t="inlineStr">
        <is>
          <t>NEWLY WEDS FOODS (THAILAND) LIMITED</t>
        </is>
      </c>
      <c r="N122" s="4" t="inlineStr">
        <is>
          <t>FOODSTUFF</t>
        </is>
      </c>
      <c r="O122" s="4" t="inlineStr">
        <is>
          <t>FOODSTUFF
**REQUEST FOOD GRADE CTNR // GOOD AND CLEAN CTNR NO BAD NO SMELL**</t>
        </is>
      </c>
      <c r="P122" s="4" t="inlineStr">
        <is>
          <t xml:space="preserve">Pickup : 2026-10-14, Return : 2026-10-15 
 </t>
        </is>
      </c>
      <c r="Q122" s="4" t="n">
        <v>1</v>
      </c>
      <c r="R122" s="4" t="n">
        <v>0</v>
      </c>
      <c r="S122" s="4" t="n">
        <v>0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0</v>
      </c>
      <c r="AB122" s="4">
        <f>SUM(Q122:Y122)-Z122</f>
        <v/>
      </c>
      <c r="AC122" s="4">
        <f>IF(I122="","",IF(OR(LEFT(I122,3)="BKK",I122="LCH55"),"BKK",IF(LEFT(I122,3)="LCH","LCH","OTHER")))</f>
        <v/>
      </c>
      <c r="AD122" s="4">
        <f>MAX(0,Q122-MAX(0,Z122))</f>
        <v/>
      </c>
      <c r="AE122" s="4">
        <f>MAX(0,R122-MAX(0,Z122-SUM(Q122:Q122)))</f>
        <v/>
      </c>
      <c r="AF122" s="4">
        <f>MAX(0,S122-MAX(0,Z122-SUM(Q122:R122)))</f>
        <v/>
      </c>
      <c r="AG122" s="4">
        <f>MAX(0,T122-MAX(0,Z122-SUM(Q122:S122)))</f>
        <v/>
      </c>
      <c r="AH122" s="4">
        <f>MAX(0,U122-MAX(0,Z122-SUM(Q122:T122)))</f>
        <v/>
      </c>
      <c r="AI122" s="4">
        <f>MAX(0,V122-MAX(0,Z122-SUM(Q122:U122)))</f>
        <v/>
      </c>
      <c r="AJ122" s="4">
        <f>MAX(0,W122-MAX(0,Z122-SUM(Q122:V122)))</f>
        <v/>
      </c>
      <c r="AK122" s="4">
        <f>MAX(0,X122-MAX(0,Z122-SUM(Q122:W122)))</f>
        <v/>
      </c>
      <c r="AL122" s="4">
        <f>MAX(0,Y122-MAX(0,Z122-SUM(Q122:X122)))</f>
        <v/>
      </c>
    </row>
    <row r="123">
      <c r="A123" s="4" t="inlineStr">
        <is>
          <t>HASLS22260901583</t>
        </is>
      </c>
      <c r="B123" s="4" t="inlineStr">
        <is>
          <t>KMBK</t>
        </is>
      </c>
      <c r="C123" s="4" t="inlineStr">
        <is>
          <t>2611N</t>
        </is>
      </c>
      <c r="D123" s="4" t="inlineStr">
        <is>
          <t>202610030900</t>
        </is>
      </c>
      <c r="E123" s="4" t="inlineStr"/>
      <c r="F123" s="4" t="inlineStr">
        <is>
          <t>THBKK</t>
        </is>
      </c>
      <c r="G123" s="4" t="inlineStr">
        <is>
          <t>KRPUS</t>
        </is>
      </c>
      <c r="H123" s="4" t="inlineStr">
        <is>
          <t xml:space="preserve">40Hx1 </t>
        </is>
      </c>
      <c r="I123" s="4" t="inlineStr">
        <is>
          <t>BKK27</t>
        </is>
      </c>
      <c r="J123" s="4" t="inlineStr">
        <is>
          <t>B.C. DEPOT CO.,LTD. ( Bang-Na KM.18)</t>
        </is>
      </c>
      <c r="K123" s="4" t="inlineStr">
        <is>
          <t>20260930</t>
        </is>
      </c>
      <c r="L123" s="4" t="inlineStr">
        <is>
          <t>H &amp; FRIENDS GTL (THAILAND) CO., LTD.</t>
        </is>
      </c>
      <c r="M123" s="4" t="inlineStr">
        <is>
          <t>AUTOLIV (THAILAND) LIMITED</t>
        </is>
      </c>
      <c r="N123" s="4" t="inlineStr">
        <is>
          <t>SEAT BELT</t>
        </is>
      </c>
      <c r="O123" s="4" t="inlineStr">
        <is>
          <t>**APPROVED BY JEONG YONG UM DD.28/09/26** DG45GPx1 (CLS 9 / UN 3268)</t>
        </is>
      </c>
      <c r="P123" s="4" t="inlineStr">
        <is>
          <t>**APPROVED BY JEONG YONG UM DD.28/09/26** DG45GPx1 (CLS 9 / UN 3268) 
Pickup : 2026-09-30, Return : 2026-09-30  (CLS TIME 01/10/26 @23.59 , 1ST RTN DD: 01/10/26 WO/RENT)</t>
        </is>
      </c>
      <c r="Q123" s="4" t="n">
        <v>0</v>
      </c>
      <c r="R123" s="4" t="n">
        <v>0</v>
      </c>
      <c r="S123" s="4" t="n">
        <v>1</v>
      </c>
      <c r="T123" s="4" t="n">
        <v>0</v>
      </c>
      <c r="U123" s="4" t="n">
        <v>0</v>
      </c>
      <c r="V123" s="4" t="n">
        <v>0</v>
      </c>
      <c r="W123" s="4" t="n">
        <v>0</v>
      </c>
      <c r="X123" s="4" t="n">
        <v>0</v>
      </c>
      <c r="Y123" s="4" t="n">
        <v>0</v>
      </c>
      <c r="Z123" s="4" t="n">
        <v>0</v>
      </c>
      <c r="AA123" s="4" t="n">
        <v>0</v>
      </c>
      <c r="AB123" s="4">
        <f>SUM(Q123:Y123)-Z123</f>
        <v/>
      </c>
      <c r="AC123" s="4">
        <f>IF(I123="","",IF(OR(LEFT(I123,3)="BKK",I123="LCH55"),"BKK",IF(LEFT(I123,3)="LCH","LCH","OTHER")))</f>
        <v/>
      </c>
      <c r="AD123" s="4">
        <f>MAX(0,Q123-MAX(0,Z123))</f>
        <v/>
      </c>
      <c r="AE123" s="4">
        <f>MAX(0,R123-MAX(0,Z123-SUM(Q123:Q123)))</f>
        <v/>
      </c>
      <c r="AF123" s="4">
        <f>MAX(0,S123-MAX(0,Z123-SUM(Q123:R123)))</f>
        <v/>
      </c>
      <c r="AG123" s="4">
        <f>MAX(0,T123-MAX(0,Z123-SUM(Q123:S123)))</f>
        <v/>
      </c>
      <c r="AH123" s="4">
        <f>MAX(0,U123-MAX(0,Z123-SUM(Q123:T123)))</f>
        <v/>
      </c>
      <c r="AI123" s="4">
        <f>MAX(0,V123-MAX(0,Z123-SUM(Q123:U123)))</f>
        <v/>
      </c>
      <c r="AJ123" s="4">
        <f>MAX(0,W123-MAX(0,Z123-SUM(Q123:V123)))</f>
        <v/>
      </c>
      <c r="AK123" s="4">
        <f>MAX(0,X123-MAX(0,Z123-SUM(Q123:W123)))</f>
        <v/>
      </c>
      <c r="AL123" s="4">
        <f>MAX(0,Y123-MAX(0,Z123-SUM(Q123:X123)))</f>
        <v/>
      </c>
    </row>
    <row r="124">
      <c r="A124" s="4" t="inlineStr">
        <is>
          <t>HASLS22260901585</t>
        </is>
      </c>
      <c r="B124" s="4" t="inlineStr">
        <is>
          <t>SWSP</t>
        </is>
      </c>
      <c r="C124" s="4" t="inlineStr">
        <is>
          <t>2609N</t>
        </is>
      </c>
      <c r="D124" s="4" t="inlineStr">
        <is>
          <t>202610071530</t>
        </is>
      </c>
      <c r="E124" s="4" t="inlineStr"/>
      <c r="F124" s="4" t="inlineStr">
        <is>
          <t>THBKK</t>
        </is>
      </c>
      <c r="G124" s="4" t="inlineStr">
        <is>
          <t>KRPUS</t>
        </is>
      </c>
      <c r="H124" s="4" t="inlineStr">
        <is>
          <t xml:space="preserve">40Hx1 </t>
        </is>
      </c>
      <c r="I124" s="4" t="inlineStr">
        <is>
          <t>BKK27</t>
        </is>
      </c>
      <c r="J124" s="4" t="inlineStr">
        <is>
          <t>B.C. DEPOT CO.,LTD. ( Bang-Na KM.18)</t>
        </is>
      </c>
      <c r="K124" s="4" t="inlineStr">
        <is>
          <t>20261002</t>
        </is>
      </c>
      <c r="L124" s="4" t="inlineStr">
        <is>
          <t>H &amp; FRIENDS GTL (THAILAND) CO., LTD.</t>
        </is>
      </c>
      <c r="M124" s="4" t="inlineStr">
        <is>
          <t>AUTOLIV (THAILAND) LIMITED</t>
        </is>
      </c>
      <c r="N124" s="4" t="inlineStr">
        <is>
          <t>SEAT BELT</t>
        </is>
      </c>
      <c r="O124" s="4" t="inlineStr">
        <is>
          <t>**APPROVAL IN SYSTEM DD.24/09/2026** DG45GPx1 (CLS 9 / UN 3268) DG45GPx1 (CLS 9 / UN 3268) 
REQUEST CONTAINER CLEAN &amp; NO SMEL</t>
        </is>
      </c>
      <c r="P124" s="4" t="inlineStr">
        <is>
          <t xml:space="preserve">**APPROVAL IN SYSTEM DD.24/09/2026** DG45GPx1 (CLS 9 / UN 3268) 
Pickup : 2026-10-02, Return : 2026-10-02 </t>
        </is>
      </c>
      <c r="Q124" s="4" t="n">
        <v>0</v>
      </c>
      <c r="R124" s="4" t="n">
        <v>0</v>
      </c>
      <c r="S124" s="4" t="n">
        <v>1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0</v>
      </c>
      <c r="Z124" s="4" t="n">
        <v>0</v>
      </c>
      <c r="AA124" s="4" t="n">
        <v>0</v>
      </c>
      <c r="AB124" s="4">
        <f>SUM(Q124:Y124)-Z124</f>
        <v/>
      </c>
      <c r="AC124" s="4">
        <f>IF(I124="","",IF(OR(LEFT(I124,3)="BKK",I124="LCH55"),"BKK",IF(LEFT(I124,3)="LCH","LCH","OTHER")))</f>
        <v/>
      </c>
      <c r="AD124" s="4">
        <f>MAX(0,Q124-MAX(0,Z124))</f>
        <v/>
      </c>
      <c r="AE124" s="4">
        <f>MAX(0,R124-MAX(0,Z124-SUM(Q124:Q124)))</f>
        <v/>
      </c>
      <c r="AF124" s="4">
        <f>MAX(0,S124-MAX(0,Z124-SUM(Q124:R124)))</f>
        <v/>
      </c>
      <c r="AG124" s="4">
        <f>MAX(0,T124-MAX(0,Z124-SUM(Q124:S124)))</f>
        <v/>
      </c>
      <c r="AH124" s="4">
        <f>MAX(0,U124-MAX(0,Z124-SUM(Q124:T124)))</f>
        <v/>
      </c>
      <c r="AI124" s="4">
        <f>MAX(0,V124-MAX(0,Z124-SUM(Q124:U124)))</f>
        <v/>
      </c>
      <c r="AJ124" s="4">
        <f>MAX(0,W124-MAX(0,Z124-SUM(Q124:V124)))</f>
        <v/>
      </c>
      <c r="AK124" s="4">
        <f>MAX(0,X124-MAX(0,Z124-SUM(Q124:W124)))</f>
        <v/>
      </c>
      <c r="AL124" s="4">
        <f>MAX(0,Y124-MAX(0,Z124-SUM(Q124:X124)))</f>
        <v/>
      </c>
    </row>
    <row r="125">
      <c r="A125" s="4" t="inlineStr">
        <is>
          <t>HASLS22260901588</t>
        </is>
      </c>
      <c r="B125" s="4" t="inlineStr">
        <is>
          <t>KXM</t>
        </is>
      </c>
      <c r="C125" s="4" t="inlineStr">
        <is>
          <t>2608S</t>
        </is>
      </c>
      <c r="D125" s="4" t="inlineStr">
        <is>
          <t>202610100500</t>
        </is>
      </c>
      <c r="E125" s="4" t="inlineStr">
        <is>
          <t>THLKR</t>
        </is>
      </c>
      <c r="F125" s="4" t="inlineStr">
        <is>
          <t>THLCH</t>
        </is>
      </c>
      <c r="G125" s="4" t="inlineStr">
        <is>
          <t>IDJKT</t>
        </is>
      </c>
      <c r="H125" s="4" t="inlineStr">
        <is>
          <t xml:space="preserve">20'x1 </t>
        </is>
      </c>
      <c r="I125" s="4" t="inlineStr">
        <is>
          <t>BKK27</t>
        </is>
      </c>
      <c r="J125" s="4" t="inlineStr">
        <is>
          <t>B.C. DEPOT CO.,LTD. ( Bang-Na KM.18)</t>
        </is>
      </c>
      <c r="K125" s="4" t="inlineStr">
        <is>
          <t>20261005</t>
        </is>
      </c>
      <c r="L125" s="4" t="inlineStr">
        <is>
          <t>FREIGHT CONNECT CO., LTD.</t>
        </is>
      </c>
      <c r="M125" s="4" t="inlineStr">
        <is>
          <t>SPF DIANA (THAILAND) CO., LTD.</t>
        </is>
      </c>
      <c r="N125" s="4" t="inlineStr">
        <is>
          <t>PET FOOD</t>
        </is>
      </c>
      <c r="O125" s="4" t="inlineStr">
        <is>
          <t>GOOD AND CLEAN CONTAINER</t>
        </is>
      </c>
      <c r="P125" s="4" t="inlineStr">
        <is>
          <t>Pickup : 2026-10-05, Return : 2026-10-06</t>
        </is>
      </c>
      <c r="Q125" s="4" t="n">
        <v>1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0</v>
      </c>
      <c r="Y125" s="4" t="n">
        <v>0</v>
      </c>
      <c r="Z125" s="4" t="n">
        <v>0</v>
      </c>
      <c r="AA125" s="4" t="n">
        <v>0</v>
      </c>
      <c r="AB125" s="4">
        <f>SUM(Q125:Y125)-Z125</f>
        <v/>
      </c>
      <c r="AC125" s="4">
        <f>IF(I125="","",IF(OR(LEFT(I125,3)="BKK",I125="LCH55"),"BKK",IF(LEFT(I125,3)="LCH","LCH","OTHER")))</f>
        <v/>
      </c>
      <c r="AD125" s="4">
        <f>MAX(0,Q125-MAX(0,Z125))</f>
        <v/>
      </c>
      <c r="AE125" s="4">
        <f>MAX(0,R125-MAX(0,Z125-SUM(Q125:Q125)))</f>
        <v/>
      </c>
      <c r="AF125" s="4">
        <f>MAX(0,S125-MAX(0,Z125-SUM(Q125:R125)))</f>
        <v/>
      </c>
      <c r="AG125" s="4">
        <f>MAX(0,T125-MAX(0,Z125-SUM(Q125:S125)))</f>
        <v/>
      </c>
      <c r="AH125" s="4">
        <f>MAX(0,U125-MAX(0,Z125-SUM(Q125:T125)))</f>
        <v/>
      </c>
      <c r="AI125" s="4">
        <f>MAX(0,V125-MAX(0,Z125-SUM(Q125:U125)))</f>
        <v/>
      </c>
      <c r="AJ125" s="4">
        <f>MAX(0,W125-MAX(0,Z125-SUM(Q125:V125)))</f>
        <v/>
      </c>
      <c r="AK125" s="4">
        <f>MAX(0,X125-MAX(0,Z125-SUM(Q125:W125)))</f>
        <v/>
      </c>
      <c r="AL125" s="4">
        <f>MAX(0,Y125-MAX(0,Z125-SUM(Q125:X125)))</f>
        <v/>
      </c>
    </row>
    <row r="126">
      <c r="A126" s="4" t="inlineStr">
        <is>
          <t>HASLS22260901590</t>
        </is>
      </c>
      <c r="B126" s="4" t="inlineStr">
        <is>
          <t>SWBT</t>
        </is>
      </c>
      <c r="C126" s="4" t="inlineStr">
        <is>
          <t>2616N</t>
        </is>
      </c>
      <c r="D126" s="4" t="inlineStr">
        <is>
          <t>202610130600</t>
        </is>
      </c>
      <c r="E126" s="4" t="inlineStr"/>
      <c r="F126" s="4" t="inlineStr">
        <is>
          <t>THBKK</t>
        </is>
      </c>
      <c r="G126" s="4" t="inlineStr">
        <is>
          <t>VNSGN</t>
        </is>
      </c>
      <c r="H126" s="4" t="inlineStr">
        <is>
          <t xml:space="preserve">40Hx1 </t>
        </is>
      </c>
      <c r="I126" s="4" t="inlineStr">
        <is>
          <t>BKK27</t>
        </is>
      </c>
      <c r="J126" s="4" t="inlineStr">
        <is>
          <t>B.C. DEPOT CO.,LTD. ( Bang-Na KM.18)</t>
        </is>
      </c>
      <c r="K126" s="4" t="inlineStr">
        <is>
          <t>20261009</t>
        </is>
      </c>
      <c r="L126" s="4" t="inlineStr">
        <is>
          <t>EUROFREIGHT INTERNATIONAL CO.,LTD.</t>
        </is>
      </c>
      <c r="M126" s="4" t="inlineStr">
        <is>
          <t>PETCHKASEM WEAVING (1983) CO., LTD.</t>
        </is>
      </c>
      <c r="N126" s="4" t="inlineStr">
        <is>
          <t>FABRIC</t>
        </is>
      </c>
      <c r="O126" s="4" t="inlineStr">
        <is>
          <t>GOOD AND CLEAN CONTAINER</t>
        </is>
      </c>
      <c r="P126" s="4" t="inlineStr">
        <is>
          <t xml:space="preserve">Pickup : 2026-10-09, Return : 2026-10-09 
 </t>
        </is>
      </c>
      <c r="Q126" s="4" t="n">
        <v>0</v>
      </c>
      <c r="R126" s="4" t="n">
        <v>0</v>
      </c>
      <c r="S126" s="4" t="n">
        <v>1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4" t="n">
        <v>0</v>
      </c>
      <c r="Z126" s="4" t="n">
        <v>0</v>
      </c>
      <c r="AA126" s="4" t="n">
        <v>0</v>
      </c>
      <c r="AB126" s="4">
        <f>SUM(Q126:Y126)-Z126</f>
        <v/>
      </c>
      <c r="AC126" s="4">
        <f>IF(I126="","",IF(OR(LEFT(I126,3)="BKK",I126="LCH55"),"BKK",IF(LEFT(I126,3)="LCH","LCH","OTHER")))</f>
        <v/>
      </c>
      <c r="AD126" s="4">
        <f>MAX(0,Q126-MAX(0,Z126))</f>
        <v/>
      </c>
      <c r="AE126" s="4">
        <f>MAX(0,R126-MAX(0,Z126-SUM(Q126:Q126)))</f>
        <v/>
      </c>
      <c r="AF126" s="4">
        <f>MAX(0,S126-MAX(0,Z126-SUM(Q126:R126)))</f>
        <v/>
      </c>
      <c r="AG126" s="4">
        <f>MAX(0,T126-MAX(0,Z126-SUM(Q126:S126)))</f>
        <v/>
      </c>
      <c r="AH126" s="4">
        <f>MAX(0,U126-MAX(0,Z126-SUM(Q126:T126)))</f>
        <v/>
      </c>
      <c r="AI126" s="4">
        <f>MAX(0,V126-MAX(0,Z126-SUM(Q126:U126)))</f>
        <v/>
      </c>
      <c r="AJ126" s="4">
        <f>MAX(0,W126-MAX(0,Z126-SUM(Q126:V126)))</f>
        <v/>
      </c>
      <c r="AK126" s="4">
        <f>MAX(0,X126-MAX(0,Z126-SUM(Q126:W126)))</f>
        <v/>
      </c>
      <c r="AL126" s="4">
        <f>MAX(0,Y126-MAX(0,Z126-SUM(Q126:X126)))</f>
        <v/>
      </c>
    </row>
    <row r="127">
      <c r="A127" s="4" t="inlineStr">
        <is>
          <t>HASLS22260901598</t>
        </is>
      </c>
      <c r="B127" s="4" t="inlineStr">
        <is>
          <t>SWSP</t>
        </is>
      </c>
      <c r="C127" s="4" t="inlineStr">
        <is>
          <t>2609N</t>
        </is>
      </c>
      <c r="D127" s="4" t="inlineStr">
        <is>
          <t>202610071530</t>
        </is>
      </c>
      <c r="E127" s="4" t="inlineStr"/>
      <c r="F127" s="4" t="inlineStr">
        <is>
          <t>THBKK</t>
        </is>
      </c>
      <c r="G127" s="4" t="inlineStr">
        <is>
          <t>VNSGN</t>
        </is>
      </c>
      <c r="H127" s="4" t="inlineStr">
        <is>
          <t xml:space="preserve">20'x3 </t>
        </is>
      </c>
      <c r="I127" s="4" t="inlineStr">
        <is>
          <t>BKK27</t>
        </is>
      </c>
      <c r="J127" s="4" t="inlineStr">
        <is>
          <t>B.C. DEPOT CO.,LTD. ( Bang-Na KM.18)</t>
        </is>
      </c>
      <c r="K127" s="4" t="inlineStr">
        <is>
          <t>20260930</t>
        </is>
      </c>
      <c r="L127" s="4" t="inlineStr">
        <is>
          <t>C.P. INTERTRADE CO., LTD.</t>
        </is>
      </c>
      <c r="M127" s="4" t="inlineStr">
        <is>
          <t>CHAROEN POKPHAND PRODUCE CO., LTD.</t>
        </is>
      </c>
      <c r="N127" s="4" t="inlineStr">
        <is>
          <t>CORN SEEDS</t>
        </is>
      </c>
      <c r="O127" s="4" t="inlineStr">
        <is>
          <t>REQ CLEAN AND GOOD CONTAINER GRADE A</t>
        </is>
      </c>
      <c r="P127" s="4" t="inlineStr">
        <is>
          <t>Pickup : 2026-09-30, Return : 2026-10-01</t>
        </is>
      </c>
      <c r="Q127" s="4" t="n">
        <v>3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>
        <f>SUM(Q127:Y127)-Z127</f>
        <v/>
      </c>
      <c r="AC127" s="4">
        <f>IF(I127="","",IF(OR(LEFT(I127,3)="BKK",I127="LCH55"),"BKK",IF(LEFT(I127,3)="LCH","LCH","OTHER")))</f>
        <v/>
      </c>
      <c r="AD127" s="4">
        <f>MAX(0,Q127-MAX(0,Z127))</f>
        <v/>
      </c>
      <c r="AE127" s="4">
        <f>MAX(0,R127-MAX(0,Z127-SUM(Q127:Q127)))</f>
        <v/>
      </c>
      <c r="AF127" s="4">
        <f>MAX(0,S127-MAX(0,Z127-SUM(Q127:R127)))</f>
        <v/>
      </c>
      <c r="AG127" s="4">
        <f>MAX(0,T127-MAX(0,Z127-SUM(Q127:S127)))</f>
        <v/>
      </c>
      <c r="AH127" s="4">
        <f>MAX(0,U127-MAX(0,Z127-SUM(Q127:T127)))</f>
        <v/>
      </c>
      <c r="AI127" s="4">
        <f>MAX(0,V127-MAX(0,Z127-SUM(Q127:U127)))</f>
        <v/>
      </c>
      <c r="AJ127" s="4">
        <f>MAX(0,W127-MAX(0,Z127-SUM(Q127:V127)))</f>
        <v/>
      </c>
      <c r="AK127" s="4">
        <f>MAX(0,X127-MAX(0,Z127-SUM(Q127:W127)))</f>
        <v/>
      </c>
      <c r="AL127" s="4">
        <f>MAX(0,Y127-MAX(0,Z127-SUM(Q127:X127)))</f>
        <v/>
      </c>
    </row>
    <row r="128">
      <c r="A128" s="4" t="inlineStr">
        <is>
          <t>HASLS22260901611</t>
        </is>
      </c>
      <c r="B128" s="4" t="inlineStr">
        <is>
          <t>SWIC</t>
        </is>
      </c>
      <c r="C128" s="4" t="inlineStr">
        <is>
          <t>2611N</t>
        </is>
      </c>
      <c r="D128" s="4" t="inlineStr">
        <is>
          <t>202610130700</t>
        </is>
      </c>
      <c r="E128" s="4" t="inlineStr"/>
      <c r="F128" s="4" t="inlineStr">
        <is>
          <t>THBKK</t>
        </is>
      </c>
      <c r="G128" s="4" t="inlineStr">
        <is>
          <t>KRKAN</t>
        </is>
      </c>
      <c r="H128" s="4" t="inlineStr">
        <is>
          <t xml:space="preserve">40Hx3 </t>
        </is>
      </c>
      <c r="I128" s="4" t="inlineStr">
        <is>
          <t>BKK27</t>
        </is>
      </c>
      <c r="J128" s="4" t="inlineStr">
        <is>
          <t>B.C. DEPOT CO.,LTD. ( Bang-Na KM.18)</t>
        </is>
      </c>
      <c r="K128" s="4" t="inlineStr">
        <is>
          <t>20261006</t>
        </is>
      </c>
      <c r="L128" s="4" t="inlineStr">
        <is>
          <t>CNT STAR CO., LTD.</t>
        </is>
      </c>
      <c r="M128" s="4" t="inlineStr">
        <is>
          <t>SAWATPAIBOON AGRICULTURE CO., LTD</t>
        </is>
      </c>
      <c r="N128" s="4" t="inlineStr">
        <is>
          <t>TAPIOCA HARD PELLET</t>
        </is>
      </c>
      <c r="O128" s="4" t="inlineStr">
        <is>
          <t>GOOD AND CLEAN CONTAINER</t>
        </is>
      </c>
      <c r="P128" s="4" t="inlineStr">
        <is>
          <t>Pickup : 2026-10-06, Return : 2026-10-09</t>
        </is>
      </c>
      <c r="Q128" s="4" t="n">
        <v>0</v>
      </c>
      <c r="R128" s="4" t="n">
        <v>0</v>
      </c>
      <c r="S128" s="4" t="n">
        <v>3</v>
      </c>
      <c r="T128" s="4" t="n">
        <v>0</v>
      </c>
      <c r="U128" s="4" t="n">
        <v>0</v>
      </c>
      <c r="V128" s="4" t="n">
        <v>0</v>
      </c>
      <c r="W128" s="4" t="n">
        <v>0</v>
      </c>
      <c r="X128" s="4" t="n">
        <v>0</v>
      </c>
      <c r="Y128" s="4" t="n">
        <v>0</v>
      </c>
      <c r="Z128" s="4" t="n">
        <v>0</v>
      </c>
      <c r="AA128" s="4" t="n">
        <v>0</v>
      </c>
      <c r="AB128" s="4">
        <f>SUM(Q128:Y128)-Z128</f>
        <v/>
      </c>
      <c r="AC128" s="4">
        <f>IF(I128="","",IF(OR(LEFT(I128,3)="BKK",I128="LCH55"),"BKK",IF(LEFT(I128,3)="LCH","LCH","OTHER")))</f>
        <v/>
      </c>
      <c r="AD128" s="4">
        <f>MAX(0,Q128-MAX(0,Z128))</f>
        <v/>
      </c>
      <c r="AE128" s="4">
        <f>MAX(0,R128-MAX(0,Z128-SUM(Q128:Q128)))</f>
        <v/>
      </c>
      <c r="AF128" s="4">
        <f>MAX(0,S128-MAX(0,Z128-SUM(Q128:R128)))</f>
        <v/>
      </c>
      <c r="AG128" s="4">
        <f>MAX(0,T128-MAX(0,Z128-SUM(Q128:S128)))</f>
        <v/>
      </c>
      <c r="AH128" s="4">
        <f>MAX(0,U128-MAX(0,Z128-SUM(Q128:T128)))</f>
        <v/>
      </c>
      <c r="AI128" s="4">
        <f>MAX(0,V128-MAX(0,Z128-SUM(Q128:U128)))</f>
        <v/>
      </c>
      <c r="AJ128" s="4">
        <f>MAX(0,W128-MAX(0,Z128-SUM(Q128:V128)))</f>
        <v/>
      </c>
      <c r="AK128" s="4">
        <f>MAX(0,X128-MAX(0,Z128-SUM(Q128:W128)))</f>
        <v/>
      </c>
      <c r="AL128" s="4">
        <f>MAX(0,Y128-MAX(0,Z128-SUM(Q128:X128)))</f>
        <v/>
      </c>
    </row>
    <row r="129">
      <c r="A129" s="4" t="inlineStr">
        <is>
          <t>HASLS22260901612</t>
        </is>
      </c>
      <c r="B129" s="4" t="inlineStr">
        <is>
          <t>TSXM</t>
        </is>
      </c>
      <c r="C129" s="4" t="inlineStr">
        <is>
          <t>2618N</t>
        </is>
      </c>
      <c r="D129" s="4" t="inlineStr">
        <is>
          <t>202610192100</t>
        </is>
      </c>
      <c r="E129" s="4" t="inlineStr"/>
      <c r="F129" s="4" t="inlineStr">
        <is>
          <t>THBKK</t>
        </is>
      </c>
      <c r="G129" s="4" t="inlineStr">
        <is>
          <t>HKHKG</t>
        </is>
      </c>
      <c r="H129" s="4" t="inlineStr">
        <is>
          <t xml:space="preserve">20'x1 </t>
        </is>
      </c>
      <c r="I129" s="4" t="inlineStr">
        <is>
          <t>BKK27</t>
        </is>
      </c>
      <c r="J129" s="4" t="inlineStr">
        <is>
          <t>B.C. DEPOT CO.,LTD. ( Bang-Na KM.18)</t>
        </is>
      </c>
      <c r="K129" s="4" t="inlineStr">
        <is>
          <t>20261016</t>
        </is>
      </c>
      <c r="L129" s="4" t="inlineStr">
        <is>
          <t>SONIC INTERFREIGHT PUBLIC COMPANY LIMITED</t>
        </is>
      </c>
      <c r="M129" s="4" t="inlineStr">
        <is>
          <t>THAI OTSUKA PHARMACEUTICAL CO., LTD.</t>
        </is>
      </c>
      <c r="N129" s="4" t="inlineStr">
        <is>
          <t>MEDICAL</t>
        </is>
      </c>
      <c r="O129" s="4" t="inlineStr">
        <is>
          <t>GOOD &amp; CLEAN CONT. , NO SMELL</t>
        </is>
      </c>
      <c r="P129" s="4" t="inlineStr">
        <is>
          <t>Pickup : 2026-10-16, Return : 2026-10-17</t>
        </is>
      </c>
      <c r="Q129" s="4" t="n">
        <v>1</v>
      </c>
      <c r="R129" s="4" t="n">
        <v>0</v>
      </c>
      <c r="S129" s="4" t="n">
        <v>0</v>
      </c>
      <c r="T129" s="4" t="n">
        <v>0</v>
      </c>
      <c r="U129" s="4" t="n">
        <v>0</v>
      </c>
      <c r="V129" s="4" t="n">
        <v>0</v>
      </c>
      <c r="W129" s="4" t="n">
        <v>0</v>
      </c>
      <c r="X129" s="4" t="n">
        <v>0</v>
      </c>
      <c r="Y129" s="4" t="n">
        <v>0</v>
      </c>
      <c r="Z129" s="4" t="n">
        <v>0</v>
      </c>
      <c r="AA129" s="4" t="n">
        <v>0</v>
      </c>
      <c r="AB129" s="4">
        <f>SUM(Q129:Y129)-Z129</f>
        <v/>
      </c>
      <c r="AC129" s="4">
        <f>IF(I129="","",IF(OR(LEFT(I129,3)="BKK",I129="LCH55"),"BKK",IF(LEFT(I129,3)="LCH","LCH","OTHER")))</f>
        <v/>
      </c>
      <c r="AD129" s="4">
        <f>MAX(0,Q129-MAX(0,Z129))</f>
        <v/>
      </c>
      <c r="AE129" s="4">
        <f>MAX(0,R129-MAX(0,Z129-SUM(Q129:Q129)))</f>
        <v/>
      </c>
      <c r="AF129" s="4">
        <f>MAX(0,S129-MAX(0,Z129-SUM(Q129:R129)))</f>
        <v/>
      </c>
      <c r="AG129" s="4">
        <f>MAX(0,T129-MAX(0,Z129-SUM(Q129:S129)))</f>
        <v/>
      </c>
      <c r="AH129" s="4">
        <f>MAX(0,U129-MAX(0,Z129-SUM(Q129:T129)))</f>
        <v/>
      </c>
      <c r="AI129" s="4">
        <f>MAX(0,V129-MAX(0,Z129-SUM(Q129:U129)))</f>
        <v/>
      </c>
      <c r="AJ129" s="4">
        <f>MAX(0,W129-MAX(0,Z129-SUM(Q129:V129)))</f>
        <v/>
      </c>
      <c r="AK129" s="4">
        <f>MAX(0,X129-MAX(0,Z129-SUM(Q129:W129)))</f>
        <v/>
      </c>
      <c r="AL129" s="4">
        <f>MAX(0,Y129-MAX(0,Z129-SUM(Q129:X129)))</f>
        <v/>
      </c>
    </row>
    <row r="130">
      <c r="A130" s="4" t="inlineStr">
        <is>
          <t>HASLS22260901613</t>
        </is>
      </c>
      <c r="B130" s="4" t="inlineStr">
        <is>
          <t>KMTP</t>
        </is>
      </c>
      <c r="C130" s="4" t="inlineStr">
        <is>
          <t>2612N</t>
        </is>
      </c>
      <c r="D130" s="4" t="inlineStr">
        <is>
          <t>202610120800</t>
        </is>
      </c>
      <c r="E130" s="4" t="inlineStr"/>
      <c r="F130" s="4" t="inlineStr">
        <is>
          <t>THBKK</t>
        </is>
      </c>
      <c r="G130" s="4" t="inlineStr">
        <is>
          <t>HKHKG</t>
        </is>
      </c>
      <c r="H130" s="4" t="inlineStr">
        <is>
          <t xml:space="preserve">20'x1 </t>
        </is>
      </c>
      <c r="I130" s="4" t="inlineStr">
        <is>
          <t>BKK27</t>
        </is>
      </c>
      <c r="J130" s="4" t="inlineStr">
        <is>
          <t>B.C. DEPOT CO.,LTD. ( Bang-Na KM.18)</t>
        </is>
      </c>
      <c r="K130" s="4" t="inlineStr">
        <is>
          <t>20261007</t>
        </is>
      </c>
      <c r="L130" s="4" t="inlineStr">
        <is>
          <t>SONIC INTERFREIGHT PUBLIC COMPANY LIMITED</t>
        </is>
      </c>
      <c r="M130" s="4" t="inlineStr">
        <is>
          <t>THAI OTSUKA PHARMACEUTICAL CO., LTD.</t>
        </is>
      </c>
      <c r="N130" s="4" t="inlineStr">
        <is>
          <t>MEDICAL</t>
        </is>
      </c>
      <c r="O130" s="4" t="inlineStr">
        <is>
          <t>GOOD &amp; CLEAN CONT. , NO SMELL</t>
        </is>
      </c>
      <c r="P130" s="4" t="inlineStr">
        <is>
          <t>Pickup : 2026-10-07, Return : 2026-10-08</t>
        </is>
      </c>
      <c r="Q130" s="4" t="n">
        <v>1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>
        <f>SUM(Q130:Y130)-Z130</f>
        <v/>
      </c>
      <c r="AC130" s="4">
        <f>IF(I130="","",IF(OR(LEFT(I130,3)="BKK",I130="LCH55"),"BKK",IF(LEFT(I130,3)="LCH","LCH","OTHER")))</f>
        <v/>
      </c>
      <c r="AD130" s="4">
        <f>MAX(0,Q130-MAX(0,Z130))</f>
        <v/>
      </c>
      <c r="AE130" s="4">
        <f>MAX(0,R130-MAX(0,Z130-SUM(Q130:Q130)))</f>
        <v/>
      </c>
      <c r="AF130" s="4">
        <f>MAX(0,S130-MAX(0,Z130-SUM(Q130:R130)))</f>
        <v/>
      </c>
      <c r="AG130" s="4">
        <f>MAX(0,T130-MAX(0,Z130-SUM(Q130:S130)))</f>
        <v/>
      </c>
      <c r="AH130" s="4">
        <f>MAX(0,U130-MAX(0,Z130-SUM(Q130:T130)))</f>
        <v/>
      </c>
      <c r="AI130" s="4">
        <f>MAX(0,V130-MAX(0,Z130-SUM(Q130:U130)))</f>
        <v/>
      </c>
      <c r="AJ130" s="4">
        <f>MAX(0,W130-MAX(0,Z130-SUM(Q130:V130)))</f>
        <v/>
      </c>
      <c r="AK130" s="4">
        <f>MAX(0,X130-MAX(0,Z130-SUM(Q130:W130)))</f>
        <v/>
      </c>
      <c r="AL130" s="4">
        <f>MAX(0,Y130-MAX(0,Z130-SUM(Q130:X130)))</f>
        <v/>
      </c>
    </row>
    <row r="131">
      <c r="A131" s="4" t="inlineStr">
        <is>
          <t>HASLS22260901614</t>
        </is>
      </c>
      <c r="B131" s="4" t="inlineStr">
        <is>
          <t>KMTP</t>
        </is>
      </c>
      <c r="C131" s="4" t="inlineStr">
        <is>
          <t>2612N</t>
        </is>
      </c>
      <c r="D131" s="4" t="inlineStr">
        <is>
          <t>202610120800</t>
        </is>
      </c>
      <c r="E131" s="4" t="inlineStr"/>
      <c r="F131" s="4" t="inlineStr">
        <is>
          <t>THBKK</t>
        </is>
      </c>
      <c r="G131" s="4" t="inlineStr">
        <is>
          <t>HKHKG</t>
        </is>
      </c>
      <c r="H131" s="4" t="inlineStr">
        <is>
          <t xml:space="preserve">20'x1 </t>
        </is>
      </c>
      <c r="I131" s="4" t="inlineStr">
        <is>
          <t>BKK27</t>
        </is>
      </c>
      <c r="J131" s="4" t="inlineStr">
        <is>
          <t>B.C. DEPOT CO.,LTD. ( Bang-Na KM.18)</t>
        </is>
      </c>
      <c r="K131" s="4" t="inlineStr">
        <is>
          <t>20261007</t>
        </is>
      </c>
      <c r="L131" s="4" t="inlineStr">
        <is>
          <t>SONIC INTERFREIGHT PUBLIC COMPANY LIMITED</t>
        </is>
      </c>
      <c r="M131" s="4" t="inlineStr">
        <is>
          <t>THAI OTSUKA PHARMACEUTICAL CO., LTD.</t>
        </is>
      </c>
      <c r="N131" s="4" t="inlineStr">
        <is>
          <t>MEDICAL</t>
        </is>
      </c>
      <c r="O131" s="4" t="inlineStr">
        <is>
          <t>GOOD &amp; CLEAN CONT. , NO SMELL</t>
        </is>
      </c>
      <c r="P131" s="4" t="inlineStr">
        <is>
          <t>Pickup : 2026-10-07, Return : 2026-10-08</t>
        </is>
      </c>
      <c r="Q131" s="4" t="n">
        <v>1</v>
      </c>
      <c r="R131" s="4" t="n">
        <v>0</v>
      </c>
      <c r="S131" s="4" t="n">
        <v>0</v>
      </c>
      <c r="T131" s="4" t="n">
        <v>0</v>
      </c>
      <c r="U131" s="4" t="n">
        <v>0</v>
      </c>
      <c r="V131" s="4" t="n">
        <v>0</v>
      </c>
      <c r="W131" s="4" t="n">
        <v>0</v>
      </c>
      <c r="X131" s="4" t="n">
        <v>0</v>
      </c>
      <c r="Y131" s="4" t="n">
        <v>0</v>
      </c>
      <c r="Z131" s="4" t="n">
        <v>0</v>
      </c>
      <c r="AA131" s="4" t="n">
        <v>0</v>
      </c>
      <c r="AB131" s="4">
        <f>SUM(Q131:Y131)-Z131</f>
        <v/>
      </c>
      <c r="AC131" s="4">
        <f>IF(I131="","",IF(OR(LEFT(I131,3)="BKK",I131="LCH55"),"BKK",IF(LEFT(I131,3)="LCH","LCH","OTHER")))</f>
        <v/>
      </c>
      <c r="AD131" s="4">
        <f>MAX(0,Q131-MAX(0,Z131))</f>
        <v/>
      </c>
      <c r="AE131" s="4">
        <f>MAX(0,R131-MAX(0,Z131-SUM(Q131:Q131)))</f>
        <v/>
      </c>
      <c r="AF131" s="4">
        <f>MAX(0,S131-MAX(0,Z131-SUM(Q131:R131)))</f>
        <v/>
      </c>
      <c r="AG131" s="4">
        <f>MAX(0,T131-MAX(0,Z131-SUM(Q131:S131)))</f>
        <v/>
      </c>
      <c r="AH131" s="4">
        <f>MAX(0,U131-MAX(0,Z131-SUM(Q131:T131)))</f>
        <v/>
      </c>
      <c r="AI131" s="4">
        <f>MAX(0,V131-MAX(0,Z131-SUM(Q131:U131)))</f>
        <v/>
      </c>
      <c r="AJ131" s="4">
        <f>MAX(0,W131-MAX(0,Z131-SUM(Q131:V131)))</f>
        <v/>
      </c>
      <c r="AK131" s="4">
        <f>MAX(0,X131-MAX(0,Z131-SUM(Q131:W131)))</f>
        <v/>
      </c>
      <c r="AL131" s="4">
        <f>MAX(0,Y131-MAX(0,Z131-SUM(Q131:X131)))</f>
        <v/>
      </c>
    </row>
    <row r="132">
      <c r="A132" s="4" t="inlineStr">
        <is>
          <t>HASLS22260901615</t>
        </is>
      </c>
      <c r="B132" s="4" t="inlineStr">
        <is>
          <t>KMTP</t>
        </is>
      </c>
      <c r="C132" s="4" t="inlineStr">
        <is>
          <t>2612N</t>
        </is>
      </c>
      <c r="D132" s="4" t="inlineStr">
        <is>
          <t>202610120800</t>
        </is>
      </c>
      <c r="E132" s="4" t="inlineStr"/>
      <c r="F132" s="4" t="inlineStr">
        <is>
          <t>THBKK</t>
        </is>
      </c>
      <c r="G132" s="4" t="inlineStr">
        <is>
          <t>HKHKG</t>
        </is>
      </c>
      <c r="H132" s="4" t="inlineStr">
        <is>
          <t xml:space="preserve">20'x1 </t>
        </is>
      </c>
      <c r="I132" s="4" t="inlineStr">
        <is>
          <t>BKK27</t>
        </is>
      </c>
      <c r="J132" s="4" t="inlineStr">
        <is>
          <t>B.C. DEPOT CO.,LTD. ( Bang-Na KM.18)</t>
        </is>
      </c>
      <c r="K132" s="4" t="inlineStr">
        <is>
          <t>20261007</t>
        </is>
      </c>
      <c r="L132" s="4" t="inlineStr">
        <is>
          <t>SONIC INTERFREIGHT PUBLIC COMPANY LIMITED</t>
        </is>
      </c>
      <c r="M132" s="4" t="inlineStr">
        <is>
          <t>THAI OTSUKA PHARMACEUTICAL CO., LTD.</t>
        </is>
      </c>
      <c r="N132" s="4" t="inlineStr">
        <is>
          <t>MEDICAL</t>
        </is>
      </c>
      <c r="O132" s="4" t="inlineStr">
        <is>
          <t>GOOD &amp; CLEAN CONT. , NO SMELL</t>
        </is>
      </c>
      <c r="P132" s="4" t="inlineStr">
        <is>
          <t>Pickup : 2026-10-07, Return : 2026-10-08</t>
        </is>
      </c>
      <c r="Q132" s="4" t="n">
        <v>1</v>
      </c>
      <c r="R132" s="4" t="n">
        <v>0</v>
      </c>
      <c r="S132" s="4" t="n">
        <v>0</v>
      </c>
      <c r="T132" s="4" t="n">
        <v>0</v>
      </c>
      <c r="U132" s="4" t="n">
        <v>0</v>
      </c>
      <c r="V132" s="4" t="n">
        <v>0</v>
      </c>
      <c r="W132" s="4" t="n">
        <v>0</v>
      </c>
      <c r="X132" s="4" t="n">
        <v>0</v>
      </c>
      <c r="Y132" s="4" t="n">
        <v>0</v>
      </c>
      <c r="Z132" s="4" t="n">
        <v>0</v>
      </c>
      <c r="AA132" s="4" t="n">
        <v>0</v>
      </c>
      <c r="AB132" s="4">
        <f>SUM(Q132:Y132)-Z132</f>
        <v/>
      </c>
      <c r="AC132" s="4">
        <f>IF(I132="","",IF(OR(LEFT(I132,3)="BKK",I132="LCH55"),"BKK",IF(LEFT(I132,3)="LCH","LCH","OTHER")))</f>
        <v/>
      </c>
      <c r="AD132" s="4">
        <f>MAX(0,Q132-MAX(0,Z132))</f>
        <v/>
      </c>
      <c r="AE132" s="4">
        <f>MAX(0,R132-MAX(0,Z132-SUM(Q132:Q132)))</f>
        <v/>
      </c>
      <c r="AF132" s="4">
        <f>MAX(0,S132-MAX(0,Z132-SUM(Q132:R132)))</f>
        <v/>
      </c>
      <c r="AG132" s="4">
        <f>MAX(0,T132-MAX(0,Z132-SUM(Q132:S132)))</f>
        <v/>
      </c>
      <c r="AH132" s="4">
        <f>MAX(0,U132-MAX(0,Z132-SUM(Q132:T132)))</f>
        <v/>
      </c>
      <c r="AI132" s="4">
        <f>MAX(0,V132-MAX(0,Z132-SUM(Q132:U132)))</f>
        <v/>
      </c>
      <c r="AJ132" s="4">
        <f>MAX(0,W132-MAX(0,Z132-SUM(Q132:V132)))</f>
        <v/>
      </c>
      <c r="AK132" s="4">
        <f>MAX(0,X132-MAX(0,Z132-SUM(Q132:W132)))</f>
        <v/>
      </c>
      <c r="AL132" s="4">
        <f>MAX(0,Y132-MAX(0,Z132-SUM(Q132:X132)))</f>
        <v/>
      </c>
    </row>
    <row r="133">
      <c r="A133" s="4" t="inlineStr">
        <is>
          <t>HASLS22260901616</t>
        </is>
      </c>
      <c r="B133" s="4" t="inlineStr">
        <is>
          <t>SWSR</t>
        </is>
      </c>
      <c r="C133" s="4" t="inlineStr">
        <is>
          <t>2611N</t>
        </is>
      </c>
      <c r="D133" s="4" t="inlineStr">
        <is>
          <t>202610110900</t>
        </is>
      </c>
      <c r="E133" s="4" t="inlineStr"/>
      <c r="F133" s="4" t="inlineStr">
        <is>
          <t>THBKK</t>
        </is>
      </c>
      <c r="G133" s="4" t="inlineStr">
        <is>
          <t>HKHKG</t>
        </is>
      </c>
      <c r="H133" s="4" t="inlineStr">
        <is>
          <t xml:space="preserve">20'x2 </t>
        </is>
      </c>
      <c r="I133" s="4" t="inlineStr">
        <is>
          <t>BKK27</t>
        </is>
      </c>
      <c r="J133" s="4" t="inlineStr">
        <is>
          <t>B.C. DEPOT CO.,LTD. ( Bang-Na KM.18)</t>
        </is>
      </c>
      <c r="K133" s="4" t="inlineStr">
        <is>
          <t>20261003</t>
        </is>
      </c>
      <c r="L133" s="4" t="inlineStr">
        <is>
          <t>SONIC INTERFREIGHT PUBLIC COMPANY LIMITED</t>
        </is>
      </c>
      <c r="M133" s="4" t="inlineStr">
        <is>
          <t>THAI OTSUKA PHARMACEUTICAL CO., LTD.</t>
        </is>
      </c>
      <c r="N133" s="4" t="inlineStr">
        <is>
          <t>MEDICAL</t>
        </is>
      </c>
      <c r="O133" s="4" t="inlineStr">
        <is>
          <t>GOOD &amp; CLEAN CONT. , NO SMELL</t>
        </is>
      </c>
      <c r="P133" s="4" t="inlineStr">
        <is>
          <t>Pickup : 2026-10-03, Return : 2026-10-05 (1ST RTN DD: 06/10/26 WO/RENT)
CLS TIME 08/10/26 @12.00</t>
        </is>
      </c>
      <c r="Q133" s="4" t="n">
        <v>2</v>
      </c>
      <c r="R133" s="4" t="n">
        <v>0</v>
      </c>
      <c r="S133" s="4" t="n">
        <v>0</v>
      </c>
      <c r="T133" s="4" t="n">
        <v>0</v>
      </c>
      <c r="U133" s="4" t="n">
        <v>0</v>
      </c>
      <c r="V133" s="4" t="n">
        <v>0</v>
      </c>
      <c r="W133" s="4" t="n">
        <v>0</v>
      </c>
      <c r="X133" s="4" t="n">
        <v>0</v>
      </c>
      <c r="Y133" s="4" t="n">
        <v>0</v>
      </c>
      <c r="Z133" s="4" t="n">
        <v>0</v>
      </c>
      <c r="AA133" s="4" t="n">
        <v>0</v>
      </c>
      <c r="AB133" s="4">
        <f>SUM(Q133:Y133)-Z133</f>
        <v/>
      </c>
      <c r="AC133" s="4">
        <f>IF(I133="","",IF(OR(LEFT(I133,3)="BKK",I133="LCH55"),"BKK",IF(LEFT(I133,3)="LCH","LCH","OTHER")))</f>
        <v/>
      </c>
      <c r="AD133" s="4">
        <f>MAX(0,Q133-MAX(0,Z133))</f>
        <v/>
      </c>
      <c r="AE133" s="4">
        <f>MAX(0,R133-MAX(0,Z133-SUM(Q133:Q133)))</f>
        <v/>
      </c>
      <c r="AF133" s="4">
        <f>MAX(0,S133-MAX(0,Z133-SUM(Q133:R133)))</f>
        <v/>
      </c>
      <c r="AG133" s="4">
        <f>MAX(0,T133-MAX(0,Z133-SUM(Q133:S133)))</f>
        <v/>
      </c>
      <c r="AH133" s="4">
        <f>MAX(0,U133-MAX(0,Z133-SUM(Q133:T133)))</f>
        <v/>
      </c>
      <c r="AI133" s="4">
        <f>MAX(0,V133-MAX(0,Z133-SUM(Q133:U133)))</f>
        <v/>
      </c>
      <c r="AJ133" s="4">
        <f>MAX(0,W133-MAX(0,Z133-SUM(Q133:V133)))</f>
        <v/>
      </c>
      <c r="AK133" s="4">
        <f>MAX(0,X133-MAX(0,Z133-SUM(Q133:W133)))</f>
        <v/>
      </c>
      <c r="AL133" s="4">
        <f>MAX(0,Y133-MAX(0,Z133-SUM(Q133:X133)))</f>
        <v/>
      </c>
    </row>
    <row r="134">
      <c r="A134" s="4" t="inlineStr">
        <is>
          <t>HASLS22260901617</t>
        </is>
      </c>
      <c r="B134" s="4" t="inlineStr">
        <is>
          <t>KJT</t>
        </is>
      </c>
      <c r="C134" s="4" t="inlineStr">
        <is>
          <t>2611N</t>
        </is>
      </c>
      <c r="D134" s="4" t="inlineStr">
        <is>
          <t>202610141800</t>
        </is>
      </c>
      <c r="E134" s="4" t="inlineStr"/>
      <c r="F134" s="4" t="inlineStr">
        <is>
          <t>THBKK</t>
        </is>
      </c>
      <c r="G134" s="4" t="inlineStr">
        <is>
          <t>HKHKG</t>
        </is>
      </c>
      <c r="H134" s="4" t="inlineStr">
        <is>
          <t xml:space="preserve">20'x1 </t>
        </is>
      </c>
      <c r="I134" s="4" t="inlineStr">
        <is>
          <t>BKK27</t>
        </is>
      </c>
      <c r="J134" s="4" t="inlineStr">
        <is>
          <t>B.C. DEPOT CO.,LTD. ( Bang-Na KM.18)</t>
        </is>
      </c>
      <c r="K134" s="4" t="inlineStr">
        <is>
          <t>20261009</t>
        </is>
      </c>
      <c r="L134" s="4" t="inlineStr">
        <is>
          <t>SONIC INTERFREIGHT PUBLIC COMPANY LIMITED</t>
        </is>
      </c>
      <c r="M134" s="4" t="inlineStr">
        <is>
          <t>THAI OTSUKA PHARMACEUTICAL CO., LTD.</t>
        </is>
      </c>
      <c r="N134" s="4" t="inlineStr">
        <is>
          <t>MEDICAL</t>
        </is>
      </c>
      <c r="O134" s="4" t="inlineStr">
        <is>
          <t>GOOD &amp; CLEAN CONT. , NO SMELL</t>
        </is>
      </c>
      <c r="P134" s="4" t="inlineStr">
        <is>
          <t>Pickup : 2026-10-09, Return : 2026-10-10</t>
        </is>
      </c>
      <c r="Q134" s="4" t="n">
        <v>1</v>
      </c>
      <c r="R134" s="4" t="n">
        <v>0</v>
      </c>
      <c r="S134" s="4" t="n">
        <v>0</v>
      </c>
      <c r="T134" s="4" t="n">
        <v>0</v>
      </c>
      <c r="U134" s="4" t="n">
        <v>0</v>
      </c>
      <c r="V134" s="4" t="n">
        <v>0</v>
      </c>
      <c r="W134" s="4" t="n">
        <v>0</v>
      </c>
      <c r="X134" s="4" t="n">
        <v>0</v>
      </c>
      <c r="Y134" s="4" t="n">
        <v>0</v>
      </c>
      <c r="Z134" s="4" t="n">
        <v>0</v>
      </c>
      <c r="AA134" s="4" t="n">
        <v>0</v>
      </c>
      <c r="AB134" s="4">
        <f>SUM(Q134:Y134)-Z134</f>
        <v/>
      </c>
      <c r="AC134" s="4">
        <f>IF(I134="","",IF(OR(LEFT(I134,3)="BKK",I134="LCH55"),"BKK",IF(LEFT(I134,3)="LCH","LCH","OTHER")))</f>
        <v/>
      </c>
      <c r="AD134" s="4">
        <f>MAX(0,Q134-MAX(0,Z134))</f>
        <v/>
      </c>
      <c r="AE134" s="4">
        <f>MAX(0,R134-MAX(0,Z134-SUM(Q134:Q134)))</f>
        <v/>
      </c>
      <c r="AF134" s="4">
        <f>MAX(0,S134-MAX(0,Z134-SUM(Q134:R134)))</f>
        <v/>
      </c>
      <c r="AG134" s="4">
        <f>MAX(0,T134-MAX(0,Z134-SUM(Q134:S134)))</f>
        <v/>
      </c>
      <c r="AH134" s="4">
        <f>MAX(0,U134-MAX(0,Z134-SUM(Q134:T134)))</f>
        <v/>
      </c>
      <c r="AI134" s="4">
        <f>MAX(0,V134-MAX(0,Z134-SUM(Q134:U134)))</f>
        <v/>
      </c>
      <c r="AJ134" s="4">
        <f>MAX(0,W134-MAX(0,Z134-SUM(Q134:V134)))</f>
        <v/>
      </c>
      <c r="AK134" s="4">
        <f>MAX(0,X134-MAX(0,Z134-SUM(Q134:W134)))</f>
        <v/>
      </c>
      <c r="AL134" s="4">
        <f>MAX(0,Y134-MAX(0,Z134-SUM(Q134:X134)))</f>
        <v/>
      </c>
    </row>
    <row r="135">
      <c r="A135" s="4" t="inlineStr">
        <is>
          <t>HASLS22260901618</t>
        </is>
      </c>
      <c r="B135" s="4" t="inlineStr">
        <is>
          <t>TSXM</t>
        </is>
      </c>
      <c r="C135" s="4" t="inlineStr">
        <is>
          <t>2618N</t>
        </is>
      </c>
      <c r="D135" s="4" t="inlineStr">
        <is>
          <t>202610192100</t>
        </is>
      </c>
      <c r="E135" s="4" t="inlineStr"/>
      <c r="F135" s="4" t="inlineStr">
        <is>
          <t>THBKK</t>
        </is>
      </c>
      <c r="G135" s="4" t="inlineStr">
        <is>
          <t>HKHKG</t>
        </is>
      </c>
      <c r="H135" s="4" t="inlineStr">
        <is>
          <t xml:space="preserve">20'x1 </t>
        </is>
      </c>
      <c r="I135" s="4" t="inlineStr">
        <is>
          <t>BKK27</t>
        </is>
      </c>
      <c r="J135" s="4" t="inlineStr">
        <is>
          <t>B.C. DEPOT CO.,LTD. ( Bang-Na KM.18)</t>
        </is>
      </c>
      <c r="K135" s="4" t="inlineStr">
        <is>
          <t>20261016</t>
        </is>
      </c>
      <c r="L135" s="4" t="inlineStr">
        <is>
          <t>SONIC INTERFREIGHT PUBLIC COMPANY LIMITED</t>
        </is>
      </c>
      <c r="M135" s="4" t="inlineStr">
        <is>
          <t>THAI OTSUKA PHARMACEUTICAL CO., LTD.</t>
        </is>
      </c>
      <c r="N135" s="4" t="inlineStr">
        <is>
          <t>MEDICAL</t>
        </is>
      </c>
      <c r="O135" s="4" t="inlineStr">
        <is>
          <t>GOOD &amp; CLEAN CONT. , NO SMELL</t>
        </is>
      </c>
      <c r="P135" s="4" t="inlineStr">
        <is>
          <t>Pickup : 2026-10-16, Return : 2026-10-17</t>
        </is>
      </c>
      <c r="Q135" s="4" t="n">
        <v>1</v>
      </c>
      <c r="R135" s="4" t="n">
        <v>0</v>
      </c>
      <c r="S135" s="4" t="n">
        <v>0</v>
      </c>
      <c r="T135" s="4" t="n">
        <v>0</v>
      </c>
      <c r="U135" s="4" t="n">
        <v>0</v>
      </c>
      <c r="V135" s="4" t="n">
        <v>0</v>
      </c>
      <c r="W135" s="4" t="n">
        <v>0</v>
      </c>
      <c r="X135" s="4" t="n">
        <v>0</v>
      </c>
      <c r="Y135" s="4" t="n">
        <v>0</v>
      </c>
      <c r="Z135" s="4" t="n">
        <v>0</v>
      </c>
      <c r="AA135" s="4" t="n">
        <v>0</v>
      </c>
      <c r="AB135" s="4">
        <f>SUM(Q135:Y135)-Z135</f>
        <v/>
      </c>
      <c r="AC135" s="4">
        <f>IF(I135="","",IF(OR(LEFT(I135,3)="BKK",I135="LCH55"),"BKK",IF(LEFT(I135,3)="LCH","LCH","OTHER")))</f>
        <v/>
      </c>
      <c r="AD135" s="4">
        <f>MAX(0,Q135-MAX(0,Z135))</f>
        <v/>
      </c>
      <c r="AE135" s="4">
        <f>MAX(0,R135-MAX(0,Z135-SUM(Q135:Q135)))</f>
        <v/>
      </c>
      <c r="AF135" s="4">
        <f>MAX(0,S135-MAX(0,Z135-SUM(Q135:R135)))</f>
        <v/>
      </c>
      <c r="AG135" s="4">
        <f>MAX(0,T135-MAX(0,Z135-SUM(Q135:S135)))</f>
        <v/>
      </c>
      <c r="AH135" s="4">
        <f>MAX(0,U135-MAX(0,Z135-SUM(Q135:T135)))</f>
        <v/>
      </c>
      <c r="AI135" s="4">
        <f>MAX(0,V135-MAX(0,Z135-SUM(Q135:U135)))</f>
        <v/>
      </c>
      <c r="AJ135" s="4">
        <f>MAX(0,W135-MAX(0,Z135-SUM(Q135:V135)))</f>
        <v/>
      </c>
      <c r="AK135" s="4">
        <f>MAX(0,X135-MAX(0,Z135-SUM(Q135:W135)))</f>
        <v/>
      </c>
      <c r="AL135" s="4">
        <f>MAX(0,Y135-MAX(0,Z135-SUM(Q135:X135)))</f>
        <v/>
      </c>
    </row>
    <row r="136">
      <c r="A136" s="4" t="inlineStr">
        <is>
          <t>HASLS22260901619</t>
        </is>
      </c>
      <c r="B136" s="4" t="inlineStr">
        <is>
          <t>KJT</t>
        </is>
      </c>
      <c r="C136" s="4" t="inlineStr">
        <is>
          <t>2611N</t>
        </is>
      </c>
      <c r="D136" s="4" t="inlineStr">
        <is>
          <t>202610141800</t>
        </is>
      </c>
      <c r="E136" s="4" t="inlineStr"/>
      <c r="F136" s="4" t="inlineStr">
        <is>
          <t>THBKK</t>
        </is>
      </c>
      <c r="G136" s="4" t="inlineStr">
        <is>
          <t>HKHKG</t>
        </is>
      </c>
      <c r="H136" s="4" t="inlineStr">
        <is>
          <t xml:space="preserve">20'x1 </t>
        </is>
      </c>
      <c r="I136" s="4" t="inlineStr">
        <is>
          <t>BKK27</t>
        </is>
      </c>
      <c r="J136" s="4" t="inlineStr">
        <is>
          <t>B.C. DEPOT CO.,LTD. ( Bang-Na KM.18)</t>
        </is>
      </c>
      <c r="K136" s="4" t="inlineStr">
        <is>
          <t>20261009</t>
        </is>
      </c>
      <c r="L136" s="4" t="inlineStr">
        <is>
          <t>SONIC INTERFREIGHT PUBLIC COMPANY LIMITED</t>
        </is>
      </c>
      <c r="M136" s="4" t="inlineStr">
        <is>
          <t>THAI OTSUKA PHARMACEUTICAL CO., LTD.</t>
        </is>
      </c>
      <c r="N136" s="4" t="inlineStr">
        <is>
          <t>MEDICAL</t>
        </is>
      </c>
      <c r="O136" s="4" t="inlineStr">
        <is>
          <t>GOOD &amp; CLEAN CONT. , NO SMELL</t>
        </is>
      </c>
      <c r="P136" s="4" t="inlineStr">
        <is>
          <t>Pickup : 2026-10-09, Return : 2026-10-10</t>
        </is>
      </c>
      <c r="Q136" s="4" t="n">
        <v>1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>
        <f>SUM(Q136:Y136)-Z136</f>
        <v/>
      </c>
      <c r="AC136" s="4">
        <f>IF(I136="","",IF(OR(LEFT(I136,3)="BKK",I136="LCH55"),"BKK",IF(LEFT(I136,3)="LCH","LCH","OTHER")))</f>
        <v/>
      </c>
      <c r="AD136" s="4">
        <f>MAX(0,Q136-MAX(0,Z136))</f>
        <v/>
      </c>
      <c r="AE136" s="4">
        <f>MAX(0,R136-MAX(0,Z136-SUM(Q136:Q136)))</f>
        <v/>
      </c>
      <c r="AF136" s="4">
        <f>MAX(0,S136-MAX(0,Z136-SUM(Q136:R136)))</f>
        <v/>
      </c>
      <c r="AG136" s="4">
        <f>MAX(0,T136-MAX(0,Z136-SUM(Q136:S136)))</f>
        <v/>
      </c>
      <c r="AH136" s="4">
        <f>MAX(0,U136-MAX(0,Z136-SUM(Q136:T136)))</f>
        <v/>
      </c>
      <c r="AI136" s="4">
        <f>MAX(0,V136-MAX(0,Z136-SUM(Q136:U136)))</f>
        <v/>
      </c>
      <c r="AJ136" s="4">
        <f>MAX(0,W136-MAX(0,Z136-SUM(Q136:V136)))</f>
        <v/>
      </c>
      <c r="AK136" s="4">
        <f>MAX(0,X136-MAX(0,Z136-SUM(Q136:W136)))</f>
        <v/>
      </c>
      <c r="AL136" s="4">
        <f>MAX(0,Y136-MAX(0,Z136-SUM(Q136:X136)))</f>
        <v/>
      </c>
    </row>
    <row r="137">
      <c r="A137" s="4" t="inlineStr">
        <is>
          <t>HASLS22260901620</t>
        </is>
      </c>
      <c r="B137" s="4" t="inlineStr">
        <is>
          <t>TSXM</t>
        </is>
      </c>
      <c r="C137" s="4" t="inlineStr">
        <is>
          <t>2618N</t>
        </is>
      </c>
      <c r="D137" s="4" t="inlineStr">
        <is>
          <t>202610192100</t>
        </is>
      </c>
      <c r="E137" s="4" t="inlineStr"/>
      <c r="F137" s="4" t="inlineStr">
        <is>
          <t>THBKK</t>
        </is>
      </c>
      <c r="G137" s="4" t="inlineStr">
        <is>
          <t>HKHKG</t>
        </is>
      </c>
      <c r="H137" s="4" t="inlineStr">
        <is>
          <t xml:space="preserve">20'x1 </t>
        </is>
      </c>
      <c r="I137" s="4" t="inlineStr">
        <is>
          <t>BKK27</t>
        </is>
      </c>
      <c r="J137" s="4" t="inlineStr">
        <is>
          <t>B.C. DEPOT CO.,LTD. ( Bang-Na KM.18)</t>
        </is>
      </c>
      <c r="K137" s="4" t="inlineStr">
        <is>
          <t>20261016</t>
        </is>
      </c>
      <c r="L137" s="4" t="inlineStr">
        <is>
          <t>SONIC INTERFREIGHT PUBLIC COMPANY LIMITED</t>
        </is>
      </c>
      <c r="M137" s="4" t="inlineStr">
        <is>
          <t>THAI OTSUKA PHARMACEUTICAL CO., LTD.</t>
        </is>
      </c>
      <c r="N137" s="4" t="inlineStr">
        <is>
          <t>MEDICAL</t>
        </is>
      </c>
      <c r="O137" s="4" t="inlineStr">
        <is>
          <t>GOOD &amp; CLEAN CONT. , NO SMELL</t>
        </is>
      </c>
      <c r="P137" s="4" t="inlineStr">
        <is>
          <t>Pickup : 2026-10-16, Return : 2026-10-17</t>
        </is>
      </c>
      <c r="Q137" s="4" t="n">
        <v>1</v>
      </c>
      <c r="R137" s="4" t="n">
        <v>0</v>
      </c>
      <c r="S137" s="4" t="n">
        <v>0</v>
      </c>
      <c r="T137" s="4" t="n">
        <v>0</v>
      </c>
      <c r="U137" s="4" t="n">
        <v>0</v>
      </c>
      <c r="V137" s="4" t="n">
        <v>0</v>
      </c>
      <c r="W137" s="4" t="n">
        <v>0</v>
      </c>
      <c r="X137" s="4" t="n">
        <v>0</v>
      </c>
      <c r="Y137" s="4" t="n">
        <v>0</v>
      </c>
      <c r="Z137" s="4" t="n">
        <v>0</v>
      </c>
      <c r="AA137" s="4" t="n">
        <v>0</v>
      </c>
      <c r="AB137" s="4">
        <f>SUM(Q137:Y137)-Z137</f>
        <v/>
      </c>
      <c r="AC137" s="4">
        <f>IF(I137="","",IF(OR(LEFT(I137,3)="BKK",I137="LCH55"),"BKK",IF(LEFT(I137,3)="LCH","LCH","OTHER")))</f>
        <v/>
      </c>
      <c r="AD137" s="4">
        <f>MAX(0,Q137-MAX(0,Z137))</f>
        <v/>
      </c>
      <c r="AE137" s="4">
        <f>MAX(0,R137-MAX(0,Z137-SUM(Q137:Q137)))</f>
        <v/>
      </c>
      <c r="AF137" s="4">
        <f>MAX(0,S137-MAX(0,Z137-SUM(Q137:R137)))</f>
        <v/>
      </c>
      <c r="AG137" s="4">
        <f>MAX(0,T137-MAX(0,Z137-SUM(Q137:S137)))</f>
        <v/>
      </c>
      <c r="AH137" s="4">
        <f>MAX(0,U137-MAX(0,Z137-SUM(Q137:T137)))</f>
        <v/>
      </c>
      <c r="AI137" s="4">
        <f>MAX(0,V137-MAX(0,Z137-SUM(Q137:U137)))</f>
        <v/>
      </c>
      <c r="AJ137" s="4">
        <f>MAX(0,W137-MAX(0,Z137-SUM(Q137:V137)))</f>
        <v/>
      </c>
      <c r="AK137" s="4">
        <f>MAX(0,X137-MAX(0,Z137-SUM(Q137:W137)))</f>
        <v/>
      </c>
      <c r="AL137" s="4">
        <f>MAX(0,Y137-MAX(0,Z137-SUM(Q137:X137)))</f>
        <v/>
      </c>
    </row>
    <row r="138">
      <c r="A138" s="4" t="inlineStr">
        <is>
          <t>HASLS22260901621</t>
        </is>
      </c>
      <c r="B138" s="4" t="inlineStr">
        <is>
          <t>SKOR</t>
        </is>
      </c>
      <c r="C138" s="4" t="inlineStr">
        <is>
          <t>2612N</t>
        </is>
      </c>
      <c r="D138" s="4" t="inlineStr">
        <is>
          <t>202610181700</t>
        </is>
      </c>
      <c r="E138" s="4" t="inlineStr"/>
      <c r="F138" s="4" t="inlineStr">
        <is>
          <t>THBKK</t>
        </is>
      </c>
      <c r="G138" s="4" t="inlineStr">
        <is>
          <t>HKHKG</t>
        </is>
      </c>
      <c r="H138" s="4" t="inlineStr">
        <is>
          <t xml:space="preserve">20'x2 </t>
        </is>
      </c>
      <c r="I138" s="4" t="inlineStr">
        <is>
          <t>BKK27</t>
        </is>
      </c>
      <c r="J138" s="4" t="inlineStr">
        <is>
          <t>B.C. DEPOT CO.,LTD. ( Bang-Na KM.18)</t>
        </is>
      </c>
      <c r="K138" s="4" t="inlineStr">
        <is>
          <t>20261012</t>
        </is>
      </c>
      <c r="L138" s="4" t="inlineStr">
        <is>
          <t>SONIC INTERFREIGHT PUBLIC COMPANY LIMITED</t>
        </is>
      </c>
      <c r="M138" s="4" t="inlineStr">
        <is>
          <t>THAI OTSUKA PHARMACEUTICAL CO., LTD.</t>
        </is>
      </c>
      <c r="N138" s="4" t="inlineStr">
        <is>
          <t>MEDICAL</t>
        </is>
      </c>
      <c r="O138" s="4" t="inlineStr">
        <is>
          <t>GOOD &amp; CLEAN CONT. , NO SMELL</t>
        </is>
      </c>
      <c r="P138" s="4" t="inlineStr">
        <is>
          <t xml:space="preserve">Pickup : 2026-10-12, Return : 2026-10-12 </t>
        </is>
      </c>
      <c r="Q138" s="4" t="n">
        <v>2</v>
      </c>
      <c r="R138" s="4" t="n">
        <v>0</v>
      </c>
      <c r="S138" s="4" t="n">
        <v>0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0</v>
      </c>
      <c r="Z138" s="4" t="n">
        <v>0</v>
      </c>
      <c r="AA138" s="4" t="n">
        <v>0</v>
      </c>
      <c r="AB138" s="4">
        <f>SUM(Q138:Y138)-Z138</f>
        <v/>
      </c>
      <c r="AC138" s="4">
        <f>IF(I138="","",IF(OR(LEFT(I138,3)="BKK",I138="LCH55"),"BKK",IF(LEFT(I138,3)="LCH","LCH","OTHER")))</f>
        <v/>
      </c>
      <c r="AD138" s="4">
        <f>MAX(0,Q138-MAX(0,Z138))</f>
        <v/>
      </c>
      <c r="AE138" s="4">
        <f>MAX(0,R138-MAX(0,Z138-SUM(Q138:Q138)))</f>
        <v/>
      </c>
      <c r="AF138" s="4">
        <f>MAX(0,S138-MAX(0,Z138-SUM(Q138:R138)))</f>
        <v/>
      </c>
      <c r="AG138" s="4">
        <f>MAX(0,T138-MAX(0,Z138-SUM(Q138:S138)))</f>
        <v/>
      </c>
      <c r="AH138" s="4">
        <f>MAX(0,U138-MAX(0,Z138-SUM(Q138:T138)))</f>
        <v/>
      </c>
      <c r="AI138" s="4">
        <f>MAX(0,V138-MAX(0,Z138-SUM(Q138:U138)))</f>
        <v/>
      </c>
      <c r="AJ138" s="4">
        <f>MAX(0,W138-MAX(0,Z138-SUM(Q138:V138)))</f>
        <v/>
      </c>
      <c r="AK138" s="4">
        <f>MAX(0,X138-MAX(0,Z138-SUM(Q138:W138)))</f>
        <v/>
      </c>
      <c r="AL138" s="4">
        <f>MAX(0,Y138-MAX(0,Z138-SUM(Q138:X138)))</f>
        <v/>
      </c>
    </row>
    <row r="139">
      <c r="A139" s="4" t="inlineStr">
        <is>
          <t>HASLS22260901622</t>
        </is>
      </c>
      <c r="B139" s="4" t="inlineStr">
        <is>
          <t>TSXM</t>
        </is>
      </c>
      <c r="C139" s="4" t="inlineStr">
        <is>
          <t>2618N</t>
        </is>
      </c>
      <c r="D139" s="4" t="inlineStr">
        <is>
          <t>202610192100</t>
        </is>
      </c>
      <c r="E139" s="4" t="inlineStr"/>
      <c r="F139" s="4" t="inlineStr">
        <is>
          <t>THBKK</t>
        </is>
      </c>
      <c r="G139" s="4" t="inlineStr">
        <is>
          <t>HKHKG</t>
        </is>
      </c>
      <c r="H139" s="4" t="inlineStr">
        <is>
          <t xml:space="preserve">20'x1 </t>
        </is>
      </c>
      <c r="I139" s="4" t="inlineStr">
        <is>
          <t>BKK27</t>
        </is>
      </c>
      <c r="J139" s="4" t="inlineStr">
        <is>
          <t>B.C. DEPOT CO.,LTD. ( Bang-Na KM.18)</t>
        </is>
      </c>
      <c r="K139" s="4" t="inlineStr">
        <is>
          <t>20261016</t>
        </is>
      </c>
      <c r="L139" s="4" t="inlineStr">
        <is>
          <t>SONIC INTERFREIGHT PUBLIC COMPANY LIMITED</t>
        </is>
      </c>
      <c r="M139" s="4" t="inlineStr">
        <is>
          <t>THAI OTSUKA PHARMACEUTICAL CO., LTD.</t>
        </is>
      </c>
      <c r="N139" s="4" t="inlineStr">
        <is>
          <t>MEDICAL</t>
        </is>
      </c>
      <c r="O139" s="4" t="inlineStr">
        <is>
          <t>GOOD &amp; CLEAN CONT. , NO SMELL</t>
        </is>
      </c>
      <c r="P139" s="4" t="inlineStr">
        <is>
          <t>Pickup : 2026-10-16, Return : 2026-10-17</t>
        </is>
      </c>
      <c r="Q139" s="4" t="n">
        <v>1</v>
      </c>
      <c r="R139" s="4" t="n">
        <v>0</v>
      </c>
      <c r="S139" s="4" t="n">
        <v>0</v>
      </c>
      <c r="T139" s="4" t="n">
        <v>0</v>
      </c>
      <c r="U139" s="4" t="n">
        <v>0</v>
      </c>
      <c r="V139" s="4" t="n">
        <v>0</v>
      </c>
      <c r="W139" s="4" t="n">
        <v>0</v>
      </c>
      <c r="X139" s="4" t="n">
        <v>0</v>
      </c>
      <c r="Y139" s="4" t="n">
        <v>0</v>
      </c>
      <c r="Z139" s="4" t="n">
        <v>0</v>
      </c>
      <c r="AA139" s="4" t="n">
        <v>0</v>
      </c>
      <c r="AB139" s="4">
        <f>SUM(Q139:Y139)-Z139</f>
        <v/>
      </c>
      <c r="AC139" s="4">
        <f>IF(I139="","",IF(OR(LEFT(I139,3)="BKK",I139="LCH55"),"BKK",IF(LEFT(I139,3)="LCH","LCH","OTHER")))</f>
        <v/>
      </c>
      <c r="AD139" s="4">
        <f>MAX(0,Q139-MAX(0,Z139))</f>
        <v/>
      </c>
      <c r="AE139" s="4">
        <f>MAX(0,R139-MAX(0,Z139-SUM(Q139:Q139)))</f>
        <v/>
      </c>
      <c r="AF139" s="4">
        <f>MAX(0,S139-MAX(0,Z139-SUM(Q139:R139)))</f>
        <v/>
      </c>
      <c r="AG139" s="4">
        <f>MAX(0,T139-MAX(0,Z139-SUM(Q139:S139)))</f>
        <v/>
      </c>
      <c r="AH139" s="4">
        <f>MAX(0,U139-MAX(0,Z139-SUM(Q139:T139)))</f>
        <v/>
      </c>
      <c r="AI139" s="4">
        <f>MAX(0,V139-MAX(0,Z139-SUM(Q139:U139)))</f>
        <v/>
      </c>
      <c r="AJ139" s="4">
        <f>MAX(0,W139-MAX(0,Z139-SUM(Q139:V139)))</f>
        <v/>
      </c>
      <c r="AK139" s="4">
        <f>MAX(0,X139-MAX(0,Z139-SUM(Q139:W139)))</f>
        <v/>
      </c>
      <c r="AL139" s="4">
        <f>MAX(0,Y139-MAX(0,Z139-SUM(Q139:X139)))</f>
        <v/>
      </c>
    </row>
    <row r="140">
      <c r="A140" s="4" t="inlineStr">
        <is>
          <t>HASLS22260901629</t>
        </is>
      </c>
      <c r="B140" s="4" t="inlineStr">
        <is>
          <t>KMTP</t>
        </is>
      </c>
      <c r="C140" s="4" t="inlineStr">
        <is>
          <t>2612N</t>
        </is>
      </c>
      <c r="D140" s="4" t="inlineStr">
        <is>
          <t>202610120800</t>
        </is>
      </c>
      <c r="E140" s="4" t="inlineStr"/>
      <c r="F140" s="4" t="inlineStr">
        <is>
          <t>THBKK</t>
        </is>
      </c>
      <c r="G140" s="4" t="inlineStr">
        <is>
          <t>CNXMN</t>
        </is>
      </c>
      <c r="H140" s="4" t="inlineStr">
        <is>
          <t xml:space="preserve">40Hx2 </t>
        </is>
      </c>
      <c r="I140" s="4" t="inlineStr">
        <is>
          <t>BKK27</t>
        </is>
      </c>
      <c r="J140" s="4" t="inlineStr">
        <is>
          <t>B.C. DEPOT CO.,LTD. ( Bang-Na KM.18)</t>
        </is>
      </c>
      <c r="K140" s="4" t="inlineStr">
        <is>
          <t>20261007</t>
        </is>
      </c>
      <c r="L140" s="4" t="inlineStr">
        <is>
          <t>DMU LOGISTICS (THAILAND) CO.,LTD</t>
        </is>
      </c>
      <c r="M140" s="4" t="inlineStr">
        <is>
          <t>BEER THIP BREWERY (1991) CO., LTD</t>
        </is>
      </c>
      <c r="N140" s="4" t="inlineStr">
        <is>
          <t>CHANG SODA</t>
        </is>
      </c>
      <c r="O140" s="4" t="inlineStr">
        <is>
          <t>GOOD AND CLEAN CONTAINER</t>
        </is>
      </c>
      <c r="P140" s="4" t="inlineStr">
        <is>
          <t>Pickup : 2026-10-07, Return : 2026-10-08</t>
        </is>
      </c>
      <c r="Q140" s="4" t="n">
        <v>0</v>
      </c>
      <c r="R140" s="4" t="n">
        <v>0</v>
      </c>
      <c r="S140" s="4" t="n">
        <v>2</v>
      </c>
      <c r="T140" s="4" t="n">
        <v>0</v>
      </c>
      <c r="U140" s="4" t="n">
        <v>0</v>
      </c>
      <c r="V140" s="4" t="n">
        <v>0</v>
      </c>
      <c r="W140" s="4" t="n">
        <v>0</v>
      </c>
      <c r="X140" s="4" t="n">
        <v>0</v>
      </c>
      <c r="Y140" s="4" t="n">
        <v>0</v>
      </c>
      <c r="Z140" s="4" t="n">
        <v>0</v>
      </c>
      <c r="AA140" s="4" t="n">
        <v>0</v>
      </c>
      <c r="AB140" s="4">
        <f>SUM(Q140:Y140)-Z140</f>
        <v/>
      </c>
      <c r="AC140" s="4">
        <f>IF(I140="","",IF(OR(LEFT(I140,3)="BKK",I140="LCH55"),"BKK",IF(LEFT(I140,3)="LCH","LCH","OTHER")))</f>
        <v/>
      </c>
      <c r="AD140" s="4">
        <f>MAX(0,Q140-MAX(0,Z140))</f>
        <v/>
      </c>
      <c r="AE140" s="4">
        <f>MAX(0,R140-MAX(0,Z140-SUM(Q140:Q140)))</f>
        <v/>
      </c>
      <c r="AF140" s="4">
        <f>MAX(0,S140-MAX(0,Z140-SUM(Q140:R140)))</f>
        <v/>
      </c>
      <c r="AG140" s="4">
        <f>MAX(0,T140-MAX(0,Z140-SUM(Q140:S140)))</f>
        <v/>
      </c>
      <c r="AH140" s="4">
        <f>MAX(0,U140-MAX(0,Z140-SUM(Q140:T140)))</f>
        <v/>
      </c>
      <c r="AI140" s="4">
        <f>MAX(0,V140-MAX(0,Z140-SUM(Q140:U140)))</f>
        <v/>
      </c>
      <c r="AJ140" s="4">
        <f>MAX(0,W140-MAX(0,Z140-SUM(Q140:V140)))</f>
        <v/>
      </c>
      <c r="AK140" s="4">
        <f>MAX(0,X140-MAX(0,Z140-SUM(Q140:W140)))</f>
        <v/>
      </c>
      <c r="AL140" s="4">
        <f>MAX(0,Y140-MAX(0,Z140-SUM(Q140:X140)))</f>
        <v/>
      </c>
    </row>
    <row r="141">
      <c r="A141" s="4" t="inlineStr">
        <is>
          <t>HASLS22260901631</t>
        </is>
      </c>
      <c r="B141" s="4" t="inlineStr">
        <is>
          <t>SWSR</t>
        </is>
      </c>
      <c r="C141" s="4" t="inlineStr">
        <is>
          <t>2611N</t>
        </is>
      </c>
      <c r="D141" s="4" t="inlineStr">
        <is>
          <t>202610110900</t>
        </is>
      </c>
      <c r="E141" s="4" t="inlineStr"/>
      <c r="F141" s="4" t="inlineStr">
        <is>
          <t>THBKK</t>
        </is>
      </c>
      <c r="G141" s="4" t="inlineStr">
        <is>
          <t>HKHKG</t>
        </is>
      </c>
      <c r="H141" s="4" t="inlineStr">
        <is>
          <t xml:space="preserve">40Hx1 </t>
        </is>
      </c>
      <c r="I141" s="4" t="inlineStr">
        <is>
          <t>BKK27</t>
        </is>
      </c>
      <c r="J141" s="4" t="inlineStr">
        <is>
          <t>B.C. DEPOT CO.,LTD. ( Bang-Na KM.18)</t>
        </is>
      </c>
      <c r="K141" s="4" t="inlineStr">
        <is>
          <t>20261005</t>
        </is>
      </c>
      <c r="L141" s="4" t="inlineStr">
        <is>
          <t>MULTI FREIGHT SYSTEM CO., LTD.</t>
        </is>
      </c>
      <c r="M141" s="4" t="inlineStr">
        <is>
          <t>PUENG FOOD (THAILAND) CO., LTD.</t>
        </is>
      </c>
      <c r="N141" s="4" t="inlineStr">
        <is>
          <t>FOOD STUFFS</t>
        </is>
      </c>
      <c r="O141" s="4" t="inlineStr">
        <is>
          <t>CONTAINER FOOD GRADE</t>
        </is>
      </c>
      <c r="P141" s="4" t="inlineStr">
        <is>
          <t>Pickup : 2026-10-05, Return : 2026-10-06 CLS TIME 08/10/26 @12.00</t>
        </is>
      </c>
      <c r="Q141" s="4" t="n">
        <v>0</v>
      </c>
      <c r="R141" s="4" t="n">
        <v>0</v>
      </c>
      <c r="S141" s="4" t="n">
        <v>1</v>
      </c>
      <c r="T141" s="4" t="n">
        <v>0</v>
      </c>
      <c r="U141" s="4" t="n">
        <v>0</v>
      </c>
      <c r="V141" s="4" t="n">
        <v>0</v>
      </c>
      <c r="W141" s="4" t="n">
        <v>0</v>
      </c>
      <c r="X141" s="4" t="n">
        <v>0</v>
      </c>
      <c r="Y141" s="4" t="n">
        <v>0</v>
      </c>
      <c r="Z141" s="4" t="n">
        <v>0</v>
      </c>
      <c r="AA141" s="4" t="n">
        <v>0</v>
      </c>
      <c r="AB141" s="4">
        <f>SUM(Q141:Y141)-Z141</f>
        <v/>
      </c>
      <c r="AC141" s="4">
        <f>IF(I141="","",IF(OR(LEFT(I141,3)="BKK",I141="LCH55"),"BKK",IF(LEFT(I141,3)="LCH","LCH","OTHER")))</f>
        <v/>
      </c>
      <c r="AD141" s="4">
        <f>MAX(0,Q141-MAX(0,Z141))</f>
        <v/>
      </c>
      <c r="AE141" s="4">
        <f>MAX(0,R141-MAX(0,Z141-SUM(Q141:Q141)))</f>
        <v/>
      </c>
      <c r="AF141" s="4">
        <f>MAX(0,S141-MAX(0,Z141-SUM(Q141:R141)))</f>
        <v/>
      </c>
      <c r="AG141" s="4">
        <f>MAX(0,T141-MAX(0,Z141-SUM(Q141:S141)))</f>
        <v/>
      </c>
      <c r="AH141" s="4">
        <f>MAX(0,U141-MAX(0,Z141-SUM(Q141:T141)))</f>
        <v/>
      </c>
      <c r="AI141" s="4">
        <f>MAX(0,V141-MAX(0,Z141-SUM(Q141:U141)))</f>
        <v/>
      </c>
      <c r="AJ141" s="4">
        <f>MAX(0,W141-MAX(0,Z141-SUM(Q141:V141)))</f>
        <v/>
      </c>
      <c r="AK141" s="4">
        <f>MAX(0,X141-MAX(0,Z141-SUM(Q141:W141)))</f>
        <v/>
      </c>
      <c r="AL141" s="4">
        <f>MAX(0,Y141-MAX(0,Z141-SUM(Q141:X141)))</f>
        <v/>
      </c>
    </row>
    <row r="142">
      <c r="A142" s="4" t="inlineStr">
        <is>
          <t>HASLS22260901636</t>
        </is>
      </c>
      <c r="B142" s="4" t="inlineStr">
        <is>
          <t>SWMM</t>
        </is>
      </c>
      <c r="C142" s="4" t="inlineStr">
        <is>
          <t>2610N</t>
        </is>
      </c>
      <c r="D142" s="4" t="inlineStr">
        <is>
          <t>202610210400</t>
        </is>
      </c>
      <c r="E142" s="4" t="inlineStr"/>
      <c r="F142" s="4" t="inlineStr">
        <is>
          <t>THBKK</t>
        </is>
      </c>
      <c r="G142" s="4" t="inlineStr">
        <is>
          <t>VNSGN</t>
        </is>
      </c>
      <c r="H142" s="4" t="inlineStr">
        <is>
          <t xml:space="preserve">40Hx1 </t>
        </is>
      </c>
      <c r="I142" s="4" t="inlineStr">
        <is>
          <t>BKK27</t>
        </is>
      </c>
      <c r="J142" s="4" t="inlineStr">
        <is>
          <t>B.C. DEPOT CO.,LTD. ( Bang-Na KM.18)</t>
        </is>
      </c>
      <c r="K142" s="4" t="inlineStr">
        <is>
          <t>20261014</t>
        </is>
      </c>
      <c r="L142" s="4" t="inlineStr">
        <is>
          <t>LEO GLOBAL LOGISTICS PUBLIC COMPANY LIMITED</t>
        </is>
      </c>
      <c r="M142" s="4" t="inlineStr">
        <is>
          <t>KORN THAI CO., LTD.</t>
        </is>
      </c>
      <c r="N142" s="4" t="inlineStr">
        <is>
          <t>NON- DAIRY CREAMER</t>
        </is>
      </c>
      <c r="O142" s="4" t="inlineStr">
        <is>
          <t>Good, Dry, Clean, No smell, No rust, No dust,
No bugs/ants, No cracked and good container for
contain food stuff***</t>
        </is>
      </c>
      <c r="P142" s="4" t="inlineStr">
        <is>
          <t>Pickup : 2026-10-14, Return : 2026-10-15</t>
        </is>
      </c>
      <c r="Q142" s="4" t="n">
        <v>0</v>
      </c>
      <c r="R142" s="4" t="n">
        <v>0</v>
      </c>
      <c r="S142" s="4" t="n">
        <v>1</v>
      </c>
      <c r="T142" s="4" t="n">
        <v>0</v>
      </c>
      <c r="U142" s="4" t="n">
        <v>0</v>
      </c>
      <c r="V142" s="4" t="n">
        <v>0</v>
      </c>
      <c r="W142" s="4" t="n">
        <v>0</v>
      </c>
      <c r="X142" s="4" t="n">
        <v>0</v>
      </c>
      <c r="Y142" s="4" t="n">
        <v>0</v>
      </c>
      <c r="Z142" s="4" t="n">
        <v>0</v>
      </c>
      <c r="AA142" s="4" t="n">
        <v>0</v>
      </c>
      <c r="AB142" s="4">
        <f>SUM(Q142:Y142)-Z142</f>
        <v/>
      </c>
      <c r="AC142" s="4">
        <f>IF(I142="","",IF(OR(LEFT(I142,3)="BKK",I142="LCH55"),"BKK",IF(LEFT(I142,3)="LCH","LCH","OTHER")))</f>
        <v/>
      </c>
      <c r="AD142" s="4">
        <f>MAX(0,Q142-MAX(0,Z142))</f>
        <v/>
      </c>
      <c r="AE142" s="4">
        <f>MAX(0,R142-MAX(0,Z142-SUM(Q142:Q142)))</f>
        <v/>
      </c>
      <c r="AF142" s="4">
        <f>MAX(0,S142-MAX(0,Z142-SUM(Q142:R142)))</f>
        <v/>
      </c>
      <c r="AG142" s="4">
        <f>MAX(0,T142-MAX(0,Z142-SUM(Q142:S142)))</f>
        <v/>
      </c>
      <c r="AH142" s="4">
        <f>MAX(0,U142-MAX(0,Z142-SUM(Q142:T142)))</f>
        <v/>
      </c>
      <c r="AI142" s="4">
        <f>MAX(0,V142-MAX(0,Z142-SUM(Q142:U142)))</f>
        <v/>
      </c>
      <c r="AJ142" s="4">
        <f>MAX(0,W142-MAX(0,Z142-SUM(Q142:V142)))</f>
        <v/>
      </c>
      <c r="AK142" s="4">
        <f>MAX(0,X142-MAX(0,Z142-SUM(Q142:W142)))</f>
        <v/>
      </c>
      <c r="AL142" s="4">
        <f>MAX(0,Y142-MAX(0,Z142-SUM(Q142:X142)))</f>
        <v/>
      </c>
    </row>
    <row r="143">
      <c r="A143" s="4" t="inlineStr">
        <is>
          <t>HASLS22260901637</t>
        </is>
      </c>
      <c r="B143" s="4" t="inlineStr">
        <is>
          <t>SWSP</t>
        </is>
      </c>
      <c r="C143" s="4" t="inlineStr">
        <is>
          <t>2609N</t>
        </is>
      </c>
      <c r="D143" s="4" t="inlineStr">
        <is>
          <t>202610071530</t>
        </is>
      </c>
      <c r="E143" s="4" t="inlineStr"/>
      <c r="F143" s="4" t="inlineStr">
        <is>
          <t>THBKK</t>
        </is>
      </c>
      <c r="G143" s="4" t="inlineStr">
        <is>
          <t>VNSGN</t>
        </is>
      </c>
      <c r="H143" s="4" t="inlineStr">
        <is>
          <t xml:space="preserve">20'x1 </t>
        </is>
      </c>
      <c r="I143" s="4" t="inlineStr">
        <is>
          <t>BKK27</t>
        </is>
      </c>
      <c r="J143" s="4" t="inlineStr">
        <is>
          <t>B.C. DEPOT CO.,LTD. ( Bang-Na KM.18)</t>
        </is>
      </c>
      <c r="K143" s="4" t="inlineStr">
        <is>
          <t>20260928</t>
        </is>
      </c>
      <c r="L143" s="4" t="inlineStr">
        <is>
          <t>SDS-ACUTECH CO., LTD.</t>
        </is>
      </c>
      <c r="M143" s="4" t="inlineStr">
        <is>
          <t>APEX CIRCUIT (THAILAND) CO., LTD.</t>
        </is>
      </c>
      <c r="N143" s="4" t="inlineStr">
        <is>
          <t>PRINTED CIRCUIT BOARD</t>
        </is>
      </c>
      <c r="O143" s="4" t="inlineStr">
        <is>
          <t>GOOD AND CLEAN CONTAINER</t>
        </is>
      </c>
      <c r="P143" s="4" t="inlineStr">
        <is>
          <t>Pickup : 2026-09-28, Return : 2026-09-30</t>
        </is>
      </c>
      <c r="Q143" s="4" t="n">
        <v>1</v>
      </c>
      <c r="R143" s="4" t="n">
        <v>0</v>
      </c>
      <c r="S143" s="4" t="n">
        <v>0</v>
      </c>
      <c r="T143" s="4" t="n">
        <v>0</v>
      </c>
      <c r="U143" s="4" t="n">
        <v>0</v>
      </c>
      <c r="V143" s="4" t="n">
        <v>0</v>
      </c>
      <c r="W143" s="4" t="n">
        <v>0</v>
      </c>
      <c r="X143" s="4" t="n">
        <v>0</v>
      </c>
      <c r="Y143" s="4" t="n">
        <v>0</v>
      </c>
      <c r="Z143" s="4" t="n">
        <v>0</v>
      </c>
      <c r="AA143" s="4" t="n">
        <v>0</v>
      </c>
      <c r="AB143" s="4">
        <f>SUM(Q143:Y143)-Z143</f>
        <v/>
      </c>
      <c r="AC143" s="4">
        <f>IF(I143="","",IF(OR(LEFT(I143,3)="BKK",I143="LCH55"),"BKK",IF(LEFT(I143,3)="LCH","LCH","OTHER")))</f>
        <v/>
      </c>
      <c r="AD143" s="4">
        <f>MAX(0,Q143-MAX(0,Z143))</f>
        <v/>
      </c>
      <c r="AE143" s="4">
        <f>MAX(0,R143-MAX(0,Z143-SUM(Q143:Q143)))</f>
        <v/>
      </c>
      <c r="AF143" s="4">
        <f>MAX(0,S143-MAX(0,Z143-SUM(Q143:R143)))</f>
        <v/>
      </c>
      <c r="AG143" s="4">
        <f>MAX(0,T143-MAX(0,Z143-SUM(Q143:S143)))</f>
        <v/>
      </c>
      <c r="AH143" s="4">
        <f>MAX(0,U143-MAX(0,Z143-SUM(Q143:T143)))</f>
        <v/>
      </c>
      <c r="AI143" s="4">
        <f>MAX(0,V143-MAX(0,Z143-SUM(Q143:U143)))</f>
        <v/>
      </c>
      <c r="AJ143" s="4">
        <f>MAX(0,W143-MAX(0,Z143-SUM(Q143:V143)))</f>
        <v/>
      </c>
      <c r="AK143" s="4">
        <f>MAX(0,X143-MAX(0,Z143-SUM(Q143:W143)))</f>
        <v/>
      </c>
      <c r="AL143" s="4">
        <f>MAX(0,Y143-MAX(0,Z143-SUM(Q143:X143)))</f>
        <v/>
      </c>
    </row>
    <row r="144">
      <c r="A144" s="4" t="inlineStr">
        <is>
          <t>HASLS22260901638</t>
        </is>
      </c>
      <c r="B144" s="4" t="inlineStr">
        <is>
          <t>SWSP</t>
        </is>
      </c>
      <c r="C144" s="4" t="inlineStr">
        <is>
          <t>2609N</t>
        </is>
      </c>
      <c r="D144" s="4" t="inlineStr">
        <is>
          <t>202610071530</t>
        </is>
      </c>
      <c r="E144" s="4" t="inlineStr"/>
      <c r="F144" s="4" t="inlineStr">
        <is>
          <t>THBKK</t>
        </is>
      </c>
      <c r="G144" s="4" t="inlineStr">
        <is>
          <t>VNSGN</t>
        </is>
      </c>
      <c r="H144" s="4" t="inlineStr">
        <is>
          <t xml:space="preserve">20'x1 </t>
        </is>
      </c>
      <c r="I144" s="4" t="inlineStr">
        <is>
          <t>BKK27</t>
        </is>
      </c>
      <c r="J144" s="4" t="inlineStr">
        <is>
          <t>B.C. DEPOT CO.,LTD. ( Bang-Na KM.18)</t>
        </is>
      </c>
      <c r="K144" s="4" t="inlineStr">
        <is>
          <t>20260928</t>
        </is>
      </c>
      <c r="L144" s="4" t="inlineStr">
        <is>
          <t>SDS-ACUTECH CO., LTD.</t>
        </is>
      </c>
      <c r="M144" s="4" t="inlineStr">
        <is>
          <t>APEX CIRCUIT (THAILAND) CO., LTD.</t>
        </is>
      </c>
      <c r="N144" s="4" t="inlineStr">
        <is>
          <t>PRINTED CIRCUIT BOARD</t>
        </is>
      </c>
      <c r="O144" s="4" t="inlineStr">
        <is>
          <t>GOOD AND CLEAN CONTAINER</t>
        </is>
      </c>
      <c r="P144" s="4" t="inlineStr">
        <is>
          <t>Pickup : 2026-09-28, Return : 2026-09-30</t>
        </is>
      </c>
      <c r="Q144" s="4" t="n">
        <v>1</v>
      </c>
      <c r="R144" s="4" t="n">
        <v>0</v>
      </c>
      <c r="S144" s="4" t="n">
        <v>0</v>
      </c>
      <c r="T144" s="4" t="n">
        <v>0</v>
      </c>
      <c r="U144" s="4" t="n">
        <v>0</v>
      </c>
      <c r="V144" s="4" t="n">
        <v>0</v>
      </c>
      <c r="W144" s="4" t="n">
        <v>0</v>
      </c>
      <c r="X144" s="4" t="n">
        <v>0</v>
      </c>
      <c r="Y144" s="4" t="n">
        <v>0</v>
      </c>
      <c r="Z144" s="4" t="n">
        <v>0</v>
      </c>
      <c r="AA144" s="4" t="n">
        <v>0</v>
      </c>
      <c r="AB144" s="4">
        <f>SUM(Q144:Y144)-Z144</f>
        <v/>
      </c>
      <c r="AC144" s="4">
        <f>IF(I144="","",IF(OR(LEFT(I144,3)="BKK",I144="LCH55"),"BKK",IF(LEFT(I144,3)="LCH","LCH","OTHER")))</f>
        <v/>
      </c>
      <c r="AD144" s="4">
        <f>MAX(0,Q144-MAX(0,Z144))</f>
        <v/>
      </c>
      <c r="AE144" s="4">
        <f>MAX(0,R144-MAX(0,Z144-SUM(Q144:Q144)))</f>
        <v/>
      </c>
      <c r="AF144" s="4">
        <f>MAX(0,S144-MAX(0,Z144-SUM(Q144:R144)))</f>
        <v/>
      </c>
      <c r="AG144" s="4">
        <f>MAX(0,T144-MAX(0,Z144-SUM(Q144:S144)))</f>
        <v/>
      </c>
      <c r="AH144" s="4">
        <f>MAX(0,U144-MAX(0,Z144-SUM(Q144:T144)))</f>
        <v/>
      </c>
      <c r="AI144" s="4">
        <f>MAX(0,V144-MAX(0,Z144-SUM(Q144:U144)))</f>
        <v/>
      </c>
      <c r="AJ144" s="4">
        <f>MAX(0,W144-MAX(0,Z144-SUM(Q144:V144)))</f>
        <v/>
      </c>
      <c r="AK144" s="4">
        <f>MAX(0,X144-MAX(0,Z144-SUM(Q144:W144)))</f>
        <v/>
      </c>
      <c r="AL144" s="4">
        <f>MAX(0,Y144-MAX(0,Z144-SUM(Q144:X144)))</f>
        <v/>
      </c>
    </row>
    <row r="145">
      <c r="A145" s="4" t="inlineStr">
        <is>
          <t>HASLS22260901640</t>
        </is>
      </c>
      <c r="B145" s="4" t="inlineStr">
        <is>
          <t>SWSP</t>
        </is>
      </c>
      <c r="C145" s="4" t="inlineStr">
        <is>
          <t>2609N</t>
        </is>
      </c>
      <c r="D145" s="4" t="inlineStr">
        <is>
          <t>202610071530</t>
        </is>
      </c>
      <c r="E145" s="4" t="inlineStr"/>
      <c r="F145" s="4" t="inlineStr">
        <is>
          <t>THBKK</t>
        </is>
      </c>
      <c r="G145" s="4" t="inlineStr">
        <is>
          <t>VNSGN</t>
        </is>
      </c>
      <c r="H145" s="4" t="inlineStr">
        <is>
          <t xml:space="preserve">40Hx1 </t>
        </is>
      </c>
      <c r="I145" s="4" t="inlineStr">
        <is>
          <t>BKK27</t>
        </is>
      </c>
      <c r="J145" s="4" t="inlineStr">
        <is>
          <t>B.C. DEPOT CO.,LTD. ( Bang-Na KM.18)</t>
        </is>
      </c>
      <c r="K145" s="4" t="inlineStr">
        <is>
          <t>20260928</t>
        </is>
      </c>
      <c r="L145" s="4" t="inlineStr">
        <is>
          <t>SDS-ACUTECH CO., LTD.</t>
        </is>
      </c>
      <c r="M145" s="4" t="inlineStr">
        <is>
          <t>APEX CIRCUIT (THAILAND) CO., LTD.</t>
        </is>
      </c>
      <c r="N145" s="4" t="inlineStr">
        <is>
          <t>PRINTED CIRCUIT BOARD</t>
        </is>
      </c>
      <c r="O145" s="4" t="inlineStr">
        <is>
          <t>GOOD AND CLEAN CONTAINER</t>
        </is>
      </c>
      <c r="P145" s="4" t="inlineStr">
        <is>
          <t>Pickup : 2026-09-28, Return : 2026-09-30</t>
        </is>
      </c>
      <c r="Q145" s="4" t="n">
        <v>0</v>
      </c>
      <c r="R145" s="4" t="n">
        <v>0</v>
      </c>
      <c r="S145" s="4" t="n">
        <v>1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>
        <f>SUM(Q145:Y145)-Z145</f>
        <v/>
      </c>
      <c r="AC145" s="4">
        <f>IF(I145="","",IF(OR(LEFT(I145,3)="BKK",I145="LCH55"),"BKK",IF(LEFT(I145,3)="LCH","LCH","OTHER")))</f>
        <v/>
      </c>
      <c r="AD145" s="4">
        <f>MAX(0,Q145-MAX(0,Z145))</f>
        <v/>
      </c>
      <c r="AE145" s="4">
        <f>MAX(0,R145-MAX(0,Z145-SUM(Q145:Q145)))</f>
        <v/>
      </c>
      <c r="AF145" s="4">
        <f>MAX(0,S145-MAX(0,Z145-SUM(Q145:R145)))</f>
        <v/>
      </c>
      <c r="AG145" s="4">
        <f>MAX(0,T145-MAX(0,Z145-SUM(Q145:S145)))</f>
        <v/>
      </c>
      <c r="AH145" s="4">
        <f>MAX(0,U145-MAX(0,Z145-SUM(Q145:T145)))</f>
        <v/>
      </c>
      <c r="AI145" s="4">
        <f>MAX(0,V145-MAX(0,Z145-SUM(Q145:U145)))</f>
        <v/>
      </c>
      <c r="AJ145" s="4">
        <f>MAX(0,W145-MAX(0,Z145-SUM(Q145:V145)))</f>
        <v/>
      </c>
      <c r="AK145" s="4">
        <f>MAX(0,X145-MAX(0,Z145-SUM(Q145:W145)))</f>
        <v/>
      </c>
      <c r="AL145" s="4">
        <f>MAX(0,Y145-MAX(0,Z145-SUM(Q145:X145)))</f>
        <v/>
      </c>
    </row>
    <row r="146">
      <c r="A146" s="4" t="inlineStr">
        <is>
          <t>HASLS22260901641</t>
        </is>
      </c>
      <c r="B146" s="4" t="inlineStr">
        <is>
          <t>SWRG</t>
        </is>
      </c>
      <c r="C146" s="4" t="inlineStr">
        <is>
          <t>2609N</t>
        </is>
      </c>
      <c r="D146" s="4" t="inlineStr">
        <is>
          <t>202610131130</t>
        </is>
      </c>
      <c r="E146" s="4" t="inlineStr">
        <is>
          <t>THSRP</t>
        </is>
      </c>
      <c r="F146" s="4" t="inlineStr">
        <is>
          <t>THLCH</t>
        </is>
      </c>
      <c r="G146" s="4" t="inlineStr">
        <is>
          <t>CNSHA</t>
        </is>
      </c>
      <c r="H146" s="4" t="inlineStr">
        <is>
          <t xml:space="preserve">40Hx1 </t>
        </is>
      </c>
      <c r="I146" s="4" t="inlineStr">
        <is>
          <t>BKK27</t>
        </is>
      </c>
      <c r="J146" s="4" t="inlineStr">
        <is>
          <t>B.C. DEPOT CO.,LTD. ( Bang-Na KM.18)</t>
        </is>
      </c>
      <c r="K146" s="4" t="inlineStr">
        <is>
          <t>20261005</t>
        </is>
      </c>
      <c r="L146" s="4" t="inlineStr">
        <is>
          <t>YUSEN LOGISTICS (THAILAND) CO., LTD.</t>
        </is>
      </c>
      <c r="M146" s="4" t="inlineStr">
        <is>
          <t>YUSEN LOGISTICS (THAILAND) CO.,LTD.</t>
        </is>
      </c>
      <c r="N146" s="4" t="inlineStr">
        <is>
          <t>PRINTER FOR INDUSTRY</t>
        </is>
      </c>
      <c r="O146" s="4" t="inlineStr">
        <is>
          <t>GOOD AND CLEAN CONTAINER</t>
        </is>
      </c>
      <c r="P146" s="4" t="inlineStr">
        <is>
          <t xml:space="preserve">Pickup : 2026-10-05, Return : 2026-10-05 [PAPERLESS CODE : 2829] 
 CLS TIME 09/10 @06.00 [1ST RTN 05/10 W/O RENT] 
 </t>
        </is>
      </c>
      <c r="Q146" s="4" t="n">
        <v>0</v>
      </c>
      <c r="R146" s="4" t="n">
        <v>0</v>
      </c>
      <c r="S146" s="4" t="n">
        <v>1</v>
      </c>
      <c r="T146" s="4" t="n">
        <v>0</v>
      </c>
      <c r="U146" s="4" t="n">
        <v>0</v>
      </c>
      <c r="V146" s="4" t="n">
        <v>0</v>
      </c>
      <c r="W146" s="4" t="n">
        <v>0</v>
      </c>
      <c r="X146" s="4" t="n">
        <v>0</v>
      </c>
      <c r="Y146" s="4" t="n">
        <v>0</v>
      </c>
      <c r="Z146" s="4" t="n">
        <v>0</v>
      </c>
      <c r="AA146" s="4" t="n">
        <v>0</v>
      </c>
      <c r="AB146" s="4">
        <f>SUM(Q146:Y146)-Z146</f>
        <v/>
      </c>
      <c r="AC146" s="4">
        <f>IF(I146="","",IF(OR(LEFT(I146,3)="BKK",I146="LCH55"),"BKK",IF(LEFT(I146,3)="LCH","LCH","OTHER")))</f>
        <v/>
      </c>
      <c r="AD146" s="4">
        <f>MAX(0,Q146-MAX(0,Z146))</f>
        <v/>
      </c>
      <c r="AE146" s="4">
        <f>MAX(0,R146-MAX(0,Z146-SUM(Q146:Q146)))</f>
        <v/>
      </c>
      <c r="AF146" s="4">
        <f>MAX(0,S146-MAX(0,Z146-SUM(Q146:R146)))</f>
        <v/>
      </c>
      <c r="AG146" s="4">
        <f>MAX(0,T146-MAX(0,Z146-SUM(Q146:S146)))</f>
        <v/>
      </c>
      <c r="AH146" s="4">
        <f>MAX(0,U146-MAX(0,Z146-SUM(Q146:T146)))</f>
        <v/>
      </c>
      <c r="AI146" s="4">
        <f>MAX(0,V146-MAX(0,Z146-SUM(Q146:U146)))</f>
        <v/>
      </c>
      <c r="AJ146" s="4">
        <f>MAX(0,W146-MAX(0,Z146-SUM(Q146:V146)))</f>
        <v/>
      </c>
      <c r="AK146" s="4">
        <f>MAX(0,X146-MAX(0,Z146-SUM(Q146:W146)))</f>
        <v/>
      </c>
      <c r="AL146" s="4">
        <f>MAX(0,Y146-MAX(0,Z146-SUM(Q146:X146)))</f>
        <v/>
      </c>
    </row>
    <row r="147">
      <c r="A147" s="4" t="inlineStr">
        <is>
          <t>HASLS22260901644</t>
        </is>
      </c>
      <c r="B147" s="4" t="inlineStr">
        <is>
          <t>SWSR</t>
        </is>
      </c>
      <c r="C147" s="4" t="inlineStr">
        <is>
          <t>2611N</t>
        </is>
      </c>
      <c r="D147" s="4" t="inlineStr">
        <is>
          <t>202610110900</t>
        </is>
      </c>
      <c r="E147" s="4" t="inlineStr"/>
      <c r="F147" s="4" t="inlineStr">
        <is>
          <t>THBKK</t>
        </is>
      </c>
      <c r="G147" s="4" t="inlineStr">
        <is>
          <t>HKHKG</t>
        </is>
      </c>
      <c r="H147" s="4" t="inlineStr">
        <is>
          <t xml:space="preserve">20'x1 </t>
        </is>
      </c>
      <c r="I147" s="4" t="inlineStr">
        <is>
          <t>BKK27</t>
        </is>
      </c>
      <c r="J147" s="4" t="inlineStr">
        <is>
          <t>B.C. DEPOT CO.,LTD. ( Bang-Na KM.18)</t>
        </is>
      </c>
      <c r="K147" s="4" t="inlineStr">
        <is>
          <t>20261005</t>
        </is>
      </c>
      <c r="L147" s="4" t="inlineStr">
        <is>
          <t>MULTI FREIGHT SYSTEM CO., LTD.</t>
        </is>
      </c>
      <c r="M147" s="4" t="inlineStr">
        <is>
          <t>PANTAINORASINGH MANUFACTURER CO.,LTD.</t>
        </is>
      </c>
      <c r="N147" s="4" t="inlineStr">
        <is>
          <t>FOOD STUFFS</t>
        </is>
      </c>
      <c r="O147" s="4" t="inlineStr">
        <is>
          <t>container food grade</t>
        </is>
      </c>
      <c r="P147" s="4" t="inlineStr">
        <is>
          <t>Pickup : 2026-10-05, Return : 2026-10-06</t>
        </is>
      </c>
      <c r="Q147" s="4" t="n">
        <v>1</v>
      </c>
      <c r="R147" s="4" t="n">
        <v>0</v>
      </c>
      <c r="S147" s="4" t="n">
        <v>0</v>
      </c>
      <c r="T147" s="4" t="n">
        <v>0</v>
      </c>
      <c r="U147" s="4" t="n">
        <v>0</v>
      </c>
      <c r="V147" s="4" t="n">
        <v>0</v>
      </c>
      <c r="W147" s="4" t="n">
        <v>0</v>
      </c>
      <c r="X147" s="4" t="n">
        <v>0</v>
      </c>
      <c r="Y147" s="4" t="n">
        <v>0</v>
      </c>
      <c r="Z147" s="4" t="n">
        <v>0</v>
      </c>
      <c r="AA147" s="4" t="n">
        <v>0</v>
      </c>
      <c r="AB147" s="4">
        <f>SUM(Q147:Y147)-Z147</f>
        <v/>
      </c>
      <c r="AC147" s="4">
        <f>IF(I147="","",IF(OR(LEFT(I147,3)="BKK",I147="LCH55"),"BKK",IF(LEFT(I147,3)="LCH","LCH","OTHER")))</f>
        <v/>
      </c>
      <c r="AD147" s="4">
        <f>MAX(0,Q147-MAX(0,Z147))</f>
        <v/>
      </c>
      <c r="AE147" s="4">
        <f>MAX(0,R147-MAX(0,Z147-SUM(Q147:Q147)))</f>
        <v/>
      </c>
      <c r="AF147" s="4">
        <f>MAX(0,S147-MAX(0,Z147-SUM(Q147:R147)))</f>
        <v/>
      </c>
      <c r="AG147" s="4">
        <f>MAX(0,T147-MAX(0,Z147-SUM(Q147:S147)))</f>
        <v/>
      </c>
      <c r="AH147" s="4">
        <f>MAX(0,U147-MAX(0,Z147-SUM(Q147:T147)))</f>
        <v/>
      </c>
      <c r="AI147" s="4">
        <f>MAX(0,V147-MAX(0,Z147-SUM(Q147:U147)))</f>
        <v/>
      </c>
      <c r="AJ147" s="4">
        <f>MAX(0,W147-MAX(0,Z147-SUM(Q147:V147)))</f>
        <v/>
      </c>
      <c r="AK147" s="4">
        <f>MAX(0,X147-MAX(0,Z147-SUM(Q147:W147)))</f>
        <v/>
      </c>
      <c r="AL147" s="4">
        <f>MAX(0,Y147-MAX(0,Z147-SUM(Q147:X147)))</f>
        <v/>
      </c>
    </row>
    <row r="148">
      <c r="A148" s="4" t="inlineStr">
        <is>
          <t>HASLS22260901645</t>
        </is>
      </c>
      <c r="B148" s="4" t="inlineStr">
        <is>
          <t>SWSP</t>
        </is>
      </c>
      <c r="C148" s="4" t="inlineStr">
        <is>
          <t>2609N</t>
        </is>
      </c>
      <c r="D148" s="4" t="inlineStr">
        <is>
          <t>202610071530</t>
        </is>
      </c>
      <c r="E148" s="4" t="inlineStr"/>
      <c r="F148" s="4" t="inlineStr">
        <is>
          <t>THBKK</t>
        </is>
      </c>
      <c r="G148" s="4" t="inlineStr">
        <is>
          <t>VNSGN</t>
        </is>
      </c>
      <c r="H148" s="4" t="inlineStr">
        <is>
          <t xml:space="preserve">40Hx1 </t>
        </is>
      </c>
      <c r="I148" s="4" t="inlineStr">
        <is>
          <t>BKK27</t>
        </is>
      </c>
      <c r="J148" s="4" t="inlineStr">
        <is>
          <t>B.C. DEPOT CO.,LTD. ( Bang-Na KM.18)</t>
        </is>
      </c>
      <c r="K148" s="4" t="inlineStr">
        <is>
          <t>20260928</t>
        </is>
      </c>
      <c r="L148" s="4" t="inlineStr">
        <is>
          <t>SDS-ACUTECH CO., LTD.</t>
        </is>
      </c>
      <c r="M148" s="4" t="inlineStr">
        <is>
          <t>APEX CIRCUIT (THAILAND) CO., LTD.</t>
        </is>
      </c>
      <c r="N148" s="4" t="inlineStr">
        <is>
          <t>PRINTED CIRCUIT BOARD</t>
        </is>
      </c>
      <c r="O148" s="4" t="inlineStr">
        <is>
          <t>GOOD AND CLEAN CONTAINER</t>
        </is>
      </c>
      <c r="P148" s="4" t="inlineStr">
        <is>
          <t>Pickup : 2026-09-28, Return : 2026-09-30</t>
        </is>
      </c>
      <c r="Q148" s="4" t="n">
        <v>0</v>
      </c>
      <c r="R148" s="4" t="n">
        <v>0</v>
      </c>
      <c r="S148" s="4" t="n">
        <v>1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>
        <f>SUM(Q148:Y148)-Z148</f>
        <v/>
      </c>
      <c r="AC148" s="4">
        <f>IF(I148="","",IF(OR(LEFT(I148,3)="BKK",I148="LCH55"),"BKK",IF(LEFT(I148,3)="LCH","LCH","OTHER")))</f>
        <v/>
      </c>
      <c r="AD148" s="4">
        <f>MAX(0,Q148-MAX(0,Z148))</f>
        <v/>
      </c>
      <c r="AE148" s="4">
        <f>MAX(0,R148-MAX(0,Z148-SUM(Q148:Q148)))</f>
        <v/>
      </c>
      <c r="AF148" s="4">
        <f>MAX(0,S148-MAX(0,Z148-SUM(Q148:R148)))</f>
        <v/>
      </c>
      <c r="AG148" s="4">
        <f>MAX(0,T148-MAX(0,Z148-SUM(Q148:S148)))</f>
        <v/>
      </c>
      <c r="AH148" s="4">
        <f>MAX(0,U148-MAX(0,Z148-SUM(Q148:T148)))</f>
        <v/>
      </c>
      <c r="AI148" s="4">
        <f>MAX(0,V148-MAX(0,Z148-SUM(Q148:U148)))</f>
        <v/>
      </c>
      <c r="AJ148" s="4">
        <f>MAX(0,W148-MAX(0,Z148-SUM(Q148:V148)))</f>
        <v/>
      </c>
      <c r="AK148" s="4">
        <f>MAX(0,X148-MAX(0,Z148-SUM(Q148:W148)))</f>
        <v/>
      </c>
      <c r="AL148" s="4">
        <f>MAX(0,Y148-MAX(0,Z148-SUM(Q148:X148)))</f>
        <v/>
      </c>
    </row>
    <row r="149">
      <c r="A149" s="4" t="inlineStr">
        <is>
          <t>HASLS22260901647</t>
        </is>
      </c>
      <c r="B149" s="4" t="inlineStr">
        <is>
          <t>SWSP</t>
        </is>
      </c>
      <c r="C149" s="4" t="inlineStr">
        <is>
          <t>2609N</t>
        </is>
      </c>
      <c r="D149" s="4" t="inlineStr">
        <is>
          <t>202610071530</t>
        </is>
      </c>
      <c r="E149" s="4" t="inlineStr"/>
      <c r="F149" s="4" t="inlineStr">
        <is>
          <t>THBKK</t>
        </is>
      </c>
      <c r="G149" s="4" t="inlineStr">
        <is>
          <t>VNSGN</t>
        </is>
      </c>
      <c r="H149" s="4" t="inlineStr">
        <is>
          <t xml:space="preserve">40Hx1 </t>
        </is>
      </c>
      <c r="I149" s="4" t="inlineStr">
        <is>
          <t>BKK27</t>
        </is>
      </c>
      <c r="J149" s="4" t="inlineStr">
        <is>
          <t>B.C. DEPOT CO.,LTD. ( Bang-Na KM.18)</t>
        </is>
      </c>
      <c r="K149" s="4" t="inlineStr">
        <is>
          <t>20260928</t>
        </is>
      </c>
      <c r="L149" s="4" t="inlineStr">
        <is>
          <t>SDS-ACUTECH CO., LTD.</t>
        </is>
      </c>
      <c r="M149" s="4" t="inlineStr">
        <is>
          <t>APEX CIRCUIT (THAILAND) CO., LTD.</t>
        </is>
      </c>
      <c r="N149" s="4" t="inlineStr">
        <is>
          <t>PRINTED CIRCUIT BOARD</t>
        </is>
      </c>
      <c r="O149" s="4" t="inlineStr">
        <is>
          <t>GOOD AND CLEAN CONTAINER</t>
        </is>
      </c>
      <c r="P149" s="4" t="inlineStr">
        <is>
          <t>Pickup : 2026-09-28, Return : 2026-09-30</t>
        </is>
      </c>
      <c r="Q149" s="4" t="n">
        <v>0</v>
      </c>
      <c r="R149" s="4" t="n">
        <v>0</v>
      </c>
      <c r="S149" s="4" t="n">
        <v>1</v>
      </c>
      <c r="T149" s="4" t="n">
        <v>0</v>
      </c>
      <c r="U149" s="4" t="n">
        <v>0</v>
      </c>
      <c r="V149" s="4" t="n">
        <v>0</v>
      </c>
      <c r="W149" s="4" t="n">
        <v>0</v>
      </c>
      <c r="X149" s="4" t="n">
        <v>0</v>
      </c>
      <c r="Y149" s="4" t="n">
        <v>0</v>
      </c>
      <c r="Z149" s="4" t="n">
        <v>0</v>
      </c>
      <c r="AA149" s="4" t="n">
        <v>0</v>
      </c>
      <c r="AB149" s="4">
        <f>SUM(Q149:Y149)-Z149</f>
        <v/>
      </c>
      <c r="AC149" s="4">
        <f>IF(I149="","",IF(OR(LEFT(I149,3)="BKK",I149="LCH55"),"BKK",IF(LEFT(I149,3)="LCH","LCH","OTHER")))</f>
        <v/>
      </c>
      <c r="AD149" s="4">
        <f>MAX(0,Q149-MAX(0,Z149))</f>
        <v/>
      </c>
      <c r="AE149" s="4">
        <f>MAX(0,R149-MAX(0,Z149-SUM(Q149:Q149)))</f>
        <v/>
      </c>
      <c r="AF149" s="4">
        <f>MAX(0,S149-MAX(0,Z149-SUM(Q149:R149)))</f>
        <v/>
      </c>
      <c r="AG149" s="4">
        <f>MAX(0,T149-MAX(0,Z149-SUM(Q149:S149)))</f>
        <v/>
      </c>
      <c r="AH149" s="4">
        <f>MAX(0,U149-MAX(0,Z149-SUM(Q149:T149)))</f>
        <v/>
      </c>
      <c r="AI149" s="4">
        <f>MAX(0,V149-MAX(0,Z149-SUM(Q149:U149)))</f>
        <v/>
      </c>
      <c r="AJ149" s="4">
        <f>MAX(0,W149-MAX(0,Z149-SUM(Q149:V149)))</f>
        <v/>
      </c>
      <c r="AK149" s="4">
        <f>MAX(0,X149-MAX(0,Z149-SUM(Q149:W149)))</f>
        <v/>
      </c>
      <c r="AL149" s="4">
        <f>MAX(0,Y149-MAX(0,Z149-SUM(Q149:X149)))</f>
        <v/>
      </c>
    </row>
    <row r="150">
      <c r="A150" s="4" t="inlineStr">
        <is>
          <t>HASLS22260901649</t>
        </is>
      </c>
      <c r="B150" s="4" t="inlineStr">
        <is>
          <t>SWSP</t>
        </is>
      </c>
      <c r="C150" s="4" t="inlineStr">
        <is>
          <t>2609N</t>
        </is>
      </c>
      <c r="D150" s="4" t="inlineStr">
        <is>
          <t>202610071530</t>
        </is>
      </c>
      <c r="E150" s="4" t="inlineStr"/>
      <c r="F150" s="4" t="inlineStr">
        <is>
          <t>THBKK</t>
        </is>
      </c>
      <c r="G150" s="4" t="inlineStr">
        <is>
          <t>VNSGN</t>
        </is>
      </c>
      <c r="H150" s="4" t="inlineStr">
        <is>
          <t xml:space="preserve">40Hx1 </t>
        </is>
      </c>
      <c r="I150" s="4" t="inlineStr">
        <is>
          <t>BKK27</t>
        </is>
      </c>
      <c r="J150" s="4" t="inlineStr">
        <is>
          <t>B.C. DEPOT CO.,LTD. ( Bang-Na KM.18)</t>
        </is>
      </c>
      <c r="K150" s="4" t="inlineStr">
        <is>
          <t>20260928</t>
        </is>
      </c>
      <c r="L150" s="4" t="inlineStr">
        <is>
          <t>SDS-ACUTECH CO., LTD.</t>
        </is>
      </c>
      <c r="M150" s="4" t="inlineStr">
        <is>
          <t>APEX CIRCUIT (THAILAND) CO., LTD.</t>
        </is>
      </c>
      <c r="N150" s="4" t="inlineStr">
        <is>
          <t>PRINTED CIRCUIT BOARD</t>
        </is>
      </c>
      <c r="O150" s="4" t="inlineStr">
        <is>
          <t>GOOD AND CLEAN CONTAINER</t>
        </is>
      </c>
      <c r="P150" s="4" t="inlineStr">
        <is>
          <t>Pickup : 2026-09-28, Return : 2026-09-30</t>
        </is>
      </c>
      <c r="Q150" s="4" t="n">
        <v>0</v>
      </c>
      <c r="R150" s="4" t="n">
        <v>0</v>
      </c>
      <c r="S150" s="4" t="n">
        <v>1</v>
      </c>
      <c r="T150" s="4" t="n">
        <v>0</v>
      </c>
      <c r="U150" s="4" t="n">
        <v>0</v>
      </c>
      <c r="V150" s="4" t="n">
        <v>0</v>
      </c>
      <c r="W150" s="4" t="n">
        <v>0</v>
      </c>
      <c r="X150" s="4" t="n">
        <v>0</v>
      </c>
      <c r="Y150" s="4" t="n">
        <v>0</v>
      </c>
      <c r="Z150" s="4" t="n">
        <v>0</v>
      </c>
      <c r="AA150" s="4" t="n">
        <v>0</v>
      </c>
      <c r="AB150" s="4">
        <f>SUM(Q150:Y150)-Z150</f>
        <v/>
      </c>
      <c r="AC150" s="4">
        <f>IF(I150="","",IF(OR(LEFT(I150,3)="BKK",I150="LCH55"),"BKK",IF(LEFT(I150,3)="LCH","LCH","OTHER")))</f>
        <v/>
      </c>
      <c r="AD150" s="4">
        <f>MAX(0,Q150-MAX(0,Z150))</f>
        <v/>
      </c>
      <c r="AE150" s="4">
        <f>MAX(0,R150-MAX(0,Z150-SUM(Q150:Q150)))</f>
        <v/>
      </c>
      <c r="AF150" s="4">
        <f>MAX(0,S150-MAX(0,Z150-SUM(Q150:R150)))</f>
        <v/>
      </c>
      <c r="AG150" s="4">
        <f>MAX(0,T150-MAX(0,Z150-SUM(Q150:S150)))</f>
        <v/>
      </c>
      <c r="AH150" s="4">
        <f>MAX(0,U150-MAX(0,Z150-SUM(Q150:T150)))</f>
        <v/>
      </c>
      <c r="AI150" s="4">
        <f>MAX(0,V150-MAX(0,Z150-SUM(Q150:U150)))</f>
        <v/>
      </c>
      <c r="AJ150" s="4">
        <f>MAX(0,W150-MAX(0,Z150-SUM(Q150:V150)))</f>
        <v/>
      </c>
      <c r="AK150" s="4">
        <f>MAX(0,X150-MAX(0,Z150-SUM(Q150:W150)))</f>
        <v/>
      </c>
      <c r="AL150" s="4">
        <f>MAX(0,Y150-MAX(0,Z150-SUM(Q150:X150)))</f>
        <v/>
      </c>
    </row>
    <row r="151">
      <c r="A151" s="4" t="inlineStr">
        <is>
          <t>HASLS22260901650</t>
        </is>
      </c>
      <c r="B151" s="4" t="inlineStr">
        <is>
          <t>SWSP</t>
        </is>
      </c>
      <c r="C151" s="4" t="inlineStr">
        <is>
          <t>2609N</t>
        </is>
      </c>
      <c r="D151" s="4" t="inlineStr">
        <is>
          <t>202610071530</t>
        </is>
      </c>
      <c r="E151" s="4" t="inlineStr"/>
      <c r="F151" s="4" t="inlineStr">
        <is>
          <t>THBKK</t>
        </is>
      </c>
      <c r="G151" s="4" t="inlineStr">
        <is>
          <t>VNSGN</t>
        </is>
      </c>
      <c r="H151" s="4" t="inlineStr">
        <is>
          <t xml:space="preserve">40Hx1 </t>
        </is>
      </c>
      <c r="I151" s="4" t="inlineStr">
        <is>
          <t>BKK27</t>
        </is>
      </c>
      <c r="J151" s="4" t="inlineStr">
        <is>
          <t>B.C. DEPOT CO.,LTD. ( Bang-Na KM.18)</t>
        </is>
      </c>
      <c r="K151" s="4" t="inlineStr">
        <is>
          <t>20260928</t>
        </is>
      </c>
      <c r="L151" s="4" t="inlineStr">
        <is>
          <t>SDS-ACUTECH CO., LTD.</t>
        </is>
      </c>
      <c r="M151" s="4" t="inlineStr">
        <is>
          <t>APEX CIRCUIT (THAILAND) CO., LTD.</t>
        </is>
      </c>
      <c r="N151" s="4" t="inlineStr">
        <is>
          <t>PRINTED CIRCUIT BOARD</t>
        </is>
      </c>
      <c r="O151" s="4" t="inlineStr">
        <is>
          <t>GOOD AND CLEAN CONTAINER</t>
        </is>
      </c>
      <c r="P151" s="4" t="inlineStr">
        <is>
          <t>Pickup : 2026-09-28, Return : 2026-09-30</t>
        </is>
      </c>
      <c r="Q151" s="4" t="n">
        <v>0</v>
      </c>
      <c r="R151" s="4" t="n">
        <v>0</v>
      </c>
      <c r="S151" s="4" t="n">
        <v>1</v>
      </c>
      <c r="T151" s="4" t="n">
        <v>0</v>
      </c>
      <c r="U151" s="4" t="n">
        <v>0</v>
      </c>
      <c r="V151" s="4" t="n">
        <v>0</v>
      </c>
      <c r="W151" s="4" t="n">
        <v>0</v>
      </c>
      <c r="X151" s="4" t="n">
        <v>0</v>
      </c>
      <c r="Y151" s="4" t="n">
        <v>0</v>
      </c>
      <c r="Z151" s="4" t="n">
        <v>0</v>
      </c>
      <c r="AA151" s="4" t="n">
        <v>0</v>
      </c>
      <c r="AB151" s="4">
        <f>SUM(Q151:Y151)-Z151</f>
        <v/>
      </c>
      <c r="AC151" s="4">
        <f>IF(I151="","",IF(OR(LEFT(I151,3)="BKK",I151="LCH55"),"BKK",IF(LEFT(I151,3)="LCH","LCH","OTHER")))</f>
        <v/>
      </c>
      <c r="AD151" s="4">
        <f>MAX(0,Q151-MAX(0,Z151))</f>
        <v/>
      </c>
      <c r="AE151" s="4">
        <f>MAX(0,R151-MAX(0,Z151-SUM(Q151:Q151)))</f>
        <v/>
      </c>
      <c r="AF151" s="4">
        <f>MAX(0,S151-MAX(0,Z151-SUM(Q151:R151)))</f>
        <v/>
      </c>
      <c r="AG151" s="4">
        <f>MAX(0,T151-MAX(0,Z151-SUM(Q151:S151)))</f>
        <v/>
      </c>
      <c r="AH151" s="4">
        <f>MAX(0,U151-MAX(0,Z151-SUM(Q151:T151)))</f>
        <v/>
      </c>
      <c r="AI151" s="4">
        <f>MAX(0,V151-MAX(0,Z151-SUM(Q151:U151)))</f>
        <v/>
      </c>
      <c r="AJ151" s="4">
        <f>MAX(0,W151-MAX(0,Z151-SUM(Q151:V151)))</f>
        <v/>
      </c>
      <c r="AK151" s="4">
        <f>MAX(0,X151-MAX(0,Z151-SUM(Q151:W151)))</f>
        <v/>
      </c>
      <c r="AL151" s="4">
        <f>MAX(0,Y151-MAX(0,Z151-SUM(Q151:X151)))</f>
        <v/>
      </c>
    </row>
    <row r="152">
      <c r="A152" s="4" t="inlineStr">
        <is>
          <t>HASLS22260901659</t>
        </is>
      </c>
      <c r="B152" s="4" t="inlineStr">
        <is>
          <t>DJCF</t>
        </is>
      </c>
      <c r="C152" s="4" t="inlineStr">
        <is>
          <t>0152N</t>
        </is>
      </c>
      <c r="D152" s="4" t="inlineStr">
        <is>
          <t>202610111000</t>
        </is>
      </c>
      <c r="E152" s="4" t="inlineStr"/>
      <c r="F152" s="4" t="inlineStr">
        <is>
          <t>THBKK</t>
        </is>
      </c>
      <c r="G152" s="4" t="inlineStr">
        <is>
          <t>VNSGN</t>
        </is>
      </c>
      <c r="H152" s="4" t="inlineStr">
        <is>
          <t xml:space="preserve">40Hx1 </t>
        </is>
      </c>
      <c r="I152" s="4" t="inlineStr">
        <is>
          <t>BKK27</t>
        </is>
      </c>
      <c r="J152" s="4" t="inlineStr">
        <is>
          <t>B.C. DEPOT CO.,LTD. ( Bang-Na KM.18)</t>
        </is>
      </c>
      <c r="K152" s="4" t="inlineStr">
        <is>
          <t>20261006</t>
        </is>
      </c>
      <c r="L152" s="4" t="inlineStr">
        <is>
          <t>CONAIR INTERTRAFFIC CO., LTD.</t>
        </is>
      </c>
      <c r="M152" s="4" t="inlineStr">
        <is>
          <t>VET SUPERIOR CONSULTANT CO., LTD.</t>
        </is>
      </c>
      <c r="N152" s="4" t="inlineStr">
        <is>
          <t>WATER TREATMENT &amp; FEED SUPPLEMENT</t>
        </is>
      </c>
      <c r="O152" s="4" t="inlineStr">
        <is>
          <t>GOOD CONTAINER</t>
        </is>
      </c>
      <c r="P152" s="4" t="inlineStr">
        <is>
          <t>Pickup : 2026-10-06, Return : 2026-10-07</t>
        </is>
      </c>
      <c r="Q152" s="4" t="n">
        <v>0</v>
      </c>
      <c r="R152" s="4" t="n">
        <v>0</v>
      </c>
      <c r="S152" s="4" t="n">
        <v>1</v>
      </c>
      <c r="T152" s="4" t="n">
        <v>0</v>
      </c>
      <c r="U152" s="4" t="n">
        <v>0</v>
      </c>
      <c r="V152" s="4" t="n">
        <v>0</v>
      </c>
      <c r="W152" s="4" t="n">
        <v>0</v>
      </c>
      <c r="X152" s="4" t="n">
        <v>0</v>
      </c>
      <c r="Y152" s="4" t="n">
        <v>0</v>
      </c>
      <c r="Z152" s="4" t="n">
        <v>0</v>
      </c>
      <c r="AA152" s="4" t="n">
        <v>0</v>
      </c>
      <c r="AB152" s="4">
        <f>SUM(Q152:Y152)-Z152</f>
        <v/>
      </c>
      <c r="AC152" s="4">
        <f>IF(I152="","",IF(OR(LEFT(I152,3)="BKK",I152="LCH55"),"BKK",IF(LEFT(I152,3)="LCH","LCH","OTHER")))</f>
        <v/>
      </c>
      <c r="AD152" s="4">
        <f>MAX(0,Q152-MAX(0,Z152))</f>
        <v/>
      </c>
      <c r="AE152" s="4">
        <f>MAX(0,R152-MAX(0,Z152-SUM(Q152:Q152)))</f>
        <v/>
      </c>
      <c r="AF152" s="4">
        <f>MAX(0,S152-MAX(0,Z152-SUM(Q152:R152)))</f>
        <v/>
      </c>
      <c r="AG152" s="4">
        <f>MAX(0,T152-MAX(0,Z152-SUM(Q152:S152)))</f>
        <v/>
      </c>
      <c r="AH152" s="4">
        <f>MAX(0,U152-MAX(0,Z152-SUM(Q152:T152)))</f>
        <v/>
      </c>
      <c r="AI152" s="4">
        <f>MAX(0,V152-MAX(0,Z152-SUM(Q152:U152)))</f>
        <v/>
      </c>
      <c r="AJ152" s="4">
        <f>MAX(0,W152-MAX(0,Z152-SUM(Q152:V152)))</f>
        <v/>
      </c>
      <c r="AK152" s="4">
        <f>MAX(0,X152-MAX(0,Z152-SUM(Q152:W152)))</f>
        <v/>
      </c>
      <c r="AL152" s="4">
        <f>MAX(0,Y152-MAX(0,Z152-SUM(Q152:X152)))</f>
        <v/>
      </c>
    </row>
    <row r="153">
      <c r="A153" s="4" t="inlineStr">
        <is>
          <t>HASLS22260901663</t>
        </is>
      </c>
      <c r="B153" s="4" t="inlineStr">
        <is>
          <t>SWSP</t>
        </is>
      </c>
      <c r="C153" s="4" t="inlineStr">
        <is>
          <t>2609N</t>
        </is>
      </c>
      <c r="D153" s="4" t="inlineStr">
        <is>
          <t>202610071530</t>
        </is>
      </c>
      <c r="E153" s="4" t="inlineStr"/>
      <c r="F153" s="4" t="inlineStr">
        <is>
          <t>THBKK</t>
        </is>
      </c>
      <c r="G153" s="4" t="inlineStr">
        <is>
          <t>VNSGN</t>
        </is>
      </c>
      <c r="H153" s="4" t="inlineStr">
        <is>
          <t xml:space="preserve">20'x1 </t>
        </is>
      </c>
      <c r="I153" s="4" t="inlineStr">
        <is>
          <t>BKK27</t>
        </is>
      </c>
      <c r="J153" s="4" t="inlineStr">
        <is>
          <t>B.C. DEPOT CO.,LTD. ( Bang-Na KM.18)</t>
        </is>
      </c>
      <c r="K153" s="4" t="inlineStr">
        <is>
          <t>20261001</t>
        </is>
      </c>
      <c r="L153" s="4" t="inlineStr">
        <is>
          <t>DIMERCO EXPRESS (THAILAND) CO., LTD.</t>
        </is>
      </c>
      <c r="M153" s="4" t="inlineStr">
        <is>
          <t>EVEREST TEXTILE (THAILAND) CO., LTD.</t>
        </is>
      </c>
      <c r="N153" s="4" t="inlineStr">
        <is>
          <t>FABRIC</t>
        </is>
      </c>
      <c r="O153" s="4" t="inlineStr">
        <is>
          <t>GOOD AND CLEAN CONTAINER</t>
        </is>
      </c>
      <c r="P153" s="4" t="inlineStr">
        <is>
          <t>Pickup : 2026-10-01, Return : 2026-10-02</t>
        </is>
      </c>
      <c r="Q153" s="4" t="n">
        <v>1</v>
      </c>
      <c r="R153" s="4" t="n">
        <v>0</v>
      </c>
      <c r="S153" s="4" t="n">
        <v>0</v>
      </c>
      <c r="T153" s="4" t="n">
        <v>0</v>
      </c>
      <c r="U153" s="4" t="n">
        <v>0</v>
      </c>
      <c r="V153" s="4" t="n">
        <v>0</v>
      </c>
      <c r="W153" s="4" t="n">
        <v>0</v>
      </c>
      <c r="X153" s="4" t="n">
        <v>0</v>
      </c>
      <c r="Y153" s="4" t="n">
        <v>0</v>
      </c>
      <c r="Z153" s="4" t="n">
        <v>0</v>
      </c>
      <c r="AA153" s="4" t="n">
        <v>0</v>
      </c>
      <c r="AB153" s="4">
        <f>SUM(Q153:Y153)-Z153</f>
        <v/>
      </c>
      <c r="AC153" s="4">
        <f>IF(I153="","",IF(OR(LEFT(I153,3)="BKK",I153="LCH55"),"BKK",IF(LEFT(I153,3)="LCH","LCH","OTHER")))</f>
        <v/>
      </c>
      <c r="AD153" s="4">
        <f>MAX(0,Q153-MAX(0,Z153))</f>
        <v/>
      </c>
      <c r="AE153" s="4">
        <f>MAX(0,R153-MAX(0,Z153-SUM(Q153:Q153)))</f>
        <v/>
      </c>
      <c r="AF153" s="4">
        <f>MAX(0,S153-MAX(0,Z153-SUM(Q153:R153)))</f>
        <v/>
      </c>
      <c r="AG153" s="4">
        <f>MAX(0,T153-MAX(0,Z153-SUM(Q153:S153)))</f>
        <v/>
      </c>
      <c r="AH153" s="4">
        <f>MAX(0,U153-MAX(0,Z153-SUM(Q153:T153)))</f>
        <v/>
      </c>
      <c r="AI153" s="4">
        <f>MAX(0,V153-MAX(0,Z153-SUM(Q153:U153)))</f>
        <v/>
      </c>
      <c r="AJ153" s="4">
        <f>MAX(0,W153-MAX(0,Z153-SUM(Q153:V153)))</f>
        <v/>
      </c>
      <c r="AK153" s="4">
        <f>MAX(0,X153-MAX(0,Z153-SUM(Q153:W153)))</f>
        <v/>
      </c>
      <c r="AL153" s="4">
        <f>MAX(0,Y153-MAX(0,Z153-SUM(Q153:X153)))</f>
        <v/>
      </c>
    </row>
    <row r="154">
      <c r="A154" s="4" t="inlineStr">
        <is>
          <t>HASLS22260901664</t>
        </is>
      </c>
      <c r="B154" s="4" t="inlineStr">
        <is>
          <t>SWSP</t>
        </is>
      </c>
      <c r="C154" s="4" t="inlineStr">
        <is>
          <t>2609N</t>
        </is>
      </c>
      <c r="D154" s="4" t="inlineStr">
        <is>
          <t>202610071530</t>
        </is>
      </c>
      <c r="E154" s="4" t="inlineStr"/>
      <c r="F154" s="4" t="inlineStr">
        <is>
          <t>THBKK</t>
        </is>
      </c>
      <c r="G154" s="4" t="inlineStr">
        <is>
          <t>VNSGN</t>
        </is>
      </c>
      <c r="H154" s="4" t="inlineStr">
        <is>
          <t xml:space="preserve">40Hx1 </t>
        </is>
      </c>
      <c r="I154" s="4" t="inlineStr">
        <is>
          <t>BKK27</t>
        </is>
      </c>
      <c r="J154" s="4" t="inlineStr">
        <is>
          <t>B.C. DEPOT CO.,LTD. ( Bang-Na KM.18)</t>
        </is>
      </c>
      <c r="K154" s="4" t="inlineStr">
        <is>
          <t>20261002</t>
        </is>
      </c>
      <c r="L154" s="4" t="inlineStr">
        <is>
          <t>DIMERCO EXPRESS (THAILAND) CO., LTD.</t>
        </is>
      </c>
      <c r="M154" s="4" t="inlineStr">
        <is>
          <t>Y.R.C. TEXTILE CO., LTD.</t>
        </is>
      </c>
      <c r="N154" s="4" t="inlineStr">
        <is>
          <t>FABRIC</t>
        </is>
      </c>
      <c r="O154" s="4" t="inlineStr">
        <is>
          <t>GOOD AND CLEAN CONTAINER</t>
        </is>
      </c>
      <c r="P154" s="4" t="inlineStr">
        <is>
          <t xml:space="preserve">Pickup : 2026-10-02, Return : 2026-10-02 
 </t>
        </is>
      </c>
      <c r="Q154" s="4" t="n">
        <v>0</v>
      </c>
      <c r="R154" s="4" t="n">
        <v>0</v>
      </c>
      <c r="S154" s="4" t="n">
        <v>1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>
        <f>SUM(Q154:Y154)-Z154</f>
        <v/>
      </c>
      <c r="AC154" s="4">
        <f>IF(I154="","",IF(OR(LEFT(I154,3)="BKK",I154="LCH55"),"BKK",IF(LEFT(I154,3)="LCH","LCH","OTHER")))</f>
        <v/>
      </c>
      <c r="AD154" s="4">
        <f>MAX(0,Q154-MAX(0,Z154))</f>
        <v/>
      </c>
      <c r="AE154" s="4">
        <f>MAX(0,R154-MAX(0,Z154-SUM(Q154:Q154)))</f>
        <v/>
      </c>
      <c r="AF154" s="4">
        <f>MAX(0,S154-MAX(0,Z154-SUM(Q154:R154)))</f>
        <v/>
      </c>
      <c r="AG154" s="4">
        <f>MAX(0,T154-MAX(0,Z154-SUM(Q154:S154)))</f>
        <v/>
      </c>
      <c r="AH154" s="4">
        <f>MAX(0,U154-MAX(0,Z154-SUM(Q154:T154)))</f>
        <v/>
      </c>
      <c r="AI154" s="4">
        <f>MAX(0,V154-MAX(0,Z154-SUM(Q154:U154)))</f>
        <v/>
      </c>
      <c r="AJ154" s="4">
        <f>MAX(0,W154-MAX(0,Z154-SUM(Q154:V154)))</f>
        <v/>
      </c>
      <c r="AK154" s="4">
        <f>MAX(0,X154-MAX(0,Z154-SUM(Q154:W154)))</f>
        <v/>
      </c>
      <c r="AL154" s="4">
        <f>MAX(0,Y154-MAX(0,Z154-SUM(Q154:X154)))</f>
        <v/>
      </c>
    </row>
    <row r="155">
      <c r="A155" s="4" t="inlineStr">
        <is>
          <t>HASLS22260901665</t>
        </is>
      </c>
      <c r="B155" s="4" t="inlineStr">
        <is>
          <t>KUS</t>
        </is>
      </c>
      <c r="C155" s="4" t="inlineStr">
        <is>
          <t>2616N</t>
        </is>
      </c>
      <c r="D155" s="4" t="inlineStr">
        <is>
          <t>202610141100</t>
        </is>
      </c>
      <c r="E155" s="4" t="inlineStr"/>
      <c r="F155" s="4" t="inlineStr">
        <is>
          <t>THBKK</t>
        </is>
      </c>
      <c r="G155" s="4" t="inlineStr">
        <is>
          <t>VNSGN</t>
        </is>
      </c>
      <c r="H155" s="4" t="inlineStr">
        <is>
          <t xml:space="preserve">20'x1 </t>
        </is>
      </c>
      <c r="I155" s="4" t="inlineStr">
        <is>
          <t>BKK27</t>
        </is>
      </c>
      <c r="J155" s="4" t="inlineStr">
        <is>
          <t>B.C. DEPOT CO.,LTD. ( Bang-Na KM.18)</t>
        </is>
      </c>
      <c r="K155" s="4" t="inlineStr">
        <is>
          <t>20261009</t>
        </is>
      </c>
      <c r="L155" s="4" t="inlineStr">
        <is>
          <t>ACCORD PILOT LOGISTICS (THAILAND) CO., LTD.</t>
        </is>
      </c>
      <c r="M155" s="4" t="inlineStr">
        <is>
          <t>SPF DIANA (THAILAND) CO., LTD.</t>
        </is>
      </c>
      <c r="N155" s="4" t="inlineStr">
        <is>
          <t>DRY CAT FOOD</t>
        </is>
      </c>
      <c r="O155" s="4" t="inlineStr">
        <is>
          <t>GOOD AND CLEAN CONTAINER</t>
        </is>
      </c>
      <c r="P155" s="4" t="inlineStr">
        <is>
          <t>Pickup : 2026-10-09, Return : 2026-10-09</t>
        </is>
      </c>
      <c r="Q155" s="4" t="n">
        <v>1</v>
      </c>
      <c r="R155" s="4" t="n">
        <v>0</v>
      </c>
      <c r="S155" s="4" t="n">
        <v>0</v>
      </c>
      <c r="T155" s="4" t="n">
        <v>0</v>
      </c>
      <c r="U155" s="4" t="n">
        <v>0</v>
      </c>
      <c r="V155" s="4" t="n">
        <v>0</v>
      </c>
      <c r="W155" s="4" t="n">
        <v>0</v>
      </c>
      <c r="X155" s="4" t="n">
        <v>0</v>
      </c>
      <c r="Y155" s="4" t="n">
        <v>0</v>
      </c>
      <c r="Z155" s="4" t="n">
        <v>0</v>
      </c>
      <c r="AA155" s="4" t="n">
        <v>0</v>
      </c>
      <c r="AB155" s="4">
        <f>SUM(Q155:Y155)-Z155</f>
        <v/>
      </c>
      <c r="AC155" s="4">
        <f>IF(I155="","",IF(OR(LEFT(I155,3)="BKK",I155="LCH55"),"BKK",IF(LEFT(I155,3)="LCH","LCH","OTHER")))</f>
        <v/>
      </c>
      <c r="AD155" s="4">
        <f>MAX(0,Q155-MAX(0,Z155))</f>
        <v/>
      </c>
      <c r="AE155" s="4">
        <f>MAX(0,R155-MAX(0,Z155-SUM(Q155:Q155)))</f>
        <v/>
      </c>
      <c r="AF155" s="4">
        <f>MAX(0,S155-MAX(0,Z155-SUM(Q155:R155)))</f>
        <v/>
      </c>
      <c r="AG155" s="4">
        <f>MAX(0,T155-MAX(0,Z155-SUM(Q155:S155)))</f>
        <v/>
      </c>
      <c r="AH155" s="4">
        <f>MAX(0,U155-MAX(0,Z155-SUM(Q155:T155)))</f>
        <v/>
      </c>
      <c r="AI155" s="4">
        <f>MAX(0,V155-MAX(0,Z155-SUM(Q155:U155)))</f>
        <v/>
      </c>
      <c r="AJ155" s="4">
        <f>MAX(0,W155-MAX(0,Z155-SUM(Q155:V155)))</f>
        <v/>
      </c>
      <c r="AK155" s="4">
        <f>MAX(0,X155-MAX(0,Z155-SUM(Q155:W155)))</f>
        <v/>
      </c>
      <c r="AL155" s="4">
        <f>MAX(0,Y155-MAX(0,Z155-SUM(Q155:X155)))</f>
        <v/>
      </c>
    </row>
    <row r="156">
      <c r="A156" s="4" t="inlineStr">
        <is>
          <t>HASLS22260901667</t>
        </is>
      </c>
      <c r="B156" s="4" t="inlineStr">
        <is>
          <t>SWMM</t>
        </is>
      </c>
      <c r="C156" s="4" t="inlineStr">
        <is>
          <t>2610N</t>
        </is>
      </c>
      <c r="D156" s="4" t="inlineStr">
        <is>
          <t>202610210400</t>
        </is>
      </c>
      <c r="E156" s="4" t="inlineStr"/>
      <c r="F156" s="4" t="inlineStr">
        <is>
          <t>THBKK</t>
        </is>
      </c>
      <c r="G156" s="4" t="inlineStr">
        <is>
          <t>VNSGN</t>
        </is>
      </c>
      <c r="H156" s="4" t="inlineStr">
        <is>
          <t xml:space="preserve">20'x1 </t>
        </is>
      </c>
      <c r="I156" s="4" t="inlineStr">
        <is>
          <t>BKK27</t>
        </is>
      </c>
      <c r="J156" s="4" t="inlineStr">
        <is>
          <t>B.C. DEPOT CO.,LTD. ( Bang-Na KM.18)</t>
        </is>
      </c>
      <c r="K156" s="4" t="inlineStr">
        <is>
          <t>20261012</t>
        </is>
      </c>
      <c r="L156" s="4" t="inlineStr">
        <is>
          <t>ACCORD PILOT LOGISTICS (THAILAND) CO., LTD.</t>
        </is>
      </c>
      <c r="M156" s="4" t="inlineStr">
        <is>
          <t>SPF DIANA (THAILAND) CO., LTD.</t>
        </is>
      </c>
      <c r="N156" s="4" t="inlineStr">
        <is>
          <t>DRY CAT FOOD</t>
        </is>
      </c>
      <c r="O156" s="4" t="inlineStr">
        <is>
          <t>GOOD AND CLEAN CONTAINER</t>
        </is>
      </c>
      <c r="P156" s="4" t="inlineStr">
        <is>
          <t>Pickup : 2026-10-12, Return : 2026-10-12 (1ST RTN DD: 13/10/26 WO/RENT)</t>
        </is>
      </c>
      <c r="Q156" s="4" t="n">
        <v>1</v>
      </c>
      <c r="R156" s="4" t="n">
        <v>0</v>
      </c>
      <c r="S156" s="4" t="n">
        <v>0</v>
      </c>
      <c r="T156" s="4" t="n">
        <v>0</v>
      </c>
      <c r="U156" s="4" t="n">
        <v>0</v>
      </c>
      <c r="V156" s="4" t="n">
        <v>0</v>
      </c>
      <c r="W156" s="4" t="n">
        <v>0</v>
      </c>
      <c r="X156" s="4" t="n">
        <v>0</v>
      </c>
      <c r="Y156" s="4" t="n">
        <v>0</v>
      </c>
      <c r="Z156" s="4" t="n">
        <v>0</v>
      </c>
      <c r="AA156" s="4" t="n">
        <v>0</v>
      </c>
      <c r="AB156" s="4">
        <f>SUM(Q156:Y156)-Z156</f>
        <v/>
      </c>
      <c r="AC156" s="4">
        <f>IF(I156="","",IF(OR(LEFT(I156,3)="BKK",I156="LCH55"),"BKK",IF(LEFT(I156,3)="LCH","LCH","OTHER")))</f>
        <v/>
      </c>
      <c r="AD156" s="4">
        <f>MAX(0,Q156-MAX(0,Z156))</f>
        <v/>
      </c>
      <c r="AE156" s="4">
        <f>MAX(0,R156-MAX(0,Z156-SUM(Q156:Q156)))</f>
        <v/>
      </c>
      <c r="AF156" s="4">
        <f>MAX(0,S156-MAX(0,Z156-SUM(Q156:R156)))</f>
        <v/>
      </c>
      <c r="AG156" s="4">
        <f>MAX(0,T156-MAX(0,Z156-SUM(Q156:S156)))</f>
        <v/>
      </c>
      <c r="AH156" s="4">
        <f>MAX(0,U156-MAX(0,Z156-SUM(Q156:T156)))</f>
        <v/>
      </c>
      <c r="AI156" s="4">
        <f>MAX(0,V156-MAX(0,Z156-SUM(Q156:U156)))</f>
        <v/>
      </c>
      <c r="AJ156" s="4">
        <f>MAX(0,W156-MAX(0,Z156-SUM(Q156:V156)))</f>
        <v/>
      </c>
      <c r="AK156" s="4">
        <f>MAX(0,X156-MAX(0,Z156-SUM(Q156:W156)))</f>
        <v/>
      </c>
      <c r="AL156" s="4">
        <f>MAX(0,Y156-MAX(0,Z156-SUM(Q156:X156)))</f>
        <v/>
      </c>
    </row>
    <row r="157">
      <c r="A157" s="4" t="inlineStr">
        <is>
          <t>HASLS22260901669</t>
        </is>
      </c>
      <c r="B157" s="4" t="inlineStr">
        <is>
          <t>SWIC</t>
        </is>
      </c>
      <c r="C157" s="4" t="inlineStr">
        <is>
          <t>2611N</t>
        </is>
      </c>
      <c r="D157" s="4" t="inlineStr">
        <is>
          <t>202610130700</t>
        </is>
      </c>
      <c r="E157" s="4" t="inlineStr"/>
      <c r="F157" s="4" t="inlineStr">
        <is>
          <t>THBKK</t>
        </is>
      </c>
      <c r="G157" s="4" t="inlineStr">
        <is>
          <t>VNSGN</t>
        </is>
      </c>
      <c r="H157" s="4" t="inlineStr">
        <is>
          <t xml:space="preserve">20'x7 </t>
        </is>
      </c>
      <c r="I157" s="4" t="inlineStr">
        <is>
          <t>BKK27</t>
        </is>
      </c>
      <c r="J157" s="4" t="inlineStr">
        <is>
          <t>B.C. DEPOT CO.,LTD. ( Bang-Na KM.18)</t>
        </is>
      </c>
      <c r="K157" s="4" t="inlineStr">
        <is>
          <t>20261007</t>
        </is>
      </c>
      <c r="L157" s="4" t="inlineStr">
        <is>
          <t>SEA FLEXI LOGISTICS CO.,LTD.</t>
        </is>
      </c>
      <c r="M157" s="4" t="inlineStr">
        <is>
          <t>THANAKORN VEGETABLE OIL PRODUCTS CO., LTD.</t>
        </is>
      </c>
      <c r="N157" s="4" t="inlineStr">
        <is>
          <t>SOYBEAN OIL</t>
        </is>
      </c>
      <c r="O157" s="4" t="inlineStr">
        <is>
          <t>**DO NOT RELEASE CNTR WAIT APPROVE** *FLEXIBAG ONDECK*
Survey : 20226-10-07 REQUEST STRONG, CLEAN, FOOD GRADE CNTR</t>
        </is>
      </c>
      <c r="P157" s="4" t="inlineStr">
        <is>
          <t>**DO NOT RELEASE CNTR WAIT APPROVE** *FLEXIBAG ONDECK*
Survey : 20226-10-07 , Pickup : 2026-10-08, Return : 2026-10-09</t>
        </is>
      </c>
      <c r="Q157" s="4" t="n">
        <v>7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>
        <f>SUM(Q157:Y157)-Z157</f>
        <v/>
      </c>
      <c r="AC157" s="4">
        <f>IF(I157="","",IF(OR(LEFT(I157,3)="BKK",I157="LCH55"),"BKK",IF(LEFT(I157,3)="LCH","LCH","OTHER")))</f>
        <v/>
      </c>
      <c r="AD157" s="4">
        <f>MAX(0,Q157-MAX(0,Z157))</f>
        <v/>
      </c>
      <c r="AE157" s="4">
        <f>MAX(0,R157-MAX(0,Z157-SUM(Q157:Q157)))</f>
        <v/>
      </c>
      <c r="AF157" s="4">
        <f>MAX(0,S157-MAX(0,Z157-SUM(Q157:R157)))</f>
        <v/>
      </c>
      <c r="AG157" s="4">
        <f>MAX(0,T157-MAX(0,Z157-SUM(Q157:S157)))</f>
        <v/>
      </c>
      <c r="AH157" s="4">
        <f>MAX(0,U157-MAX(0,Z157-SUM(Q157:T157)))</f>
        <v/>
      </c>
      <c r="AI157" s="4">
        <f>MAX(0,V157-MAX(0,Z157-SUM(Q157:U157)))</f>
        <v/>
      </c>
      <c r="AJ157" s="4">
        <f>MAX(0,W157-MAX(0,Z157-SUM(Q157:V157)))</f>
        <v/>
      </c>
      <c r="AK157" s="4">
        <f>MAX(0,X157-MAX(0,Z157-SUM(Q157:W157)))</f>
        <v/>
      </c>
      <c r="AL157" s="4">
        <f>MAX(0,Y157-MAX(0,Z157-SUM(Q157:X157)))</f>
        <v/>
      </c>
    </row>
    <row r="158">
      <c r="A158" s="4" t="inlineStr">
        <is>
          <t>HASLS22260901672</t>
        </is>
      </c>
      <c r="B158" s="4" t="inlineStr">
        <is>
          <t>KMBK</t>
        </is>
      </c>
      <c r="C158" s="4" t="inlineStr">
        <is>
          <t>2611N</t>
        </is>
      </c>
      <c r="D158" s="4" t="inlineStr">
        <is>
          <t>202610030900</t>
        </is>
      </c>
      <c r="E158" s="4" t="inlineStr"/>
      <c r="F158" s="4" t="inlineStr">
        <is>
          <t>THBKK</t>
        </is>
      </c>
      <c r="G158" s="4" t="inlineStr">
        <is>
          <t>VNSGN</t>
        </is>
      </c>
      <c r="H158" s="4" t="inlineStr">
        <is>
          <t xml:space="preserve">40Hx1 </t>
        </is>
      </c>
      <c r="I158" s="4" t="inlineStr">
        <is>
          <t>BKK27</t>
        </is>
      </c>
      <c r="J158" s="4" t="inlineStr">
        <is>
          <t>B.C. DEPOT CO.,LTD. ( Bang-Na KM.18)</t>
        </is>
      </c>
      <c r="K158" s="4" t="inlineStr">
        <is>
          <t>20260929</t>
        </is>
      </c>
      <c r="L158" s="4" t="inlineStr">
        <is>
          <t>LEO GLOBAL LOGISTICS PUBLIC COMPANY LIMITED</t>
        </is>
      </c>
      <c r="M158" s="4" t="inlineStr">
        <is>
          <t>STARFLEX PUBLIC COMPANY LIMITED</t>
        </is>
      </c>
      <c r="N158" s="4" t="inlineStr">
        <is>
          <t>FILM</t>
        </is>
      </c>
      <c r="O158" s="4" t="inlineStr">
        <is>
          <t>REQ GOOD AND CLEAN CNTR</t>
        </is>
      </c>
      <c r="P158" s="4" t="inlineStr">
        <is>
          <t>Pickup : 2026-09-29, Return : 2026-09-30</t>
        </is>
      </c>
      <c r="Q158" s="4" t="n">
        <v>0</v>
      </c>
      <c r="R158" s="4" t="n">
        <v>0</v>
      </c>
      <c r="S158" s="4" t="n">
        <v>1</v>
      </c>
      <c r="T158" s="4" t="n">
        <v>0</v>
      </c>
      <c r="U158" s="4" t="n">
        <v>0</v>
      </c>
      <c r="V158" s="4" t="n">
        <v>0</v>
      </c>
      <c r="W158" s="4" t="n">
        <v>0</v>
      </c>
      <c r="X158" s="4" t="n">
        <v>0</v>
      </c>
      <c r="Y158" s="4" t="n">
        <v>0</v>
      </c>
      <c r="Z158" s="4" t="n">
        <v>0</v>
      </c>
      <c r="AA158" s="4" t="n">
        <v>0</v>
      </c>
      <c r="AB158" s="4">
        <f>SUM(Q158:Y158)-Z158</f>
        <v/>
      </c>
      <c r="AC158" s="4">
        <f>IF(I158="","",IF(OR(LEFT(I158,3)="BKK",I158="LCH55"),"BKK",IF(LEFT(I158,3)="LCH","LCH","OTHER")))</f>
        <v/>
      </c>
      <c r="AD158" s="4">
        <f>MAX(0,Q158-MAX(0,Z158))</f>
        <v/>
      </c>
      <c r="AE158" s="4">
        <f>MAX(0,R158-MAX(0,Z158-SUM(Q158:Q158)))</f>
        <v/>
      </c>
      <c r="AF158" s="4">
        <f>MAX(0,S158-MAX(0,Z158-SUM(Q158:R158)))</f>
        <v/>
      </c>
      <c r="AG158" s="4">
        <f>MAX(0,T158-MAX(0,Z158-SUM(Q158:S158)))</f>
        <v/>
      </c>
      <c r="AH158" s="4">
        <f>MAX(0,U158-MAX(0,Z158-SUM(Q158:T158)))</f>
        <v/>
      </c>
      <c r="AI158" s="4">
        <f>MAX(0,V158-MAX(0,Z158-SUM(Q158:U158)))</f>
        <v/>
      </c>
      <c r="AJ158" s="4">
        <f>MAX(0,W158-MAX(0,Z158-SUM(Q158:V158)))</f>
        <v/>
      </c>
      <c r="AK158" s="4">
        <f>MAX(0,X158-MAX(0,Z158-SUM(Q158:W158)))</f>
        <v/>
      </c>
      <c r="AL158" s="4">
        <f>MAX(0,Y158-MAX(0,Z158-SUM(Q158:X158)))</f>
        <v/>
      </c>
    </row>
    <row r="159">
      <c r="A159" s="4" t="inlineStr">
        <is>
          <t>HASLS22260901678</t>
        </is>
      </c>
      <c r="B159" s="4" t="inlineStr">
        <is>
          <t>HAHM</t>
        </is>
      </c>
      <c r="C159" s="4" t="inlineStr">
        <is>
          <t>2612N</t>
        </is>
      </c>
      <c r="D159" s="4" t="inlineStr">
        <is>
          <t>202610211800</t>
        </is>
      </c>
      <c r="E159" s="4" t="inlineStr"/>
      <c r="F159" s="4" t="inlineStr">
        <is>
          <t>THBKK</t>
        </is>
      </c>
      <c r="G159" s="4" t="inlineStr">
        <is>
          <t>JPKSM</t>
        </is>
      </c>
      <c r="H159" s="4" t="inlineStr">
        <is>
          <t xml:space="preserve">20'x5 </t>
        </is>
      </c>
      <c r="I159" s="4" t="inlineStr">
        <is>
          <t>BKK27</t>
        </is>
      </c>
      <c r="J159" s="4" t="inlineStr">
        <is>
          <t>B.C. DEPOT CO.,LTD. ( Bang-Na KM.18)</t>
        </is>
      </c>
      <c r="K159" s="4" t="inlineStr">
        <is>
          <t>20261017</t>
        </is>
      </c>
      <c r="L159" s="4" t="inlineStr">
        <is>
          <t>MEGALOAD DEVELOPMENT LOGISTICS CO., LTD.</t>
        </is>
      </c>
      <c r="M159" s="4" t="inlineStr">
        <is>
          <t>FISHMEAL MARKETING DEVELOPMENT CO., LTD.</t>
        </is>
      </c>
      <c r="N159" s="4" t="inlineStr">
        <is>
          <t>THAILAND STEAM DRIED FISHMEAL</t>
        </is>
      </c>
      <c r="O159" s="4" t="inlineStr">
        <is>
          <t>**APPROVED BY MJ CHANG DD.23/09/26** DG22GPx5 (CLS 9 / UN 2216)  GOOD CONDITION OF CONTAINER, LOADING GOODS INTO CONTAINERD BY FOLKLIFT</t>
        </is>
      </c>
      <c r="P159" s="4" t="inlineStr">
        <is>
          <t>**APPROVED BY MJ CHANG DD.23/09/26**  DG22GPx5 (CLS 9 / UN 2216) 
Pickup : 2026-10-17, Return : 2026-10-19 *CLS TIME 19/10/26 @23.59*</t>
        </is>
      </c>
      <c r="Q159" s="4" t="n">
        <v>5</v>
      </c>
      <c r="R159" s="4" t="n">
        <v>0</v>
      </c>
      <c r="S159" s="4" t="n">
        <v>0</v>
      </c>
      <c r="T159" s="4" t="n">
        <v>0</v>
      </c>
      <c r="U159" s="4" t="n">
        <v>0</v>
      </c>
      <c r="V159" s="4" t="n">
        <v>0</v>
      </c>
      <c r="W159" s="4" t="n">
        <v>0</v>
      </c>
      <c r="X159" s="4" t="n">
        <v>0</v>
      </c>
      <c r="Y159" s="4" t="n">
        <v>0</v>
      </c>
      <c r="Z159" s="4" t="n">
        <v>0</v>
      </c>
      <c r="AA159" s="4" t="n">
        <v>0</v>
      </c>
      <c r="AB159" s="4">
        <f>SUM(Q159:Y159)-Z159</f>
        <v/>
      </c>
      <c r="AC159" s="4">
        <f>IF(I159="","",IF(OR(LEFT(I159,3)="BKK",I159="LCH55"),"BKK",IF(LEFT(I159,3)="LCH","LCH","OTHER")))</f>
        <v/>
      </c>
      <c r="AD159" s="4">
        <f>MAX(0,Q159-MAX(0,Z159))</f>
        <v/>
      </c>
      <c r="AE159" s="4">
        <f>MAX(0,R159-MAX(0,Z159-SUM(Q159:Q159)))</f>
        <v/>
      </c>
      <c r="AF159" s="4">
        <f>MAX(0,S159-MAX(0,Z159-SUM(Q159:R159)))</f>
        <v/>
      </c>
      <c r="AG159" s="4">
        <f>MAX(0,T159-MAX(0,Z159-SUM(Q159:S159)))</f>
        <v/>
      </c>
      <c r="AH159" s="4">
        <f>MAX(0,U159-MAX(0,Z159-SUM(Q159:T159)))</f>
        <v/>
      </c>
      <c r="AI159" s="4">
        <f>MAX(0,V159-MAX(0,Z159-SUM(Q159:U159)))</f>
        <v/>
      </c>
      <c r="AJ159" s="4">
        <f>MAX(0,W159-MAX(0,Z159-SUM(Q159:V159)))</f>
        <v/>
      </c>
      <c r="AK159" s="4">
        <f>MAX(0,X159-MAX(0,Z159-SUM(Q159:W159)))</f>
        <v/>
      </c>
      <c r="AL159" s="4">
        <f>MAX(0,Y159-MAX(0,Z159-SUM(Q159:X159)))</f>
        <v/>
      </c>
    </row>
    <row r="160">
      <c r="A160" s="4" t="inlineStr">
        <is>
          <t>HASLS22260901680</t>
        </is>
      </c>
      <c r="B160" s="4" t="inlineStr">
        <is>
          <t>HAHM</t>
        </is>
      </c>
      <c r="C160" s="4" t="inlineStr">
        <is>
          <t>2612N</t>
        </is>
      </c>
      <c r="D160" s="4" t="inlineStr">
        <is>
          <t>202610211800</t>
        </is>
      </c>
      <c r="E160" s="4" t="inlineStr"/>
      <c r="F160" s="4" t="inlineStr">
        <is>
          <t>THBKK</t>
        </is>
      </c>
      <c r="G160" s="4" t="inlineStr">
        <is>
          <t>JPMIZ</t>
        </is>
      </c>
      <c r="H160" s="4" t="inlineStr">
        <is>
          <t xml:space="preserve">20'x5 </t>
        </is>
      </c>
      <c r="I160" s="4" t="inlineStr">
        <is>
          <t>BKK27</t>
        </is>
      </c>
      <c r="J160" s="4" t="inlineStr">
        <is>
          <t>B.C. DEPOT CO.,LTD. ( Bang-Na KM.18)</t>
        </is>
      </c>
      <c r="K160" s="4" t="inlineStr">
        <is>
          <t>20261017</t>
        </is>
      </c>
      <c r="L160" s="4" t="inlineStr">
        <is>
          <t>MEGALOAD DEVELOPMENT LOGISTICS CO., LTD.</t>
        </is>
      </c>
      <c r="M160" s="4" t="inlineStr">
        <is>
          <t>FISHMEAL MARKETING DEVELOPMENT CO., LTD.</t>
        </is>
      </c>
      <c r="N160" s="4" t="inlineStr">
        <is>
          <t>THAILAND STEAM DRIED FISHMEAL</t>
        </is>
      </c>
      <c r="O160" s="4" t="inlineStr">
        <is>
          <t>**APPROVED BY MJ CHANG DD.23/09/26** DG22GPx5 (CLS 9 / UN 2216)  GOOD CONDITION OF CONTAINER, LOADING GOODS INTO CONTAINERD BY FOLKLIFT</t>
        </is>
      </c>
      <c r="P160" s="4" t="inlineStr">
        <is>
          <t xml:space="preserve">**APPROVED BY MJ CHANG DD.23/09/26**  DG22GPx5 (CLS 9 / UN 2216) 
Pickup : 2026-10-17, Return : 2026-10-19 </t>
        </is>
      </c>
      <c r="Q160" s="4" t="n">
        <v>5</v>
      </c>
      <c r="R160" s="4" t="n">
        <v>0</v>
      </c>
      <c r="S160" s="4" t="n">
        <v>0</v>
      </c>
      <c r="T160" s="4" t="n">
        <v>0</v>
      </c>
      <c r="U160" s="4" t="n">
        <v>0</v>
      </c>
      <c r="V160" s="4" t="n">
        <v>0</v>
      </c>
      <c r="W160" s="4" t="n">
        <v>0</v>
      </c>
      <c r="X160" s="4" t="n">
        <v>0</v>
      </c>
      <c r="Y160" s="4" t="n">
        <v>0</v>
      </c>
      <c r="Z160" s="4" t="n">
        <v>0</v>
      </c>
      <c r="AA160" s="4" t="n">
        <v>0</v>
      </c>
      <c r="AB160" s="4">
        <f>SUM(Q160:Y160)-Z160</f>
        <v/>
      </c>
      <c r="AC160" s="4">
        <f>IF(I160="","",IF(OR(LEFT(I160,3)="BKK",I160="LCH55"),"BKK",IF(LEFT(I160,3)="LCH","LCH","OTHER")))</f>
        <v/>
      </c>
      <c r="AD160" s="4">
        <f>MAX(0,Q160-MAX(0,Z160))</f>
        <v/>
      </c>
      <c r="AE160" s="4">
        <f>MAX(0,R160-MAX(0,Z160-SUM(Q160:Q160)))</f>
        <v/>
      </c>
      <c r="AF160" s="4">
        <f>MAX(0,S160-MAX(0,Z160-SUM(Q160:R160)))</f>
        <v/>
      </c>
      <c r="AG160" s="4">
        <f>MAX(0,T160-MAX(0,Z160-SUM(Q160:S160)))</f>
        <v/>
      </c>
      <c r="AH160" s="4">
        <f>MAX(0,U160-MAX(0,Z160-SUM(Q160:T160)))</f>
        <v/>
      </c>
      <c r="AI160" s="4">
        <f>MAX(0,V160-MAX(0,Z160-SUM(Q160:U160)))</f>
        <v/>
      </c>
      <c r="AJ160" s="4">
        <f>MAX(0,W160-MAX(0,Z160-SUM(Q160:V160)))</f>
        <v/>
      </c>
      <c r="AK160" s="4">
        <f>MAX(0,X160-MAX(0,Z160-SUM(Q160:W160)))</f>
        <v/>
      </c>
      <c r="AL160" s="4">
        <f>MAX(0,Y160-MAX(0,Z160-SUM(Q160:X160)))</f>
        <v/>
      </c>
    </row>
    <row r="161">
      <c r="A161" s="4" t="inlineStr">
        <is>
          <t>HASLS22260901687</t>
        </is>
      </c>
      <c r="B161" s="4" t="inlineStr">
        <is>
          <t>SWIC</t>
        </is>
      </c>
      <c r="C161" s="4" t="inlineStr">
        <is>
          <t>2611N</t>
        </is>
      </c>
      <c r="D161" s="4" t="inlineStr">
        <is>
          <t>202610130700</t>
        </is>
      </c>
      <c r="E161" s="4" t="inlineStr"/>
      <c r="F161" s="4" t="inlineStr">
        <is>
          <t>THBKK</t>
        </is>
      </c>
      <c r="G161" s="4" t="inlineStr">
        <is>
          <t>VNSGN</t>
        </is>
      </c>
      <c r="H161" s="4" t="inlineStr">
        <is>
          <t xml:space="preserve">40Hx10 </t>
        </is>
      </c>
      <c r="I161" s="4" t="inlineStr">
        <is>
          <t>BKK27</t>
        </is>
      </c>
      <c r="J161" s="4" t="inlineStr">
        <is>
          <t>B.C. DEPOT CO.,LTD. ( Bang-Na KM.18)</t>
        </is>
      </c>
      <c r="K161" s="4" t="inlineStr">
        <is>
          <t>20261008</t>
        </is>
      </c>
      <c r="L161" s="4" t="inlineStr">
        <is>
          <t>BIRLA CARBON (THAILAND) PUBLIC COMPANY LIMITED</t>
        </is>
      </c>
      <c r="M161" s="4" t="inlineStr">
        <is>
          <t>BIRLA CARBON (THAILAND) PUBLIC COMPANY LIMITED</t>
        </is>
      </c>
      <c r="N161" s="4" t="inlineStr">
        <is>
          <t>CABON BLACK</t>
        </is>
      </c>
      <c r="O161" s="4" t="inlineStr">
        <is>
          <t>*Clean container / No rust / No hole / No sharp surface inside areas in container.</t>
        </is>
      </c>
      <c r="P161" s="4" t="inlineStr">
        <is>
          <t>Pickup : 2026-10-08, Return : 2026-10-09</t>
        </is>
      </c>
      <c r="Q161" s="4" t="n">
        <v>0</v>
      </c>
      <c r="R161" s="4" t="n">
        <v>0</v>
      </c>
      <c r="S161" s="4" t="n">
        <v>10</v>
      </c>
      <c r="T161" s="4" t="n">
        <v>0</v>
      </c>
      <c r="U161" s="4" t="n">
        <v>0</v>
      </c>
      <c r="V161" s="4" t="n">
        <v>0</v>
      </c>
      <c r="W161" s="4" t="n">
        <v>0</v>
      </c>
      <c r="X161" s="4" t="n">
        <v>0</v>
      </c>
      <c r="Y161" s="4" t="n">
        <v>0</v>
      </c>
      <c r="Z161" s="4" t="n">
        <v>0</v>
      </c>
      <c r="AA161" s="4" t="n">
        <v>0</v>
      </c>
      <c r="AB161" s="4">
        <f>SUM(Q161:Y161)-Z161</f>
        <v/>
      </c>
      <c r="AC161" s="4">
        <f>IF(I161="","",IF(OR(LEFT(I161,3)="BKK",I161="LCH55"),"BKK",IF(LEFT(I161,3)="LCH","LCH","OTHER")))</f>
        <v/>
      </c>
      <c r="AD161" s="4">
        <f>MAX(0,Q161-MAX(0,Z161))</f>
        <v/>
      </c>
      <c r="AE161" s="4">
        <f>MAX(0,R161-MAX(0,Z161-SUM(Q161:Q161)))</f>
        <v/>
      </c>
      <c r="AF161" s="4">
        <f>MAX(0,S161-MAX(0,Z161-SUM(Q161:R161)))</f>
        <v/>
      </c>
      <c r="AG161" s="4">
        <f>MAX(0,T161-MAX(0,Z161-SUM(Q161:S161)))</f>
        <v/>
      </c>
      <c r="AH161" s="4">
        <f>MAX(0,U161-MAX(0,Z161-SUM(Q161:T161)))</f>
        <v/>
      </c>
      <c r="AI161" s="4">
        <f>MAX(0,V161-MAX(0,Z161-SUM(Q161:U161)))</f>
        <v/>
      </c>
      <c r="AJ161" s="4">
        <f>MAX(0,W161-MAX(0,Z161-SUM(Q161:V161)))</f>
        <v/>
      </c>
      <c r="AK161" s="4">
        <f>MAX(0,X161-MAX(0,Z161-SUM(Q161:W161)))</f>
        <v/>
      </c>
      <c r="AL161" s="4">
        <f>MAX(0,Y161-MAX(0,Z161-SUM(Q161:X161)))</f>
        <v/>
      </c>
    </row>
    <row r="162">
      <c r="A162" s="4" t="inlineStr">
        <is>
          <t>HASLS22260901690</t>
        </is>
      </c>
      <c r="B162" s="4" t="inlineStr">
        <is>
          <t>SWSP</t>
        </is>
      </c>
      <c r="C162" s="4" t="inlineStr">
        <is>
          <t>2609N</t>
        </is>
      </c>
      <c r="D162" s="4" t="inlineStr">
        <is>
          <t>202610071530</t>
        </is>
      </c>
      <c r="E162" s="4" t="inlineStr"/>
      <c r="F162" s="4" t="inlineStr">
        <is>
          <t>THBKK</t>
        </is>
      </c>
      <c r="G162" s="4" t="inlineStr">
        <is>
          <t>VNSGN</t>
        </is>
      </c>
      <c r="H162" s="4" t="inlineStr">
        <is>
          <t xml:space="preserve">40Hx2 </t>
        </is>
      </c>
      <c r="I162" s="4" t="inlineStr">
        <is>
          <t>BKK27</t>
        </is>
      </c>
      <c r="J162" s="4" t="inlineStr">
        <is>
          <t>B.C. DEPOT CO.,LTD. ( Bang-Na KM.18)</t>
        </is>
      </c>
      <c r="K162" s="4" t="inlineStr">
        <is>
          <t>20260929</t>
        </is>
      </c>
      <c r="L162" s="4" t="inlineStr">
        <is>
          <t>BEE LOGISTICS (THAILAND) CO., LTD.</t>
        </is>
      </c>
      <c r="M162" s="4" t="inlineStr">
        <is>
          <t>DANONE SPECIALIZED NUTRITION (THAILAND) CO., LTD.</t>
        </is>
      </c>
      <c r="N162" s="4" t="inlineStr">
        <is>
          <t>APTAMIL KID UHT</t>
        </is>
      </c>
      <c r="O162" s="4" t="inlineStr">
        <is>
          <t>GOOD AND CLEAN CONTAINER</t>
        </is>
      </c>
      <c r="P162" s="4" t="inlineStr">
        <is>
          <t>Pickup : 2026-09-29, Return : 2026-10-01</t>
        </is>
      </c>
      <c r="Q162" s="4" t="n">
        <v>0</v>
      </c>
      <c r="R162" s="4" t="n">
        <v>0</v>
      </c>
      <c r="S162" s="4" t="n">
        <v>2</v>
      </c>
      <c r="T162" s="4" t="n">
        <v>0</v>
      </c>
      <c r="U162" s="4" t="n">
        <v>0</v>
      </c>
      <c r="V162" s="4" t="n">
        <v>0</v>
      </c>
      <c r="W162" s="4" t="n">
        <v>0</v>
      </c>
      <c r="X162" s="4" t="n">
        <v>0</v>
      </c>
      <c r="Y162" s="4" t="n">
        <v>0</v>
      </c>
      <c r="Z162" s="4" t="n">
        <v>0</v>
      </c>
      <c r="AA162" s="4" t="n">
        <v>0</v>
      </c>
      <c r="AB162" s="4">
        <f>SUM(Q162:Y162)-Z162</f>
        <v/>
      </c>
      <c r="AC162" s="4">
        <f>IF(I162="","",IF(OR(LEFT(I162,3)="BKK",I162="LCH55"),"BKK",IF(LEFT(I162,3)="LCH","LCH","OTHER")))</f>
        <v/>
      </c>
      <c r="AD162" s="4">
        <f>MAX(0,Q162-MAX(0,Z162))</f>
        <v/>
      </c>
      <c r="AE162" s="4">
        <f>MAX(0,R162-MAX(0,Z162-SUM(Q162:Q162)))</f>
        <v/>
      </c>
      <c r="AF162" s="4">
        <f>MAX(0,S162-MAX(0,Z162-SUM(Q162:R162)))</f>
        <v/>
      </c>
      <c r="AG162" s="4">
        <f>MAX(0,T162-MAX(0,Z162-SUM(Q162:S162)))</f>
        <v/>
      </c>
      <c r="AH162" s="4">
        <f>MAX(0,U162-MAX(0,Z162-SUM(Q162:T162)))</f>
        <v/>
      </c>
      <c r="AI162" s="4">
        <f>MAX(0,V162-MAX(0,Z162-SUM(Q162:U162)))</f>
        <v/>
      </c>
      <c r="AJ162" s="4">
        <f>MAX(0,W162-MAX(0,Z162-SUM(Q162:V162)))</f>
        <v/>
      </c>
      <c r="AK162" s="4">
        <f>MAX(0,X162-MAX(0,Z162-SUM(Q162:W162)))</f>
        <v/>
      </c>
      <c r="AL162" s="4">
        <f>MAX(0,Y162-MAX(0,Z162-SUM(Q162:X162)))</f>
        <v/>
      </c>
    </row>
    <row r="163">
      <c r="A163" s="4" t="inlineStr">
        <is>
          <t>HASLS22260901692</t>
        </is>
      </c>
      <c r="B163" s="4" t="inlineStr">
        <is>
          <t>KMBK</t>
        </is>
      </c>
      <c r="C163" s="4" t="inlineStr">
        <is>
          <t>2612N</t>
        </is>
      </c>
      <c r="D163" s="4" t="inlineStr">
        <is>
          <t>202610240200</t>
        </is>
      </c>
      <c r="E163" s="4" t="inlineStr"/>
      <c r="F163" s="4" t="inlineStr">
        <is>
          <t>THBKK</t>
        </is>
      </c>
      <c r="G163" s="4" t="inlineStr">
        <is>
          <t>JPKIJ</t>
        </is>
      </c>
      <c r="H163" s="4" t="inlineStr">
        <is>
          <t xml:space="preserve">20'x6 </t>
        </is>
      </c>
      <c r="I163" s="4" t="inlineStr">
        <is>
          <t>BKK27</t>
        </is>
      </c>
      <c r="J163" s="4" t="inlineStr">
        <is>
          <t>B.C. DEPOT CO.,LTD. ( Bang-Na KM.18)</t>
        </is>
      </c>
      <c r="K163" s="4" t="inlineStr">
        <is>
          <t>20261017</t>
        </is>
      </c>
      <c r="L163" s="4" t="inlineStr">
        <is>
          <t>GENERAL FOOD PRODUCTS CO., LTD.</t>
        </is>
      </c>
      <c r="M163" s="4" t="inlineStr">
        <is>
          <t>GENERAL FOOD PRODUCTS CO., LTD.</t>
        </is>
      </c>
      <c r="N163" s="4" t="inlineStr">
        <is>
          <t>FLOURS</t>
        </is>
      </c>
      <c r="O163" s="4" t="inlineStr">
        <is>
          <t>Container Grade A</t>
        </is>
      </c>
      <c r="P163" s="4" t="inlineStr">
        <is>
          <t>Pickup : 2026-10-17, Return : 2026-10-21</t>
        </is>
      </c>
      <c r="Q163" s="4" t="n">
        <v>6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>
        <f>SUM(Q163:Y163)-Z163</f>
        <v/>
      </c>
      <c r="AC163" s="4">
        <f>IF(I163="","",IF(OR(LEFT(I163,3)="BKK",I163="LCH55"),"BKK",IF(LEFT(I163,3)="LCH","LCH","OTHER")))</f>
        <v/>
      </c>
      <c r="AD163" s="4">
        <f>MAX(0,Q163-MAX(0,Z163))</f>
        <v/>
      </c>
      <c r="AE163" s="4">
        <f>MAX(0,R163-MAX(0,Z163-SUM(Q163:Q163)))</f>
        <v/>
      </c>
      <c r="AF163" s="4">
        <f>MAX(0,S163-MAX(0,Z163-SUM(Q163:R163)))</f>
        <v/>
      </c>
      <c r="AG163" s="4">
        <f>MAX(0,T163-MAX(0,Z163-SUM(Q163:S163)))</f>
        <v/>
      </c>
      <c r="AH163" s="4">
        <f>MAX(0,U163-MAX(0,Z163-SUM(Q163:T163)))</f>
        <v/>
      </c>
      <c r="AI163" s="4">
        <f>MAX(0,V163-MAX(0,Z163-SUM(Q163:U163)))</f>
        <v/>
      </c>
      <c r="AJ163" s="4">
        <f>MAX(0,W163-MAX(0,Z163-SUM(Q163:V163)))</f>
        <v/>
      </c>
      <c r="AK163" s="4">
        <f>MAX(0,X163-MAX(0,Z163-SUM(Q163:W163)))</f>
        <v/>
      </c>
      <c r="AL163" s="4">
        <f>MAX(0,Y163-MAX(0,Z163-SUM(Q163:X163)))</f>
        <v/>
      </c>
    </row>
    <row r="164">
      <c r="A164" s="4" t="inlineStr">
        <is>
          <t>HASLS22260901694</t>
        </is>
      </c>
      <c r="B164" s="4" t="inlineStr">
        <is>
          <t>SWSR</t>
        </is>
      </c>
      <c r="C164" s="4" t="inlineStr">
        <is>
          <t>2611N</t>
        </is>
      </c>
      <c r="D164" s="4" t="inlineStr">
        <is>
          <t>202610110900</t>
        </is>
      </c>
      <c r="E164" s="4" t="inlineStr"/>
      <c r="F164" s="4" t="inlineStr">
        <is>
          <t>THBKK</t>
        </is>
      </c>
      <c r="G164" s="4" t="inlineStr">
        <is>
          <t>HKHKG</t>
        </is>
      </c>
      <c r="H164" s="4" t="inlineStr">
        <is>
          <t xml:space="preserve">40Hx1 </t>
        </is>
      </c>
      <c r="I164" s="4" t="inlineStr">
        <is>
          <t>BKK27</t>
        </is>
      </c>
      <c r="J164" s="4" t="inlineStr">
        <is>
          <t>B.C. DEPOT CO.,LTD. ( Bang-Na KM.18)</t>
        </is>
      </c>
      <c r="K164" s="4" t="inlineStr">
        <is>
          <t>20261005</t>
        </is>
      </c>
      <c r="L164" s="4" t="inlineStr">
        <is>
          <t>MULTI FREIGHT SYSTEM CO., LTD.</t>
        </is>
      </c>
      <c r="M164" s="4" t="inlineStr">
        <is>
          <t>CHAOSUA FOODS INDUSTRY PUBLIC COMPANY LIMITED</t>
        </is>
      </c>
      <c r="N164" s="4" t="inlineStr">
        <is>
          <t>FOOD STUFFS</t>
        </is>
      </c>
      <c r="O164" s="4" t="inlineStr">
        <is>
          <t>GOOD AND CLEAN CONTAINER</t>
        </is>
      </c>
      <c r="P164" s="4" t="inlineStr">
        <is>
          <t>Pickup : 2026-10-05, Return : 2026-10-06</t>
        </is>
      </c>
      <c r="Q164" s="4" t="n">
        <v>0</v>
      </c>
      <c r="R164" s="4" t="n">
        <v>0</v>
      </c>
      <c r="S164" s="4" t="n">
        <v>1</v>
      </c>
      <c r="T164" s="4" t="n">
        <v>0</v>
      </c>
      <c r="U164" s="4" t="n">
        <v>0</v>
      </c>
      <c r="V164" s="4" t="n">
        <v>0</v>
      </c>
      <c r="W164" s="4" t="n">
        <v>0</v>
      </c>
      <c r="X164" s="4" t="n">
        <v>0</v>
      </c>
      <c r="Y164" s="4" t="n">
        <v>0</v>
      </c>
      <c r="Z164" s="4" t="n">
        <v>0</v>
      </c>
      <c r="AA164" s="4" t="n">
        <v>0</v>
      </c>
      <c r="AB164" s="4">
        <f>SUM(Q164:Y164)-Z164</f>
        <v/>
      </c>
      <c r="AC164" s="4">
        <f>IF(I164="","",IF(OR(LEFT(I164,3)="BKK",I164="LCH55"),"BKK",IF(LEFT(I164,3)="LCH","LCH","OTHER")))</f>
        <v/>
      </c>
      <c r="AD164" s="4">
        <f>MAX(0,Q164-MAX(0,Z164))</f>
        <v/>
      </c>
      <c r="AE164" s="4">
        <f>MAX(0,R164-MAX(0,Z164-SUM(Q164:Q164)))</f>
        <v/>
      </c>
      <c r="AF164" s="4">
        <f>MAX(0,S164-MAX(0,Z164-SUM(Q164:R164)))</f>
        <v/>
      </c>
      <c r="AG164" s="4">
        <f>MAX(0,T164-MAX(0,Z164-SUM(Q164:S164)))</f>
        <v/>
      </c>
      <c r="AH164" s="4">
        <f>MAX(0,U164-MAX(0,Z164-SUM(Q164:T164)))</f>
        <v/>
      </c>
      <c r="AI164" s="4">
        <f>MAX(0,V164-MAX(0,Z164-SUM(Q164:U164)))</f>
        <v/>
      </c>
      <c r="AJ164" s="4">
        <f>MAX(0,W164-MAX(0,Z164-SUM(Q164:V164)))</f>
        <v/>
      </c>
      <c r="AK164" s="4">
        <f>MAX(0,X164-MAX(0,Z164-SUM(Q164:W164)))</f>
        <v/>
      </c>
      <c r="AL164" s="4">
        <f>MAX(0,Y164-MAX(0,Z164-SUM(Q164:X164)))</f>
        <v/>
      </c>
    </row>
    <row r="165">
      <c r="A165" s="4" t="inlineStr">
        <is>
          <t>HASLS22260901700</t>
        </is>
      </c>
      <c r="B165" s="4" t="inlineStr">
        <is>
          <t>SWAT</t>
        </is>
      </c>
      <c r="C165" s="4" t="inlineStr">
        <is>
          <t>2610N</t>
        </is>
      </c>
      <c r="D165" s="4" t="inlineStr">
        <is>
          <t>202610071700</t>
        </is>
      </c>
      <c r="E165" s="4" t="inlineStr"/>
      <c r="F165" s="4" t="inlineStr">
        <is>
          <t>THBKK</t>
        </is>
      </c>
      <c r="G165" s="4" t="inlineStr">
        <is>
          <t>TWKEL</t>
        </is>
      </c>
      <c r="H165" s="4" t="inlineStr">
        <is>
          <t xml:space="preserve">20'x1 </t>
        </is>
      </c>
      <c r="I165" s="4" t="inlineStr">
        <is>
          <t>BKK27</t>
        </is>
      </c>
      <c r="J165" s="4" t="inlineStr">
        <is>
          <t>B.C. DEPOT CO.,LTD. ( Bang-Na KM.18)</t>
        </is>
      </c>
      <c r="K165" s="4" t="inlineStr">
        <is>
          <t>20260930</t>
        </is>
      </c>
      <c r="L165" s="4" t="inlineStr">
        <is>
          <t>EXPEDITORS (THAILAND) LTD.</t>
        </is>
      </c>
      <c r="M165" s="4" t="inlineStr">
        <is>
          <t>THAI SEISEN CO., LTD.</t>
        </is>
      </c>
      <c r="N165" s="4" t="inlineStr">
        <is>
          <t xml:space="preserve">STAINLESS STEEL WIRE </t>
        </is>
      </c>
      <c r="O165" s="4" t="inlineStr">
        <is>
          <t>Request well clean and dry cntrs ,</t>
        </is>
      </c>
      <c r="P165" s="4" t="inlineStr">
        <is>
          <t xml:space="preserve">Pickup : 2026-09-30, Return : 2026-09-30 </t>
        </is>
      </c>
      <c r="Q165" s="4" t="n">
        <v>1</v>
      </c>
      <c r="R165" s="4" t="n">
        <v>0</v>
      </c>
      <c r="S165" s="4" t="n">
        <v>0</v>
      </c>
      <c r="T165" s="4" t="n">
        <v>0</v>
      </c>
      <c r="U165" s="4" t="n">
        <v>0</v>
      </c>
      <c r="V165" s="4" t="n">
        <v>0</v>
      </c>
      <c r="W165" s="4" t="n">
        <v>0</v>
      </c>
      <c r="X165" s="4" t="n">
        <v>0</v>
      </c>
      <c r="Y165" s="4" t="n">
        <v>0</v>
      </c>
      <c r="Z165" s="4" t="n">
        <v>0</v>
      </c>
      <c r="AA165" s="4" t="n">
        <v>0</v>
      </c>
      <c r="AB165" s="4">
        <f>SUM(Q165:Y165)-Z165</f>
        <v/>
      </c>
      <c r="AC165" s="4">
        <f>IF(I165="","",IF(OR(LEFT(I165,3)="BKK",I165="LCH55"),"BKK",IF(LEFT(I165,3)="LCH","LCH","OTHER")))</f>
        <v/>
      </c>
      <c r="AD165" s="4">
        <f>MAX(0,Q165-MAX(0,Z165))</f>
        <v/>
      </c>
      <c r="AE165" s="4">
        <f>MAX(0,R165-MAX(0,Z165-SUM(Q165:Q165)))</f>
        <v/>
      </c>
      <c r="AF165" s="4">
        <f>MAX(0,S165-MAX(0,Z165-SUM(Q165:R165)))</f>
        <v/>
      </c>
      <c r="AG165" s="4">
        <f>MAX(0,T165-MAX(0,Z165-SUM(Q165:S165)))</f>
        <v/>
      </c>
      <c r="AH165" s="4">
        <f>MAX(0,U165-MAX(0,Z165-SUM(Q165:T165)))</f>
        <v/>
      </c>
      <c r="AI165" s="4">
        <f>MAX(0,V165-MAX(0,Z165-SUM(Q165:U165)))</f>
        <v/>
      </c>
      <c r="AJ165" s="4">
        <f>MAX(0,W165-MAX(0,Z165-SUM(Q165:V165)))</f>
        <v/>
      </c>
      <c r="AK165" s="4">
        <f>MAX(0,X165-MAX(0,Z165-SUM(Q165:W165)))</f>
        <v/>
      </c>
      <c r="AL165" s="4">
        <f>MAX(0,Y165-MAX(0,Z165-SUM(Q165:X165)))</f>
        <v/>
      </c>
    </row>
    <row r="166">
      <c r="A166" s="4" t="inlineStr">
        <is>
          <t>HASLS22260901710</t>
        </is>
      </c>
      <c r="B166" s="4" t="inlineStr">
        <is>
          <t>SWIC</t>
        </is>
      </c>
      <c r="C166" s="4" t="inlineStr">
        <is>
          <t>2611N</t>
        </is>
      </c>
      <c r="D166" s="4" t="inlineStr">
        <is>
          <t>202610130700</t>
        </is>
      </c>
      <c r="E166" s="4" t="inlineStr"/>
      <c r="F166" s="4" t="inlineStr">
        <is>
          <t>THBKK</t>
        </is>
      </c>
      <c r="G166" s="4" t="inlineStr">
        <is>
          <t>JPSBS</t>
        </is>
      </c>
      <c r="H166" s="4" t="inlineStr">
        <is>
          <t xml:space="preserve">20'x5 </t>
        </is>
      </c>
      <c r="I166" s="4" t="inlineStr">
        <is>
          <t>BKK27</t>
        </is>
      </c>
      <c r="J166" s="4" t="inlineStr">
        <is>
          <t>B.C. DEPOT CO.,LTD. ( Bang-Na KM.18)</t>
        </is>
      </c>
      <c r="K166" s="4" t="inlineStr">
        <is>
          <t>20261008</t>
        </is>
      </c>
      <c r="L166" s="4" t="inlineStr">
        <is>
          <t>STARFISH CO., LTD.</t>
        </is>
      </c>
      <c r="M166" s="4" t="inlineStr">
        <is>
          <t>STARFISH CO., LTD.</t>
        </is>
      </c>
      <c r="N166" s="4" t="inlineStr">
        <is>
          <t>FISH MEAL</t>
        </is>
      </c>
      <c r="O166" s="4" t="inlineStr">
        <is>
          <t>GOOD CONDITION</t>
        </is>
      </c>
      <c r="P166" s="4" t="inlineStr">
        <is>
          <t>Pickup : 2026-10-08, Return : 2026-10-09</t>
        </is>
      </c>
      <c r="Q166" s="4" t="n">
        <v>5</v>
      </c>
      <c r="R166" s="4" t="n">
        <v>0</v>
      </c>
      <c r="S166" s="4" t="n">
        <v>0</v>
      </c>
      <c r="T166" s="4" t="n">
        <v>0</v>
      </c>
      <c r="U166" s="4" t="n">
        <v>0</v>
      </c>
      <c r="V166" s="4" t="n">
        <v>0</v>
      </c>
      <c r="W166" s="4" t="n">
        <v>0</v>
      </c>
      <c r="X166" s="4" t="n">
        <v>0</v>
      </c>
      <c r="Y166" s="4" t="n">
        <v>0</v>
      </c>
      <c r="Z166" s="4" t="n">
        <v>0</v>
      </c>
      <c r="AA166" s="4" t="n">
        <v>0</v>
      </c>
      <c r="AB166" s="4">
        <f>SUM(Q166:Y166)-Z166</f>
        <v/>
      </c>
      <c r="AC166" s="4">
        <f>IF(I166="","",IF(OR(LEFT(I166,3)="BKK",I166="LCH55"),"BKK",IF(LEFT(I166,3)="LCH","LCH","OTHER")))</f>
        <v/>
      </c>
      <c r="AD166" s="4">
        <f>MAX(0,Q166-MAX(0,Z166))</f>
        <v/>
      </c>
      <c r="AE166" s="4">
        <f>MAX(0,R166-MAX(0,Z166-SUM(Q166:Q166)))</f>
        <v/>
      </c>
      <c r="AF166" s="4">
        <f>MAX(0,S166-MAX(0,Z166-SUM(Q166:R166)))</f>
        <v/>
      </c>
      <c r="AG166" s="4">
        <f>MAX(0,T166-MAX(0,Z166-SUM(Q166:S166)))</f>
        <v/>
      </c>
      <c r="AH166" s="4">
        <f>MAX(0,U166-MAX(0,Z166-SUM(Q166:T166)))</f>
        <v/>
      </c>
      <c r="AI166" s="4">
        <f>MAX(0,V166-MAX(0,Z166-SUM(Q166:U166)))</f>
        <v/>
      </c>
      <c r="AJ166" s="4">
        <f>MAX(0,W166-MAX(0,Z166-SUM(Q166:V166)))</f>
        <v/>
      </c>
      <c r="AK166" s="4">
        <f>MAX(0,X166-MAX(0,Z166-SUM(Q166:W166)))</f>
        <v/>
      </c>
      <c r="AL166" s="4">
        <f>MAX(0,Y166-MAX(0,Z166-SUM(Q166:X166)))</f>
        <v/>
      </c>
    </row>
    <row r="167">
      <c r="A167" s="4" t="inlineStr">
        <is>
          <t>HASLS22260901712</t>
        </is>
      </c>
      <c r="B167" s="4" t="inlineStr">
        <is>
          <t>SWSP</t>
        </is>
      </c>
      <c r="C167" s="4" t="inlineStr">
        <is>
          <t>2609N</t>
        </is>
      </c>
      <c r="D167" s="4" t="inlineStr">
        <is>
          <t>202610071530</t>
        </is>
      </c>
      <c r="E167" s="4" t="inlineStr"/>
      <c r="F167" s="4" t="inlineStr">
        <is>
          <t>THBKK</t>
        </is>
      </c>
      <c r="G167" s="4" t="inlineStr">
        <is>
          <t>JPNAH</t>
        </is>
      </c>
      <c r="H167" s="4" t="inlineStr">
        <is>
          <t xml:space="preserve">R40Hx1 </t>
        </is>
      </c>
      <c r="I167" s="4" t="inlineStr">
        <is>
          <t>BKK27</t>
        </is>
      </c>
      <c r="J167" s="4" t="inlineStr">
        <is>
          <t>B.C. DEPOT CO.,LTD. ( Bang-Na KM.18)</t>
        </is>
      </c>
      <c r="K167" s="4" t="inlineStr">
        <is>
          <t>20260928</t>
        </is>
      </c>
      <c r="L167" s="4" t="inlineStr">
        <is>
          <t>KODAI (THAILAND) CO., LTD.</t>
        </is>
      </c>
      <c r="M167" s="4" t="inlineStr">
        <is>
          <t>CARGILL MEATS (THAILAND) LIMITED</t>
        </is>
      </c>
      <c r="N167" s="4" t="inlineStr">
        <is>
          <t>FROZEN CHICKEN</t>
        </is>
      </c>
      <c r="O167" s="4" t="inlineStr">
        <is>
          <t>(Temp -18.0℃ / Vent Close)</t>
        </is>
      </c>
      <c r="P167" s="4" t="inlineStr">
        <is>
          <t xml:space="preserve">Pickup : 2026-09-28, Return : 2026-09-29 (Temp -18.0 / Vent Close) 
CLS TIME DD.03/10/2026 @ 23.59 </t>
        </is>
      </c>
      <c r="Q167" s="4" t="n">
        <v>0</v>
      </c>
      <c r="R167" s="4" t="n">
        <v>0</v>
      </c>
      <c r="S167" s="4" t="n">
        <v>0</v>
      </c>
      <c r="T167" s="4" t="n">
        <v>0</v>
      </c>
      <c r="U167" s="4" t="n">
        <v>1</v>
      </c>
      <c r="V167" s="4" t="n">
        <v>0</v>
      </c>
      <c r="W167" s="4" t="n">
        <v>0</v>
      </c>
      <c r="X167" s="4" t="n">
        <v>0</v>
      </c>
      <c r="Y167" s="4" t="n">
        <v>0</v>
      </c>
      <c r="Z167" s="4" t="n">
        <v>0</v>
      </c>
      <c r="AA167" s="4" t="n">
        <v>0</v>
      </c>
      <c r="AB167" s="4">
        <f>SUM(Q167:Y167)-Z167</f>
        <v/>
      </c>
      <c r="AC167" s="4">
        <f>IF(I167="","",IF(OR(LEFT(I167,3)="BKK",I167="LCH55"),"BKK",IF(LEFT(I167,3)="LCH","LCH","OTHER")))</f>
        <v/>
      </c>
      <c r="AD167" s="4">
        <f>MAX(0,Q167-MAX(0,Z167))</f>
        <v/>
      </c>
      <c r="AE167" s="4">
        <f>MAX(0,R167-MAX(0,Z167-SUM(Q167:Q167)))</f>
        <v/>
      </c>
      <c r="AF167" s="4">
        <f>MAX(0,S167-MAX(0,Z167-SUM(Q167:R167)))</f>
        <v/>
      </c>
      <c r="AG167" s="4">
        <f>MAX(0,T167-MAX(0,Z167-SUM(Q167:S167)))</f>
        <v/>
      </c>
      <c r="AH167" s="4">
        <f>MAX(0,U167-MAX(0,Z167-SUM(Q167:T167)))</f>
        <v/>
      </c>
      <c r="AI167" s="4">
        <f>MAX(0,V167-MAX(0,Z167-SUM(Q167:U167)))</f>
        <v/>
      </c>
      <c r="AJ167" s="4">
        <f>MAX(0,W167-MAX(0,Z167-SUM(Q167:V167)))</f>
        <v/>
      </c>
      <c r="AK167" s="4">
        <f>MAX(0,X167-MAX(0,Z167-SUM(Q167:W167)))</f>
        <v/>
      </c>
      <c r="AL167" s="4">
        <f>MAX(0,Y167-MAX(0,Z167-SUM(Q167:X167)))</f>
        <v/>
      </c>
    </row>
    <row r="168">
      <c r="A168" s="4" t="inlineStr">
        <is>
          <t>HASLS22260901714</t>
        </is>
      </c>
      <c r="B168" s="4" t="inlineStr">
        <is>
          <t>SWSR</t>
        </is>
      </c>
      <c r="C168" s="4" t="inlineStr">
        <is>
          <t>2611N</t>
        </is>
      </c>
      <c r="D168" s="4" t="inlineStr">
        <is>
          <t>202610110900</t>
        </is>
      </c>
      <c r="E168" s="4" t="inlineStr"/>
      <c r="F168" s="4" t="inlineStr">
        <is>
          <t>THBKK</t>
        </is>
      </c>
      <c r="G168" s="4" t="inlineStr">
        <is>
          <t>HKHKG</t>
        </is>
      </c>
      <c r="H168" s="4" t="inlineStr">
        <is>
          <t xml:space="preserve">40Hx1 </t>
        </is>
      </c>
      <c r="I168" s="4" t="inlineStr">
        <is>
          <t>BKK27</t>
        </is>
      </c>
      <c r="J168" s="4" t="inlineStr">
        <is>
          <t>B.C. DEPOT CO.,LTD. ( Bang-Na KM.18)</t>
        </is>
      </c>
      <c r="K168" s="4" t="inlineStr">
        <is>
          <t>20261005</t>
        </is>
      </c>
      <c r="L168" s="4" t="inlineStr">
        <is>
          <t>YUSEN LOGISTICS (THAILAND) CO., LTD.</t>
        </is>
      </c>
      <c r="M168" s="4" t="inlineStr">
        <is>
          <t>THAI NISSHIN TECHNOMIC CO., LTD.</t>
        </is>
      </c>
      <c r="N168" s="4" t="inlineStr">
        <is>
          <t>PREPARATION MIXED FLOUR POWDER</t>
        </is>
      </c>
      <c r="O168" s="4" t="inlineStr">
        <is>
          <t>GOOD DRY AND CLEAN 
CONTAINER</t>
        </is>
      </c>
      <c r="P168" s="4" t="inlineStr">
        <is>
          <t xml:space="preserve">Pickup : 2026-10-05, Return : 2026-10-05 (1ST RTN 06/10 W/O RENT) 
 CLS TIME 07/10 @18.00 </t>
        </is>
      </c>
      <c r="Q168" s="4" t="n">
        <v>0</v>
      </c>
      <c r="R168" s="4" t="n">
        <v>0</v>
      </c>
      <c r="S168" s="4" t="n">
        <v>1</v>
      </c>
      <c r="T168" s="4" t="n">
        <v>0</v>
      </c>
      <c r="U168" s="4" t="n">
        <v>0</v>
      </c>
      <c r="V168" s="4" t="n">
        <v>0</v>
      </c>
      <c r="W168" s="4" t="n">
        <v>0</v>
      </c>
      <c r="X168" s="4" t="n">
        <v>0</v>
      </c>
      <c r="Y168" s="4" t="n">
        <v>0</v>
      </c>
      <c r="Z168" s="4" t="n">
        <v>0</v>
      </c>
      <c r="AA168" s="4" t="n">
        <v>0</v>
      </c>
      <c r="AB168" s="4">
        <f>SUM(Q168:Y168)-Z168</f>
        <v/>
      </c>
      <c r="AC168" s="4">
        <f>IF(I168="","",IF(OR(LEFT(I168,3)="BKK",I168="LCH55"),"BKK",IF(LEFT(I168,3)="LCH","LCH","OTHER")))</f>
        <v/>
      </c>
      <c r="AD168" s="4">
        <f>MAX(0,Q168-MAX(0,Z168))</f>
        <v/>
      </c>
      <c r="AE168" s="4">
        <f>MAX(0,R168-MAX(0,Z168-SUM(Q168:Q168)))</f>
        <v/>
      </c>
      <c r="AF168" s="4">
        <f>MAX(0,S168-MAX(0,Z168-SUM(Q168:R168)))</f>
        <v/>
      </c>
      <c r="AG168" s="4">
        <f>MAX(0,T168-MAX(0,Z168-SUM(Q168:S168)))</f>
        <v/>
      </c>
      <c r="AH168" s="4">
        <f>MAX(0,U168-MAX(0,Z168-SUM(Q168:T168)))</f>
        <v/>
      </c>
      <c r="AI168" s="4">
        <f>MAX(0,V168-MAX(0,Z168-SUM(Q168:U168)))</f>
        <v/>
      </c>
      <c r="AJ168" s="4">
        <f>MAX(0,W168-MAX(0,Z168-SUM(Q168:V168)))</f>
        <v/>
      </c>
      <c r="AK168" s="4">
        <f>MAX(0,X168-MAX(0,Z168-SUM(Q168:W168)))</f>
        <v/>
      </c>
      <c r="AL168" s="4">
        <f>MAX(0,Y168-MAX(0,Z168-SUM(Q168:X168)))</f>
        <v/>
      </c>
    </row>
    <row r="169">
      <c r="A169" s="4" t="inlineStr">
        <is>
          <t>HASLS22260901723</t>
        </is>
      </c>
      <c r="B169" s="4" t="inlineStr">
        <is>
          <t>HAHM</t>
        </is>
      </c>
      <c r="C169" s="4" t="inlineStr">
        <is>
          <t>2612N</t>
        </is>
      </c>
      <c r="D169" s="4" t="inlineStr">
        <is>
          <t>202610211800</t>
        </is>
      </c>
      <c r="E169" s="4" t="inlineStr"/>
      <c r="F169" s="4" t="inlineStr">
        <is>
          <t>THBKK</t>
        </is>
      </c>
      <c r="G169" s="4" t="inlineStr">
        <is>
          <t>KRKAN</t>
        </is>
      </c>
      <c r="H169" s="4" t="inlineStr">
        <is>
          <t xml:space="preserve">40Hx5 </t>
        </is>
      </c>
      <c r="I169" s="4" t="inlineStr">
        <is>
          <t>BKK27</t>
        </is>
      </c>
      <c r="J169" s="4" t="inlineStr">
        <is>
          <t>B.C. DEPOT CO.,LTD. ( Bang-Na KM.18)</t>
        </is>
      </c>
      <c r="K169" s="4" t="inlineStr">
        <is>
          <t>20261016</t>
        </is>
      </c>
      <c r="L169" s="4" t="inlineStr">
        <is>
          <t>HARPERS SEA FREIGHT CO., LTD.</t>
        </is>
      </c>
      <c r="M169" s="4" t="inlineStr">
        <is>
          <t>THAI ASAHI CO., LTD.</t>
        </is>
      </c>
      <c r="N169" s="4" t="inlineStr">
        <is>
          <t xml:space="preserve">POTATO STARCH </t>
        </is>
      </c>
      <c r="O169" s="4" t="inlineStr">
        <is>
          <t>Grade A and food grade container</t>
        </is>
      </c>
      <c r="P169" s="4" t="inlineStr">
        <is>
          <t>Pickup : 2026-10-16, Return : 2026-10-17</t>
        </is>
      </c>
      <c r="Q169" s="4" t="n">
        <v>0</v>
      </c>
      <c r="R169" s="4" t="n">
        <v>0</v>
      </c>
      <c r="S169" s="4" t="n">
        <v>5</v>
      </c>
      <c r="T169" s="4" t="n">
        <v>0</v>
      </c>
      <c r="U169" s="4" t="n">
        <v>0</v>
      </c>
      <c r="V169" s="4" t="n">
        <v>0</v>
      </c>
      <c r="W169" s="4" t="n">
        <v>0</v>
      </c>
      <c r="X169" s="4" t="n">
        <v>0</v>
      </c>
      <c r="Y169" s="4" t="n">
        <v>0</v>
      </c>
      <c r="Z169" s="4" t="n">
        <v>0</v>
      </c>
      <c r="AA169" s="4" t="n">
        <v>0</v>
      </c>
      <c r="AB169" s="4">
        <f>SUM(Q169:Y169)-Z169</f>
        <v/>
      </c>
      <c r="AC169" s="4">
        <f>IF(I169="","",IF(OR(LEFT(I169,3)="BKK",I169="LCH55"),"BKK",IF(LEFT(I169,3)="LCH","LCH","OTHER")))</f>
        <v/>
      </c>
      <c r="AD169" s="4">
        <f>MAX(0,Q169-MAX(0,Z169))</f>
        <v/>
      </c>
      <c r="AE169" s="4">
        <f>MAX(0,R169-MAX(0,Z169-SUM(Q169:Q169)))</f>
        <v/>
      </c>
      <c r="AF169" s="4">
        <f>MAX(0,S169-MAX(0,Z169-SUM(Q169:R169)))</f>
        <v/>
      </c>
      <c r="AG169" s="4">
        <f>MAX(0,T169-MAX(0,Z169-SUM(Q169:S169)))</f>
        <v/>
      </c>
      <c r="AH169" s="4">
        <f>MAX(0,U169-MAX(0,Z169-SUM(Q169:T169)))</f>
        <v/>
      </c>
      <c r="AI169" s="4">
        <f>MAX(0,V169-MAX(0,Z169-SUM(Q169:U169)))</f>
        <v/>
      </c>
      <c r="AJ169" s="4">
        <f>MAX(0,W169-MAX(0,Z169-SUM(Q169:V169)))</f>
        <v/>
      </c>
      <c r="AK169" s="4">
        <f>MAX(0,X169-MAX(0,Z169-SUM(Q169:W169)))</f>
        <v/>
      </c>
      <c r="AL169" s="4">
        <f>MAX(0,Y169-MAX(0,Z169-SUM(Q169:X169)))</f>
        <v/>
      </c>
    </row>
    <row r="170">
      <c r="A170" s="4" t="inlineStr">
        <is>
          <t>HASLS22260901736</t>
        </is>
      </c>
      <c r="B170" s="4" t="inlineStr">
        <is>
          <t>SWVG</t>
        </is>
      </c>
      <c r="C170" s="4" t="inlineStr">
        <is>
          <t>2612N</t>
        </is>
      </c>
      <c r="D170" s="4" t="inlineStr">
        <is>
          <t>202610070330</t>
        </is>
      </c>
      <c r="E170" s="4" t="inlineStr">
        <is>
          <t>THSRP</t>
        </is>
      </c>
      <c r="F170" s="4" t="inlineStr">
        <is>
          <t>THLCH</t>
        </is>
      </c>
      <c r="G170" s="4" t="inlineStr">
        <is>
          <t>CNSHA</t>
        </is>
      </c>
      <c r="H170" s="4" t="inlineStr">
        <is>
          <t xml:space="preserve">20'x1 </t>
        </is>
      </c>
      <c r="I170" s="4" t="inlineStr">
        <is>
          <t>BKK27</t>
        </is>
      </c>
      <c r="J170" s="4" t="inlineStr">
        <is>
          <t>B.C. DEPOT CO.,LTD. ( Bang-Na KM.18)</t>
        </is>
      </c>
      <c r="K170" s="4" t="inlineStr">
        <is>
          <t>20261001</t>
        </is>
      </c>
      <c r="L170" s="4" t="inlineStr">
        <is>
          <t>YUSEN LOGISTICS (THAILAND) CO., LTD.</t>
        </is>
      </c>
      <c r="M170" s="4" t="inlineStr">
        <is>
          <t>THAI FOODS INTERNATIONAL CO.,LTD.</t>
        </is>
      </c>
      <c r="N170" s="4" t="inlineStr">
        <is>
          <t>YEAST EXTRACT</t>
        </is>
      </c>
      <c r="O170" s="4" t="inlineStr">
        <is>
          <t>GOOD AND CLEAN CONTAINER</t>
        </is>
      </c>
      <c r="P170" s="4" t="inlineStr">
        <is>
          <t>Pickup : 2026-10-01, Return SRP : 2026-10-01 [PAPERLESS CODE 2829]
CLS TIME 02/10/26 @14.00</t>
        </is>
      </c>
      <c r="Q170" s="4" t="n">
        <v>1</v>
      </c>
      <c r="R170" s="4" t="n">
        <v>0</v>
      </c>
      <c r="S170" s="4" t="n">
        <v>0</v>
      </c>
      <c r="T170" s="4" t="n">
        <v>0</v>
      </c>
      <c r="U170" s="4" t="n">
        <v>0</v>
      </c>
      <c r="V170" s="4" t="n">
        <v>0</v>
      </c>
      <c r="W170" s="4" t="n">
        <v>0</v>
      </c>
      <c r="X170" s="4" t="n">
        <v>0</v>
      </c>
      <c r="Y170" s="4" t="n">
        <v>0</v>
      </c>
      <c r="Z170" s="4" t="n">
        <v>0</v>
      </c>
      <c r="AA170" s="4" t="n">
        <v>0</v>
      </c>
      <c r="AB170" s="4">
        <f>SUM(Q170:Y170)-Z170</f>
        <v/>
      </c>
      <c r="AC170" s="4">
        <f>IF(I170="","",IF(OR(LEFT(I170,3)="BKK",I170="LCH55"),"BKK",IF(LEFT(I170,3)="LCH","LCH","OTHER")))</f>
        <v/>
      </c>
      <c r="AD170" s="4">
        <f>MAX(0,Q170-MAX(0,Z170))</f>
        <v/>
      </c>
      <c r="AE170" s="4">
        <f>MAX(0,R170-MAX(0,Z170-SUM(Q170:Q170)))</f>
        <v/>
      </c>
      <c r="AF170" s="4">
        <f>MAX(0,S170-MAX(0,Z170-SUM(Q170:R170)))</f>
        <v/>
      </c>
      <c r="AG170" s="4">
        <f>MAX(0,T170-MAX(0,Z170-SUM(Q170:S170)))</f>
        <v/>
      </c>
      <c r="AH170" s="4">
        <f>MAX(0,U170-MAX(0,Z170-SUM(Q170:T170)))</f>
        <v/>
      </c>
      <c r="AI170" s="4">
        <f>MAX(0,V170-MAX(0,Z170-SUM(Q170:U170)))</f>
        <v/>
      </c>
      <c r="AJ170" s="4">
        <f>MAX(0,W170-MAX(0,Z170-SUM(Q170:V170)))</f>
        <v/>
      </c>
      <c r="AK170" s="4">
        <f>MAX(0,X170-MAX(0,Z170-SUM(Q170:W170)))</f>
        <v/>
      </c>
      <c r="AL170" s="4">
        <f>MAX(0,Y170-MAX(0,Z170-SUM(Q170:X170)))</f>
        <v/>
      </c>
    </row>
    <row r="171">
      <c r="A171" s="4" t="inlineStr">
        <is>
          <t>HASLS22260901740</t>
        </is>
      </c>
      <c r="B171" s="4" t="inlineStr">
        <is>
          <t>SWAT</t>
        </is>
      </c>
      <c r="C171" s="4" t="inlineStr">
        <is>
          <t>2610N</t>
        </is>
      </c>
      <c r="D171" s="4" t="inlineStr">
        <is>
          <t>202610071700</t>
        </is>
      </c>
      <c r="E171" s="4" t="inlineStr"/>
      <c r="F171" s="4" t="inlineStr">
        <is>
          <t>THBKK</t>
        </is>
      </c>
      <c r="G171" s="4" t="inlineStr">
        <is>
          <t>TWKEL</t>
        </is>
      </c>
      <c r="H171" s="4" t="inlineStr">
        <is>
          <t xml:space="preserve">20'x1 </t>
        </is>
      </c>
      <c r="I171" s="4" t="inlineStr">
        <is>
          <t>BKK27</t>
        </is>
      </c>
      <c r="J171" s="4" t="inlineStr">
        <is>
          <t>B.C. DEPOT CO.,LTD. ( Bang-Na KM.18)</t>
        </is>
      </c>
      <c r="K171" s="4" t="inlineStr">
        <is>
          <t>20261001</t>
        </is>
      </c>
      <c r="L171" s="4" t="inlineStr">
        <is>
          <t>LEO GLOBAL LOGISTICS PUBLIC COMPANY LIMITED</t>
        </is>
      </c>
      <c r="M171" s="4" t="inlineStr">
        <is>
          <t>SIAM CAST NYLON CO., LTD.</t>
        </is>
      </c>
      <c r="N171" s="4" t="inlineStr">
        <is>
          <t>FILTERS</t>
        </is>
      </c>
      <c r="O171" s="4" t="inlineStr">
        <is>
          <t>GOOD AND CLEAN CONTAINER</t>
        </is>
      </c>
      <c r="P171" s="4" t="inlineStr">
        <is>
          <t>Pickup : 2026-10-01, Return : 2026-10-02</t>
        </is>
      </c>
      <c r="Q171" s="4" t="n">
        <v>1</v>
      </c>
      <c r="R171" s="4" t="n">
        <v>0</v>
      </c>
      <c r="S171" s="4" t="n">
        <v>0</v>
      </c>
      <c r="T171" s="4" t="n">
        <v>0</v>
      </c>
      <c r="U171" s="4" t="n">
        <v>0</v>
      </c>
      <c r="V171" s="4" t="n">
        <v>0</v>
      </c>
      <c r="W171" s="4" t="n">
        <v>0</v>
      </c>
      <c r="X171" s="4" t="n">
        <v>0</v>
      </c>
      <c r="Y171" s="4" t="n">
        <v>0</v>
      </c>
      <c r="Z171" s="4" t="n">
        <v>0</v>
      </c>
      <c r="AA171" s="4" t="n">
        <v>0</v>
      </c>
      <c r="AB171" s="4">
        <f>SUM(Q171:Y171)-Z171</f>
        <v/>
      </c>
      <c r="AC171" s="4">
        <f>IF(I171="","",IF(OR(LEFT(I171,3)="BKK",I171="LCH55"),"BKK",IF(LEFT(I171,3)="LCH","LCH","OTHER")))</f>
        <v/>
      </c>
      <c r="AD171" s="4">
        <f>MAX(0,Q171-MAX(0,Z171))</f>
        <v/>
      </c>
      <c r="AE171" s="4">
        <f>MAX(0,R171-MAX(0,Z171-SUM(Q171:Q171)))</f>
        <v/>
      </c>
      <c r="AF171" s="4">
        <f>MAX(0,S171-MAX(0,Z171-SUM(Q171:R171)))</f>
        <v/>
      </c>
      <c r="AG171" s="4">
        <f>MAX(0,T171-MAX(0,Z171-SUM(Q171:S171)))</f>
        <v/>
      </c>
      <c r="AH171" s="4">
        <f>MAX(0,U171-MAX(0,Z171-SUM(Q171:T171)))</f>
        <v/>
      </c>
      <c r="AI171" s="4">
        <f>MAX(0,V171-MAX(0,Z171-SUM(Q171:U171)))</f>
        <v/>
      </c>
      <c r="AJ171" s="4">
        <f>MAX(0,W171-MAX(0,Z171-SUM(Q171:V171)))</f>
        <v/>
      </c>
      <c r="AK171" s="4">
        <f>MAX(0,X171-MAX(0,Z171-SUM(Q171:W171)))</f>
        <v/>
      </c>
      <c r="AL171" s="4">
        <f>MAX(0,Y171-MAX(0,Z171-SUM(Q171:X171)))</f>
        <v/>
      </c>
    </row>
    <row r="172">
      <c r="A172" s="4" t="inlineStr">
        <is>
          <t>HASLS22260901741</t>
        </is>
      </c>
      <c r="B172" s="4" t="inlineStr">
        <is>
          <t>KMBK</t>
        </is>
      </c>
      <c r="C172" s="4" t="inlineStr">
        <is>
          <t>2611N</t>
        </is>
      </c>
      <c r="D172" s="4" t="inlineStr">
        <is>
          <t>202610030900</t>
        </is>
      </c>
      <c r="E172" s="4" t="inlineStr"/>
      <c r="F172" s="4" t="inlineStr">
        <is>
          <t>THBKK</t>
        </is>
      </c>
      <c r="G172" s="4" t="inlineStr">
        <is>
          <t>VNSGN</t>
        </is>
      </c>
      <c r="H172" s="4" t="inlineStr">
        <is>
          <t xml:space="preserve">40Hx1 </t>
        </is>
      </c>
      <c r="I172" s="4" t="inlineStr">
        <is>
          <t>BKK27</t>
        </is>
      </c>
      <c r="J172" s="4" t="inlineStr">
        <is>
          <t>B.C. DEPOT CO.,LTD. ( Bang-Na KM.18)</t>
        </is>
      </c>
      <c r="K172" s="4" t="inlineStr">
        <is>
          <t>20260928</t>
        </is>
      </c>
      <c r="L172" s="4" t="inlineStr">
        <is>
          <t>ACCORD PILOT LOGISTICS (THAILAND) CO., LTD.</t>
        </is>
      </c>
      <c r="M172" s="4" t="inlineStr">
        <is>
          <t>CROWN FOOD PACKAGING (THAILAND) PUBLIC COMPANY LIMITED</t>
        </is>
      </c>
      <c r="N172" s="4" t="inlineStr">
        <is>
          <t>EMPTY CAN</t>
        </is>
      </c>
      <c r="O172" s="4" t="inlineStr">
        <is>
          <t>REQUEST CLEAN CONTAINER</t>
        </is>
      </c>
      <c r="P172" s="4" t="inlineStr">
        <is>
          <t>Pickup : 2026-09-28, Return : 2026-09-28</t>
        </is>
      </c>
      <c r="Q172" s="4" t="n">
        <v>0</v>
      </c>
      <c r="R172" s="4" t="n">
        <v>0</v>
      </c>
      <c r="S172" s="4" t="n">
        <v>1</v>
      </c>
      <c r="T172" s="4" t="n">
        <v>0</v>
      </c>
      <c r="U172" s="4" t="n">
        <v>0</v>
      </c>
      <c r="V172" s="4" t="n">
        <v>0</v>
      </c>
      <c r="W172" s="4" t="n">
        <v>0</v>
      </c>
      <c r="X172" s="4" t="n">
        <v>0</v>
      </c>
      <c r="Y172" s="4" t="n">
        <v>0</v>
      </c>
      <c r="Z172" s="4" t="n">
        <v>0</v>
      </c>
      <c r="AA172" s="4" t="n">
        <v>0</v>
      </c>
      <c r="AB172" s="4">
        <f>SUM(Q172:Y172)-Z172</f>
        <v/>
      </c>
      <c r="AC172" s="4">
        <f>IF(I172="","",IF(OR(LEFT(I172,3)="BKK",I172="LCH55"),"BKK",IF(LEFT(I172,3)="LCH","LCH","OTHER")))</f>
        <v/>
      </c>
      <c r="AD172" s="4">
        <f>MAX(0,Q172-MAX(0,Z172))</f>
        <v/>
      </c>
      <c r="AE172" s="4">
        <f>MAX(0,R172-MAX(0,Z172-SUM(Q172:Q172)))</f>
        <v/>
      </c>
      <c r="AF172" s="4">
        <f>MAX(0,S172-MAX(0,Z172-SUM(Q172:R172)))</f>
        <v/>
      </c>
      <c r="AG172" s="4">
        <f>MAX(0,T172-MAX(0,Z172-SUM(Q172:S172)))</f>
        <v/>
      </c>
      <c r="AH172" s="4">
        <f>MAX(0,U172-MAX(0,Z172-SUM(Q172:T172)))</f>
        <v/>
      </c>
      <c r="AI172" s="4">
        <f>MAX(0,V172-MAX(0,Z172-SUM(Q172:U172)))</f>
        <v/>
      </c>
      <c r="AJ172" s="4">
        <f>MAX(0,W172-MAX(0,Z172-SUM(Q172:V172)))</f>
        <v/>
      </c>
      <c r="AK172" s="4">
        <f>MAX(0,X172-MAX(0,Z172-SUM(Q172:W172)))</f>
        <v/>
      </c>
      <c r="AL172" s="4">
        <f>MAX(0,Y172-MAX(0,Z172-SUM(Q172:X172)))</f>
        <v/>
      </c>
    </row>
    <row r="173">
      <c r="A173" s="4" t="inlineStr">
        <is>
          <t>HASLS22260901748</t>
        </is>
      </c>
      <c r="B173" s="4" t="inlineStr">
        <is>
          <t>CMA</t>
        </is>
      </c>
      <c r="C173" s="4" t="inlineStr">
        <is>
          <t>2615N</t>
        </is>
      </c>
      <c r="D173" s="4" t="inlineStr">
        <is>
          <t>202610172300</t>
        </is>
      </c>
      <c r="E173" s="4" t="inlineStr"/>
      <c r="F173" s="4" t="inlineStr">
        <is>
          <t>THBKK</t>
        </is>
      </c>
      <c r="G173" s="4" t="inlineStr">
        <is>
          <t>HKHKG</t>
        </is>
      </c>
      <c r="H173" s="4" t="inlineStr">
        <is>
          <t xml:space="preserve">20RFx1 </t>
        </is>
      </c>
      <c r="I173" s="4" t="inlineStr">
        <is>
          <t>BKK27</t>
        </is>
      </c>
      <c r="J173" s="4" t="inlineStr">
        <is>
          <t>B.C. DEPOT CO.,LTD. ( Bang-Na KM.18)</t>
        </is>
      </c>
      <c r="K173" s="4" t="inlineStr">
        <is>
          <t>20261014</t>
        </is>
      </c>
      <c r="L173" s="4" t="inlineStr">
        <is>
          <t>YUSEN LOGISTICS (THAILAND) CO., LTD.</t>
        </is>
      </c>
      <c r="M173" s="4" t="inlineStr">
        <is>
          <t>NIPPN FOODS CORPORATION (THAILAND) LTD.</t>
        </is>
      </c>
      <c r="N173" s="4" t="inlineStr">
        <is>
          <t>RAW MATERIALS FOR MISTER DONUT &amp; FOODS</t>
        </is>
      </c>
      <c r="O173" s="4" t="inlineStr">
        <is>
          <t>*PRECOOL* (Temp -18.0℃ / Vent Close) GOOD AND CLEAN CONTAINER FOR FOOD.</t>
        </is>
      </c>
      <c r="P173" s="4" t="inlineStr">
        <is>
          <t>Pickup : 2026-10-14, Return : 2026-10-14  (Temp -18.0 / Vent Close)  *PRECOOL*
CLS TIME 15/10/26 @23.59 COST PRECOOL = 1,000 BAHT</t>
        </is>
      </c>
      <c r="Q173" s="4" t="n">
        <v>0</v>
      </c>
      <c r="R173" s="4" t="n">
        <v>0</v>
      </c>
      <c r="S173" s="4" t="n">
        <v>0</v>
      </c>
      <c r="T173" s="4" t="n">
        <v>1</v>
      </c>
      <c r="U173" s="4" t="n">
        <v>0</v>
      </c>
      <c r="V173" s="4" t="n">
        <v>0</v>
      </c>
      <c r="W173" s="4" t="n">
        <v>0</v>
      </c>
      <c r="X173" s="4" t="n">
        <v>0</v>
      </c>
      <c r="Y173" s="4" t="n">
        <v>0</v>
      </c>
      <c r="Z173" s="4" t="n">
        <v>0</v>
      </c>
      <c r="AA173" s="4" t="n">
        <v>0</v>
      </c>
      <c r="AB173" s="4">
        <f>SUM(Q173:Y173)-Z173</f>
        <v/>
      </c>
      <c r="AC173" s="4">
        <f>IF(I173="","",IF(OR(LEFT(I173,3)="BKK",I173="LCH55"),"BKK",IF(LEFT(I173,3)="LCH","LCH","OTHER")))</f>
        <v/>
      </c>
      <c r="AD173" s="4">
        <f>MAX(0,Q173-MAX(0,Z173))</f>
        <v/>
      </c>
      <c r="AE173" s="4">
        <f>MAX(0,R173-MAX(0,Z173-SUM(Q173:Q173)))</f>
        <v/>
      </c>
      <c r="AF173" s="4">
        <f>MAX(0,S173-MAX(0,Z173-SUM(Q173:R173)))</f>
        <v/>
      </c>
      <c r="AG173" s="4">
        <f>MAX(0,T173-MAX(0,Z173-SUM(Q173:S173)))</f>
        <v/>
      </c>
      <c r="AH173" s="4">
        <f>MAX(0,U173-MAX(0,Z173-SUM(Q173:T173)))</f>
        <v/>
      </c>
      <c r="AI173" s="4">
        <f>MAX(0,V173-MAX(0,Z173-SUM(Q173:U173)))</f>
        <v/>
      </c>
      <c r="AJ173" s="4">
        <f>MAX(0,W173-MAX(0,Z173-SUM(Q173:V173)))</f>
        <v/>
      </c>
      <c r="AK173" s="4">
        <f>MAX(0,X173-MAX(0,Z173-SUM(Q173:W173)))</f>
        <v/>
      </c>
      <c r="AL173" s="4">
        <f>MAX(0,Y173-MAX(0,Z173-SUM(Q173:X173)))</f>
        <v/>
      </c>
    </row>
    <row r="174">
      <c r="A174" s="4" t="inlineStr">
        <is>
          <t>HASLS22260901749</t>
        </is>
      </c>
      <c r="B174" s="4" t="inlineStr">
        <is>
          <t>KMGY</t>
        </is>
      </c>
      <c r="C174" s="4" t="inlineStr">
        <is>
          <t>2611N</t>
        </is>
      </c>
      <c r="D174" s="4" t="inlineStr">
        <is>
          <t>202610201000</t>
        </is>
      </c>
      <c r="E174" s="4" t="inlineStr"/>
      <c r="F174" s="4" t="inlineStr">
        <is>
          <t>THBKK</t>
        </is>
      </c>
      <c r="G174" s="4" t="inlineStr">
        <is>
          <t>HKHKG</t>
        </is>
      </c>
      <c r="H174" s="4" t="inlineStr">
        <is>
          <t xml:space="preserve">20RFx1 </t>
        </is>
      </c>
      <c r="I174" s="4" t="inlineStr">
        <is>
          <t>BKK27</t>
        </is>
      </c>
      <c r="J174" s="4" t="inlineStr">
        <is>
          <t>B.C. DEPOT CO.,LTD. ( Bang-Na KM.18)</t>
        </is>
      </c>
      <c r="K174" s="4" t="inlineStr">
        <is>
          <t>20261016</t>
        </is>
      </c>
      <c r="L174" s="4" t="inlineStr">
        <is>
          <t>YUSEN LOGISTICS (THAILAND) CO., LTD.</t>
        </is>
      </c>
      <c r="M174" s="4" t="inlineStr">
        <is>
          <t>NIPPN FOODS CORPORATION (THAILAND) LTD.</t>
        </is>
      </c>
      <c r="N174" s="4" t="inlineStr">
        <is>
          <t>RAW MATERIALS FOR MISTER DONUT &amp; FOODS</t>
        </is>
      </c>
      <c r="O174" s="4" t="inlineStr">
        <is>
          <t>*PRECOOL*  (Temp -18.0℃ / Vent Close) *GOOD AND CLEAN CONTAINER FOR FOOD.</t>
        </is>
      </c>
      <c r="P174" s="4" t="inlineStr">
        <is>
          <t xml:space="preserve">Pickup : 2026-10-16, Return : 2026-10-16  (Temp -18.0 / Vent Close) *PRECOOL*
CLS TIME 17/10/26 @23.59 COST PRECOOL = 1,000 BAHT </t>
        </is>
      </c>
      <c r="Q174" s="4" t="n">
        <v>0</v>
      </c>
      <c r="R174" s="4" t="n">
        <v>0</v>
      </c>
      <c r="S174" s="4" t="n">
        <v>0</v>
      </c>
      <c r="T174" s="4" t="n">
        <v>1</v>
      </c>
      <c r="U174" s="4" t="n">
        <v>0</v>
      </c>
      <c r="V174" s="4" t="n">
        <v>0</v>
      </c>
      <c r="W174" s="4" t="n">
        <v>0</v>
      </c>
      <c r="X174" s="4" t="n">
        <v>0</v>
      </c>
      <c r="Y174" s="4" t="n">
        <v>0</v>
      </c>
      <c r="Z174" s="4" t="n">
        <v>0</v>
      </c>
      <c r="AA174" s="4" t="n">
        <v>0</v>
      </c>
      <c r="AB174" s="4">
        <f>SUM(Q174:Y174)-Z174</f>
        <v/>
      </c>
      <c r="AC174" s="4">
        <f>IF(I174="","",IF(OR(LEFT(I174,3)="BKK",I174="LCH55"),"BKK",IF(LEFT(I174,3)="LCH","LCH","OTHER")))</f>
        <v/>
      </c>
      <c r="AD174" s="4">
        <f>MAX(0,Q174-MAX(0,Z174))</f>
        <v/>
      </c>
      <c r="AE174" s="4">
        <f>MAX(0,R174-MAX(0,Z174-SUM(Q174:Q174)))</f>
        <v/>
      </c>
      <c r="AF174" s="4">
        <f>MAX(0,S174-MAX(0,Z174-SUM(Q174:R174)))</f>
        <v/>
      </c>
      <c r="AG174" s="4">
        <f>MAX(0,T174-MAX(0,Z174-SUM(Q174:S174)))</f>
        <v/>
      </c>
      <c r="AH174" s="4">
        <f>MAX(0,U174-MAX(0,Z174-SUM(Q174:T174)))</f>
        <v/>
      </c>
      <c r="AI174" s="4">
        <f>MAX(0,V174-MAX(0,Z174-SUM(Q174:U174)))</f>
        <v/>
      </c>
      <c r="AJ174" s="4">
        <f>MAX(0,W174-MAX(0,Z174-SUM(Q174:V174)))</f>
        <v/>
      </c>
      <c r="AK174" s="4">
        <f>MAX(0,X174-MAX(0,Z174-SUM(Q174:W174)))</f>
        <v/>
      </c>
      <c r="AL174" s="4">
        <f>MAX(0,Y174-MAX(0,Z174-SUM(Q174:X174)))</f>
        <v/>
      </c>
    </row>
    <row r="175">
      <c r="A175" s="4" t="inlineStr">
        <is>
          <t>HASLS22260901751</t>
        </is>
      </c>
      <c r="B175" s="4" t="inlineStr">
        <is>
          <t>KMBK</t>
        </is>
      </c>
      <c r="C175" s="4" t="inlineStr">
        <is>
          <t>2611N</t>
        </is>
      </c>
      <c r="D175" s="4" t="inlineStr">
        <is>
          <t>202610030900</t>
        </is>
      </c>
      <c r="E175" s="4" t="inlineStr"/>
      <c r="F175" s="4" t="inlineStr">
        <is>
          <t>THBKK</t>
        </is>
      </c>
      <c r="G175" s="4" t="inlineStr">
        <is>
          <t>VNSGN</t>
        </is>
      </c>
      <c r="H175" s="4" t="inlineStr">
        <is>
          <t xml:space="preserve">20'x1 </t>
        </is>
      </c>
      <c r="I175" s="4" t="inlineStr">
        <is>
          <t>BKK27</t>
        </is>
      </c>
      <c r="J175" s="4" t="inlineStr">
        <is>
          <t>B.C. DEPOT CO.,LTD. ( Bang-Na KM.18)</t>
        </is>
      </c>
      <c r="K175" s="4" t="inlineStr">
        <is>
          <t>20260928</t>
        </is>
      </c>
      <c r="L175" s="4" t="inlineStr">
        <is>
          <t>EXPEDITORS (THAILAND) LTD.</t>
        </is>
      </c>
      <c r="M175" s="4" t="inlineStr">
        <is>
          <t>KAWASUMI LABORATORIES (THAILAND) CO.,LTD.</t>
        </is>
      </c>
      <c r="N175" s="4" t="inlineStr">
        <is>
          <t xml:space="preserve">DISPOSABLE MEDICAL PRODUCTS    </t>
        </is>
      </c>
      <c r="O175" s="4" t="inlineStr">
        <is>
          <t>RQST WELL CLEAN AND DRY CNTR</t>
        </is>
      </c>
      <c r="P175" s="4" t="inlineStr">
        <is>
          <t xml:space="preserve">Pickup : 2026-09-28, Return : 2026-09-29 
 </t>
        </is>
      </c>
      <c r="Q175" s="4" t="n">
        <v>1</v>
      </c>
      <c r="R175" s="4" t="n">
        <v>0</v>
      </c>
      <c r="S175" s="4" t="n">
        <v>0</v>
      </c>
      <c r="T175" s="4" t="n">
        <v>0</v>
      </c>
      <c r="U175" s="4" t="n">
        <v>0</v>
      </c>
      <c r="V175" s="4" t="n">
        <v>0</v>
      </c>
      <c r="W175" s="4" t="n">
        <v>0</v>
      </c>
      <c r="X175" s="4" t="n">
        <v>0</v>
      </c>
      <c r="Y175" s="4" t="n">
        <v>0</v>
      </c>
      <c r="Z175" s="4" t="n">
        <v>0</v>
      </c>
      <c r="AA175" s="4" t="n">
        <v>0</v>
      </c>
      <c r="AB175" s="4">
        <f>SUM(Q175:Y175)-Z175</f>
        <v/>
      </c>
      <c r="AC175" s="4">
        <f>IF(I175="","",IF(OR(LEFT(I175,3)="BKK",I175="LCH55"),"BKK",IF(LEFT(I175,3)="LCH","LCH","OTHER")))</f>
        <v/>
      </c>
      <c r="AD175" s="4">
        <f>MAX(0,Q175-MAX(0,Z175))</f>
        <v/>
      </c>
      <c r="AE175" s="4">
        <f>MAX(0,R175-MAX(0,Z175-SUM(Q175:Q175)))</f>
        <v/>
      </c>
      <c r="AF175" s="4">
        <f>MAX(0,S175-MAX(0,Z175-SUM(Q175:R175)))</f>
        <v/>
      </c>
      <c r="AG175" s="4">
        <f>MAX(0,T175-MAX(0,Z175-SUM(Q175:S175)))</f>
        <v/>
      </c>
      <c r="AH175" s="4">
        <f>MAX(0,U175-MAX(0,Z175-SUM(Q175:T175)))</f>
        <v/>
      </c>
      <c r="AI175" s="4">
        <f>MAX(0,V175-MAX(0,Z175-SUM(Q175:U175)))</f>
        <v/>
      </c>
      <c r="AJ175" s="4">
        <f>MAX(0,W175-MAX(0,Z175-SUM(Q175:V175)))</f>
        <v/>
      </c>
      <c r="AK175" s="4">
        <f>MAX(0,X175-MAX(0,Z175-SUM(Q175:W175)))</f>
        <v/>
      </c>
      <c r="AL175" s="4">
        <f>MAX(0,Y175-MAX(0,Z175-SUM(Q175:X175)))</f>
        <v/>
      </c>
    </row>
    <row r="176">
      <c r="A176" s="4" t="inlineStr">
        <is>
          <t>HASLS22260901763</t>
        </is>
      </c>
      <c r="B176" s="4" t="inlineStr">
        <is>
          <t>KJT</t>
        </is>
      </c>
      <c r="C176" s="4" t="inlineStr">
        <is>
          <t>2611N</t>
        </is>
      </c>
      <c r="D176" s="4" t="inlineStr">
        <is>
          <t>202610141800</t>
        </is>
      </c>
      <c r="E176" s="4" t="inlineStr"/>
      <c r="F176" s="4" t="inlineStr">
        <is>
          <t>THBKK</t>
        </is>
      </c>
      <c r="G176" s="4" t="inlineStr">
        <is>
          <t>HKHKG</t>
        </is>
      </c>
      <c r="H176" s="4" t="inlineStr">
        <is>
          <t xml:space="preserve">20'x2 </t>
        </is>
      </c>
      <c r="I176" s="4" t="inlineStr">
        <is>
          <t>BKK27</t>
        </is>
      </c>
      <c r="J176" s="4" t="inlineStr">
        <is>
          <t>B.C. DEPOT CO.,LTD. ( Bang-Na KM.18)</t>
        </is>
      </c>
      <c r="K176" s="4" t="inlineStr">
        <is>
          <t>20261008</t>
        </is>
      </c>
      <c r="L176" s="4" t="inlineStr">
        <is>
          <t>KUEHNE + NAGEL LIMITED</t>
        </is>
      </c>
      <c r="M176" s="4" t="inlineStr">
        <is>
          <t>SINGHA WORLDWIDE INTERNATIONAL CO., LTD.</t>
        </is>
      </c>
      <c r="N176" s="4" t="inlineStr">
        <is>
          <t>SODA WATER</t>
        </is>
      </c>
      <c r="O176" s="4" t="inlineStr">
        <is>
          <t>REQ underdesk cargo, food grade container</t>
        </is>
      </c>
      <c r="P176" s="4" t="inlineStr">
        <is>
          <t>Pickup : 2026-10-08, Return : 2026-10-10</t>
        </is>
      </c>
      <c r="Q176" s="4" t="n">
        <v>2</v>
      </c>
      <c r="R176" s="4" t="n">
        <v>0</v>
      </c>
      <c r="S176" s="4" t="n">
        <v>0</v>
      </c>
      <c r="T176" s="4" t="n">
        <v>0</v>
      </c>
      <c r="U176" s="4" t="n">
        <v>0</v>
      </c>
      <c r="V176" s="4" t="n">
        <v>0</v>
      </c>
      <c r="W176" s="4" t="n">
        <v>0</v>
      </c>
      <c r="X176" s="4" t="n">
        <v>0</v>
      </c>
      <c r="Y176" s="4" t="n">
        <v>0</v>
      </c>
      <c r="Z176" s="4" t="n">
        <v>0</v>
      </c>
      <c r="AA176" s="4" t="n">
        <v>0</v>
      </c>
      <c r="AB176" s="4">
        <f>SUM(Q176:Y176)-Z176</f>
        <v/>
      </c>
      <c r="AC176" s="4">
        <f>IF(I176="","",IF(OR(LEFT(I176,3)="BKK",I176="LCH55"),"BKK",IF(LEFT(I176,3)="LCH","LCH","OTHER")))</f>
        <v/>
      </c>
      <c r="AD176" s="4">
        <f>MAX(0,Q176-MAX(0,Z176))</f>
        <v/>
      </c>
      <c r="AE176" s="4">
        <f>MAX(0,R176-MAX(0,Z176-SUM(Q176:Q176)))</f>
        <v/>
      </c>
      <c r="AF176" s="4">
        <f>MAX(0,S176-MAX(0,Z176-SUM(Q176:R176)))</f>
        <v/>
      </c>
      <c r="AG176" s="4">
        <f>MAX(0,T176-MAX(0,Z176-SUM(Q176:S176)))</f>
        <v/>
      </c>
      <c r="AH176" s="4">
        <f>MAX(0,U176-MAX(0,Z176-SUM(Q176:T176)))</f>
        <v/>
      </c>
      <c r="AI176" s="4">
        <f>MAX(0,V176-MAX(0,Z176-SUM(Q176:U176)))</f>
        <v/>
      </c>
      <c r="AJ176" s="4">
        <f>MAX(0,W176-MAX(0,Z176-SUM(Q176:V176)))</f>
        <v/>
      </c>
      <c r="AK176" s="4">
        <f>MAX(0,X176-MAX(0,Z176-SUM(Q176:W176)))</f>
        <v/>
      </c>
      <c r="AL176" s="4">
        <f>MAX(0,Y176-MAX(0,Z176-SUM(Q176:X176)))</f>
        <v/>
      </c>
    </row>
    <row r="177">
      <c r="A177" s="4" t="inlineStr">
        <is>
          <t>HASLS22260901777</t>
        </is>
      </c>
      <c r="B177" s="4" t="inlineStr">
        <is>
          <t>PGPO</t>
        </is>
      </c>
      <c r="C177" s="4" t="inlineStr">
        <is>
          <t>2612N</t>
        </is>
      </c>
      <c r="D177" s="4" t="inlineStr">
        <is>
          <t>202610141800</t>
        </is>
      </c>
      <c r="E177" s="4" t="inlineStr"/>
      <c r="F177" s="4" t="inlineStr">
        <is>
          <t>THBKK</t>
        </is>
      </c>
      <c r="G177" s="4" t="inlineStr">
        <is>
          <t>JPMYJ</t>
        </is>
      </c>
      <c r="H177" s="4" t="inlineStr">
        <is>
          <t xml:space="preserve">40Hx1 </t>
        </is>
      </c>
      <c r="I177" s="4" t="inlineStr">
        <is>
          <t>BKK27</t>
        </is>
      </c>
      <c r="J177" s="4" t="inlineStr">
        <is>
          <t>B.C. DEPOT CO.,LTD. ( Bang-Na KM.18)</t>
        </is>
      </c>
      <c r="K177" s="4" t="inlineStr">
        <is>
          <t>20261007</t>
        </is>
      </c>
      <c r="L177" s="4" t="inlineStr">
        <is>
          <t>MULFRO (THAILAND) CO., LTD.</t>
        </is>
      </c>
      <c r="M177" s="4" t="inlineStr">
        <is>
          <t>MULFRO (THAILAND) CO., LTD.</t>
        </is>
      </c>
      <c r="N177" s="4" t="inlineStr">
        <is>
          <t>DRIED SALTED JELLY FISH</t>
        </is>
      </c>
      <c r="O177" s="4" t="inlineStr">
        <is>
          <t>CLEAN, UNDER DECK, RQST CNTR GRADE A MAX 32.5 TONS</t>
        </is>
      </c>
      <c r="P177" s="4" t="inlineStr">
        <is>
          <t xml:space="preserve">Pickup : 2026-10-07, Return : 2026-10-09 </t>
        </is>
      </c>
      <c r="Q177" s="4" t="n">
        <v>0</v>
      </c>
      <c r="R177" s="4" t="n">
        <v>0</v>
      </c>
      <c r="S177" s="4" t="n">
        <v>1</v>
      </c>
      <c r="T177" s="4" t="n">
        <v>0</v>
      </c>
      <c r="U177" s="4" t="n">
        <v>0</v>
      </c>
      <c r="V177" s="4" t="n">
        <v>0</v>
      </c>
      <c r="W177" s="4" t="n">
        <v>0</v>
      </c>
      <c r="X177" s="4" t="n">
        <v>0</v>
      </c>
      <c r="Y177" s="4" t="n">
        <v>0</v>
      </c>
      <c r="Z177" s="4" t="n">
        <v>0</v>
      </c>
      <c r="AA177" s="4" t="n">
        <v>0</v>
      </c>
      <c r="AB177" s="4">
        <f>SUM(Q177:Y177)-Z177</f>
        <v/>
      </c>
      <c r="AC177" s="4">
        <f>IF(I177="","",IF(OR(LEFT(I177,3)="BKK",I177="LCH55"),"BKK",IF(LEFT(I177,3)="LCH","LCH","OTHER")))</f>
        <v/>
      </c>
      <c r="AD177" s="4">
        <f>MAX(0,Q177-MAX(0,Z177))</f>
        <v/>
      </c>
      <c r="AE177" s="4">
        <f>MAX(0,R177-MAX(0,Z177-SUM(Q177:Q177)))</f>
        <v/>
      </c>
      <c r="AF177" s="4">
        <f>MAX(0,S177-MAX(0,Z177-SUM(Q177:R177)))</f>
        <v/>
      </c>
      <c r="AG177" s="4">
        <f>MAX(0,T177-MAX(0,Z177-SUM(Q177:S177)))</f>
        <v/>
      </c>
      <c r="AH177" s="4">
        <f>MAX(0,U177-MAX(0,Z177-SUM(Q177:T177)))</f>
        <v/>
      </c>
      <c r="AI177" s="4">
        <f>MAX(0,V177-MAX(0,Z177-SUM(Q177:U177)))</f>
        <v/>
      </c>
      <c r="AJ177" s="4">
        <f>MAX(0,W177-MAX(0,Z177-SUM(Q177:V177)))</f>
        <v/>
      </c>
      <c r="AK177" s="4">
        <f>MAX(0,X177-MAX(0,Z177-SUM(Q177:W177)))</f>
        <v/>
      </c>
      <c r="AL177" s="4">
        <f>MAX(0,Y177-MAX(0,Z177-SUM(Q177:X177)))</f>
        <v/>
      </c>
    </row>
    <row r="178">
      <c r="A178" s="4" t="inlineStr">
        <is>
          <t>HASLS22260901782</t>
        </is>
      </c>
      <c r="B178" s="4" t="inlineStr">
        <is>
          <t>SWIC</t>
        </is>
      </c>
      <c r="C178" s="4" t="inlineStr">
        <is>
          <t>2611N</t>
        </is>
      </c>
      <c r="D178" s="4" t="inlineStr">
        <is>
          <t>202610130700</t>
        </is>
      </c>
      <c r="E178" s="4" t="inlineStr"/>
      <c r="F178" s="4" t="inlineStr">
        <is>
          <t>THBKK</t>
        </is>
      </c>
      <c r="G178" s="4" t="inlineStr">
        <is>
          <t>JPHHE</t>
        </is>
      </c>
      <c r="H178" s="4" t="inlineStr">
        <is>
          <t xml:space="preserve">20'x1 </t>
        </is>
      </c>
      <c r="I178" s="4" t="inlineStr">
        <is>
          <t>BKK27</t>
        </is>
      </c>
      <c r="J178" s="4" t="inlineStr">
        <is>
          <t>B.C. DEPOT CO.,LTD. ( Bang-Na KM.18)</t>
        </is>
      </c>
      <c r="K178" s="4" t="inlineStr">
        <is>
          <t>20261006</t>
        </is>
      </c>
      <c r="L178" s="4" t="inlineStr">
        <is>
          <t>BORNEO LOGISTICS CO., LTD.</t>
        </is>
      </c>
      <c r="M178" s="4" t="inlineStr">
        <is>
          <t>UNICORD PUBLIC COMPANY LIMITED</t>
        </is>
      </c>
      <c r="N178" s="4" t="inlineStr">
        <is>
          <t>TUNA CANNED GOODS</t>
        </is>
      </c>
      <c r="O178" s="4" t="inlineStr">
        <is>
          <t>REQUEST : CONTAINER GRADE A AND STRONG FOR BOARD (NO EXTRA CHARGE)</t>
        </is>
      </c>
      <c r="P178" s="4" t="inlineStr">
        <is>
          <t xml:space="preserve">Pickup : 2026-10-06, Return : 2026-10-08 [1ST RTN 08/10/2026 W/O RENT] </t>
        </is>
      </c>
      <c r="Q178" s="4" t="n">
        <v>1</v>
      </c>
      <c r="R178" s="4" t="n">
        <v>0</v>
      </c>
      <c r="S178" s="4" t="n">
        <v>0</v>
      </c>
      <c r="T178" s="4" t="n">
        <v>0</v>
      </c>
      <c r="U178" s="4" t="n">
        <v>0</v>
      </c>
      <c r="V178" s="4" t="n">
        <v>0</v>
      </c>
      <c r="W178" s="4" t="n">
        <v>0</v>
      </c>
      <c r="X178" s="4" t="n">
        <v>0</v>
      </c>
      <c r="Y178" s="4" t="n">
        <v>0</v>
      </c>
      <c r="Z178" s="4" t="n">
        <v>0</v>
      </c>
      <c r="AA178" s="4" t="n">
        <v>0</v>
      </c>
      <c r="AB178" s="4">
        <f>SUM(Q178:Y178)-Z178</f>
        <v/>
      </c>
      <c r="AC178" s="4">
        <f>IF(I178="","",IF(OR(LEFT(I178,3)="BKK",I178="LCH55"),"BKK",IF(LEFT(I178,3)="LCH","LCH","OTHER")))</f>
        <v/>
      </c>
      <c r="AD178" s="4">
        <f>MAX(0,Q178-MAX(0,Z178))</f>
        <v/>
      </c>
      <c r="AE178" s="4">
        <f>MAX(0,R178-MAX(0,Z178-SUM(Q178:Q178)))</f>
        <v/>
      </c>
      <c r="AF178" s="4">
        <f>MAX(0,S178-MAX(0,Z178-SUM(Q178:R178)))</f>
        <v/>
      </c>
      <c r="AG178" s="4">
        <f>MAX(0,T178-MAX(0,Z178-SUM(Q178:S178)))</f>
        <v/>
      </c>
      <c r="AH178" s="4">
        <f>MAX(0,U178-MAX(0,Z178-SUM(Q178:T178)))</f>
        <v/>
      </c>
      <c r="AI178" s="4">
        <f>MAX(0,V178-MAX(0,Z178-SUM(Q178:U178)))</f>
        <v/>
      </c>
      <c r="AJ178" s="4">
        <f>MAX(0,W178-MAX(0,Z178-SUM(Q178:V178)))</f>
        <v/>
      </c>
      <c r="AK178" s="4">
        <f>MAX(0,X178-MAX(0,Z178-SUM(Q178:W178)))</f>
        <v/>
      </c>
      <c r="AL178" s="4">
        <f>MAX(0,Y178-MAX(0,Z178-SUM(Q178:X178)))</f>
        <v/>
      </c>
    </row>
    <row r="179">
      <c r="A179" s="4" t="inlineStr">
        <is>
          <t>HASLS22260901788</t>
        </is>
      </c>
      <c r="B179" s="4" t="inlineStr">
        <is>
          <t>KMGY</t>
        </is>
      </c>
      <c r="C179" s="4" t="inlineStr">
        <is>
          <t>2611N</t>
        </is>
      </c>
      <c r="D179" s="4" t="inlineStr">
        <is>
          <t>202610201000</t>
        </is>
      </c>
      <c r="E179" s="4" t="inlineStr"/>
      <c r="F179" s="4" t="inlineStr">
        <is>
          <t>THBKK</t>
        </is>
      </c>
      <c r="G179" s="4" t="inlineStr">
        <is>
          <t>HKHKG</t>
        </is>
      </c>
      <c r="H179" s="4" t="inlineStr">
        <is>
          <t xml:space="preserve">40Hx1 </t>
        </is>
      </c>
      <c r="I179" s="4" t="inlineStr">
        <is>
          <t>BKK27</t>
        </is>
      </c>
      <c r="J179" s="4" t="inlineStr">
        <is>
          <t>B.C. DEPOT CO.,LTD. ( Bang-Na KM.18)</t>
        </is>
      </c>
      <c r="K179" s="4" t="inlineStr">
        <is>
          <t>20261015</t>
        </is>
      </c>
      <c r="L179" s="4" t="inlineStr">
        <is>
          <t>NIPPON EXPRESS LOGISTICS (THAILAND) CO., LTD.</t>
        </is>
      </c>
      <c r="M179" s="4" t="inlineStr">
        <is>
          <t>DIA MERCHANDISE COMPANY LIMITED</t>
        </is>
      </c>
      <c r="N179" s="4" t="inlineStr">
        <is>
          <t>SHRIMP CHEEK SNACK HS CODE 160529</t>
        </is>
      </c>
      <c r="O179" s="4" t="inlineStr">
        <is>
          <t>CONTAINER MUST BE IN GOOD 
CONDITION,NO HOLES,NO EXCESSIVE SPLINTERS 
ON THE FLOOR,NO HUMIDITY,THE FLOOR IS NOT 
SAGGING,THE FLOOR IS NOT SAGGING ,</t>
        </is>
      </c>
      <c r="P179" s="4" t="inlineStr">
        <is>
          <t xml:space="preserve">Pickup : 2026-10-15, Return : 2026-10-16 
 </t>
        </is>
      </c>
      <c r="Q179" s="4" t="n">
        <v>0</v>
      </c>
      <c r="R179" s="4" t="n">
        <v>0</v>
      </c>
      <c r="S179" s="4" t="n">
        <v>1</v>
      </c>
      <c r="T179" s="4" t="n">
        <v>0</v>
      </c>
      <c r="U179" s="4" t="n">
        <v>0</v>
      </c>
      <c r="V179" s="4" t="n">
        <v>0</v>
      </c>
      <c r="W179" s="4" t="n">
        <v>0</v>
      </c>
      <c r="X179" s="4" t="n">
        <v>0</v>
      </c>
      <c r="Y179" s="4" t="n">
        <v>0</v>
      </c>
      <c r="Z179" s="4" t="n">
        <v>0</v>
      </c>
      <c r="AA179" s="4" t="n">
        <v>0</v>
      </c>
      <c r="AB179" s="4">
        <f>SUM(Q179:Y179)-Z179</f>
        <v/>
      </c>
      <c r="AC179" s="4">
        <f>IF(I179="","",IF(OR(LEFT(I179,3)="BKK",I179="LCH55"),"BKK",IF(LEFT(I179,3)="LCH","LCH","OTHER")))</f>
        <v/>
      </c>
      <c r="AD179" s="4">
        <f>MAX(0,Q179-MAX(0,Z179))</f>
        <v/>
      </c>
      <c r="AE179" s="4">
        <f>MAX(0,R179-MAX(0,Z179-SUM(Q179:Q179)))</f>
        <v/>
      </c>
      <c r="AF179" s="4">
        <f>MAX(0,S179-MAX(0,Z179-SUM(Q179:R179)))</f>
        <v/>
      </c>
      <c r="AG179" s="4">
        <f>MAX(0,T179-MAX(0,Z179-SUM(Q179:S179)))</f>
        <v/>
      </c>
      <c r="AH179" s="4">
        <f>MAX(0,U179-MAX(0,Z179-SUM(Q179:T179)))</f>
        <v/>
      </c>
      <c r="AI179" s="4">
        <f>MAX(0,V179-MAX(0,Z179-SUM(Q179:U179)))</f>
        <v/>
      </c>
      <c r="AJ179" s="4">
        <f>MAX(0,W179-MAX(0,Z179-SUM(Q179:V179)))</f>
        <v/>
      </c>
      <c r="AK179" s="4">
        <f>MAX(0,X179-MAX(0,Z179-SUM(Q179:W179)))</f>
        <v/>
      </c>
      <c r="AL179" s="4">
        <f>MAX(0,Y179-MAX(0,Z179-SUM(Q179:X179)))</f>
        <v/>
      </c>
    </row>
    <row r="180">
      <c r="A180" s="4" t="inlineStr">
        <is>
          <t>HASLS22260901791</t>
        </is>
      </c>
      <c r="B180" s="4" t="inlineStr">
        <is>
          <t>DJCF</t>
        </is>
      </c>
      <c r="C180" s="4" t="inlineStr">
        <is>
          <t>0152N</t>
        </is>
      </c>
      <c r="D180" s="4" t="inlineStr">
        <is>
          <t>202610111000</t>
        </is>
      </c>
      <c r="E180" s="4" t="inlineStr"/>
      <c r="F180" s="4" t="inlineStr">
        <is>
          <t>THBKK</t>
        </is>
      </c>
      <c r="G180" s="4" t="inlineStr">
        <is>
          <t>VNSGN</t>
        </is>
      </c>
      <c r="H180" s="4" t="inlineStr">
        <is>
          <t xml:space="preserve">20'x1 </t>
        </is>
      </c>
      <c r="I180" s="4" t="inlineStr">
        <is>
          <t>BKK27</t>
        </is>
      </c>
      <c r="J180" s="4" t="inlineStr">
        <is>
          <t>B.C. DEPOT CO.,LTD. ( Bang-Na KM.18)</t>
        </is>
      </c>
      <c r="K180" s="4" t="inlineStr">
        <is>
          <t>20261006</t>
        </is>
      </c>
      <c r="L180" s="4" t="inlineStr">
        <is>
          <t>ACCORD PILOT LOGISTICS (THAILAND) CO., LTD.</t>
        </is>
      </c>
      <c r="M180" s="4" t="inlineStr">
        <is>
          <t>JIRAKORN CO., LTD.</t>
        </is>
      </c>
      <c r="N180" s="4" t="inlineStr">
        <is>
          <t xml:space="preserve"> FOOD ADDITIVE,</t>
        </is>
      </c>
      <c r="O180" s="4" t="inlineStr">
        <is>
          <t>REQUEST GOOD &amp; CLEAN CONTAINER</t>
        </is>
      </c>
      <c r="P180" s="4" t="inlineStr">
        <is>
          <t>Pickup : 2026-10-06, Return : 2026-10-06</t>
        </is>
      </c>
      <c r="Q180" s="4" t="n">
        <v>1</v>
      </c>
      <c r="R180" s="4" t="n">
        <v>0</v>
      </c>
      <c r="S180" s="4" t="n">
        <v>0</v>
      </c>
      <c r="T180" s="4" t="n">
        <v>0</v>
      </c>
      <c r="U180" s="4" t="n">
        <v>0</v>
      </c>
      <c r="V180" s="4" t="n">
        <v>0</v>
      </c>
      <c r="W180" s="4" t="n">
        <v>0</v>
      </c>
      <c r="X180" s="4" t="n">
        <v>0</v>
      </c>
      <c r="Y180" s="4" t="n">
        <v>0</v>
      </c>
      <c r="Z180" s="4" t="n">
        <v>0</v>
      </c>
      <c r="AA180" s="4" t="n">
        <v>0</v>
      </c>
      <c r="AB180" s="4">
        <f>SUM(Q180:Y180)-Z180</f>
        <v/>
      </c>
      <c r="AC180" s="4">
        <f>IF(I180="","",IF(OR(LEFT(I180,3)="BKK",I180="LCH55"),"BKK",IF(LEFT(I180,3)="LCH","LCH","OTHER")))</f>
        <v/>
      </c>
      <c r="AD180" s="4">
        <f>MAX(0,Q180-MAX(0,Z180))</f>
        <v/>
      </c>
      <c r="AE180" s="4">
        <f>MAX(0,R180-MAX(0,Z180-SUM(Q180:Q180)))</f>
        <v/>
      </c>
      <c r="AF180" s="4">
        <f>MAX(0,S180-MAX(0,Z180-SUM(Q180:R180)))</f>
        <v/>
      </c>
      <c r="AG180" s="4">
        <f>MAX(0,T180-MAX(0,Z180-SUM(Q180:S180)))</f>
        <v/>
      </c>
      <c r="AH180" s="4">
        <f>MAX(0,U180-MAX(0,Z180-SUM(Q180:T180)))</f>
        <v/>
      </c>
      <c r="AI180" s="4">
        <f>MAX(0,V180-MAX(0,Z180-SUM(Q180:U180)))</f>
        <v/>
      </c>
      <c r="AJ180" s="4">
        <f>MAX(0,W180-MAX(0,Z180-SUM(Q180:V180)))</f>
        <v/>
      </c>
      <c r="AK180" s="4">
        <f>MAX(0,X180-MAX(0,Z180-SUM(Q180:W180)))</f>
        <v/>
      </c>
      <c r="AL180" s="4">
        <f>MAX(0,Y180-MAX(0,Z180-SUM(Q180:X180)))</f>
        <v/>
      </c>
    </row>
    <row r="181">
      <c r="A181" s="4" t="inlineStr">
        <is>
          <t>HASLS22260901792</t>
        </is>
      </c>
      <c r="B181" s="4" t="inlineStr">
        <is>
          <t>SWDN</t>
        </is>
      </c>
      <c r="C181" s="4" t="inlineStr">
        <is>
          <t>2610N</t>
        </is>
      </c>
      <c r="D181" s="4" t="inlineStr">
        <is>
          <t>202610060900</t>
        </is>
      </c>
      <c r="E181" s="4" t="inlineStr"/>
      <c r="F181" s="4" t="inlineStr">
        <is>
          <t>THBKK</t>
        </is>
      </c>
      <c r="G181" s="4" t="inlineStr">
        <is>
          <t>KRINC</t>
        </is>
      </c>
      <c r="H181" s="4" t="inlineStr">
        <is>
          <t xml:space="preserve">20'x1 </t>
        </is>
      </c>
      <c r="I181" s="4" t="inlineStr">
        <is>
          <t>BKK27</t>
        </is>
      </c>
      <c r="J181" s="4" t="inlineStr">
        <is>
          <t>B.C. DEPOT CO.,LTD. ( Bang-Na KM.18)</t>
        </is>
      </c>
      <c r="K181" s="4" t="inlineStr">
        <is>
          <t>20260929</t>
        </is>
      </c>
      <c r="L181" s="4" t="inlineStr">
        <is>
          <t>KTC GLOBAL LOGISTICS CO., LTD.</t>
        </is>
      </c>
      <c r="M181" s="4" t="inlineStr">
        <is>
          <t>QANDQ HOLDING COMPANY LIMITED.</t>
        </is>
      </c>
      <c r="N181" s="4" t="inlineStr">
        <is>
          <t>RUBBER SOLING SHEET</t>
        </is>
      </c>
      <c r="O181" s="4" t="inlineStr">
        <is>
          <t>GOOD AND CLEAN CONTAINER</t>
        </is>
      </c>
      <c r="P181" s="4" t="inlineStr">
        <is>
          <t>Pickup : 2026-09-29, Return : 2026-09-30</t>
        </is>
      </c>
      <c r="Q181" s="4" t="n">
        <v>1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  <c r="X181" s="4" t="n">
        <v>0</v>
      </c>
      <c r="Y181" s="4" t="n">
        <v>0</v>
      </c>
      <c r="Z181" s="4" t="n">
        <v>0</v>
      </c>
      <c r="AA181" s="4" t="n">
        <v>0</v>
      </c>
      <c r="AB181" s="4">
        <f>SUM(Q181:Y181)-Z181</f>
        <v/>
      </c>
      <c r="AC181" s="4">
        <f>IF(I181="","",IF(OR(LEFT(I181,3)="BKK",I181="LCH55"),"BKK",IF(LEFT(I181,3)="LCH","LCH","OTHER")))</f>
        <v/>
      </c>
      <c r="AD181" s="4">
        <f>MAX(0,Q181-MAX(0,Z181))</f>
        <v/>
      </c>
      <c r="AE181" s="4">
        <f>MAX(0,R181-MAX(0,Z181-SUM(Q181:Q181)))</f>
        <v/>
      </c>
      <c r="AF181" s="4">
        <f>MAX(0,S181-MAX(0,Z181-SUM(Q181:R181)))</f>
        <v/>
      </c>
      <c r="AG181" s="4">
        <f>MAX(0,T181-MAX(0,Z181-SUM(Q181:S181)))</f>
        <v/>
      </c>
      <c r="AH181" s="4">
        <f>MAX(0,U181-MAX(0,Z181-SUM(Q181:T181)))</f>
        <v/>
      </c>
      <c r="AI181" s="4">
        <f>MAX(0,V181-MAX(0,Z181-SUM(Q181:U181)))</f>
        <v/>
      </c>
      <c r="AJ181" s="4">
        <f>MAX(0,W181-MAX(0,Z181-SUM(Q181:V181)))</f>
        <v/>
      </c>
      <c r="AK181" s="4">
        <f>MAX(0,X181-MAX(0,Z181-SUM(Q181:W181)))</f>
        <v/>
      </c>
      <c r="AL181" s="4">
        <f>MAX(0,Y181-MAX(0,Z181-SUM(Q181:X181)))</f>
        <v/>
      </c>
    </row>
    <row r="182">
      <c r="A182" s="4" t="inlineStr">
        <is>
          <t>HASLS22260901811</t>
        </is>
      </c>
      <c r="B182" s="4" t="inlineStr">
        <is>
          <t>SWSP</t>
        </is>
      </c>
      <c r="C182" s="4" t="inlineStr">
        <is>
          <t>2609N</t>
        </is>
      </c>
      <c r="D182" s="4" t="inlineStr">
        <is>
          <t>202610071530</t>
        </is>
      </c>
      <c r="E182" s="4" t="inlineStr"/>
      <c r="F182" s="4" t="inlineStr">
        <is>
          <t>THBKK</t>
        </is>
      </c>
      <c r="G182" s="4" t="inlineStr">
        <is>
          <t>VNSGN</t>
        </is>
      </c>
      <c r="H182" s="4" t="inlineStr">
        <is>
          <t xml:space="preserve">40Hx2 </t>
        </is>
      </c>
      <c r="I182" s="4" t="inlineStr">
        <is>
          <t>BKK27</t>
        </is>
      </c>
      <c r="J182" s="4" t="inlineStr">
        <is>
          <t>B.C. DEPOT CO.,LTD. ( Bang-Na KM.18)</t>
        </is>
      </c>
      <c r="K182" s="4" t="inlineStr">
        <is>
          <t>20261001</t>
        </is>
      </c>
      <c r="L182" s="4" t="inlineStr">
        <is>
          <t>BRIO LOGISTICS (THAILAND) CO., LTD.</t>
        </is>
      </c>
      <c r="M182" s="4" t="inlineStr">
        <is>
          <t>GRIFFITH FOODS LTD.</t>
        </is>
      </c>
      <c r="N182" s="4" t="inlineStr">
        <is>
          <t>SAUCES (HS CODE : 2103.90)</t>
        </is>
      </c>
      <c r="O182" s="4" t="inlineStr">
        <is>
          <t>NEED FOOD GRADE / ODORLESS / CLEANED CONTAINERS.</t>
        </is>
      </c>
      <c r="P182" s="4" t="inlineStr">
        <is>
          <t xml:space="preserve">Pickup : 2026-10-01, Return : 2026-10-01 </t>
        </is>
      </c>
      <c r="Q182" s="4" t="n">
        <v>0</v>
      </c>
      <c r="R182" s="4" t="n">
        <v>0</v>
      </c>
      <c r="S182" s="4" t="n">
        <v>2</v>
      </c>
      <c r="T182" s="4" t="n">
        <v>0</v>
      </c>
      <c r="U182" s="4" t="n">
        <v>0</v>
      </c>
      <c r="V182" s="4" t="n">
        <v>0</v>
      </c>
      <c r="W182" s="4" t="n">
        <v>0</v>
      </c>
      <c r="X182" s="4" t="n">
        <v>0</v>
      </c>
      <c r="Y182" s="4" t="n">
        <v>0</v>
      </c>
      <c r="Z182" s="4" t="n">
        <v>0</v>
      </c>
      <c r="AA182" s="4" t="n">
        <v>0</v>
      </c>
      <c r="AB182" s="4">
        <f>SUM(Q182:Y182)-Z182</f>
        <v/>
      </c>
      <c r="AC182" s="4">
        <f>IF(I182="","",IF(OR(LEFT(I182,3)="BKK",I182="LCH55"),"BKK",IF(LEFT(I182,3)="LCH","LCH","OTHER")))</f>
        <v/>
      </c>
      <c r="AD182" s="4">
        <f>MAX(0,Q182-MAX(0,Z182))</f>
        <v/>
      </c>
      <c r="AE182" s="4">
        <f>MAX(0,R182-MAX(0,Z182-SUM(Q182:Q182)))</f>
        <v/>
      </c>
      <c r="AF182" s="4">
        <f>MAX(0,S182-MAX(0,Z182-SUM(Q182:R182)))</f>
        <v/>
      </c>
      <c r="AG182" s="4">
        <f>MAX(0,T182-MAX(0,Z182-SUM(Q182:S182)))</f>
        <v/>
      </c>
      <c r="AH182" s="4">
        <f>MAX(0,U182-MAX(0,Z182-SUM(Q182:T182)))</f>
        <v/>
      </c>
      <c r="AI182" s="4">
        <f>MAX(0,V182-MAX(0,Z182-SUM(Q182:U182)))</f>
        <v/>
      </c>
      <c r="AJ182" s="4">
        <f>MAX(0,W182-MAX(0,Z182-SUM(Q182:V182)))</f>
        <v/>
      </c>
      <c r="AK182" s="4">
        <f>MAX(0,X182-MAX(0,Z182-SUM(Q182:W182)))</f>
        <v/>
      </c>
      <c r="AL182" s="4">
        <f>MAX(0,Y182-MAX(0,Z182-SUM(Q182:X182)))</f>
        <v/>
      </c>
    </row>
    <row r="183">
      <c r="A183" s="4" t="inlineStr">
        <is>
          <t>HASLS22260901812</t>
        </is>
      </c>
      <c r="B183" s="4" t="inlineStr">
        <is>
          <t>KMBK</t>
        </is>
      </c>
      <c r="C183" s="4" t="inlineStr">
        <is>
          <t>2612N</t>
        </is>
      </c>
      <c r="D183" s="4" t="inlineStr">
        <is>
          <t>202610240200</t>
        </is>
      </c>
      <c r="E183" s="4" t="inlineStr"/>
      <c r="F183" s="4" t="inlineStr">
        <is>
          <t>THBKK</t>
        </is>
      </c>
      <c r="G183" s="4" t="inlineStr">
        <is>
          <t>VNSGN</t>
        </is>
      </c>
      <c r="H183" s="4" t="inlineStr">
        <is>
          <t xml:space="preserve">20'x1 </t>
        </is>
      </c>
      <c r="I183" s="4" t="inlineStr">
        <is>
          <t>BKK27</t>
        </is>
      </c>
      <c r="J183" s="4" t="inlineStr">
        <is>
          <t>B.C. DEPOT CO.,LTD. ( Bang-Na KM.18)</t>
        </is>
      </c>
      <c r="K183" s="4" t="inlineStr">
        <is>
          <t>20261017</t>
        </is>
      </c>
      <c r="L183" s="4" t="inlineStr">
        <is>
          <t>BEE LOGISTICS (THAILAND) CO., LTD.</t>
        </is>
      </c>
      <c r="M183" s="4" t="inlineStr">
        <is>
          <t>AJINOMOTO CO., (THAILAND) LTD.</t>
        </is>
      </c>
      <c r="N183" s="4" t="inlineStr">
        <is>
          <t>AJITIDE I+G</t>
        </is>
      </c>
      <c r="O183" s="4" t="inlineStr">
        <is>
          <t>PLS ARRANGE GRADE A CONTAINER FOR FOODSTUFF PRODUCT WITH 6 RINGS IN ORDER TO HOOK NET IN THE CONTAINER.</t>
        </is>
      </c>
      <c r="P183" s="4" t="inlineStr">
        <is>
          <t>Pickup : 2026-10-17, Return : 2026-10-19</t>
        </is>
      </c>
      <c r="Q183" s="4" t="n">
        <v>1</v>
      </c>
      <c r="R183" s="4" t="n">
        <v>0</v>
      </c>
      <c r="S183" s="4" t="n">
        <v>0</v>
      </c>
      <c r="T183" s="4" t="n">
        <v>0</v>
      </c>
      <c r="U183" s="4" t="n">
        <v>0</v>
      </c>
      <c r="V183" s="4" t="n">
        <v>0</v>
      </c>
      <c r="W183" s="4" t="n">
        <v>0</v>
      </c>
      <c r="X183" s="4" t="n">
        <v>0</v>
      </c>
      <c r="Y183" s="4" t="n">
        <v>0</v>
      </c>
      <c r="Z183" s="4" t="n">
        <v>0</v>
      </c>
      <c r="AA183" s="4" t="n">
        <v>0</v>
      </c>
      <c r="AB183" s="4">
        <f>SUM(Q183:Y183)-Z183</f>
        <v/>
      </c>
      <c r="AC183" s="4">
        <f>IF(I183="","",IF(OR(LEFT(I183,3)="BKK",I183="LCH55"),"BKK",IF(LEFT(I183,3)="LCH","LCH","OTHER")))</f>
        <v/>
      </c>
      <c r="AD183" s="4">
        <f>MAX(0,Q183-MAX(0,Z183))</f>
        <v/>
      </c>
      <c r="AE183" s="4">
        <f>MAX(0,R183-MAX(0,Z183-SUM(Q183:Q183)))</f>
        <v/>
      </c>
      <c r="AF183" s="4">
        <f>MAX(0,S183-MAX(0,Z183-SUM(Q183:R183)))</f>
        <v/>
      </c>
      <c r="AG183" s="4">
        <f>MAX(0,T183-MAX(0,Z183-SUM(Q183:S183)))</f>
        <v/>
      </c>
      <c r="AH183" s="4">
        <f>MAX(0,U183-MAX(0,Z183-SUM(Q183:T183)))</f>
        <v/>
      </c>
      <c r="AI183" s="4">
        <f>MAX(0,V183-MAX(0,Z183-SUM(Q183:U183)))</f>
        <v/>
      </c>
      <c r="AJ183" s="4">
        <f>MAX(0,W183-MAX(0,Z183-SUM(Q183:V183)))</f>
        <v/>
      </c>
      <c r="AK183" s="4">
        <f>MAX(0,X183-MAX(0,Z183-SUM(Q183:W183)))</f>
        <v/>
      </c>
      <c r="AL183" s="4">
        <f>MAX(0,Y183-MAX(0,Z183-SUM(Q183:X183)))</f>
        <v/>
      </c>
    </row>
    <row r="184">
      <c r="A184" s="4" t="inlineStr">
        <is>
          <t>HASLS22260901813</t>
        </is>
      </c>
      <c r="B184" s="4" t="inlineStr">
        <is>
          <t>KJT</t>
        </is>
      </c>
      <c r="C184" s="4" t="inlineStr">
        <is>
          <t>2611N</t>
        </is>
      </c>
      <c r="D184" s="4" t="inlineStr">
        <is>
          <t>202610141800</t>
        </is>
      </c>
      <c r="E184" s="4" t="inlineStr"/>
      <c r="F184" s="4" t="inlineStr">
        <is>
          <t>THBKK</t>
        </is>
      </c>
      <c r="G184" s="4" t="inlineStr">
        <is>
          <t>HKHKG</t>
        </is>
      </c>
      <c r="H184" s="4" t="inlineStr">
        <is>
          <t xml:space="preserve">R40Hx1 </t>
        </is>
      </c>
      <c r="I184" s="4" t="inlineStr">
        <is>
          <t>BKK27</t>
        </is>
      </c>
      <c r="J184" s="4" t="inlineStr">
        <is>
          <t>B.C. DEPOT CO.,LTD. ( Bang-Na KM.18)</t>
        </is>
      </c>
      <c r="K184" s="4" t="inlineStr">
        <is>
          <t>20261008</t>
        </is>
      </c>
      <c r="L184" s="4" t="inlineStr">
        <is>
          <t>KWE-KINTETSU WORLD EXPRESS (THAILAND) CO., LTD.</t>
        </is>
      </c>
      <c r="M184" s="4" t="inlineStr">
        <is>
          <t>KIBUN (THAILAND) CO., LTD.</t>
        </is>
      </c>
      <c r="N184" s="4" t="inlineStr">
        <is>
          <t>FROZEN IMITATION CRAB MEAT//1604.20</t>
        </is>
      </c>
      <c r="O184" s="4" t="inlineStr">
        <is>
          <t>RF45REx1 (Temp -20.0℃ / Vent Close)</t>
        </is>
      </c>
      <c r="P184" s="4" t="inlineStr">
        <is>
          <t xml:space="preserve">Pickup : 2026-10-08, Return : 2026-10-09 (Temp -20.0 / Vent Close)
 CLS TIME 13/10 @09.00 [1ST RTN 11/10 W/O ELECTRIC] 
 </t>
        </is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1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>
        <f>SUM(Q184:Y184)-Z184</f>
        <v/>
      </c>
      <c r="AC184" s="4">
        <f>IF(I184="","",IF(OR(LEFT(I184,3)="BKK",I184="LCH55"),"BKK",IF(LEFT(I184,3)="LCH","LCH","OTHER")))</f>
        <v/>
      </c>
      <c r="AD184" s="4">
        <f>MAX(0,Q184-MAX(0,Z184))</f>
        <v/>
      </c>
      <c r="AE184" s="4">
        <f>MAX(0,R184-MAX(0,Z184-SUM(Q184:Q184)))</f>
        <v/>
      </c>
      <c r="AF184" s="4">
        <f>MAX(0,S184-MAX(0,Z184-SUM(Q184:R184)))</f>
        <v/>
      </c>
      <c r="AG184" s="4">
        <f>MAX(0,T184-MAX(0,Z184-SUM(Q184:S184)))</f>
        <v/>
      </c>
      <c r="AH184" s="4">
        <f>MAX(0,U184-MAX(0,Z184-SUM(Q184:T184)))</f>
        <v/>
      </c>
      <c r="AI184" s="4">
        <f>MAX(0,V184-MAX(0,Z184-SUM(Q184:U184)))</f>
        <v/>
      </c>
      <c r="AJ184" s="4">
        <f>MAX(0,W184-MAX(0,Z184-SUM(Q184:V184)))</f>
        <v/>
      </c>
      <c r="AK184" s="4">
        <f>MAX(0,X184-MAX(0,Z184-SUM(Q184:W184)))</f>
        <v/>
      </c>
      <c r="AL184" s="4">
        <f>MAX(0,Y184-MAX(0,Z184-SUM(Q184:X184)))</f>
        <v/>
      </c>
    </row>
    <row r="185">
      <c r="A185" s="4" t="inlineStr">
        <is>
          <t>HASLS22260901814</t>
        </is>
      </c>
      <c r="B185" s="4" t="inlineStr">
        <is>
          <t>HAHM</t>
        </is>
      </c>
      <c r="C185" s="4" t="inlineStr">
        <is>
          <t>2612N</t>
        </is>
      </c>
      <c r="D185" s="4" t="inlineStr">
        <is>
          <t>202610211800</t>
        </is>
      </c>
      <c r="E185" s="4" t="inlineStr"/>
      <c r="F185" s="4" t="inlineStr">
        <is>
          <t>THBKK</t>
        </is>
      </c>
      <c r="G185" s="4" t="inlineStr">
        <is>
          <t>VNSGN</t>
        </is>
      </c>
      <c r="H185" s="4" t="inlineStr">
        <is>
          <t xml:space="preserve">20'x1 </t>
        </is>
      </c>
      <c r="I185" s="4" t="inlineStr">
        <is>
          <t>BKK27</t>
        </is>
      </c>
      <c r="J185" s="4" t="inlineStr">
        <is>
          <t>B.C. DEPOT CO.,LTD. ( Bang-Na KM.18)</t>
        </is>
      </c>
      <c r="K185" s="4" t="inlineStr">
        <is>
          <t>20261017</t>
        </is>
      </c>
      <c r="L185" s="4" t="inlineStr">
        <is>
          <t>BEE LOGISTICS (THAILAND) CO., LTD.</t>
        </is>
      </c>
      <c r="M185" s="4" t="inlineStr">
        <is>
          <t>AJINOMOTO CO., (THAILAND) LTD.</t>
        </is>
      </c>
      <c r="N185" s="4" t="inlineStr">
        <is>
          <t>AJITIDE I+G</t>
        </is>
      </c>
      <c r="O185" s="4" t="inlineStr">
        <is>
          <t>PLS ARRANGE GRADE A CONTAINER FOR FOODSTUFF PRODUCT WITH 6 RINGS IN ORDER TO HOOK NET IN THE CONTAINER.</t>
        </is>
      </c>
      <c r="P185" s="4" t="inlineStr">
        <is>
          <t xml:space="preserve">Pickup : 2026-10-17, Return : 2026-10-19 </t>
        </is>
      </c>
      <c r="Q185" s="4" t="n">
        <v>1</v>
      </c>
      <c r="R185" s="4" t="n">
        <v>0</v>
      </c>
      <c r="S185" s="4" t="n">
        <v>0</v>
      </c>
      <c r="T185" s="4" t="n">
        <v>0</v>
      </c>
      <c r="U185" s="4" t="n">
        <v>0</v>
      </c>
      <c r="V185" s="4" t="n">
        <v>0</v>
      </c>
      <c r="W185" s="4" t="n">
        <v>0</v>
      </c>
      <c r="X185" s="4" t="n">
        <v>0</v>
      </c>
      <c r="Y185" s="4" t="n">
        <v>0</v>
      </c>
      <c r="Z185" s="4" t="n">
        <v>0</v>
      </c>
      <c r="AA185" s="4" t="n">
        <v>0</v>
      </c>
      <c r="AB185" s="4">
        <f>SUM(Q185:Y185)-Z185</f>
        <v/>
      </c>
      <c r="AC185" s="4">
        <f>IF(I185="","",IF(OR(LEFT(I185,3)="BKK",I185="LCH55"),"BKK",IF(LEFT(I185,3)="LCH","LCH","OTHER")))</f>
        <v/>
      </c>
      <c r="AD185" s="4">
        <f>MAX(0,Q185-MAX(0,Z185))</f>
        <v/>
      </c>
      <c r="AE185" s="4">
        <f>MAX(0,R185-MAX(0,Z185-SUM(Q185:Q185)))</f>
        <v/>
      </c>
      <c r="AF185" s="4">
        <f>MAX(0,S185-MAX(0,Z185-SUM(Q185:R185)))</f>
        <v/>
      </c>
      <c r="AG185" s="4">
        <f>MAX(0,T185-MAX(0,Z185-SUM(Q185:S185)))</f>
        <v/>
      </c>
      <c r="AH185" s="4">
        <f>MAX(0,U185-MAX(0,Z185-SUM(Q185:T185)))</f>
        <v/>
      </c>
      <c r="AI185" s="4">
        <f>MAX(0,V185-MAX(0,Z185-SUM(Q185:U185)))</f>
        <v/>
      </c>
      <c r="AJ185" s="4">
        <f>MAX(0,W185-MAX(0,Z185-SUM(Q185:V185)))</f>
        <v/>
      </c>
      <c r="AK185" s="4">
        <f>MAX(0,X185-MAX(0,Z185-SUM(Q185:W185)))</f>
        <v/>
      </c>
      <c r="AL185" s="4">
        <f>MAX(0,Y185-MAX(0,Z185-SUM(Q185:X185)))</f>
        <v/>
      </c>
    </row>
    <row r="186">
      <c r="A186" s="4" t="inlineStr">
        <is>
          <t>HASLS22260901817</t>
        </is>
      </c>
      <c r="B186" s="4" t="inlineStr">
        <is>
          <t>SWSP</t>
        </is>
      </c>
      <c r="C186" s="4" t="inlineStr">
        <is>
          <t>2609N</t>
        </is>
      </c>
      <c r="D186" s="4" t="inlineStr">
        <is>
          <t>202610071530</t>
        </is>
      </c>
      <c r="E186" s="4" t="inlineStr"/>
      <c r="F186" s="4" t="inlineStr">
        <is>
          <t>THBKK</t>
        </is>
      </c>
      <c r="G186" s="4" t="inlineStr">
        <is>
          <t>VNSGN</t>
        </is>
      </c>
      <c r="H186" s="4" t="inlineStr">
        <is>
          <t xml:space="preserve">20'x1 </t>
        </is>
      </c>
      <c r="I186" s="4" t="inlineStr">
        <is>
          <t>BKK27</t>
        </is>
      </c>
      <c r="J186" s="4" t="inlineStr">
        <is>
          <t>B.C. DEPOT CO.,LTD. ( Bang-Na KM.18)</t>
        </is>
      </c>
      <c r="K186" s="4" t="inlineStr">
        <is>
          <t>20261002</t>
        </is>
      </c>
      <c r="L186" s="4" t="inlineStr">
        <is>
          <t>ATA GLOBAL LOGISTICS CO.,LTD.</t>
        </is>
      </c>
      <c r="M186" s="4" t="inlineStr">
        <is>
          <t>ATA GLOBAL LOGISTICS CO.,LTD.</t>
        </is>
      </c>
      <c r="N186" s="4" t="inlineStr">
        <is>
          <t>AUTOMOTRVE PARTS</t>
        </is>
      </c>
      <c r="O186" s="4" t="inlineStr">
        <is>
          <t>GOOD AND CLEAN CONTAINER</t>
        </is>
      </c>
      <c r="P186" s="4" t="inlineStr">
        <is>
          <t>Pickup : 2026-10-02, Return : 2026-10-02</t>
        </is>
      </c>
      <c r="Q186" s="4" t="n">
        <v>1</v>
      </c>
      <c r="R186" s="4" t="n">
        <v>0</v>
      </c>
      <c r="S186" s="4" t="n">
        <v>0</v>
      </c>
      <c r="T186" s="4" t="n">
        <v>0</v>
      </c>
      <c r="U186" s="4" t="n">
        <v>0</v>
      </c>
      <c r="V186" s="4" t="n">
        <v>0</v>
      </c>
      <c r="W186" s="4" t="n">
        <v>0</v>
      </c>
      <c r="X186" s="4" t="n">
        <v>0</v>
      </c>
      <c r="Y186" s="4" t="n">
        <v>0</v>
      </c>
      <c r="Z186" s="4" t="n">
        <v>0</v>
      </c>
      <c r="AA186" s="4" t="n">
        <v>0</v>
      </c>
      <c r="AB186" s="4">
        <f>SUM(Q186:Y186)-Z186</f>
        <v/>
      </c>
      <c r="AC186" s="4">
        <f>IF(I186="","",IF(OR(LEFT(I186,3)="BKK",I186="LCH55"),"BKK",IF(LEFT(I186,3)="LCH","LCH","OTHER")))</f>
        <v/>
      </c>
      <c r="AD186" s="4">
        <f>MAX(0,Q186-MAX(0,Z186))</f>
        <v/>
      </c>
      <c r="AE186" s="4">
        <f>MAX(0,R186-MAX(0,Z186-SUM(Q186:Q186)))</f>
        <v/>
      </c>
      <c r="AF186" s="4">
        <f>MAX(0,S186-MAX(0,Z186-SUM(Q186:R186)))</f>
        <v/>
      </c>
      <c r="AG186" s="4">
        <f>MAX(0,T186-MAX(0,Z186-SUM(Q186:S186)))</f>
        <v/>
      </c>
      <c r="AH186" s="4">
        <f>MAX(0,U186-MAX(0,Z186-SUM(Q186:T186)))</f>
        <v/>
      </c>
      <c r="AI186" s="4">
        <f>MAX(0,V186-MAX(0,Z186-SUM(Q186:U186)))</f>
        <v/>
      </c>
      <c r="AJ186" s="4">
        <f>MAX(0,W186-MAX(0,Z186-SUM(Q186:V186)))</f>
        <v/>
      </c>
      <c r="AK186" s="4">
        <f>MAX(0,X186-MAX(0,Z186-SUM(Q186:W186)))</f>
        <v/>
      </c>
      <c r="AL186" s="4">
        <f>MAX(0,Y186-MAX(0,Z186-SUM(Q186:X186)))</f>
        <v/>
      </c>
    </row>
    <row r="187">
      <c r="A187" s="4" t="inlineStr">
        <is>
          <t>HASLS22260901828</t>
        </is>
      </c>
      <c r="B187" s="4" t="inlineStr">
        <is>
          <t>KJT</t>
        </is>
      </c>
      <c r="C187" s="4" t="inlineStr">
        <is>
          <t>2611N</t>
        </is>
      </c>
      <c r="D187" s="4" t="inlineStr">
        <is>
          <t>202610141800</t>
        </is>
      </c>
      <c r="E187" s="4" t="inlineStr"/>
      <c r="F187" s="4" t="inlineStr">
        <is>
          <t>THBKK</t>
        </is>
      </c>
      <c r="G187" s="4" t="inlineStr">
        <is>
          <t>HKHKG</t>
        </is>
      </c>
      <c r="H187" s="4" t="inlineStr">
        <is>
          <t xml:space="preserve">20'x1 </t>
        </is>
      </c>
      <c r="I187" s="4" t="inlineStr">
        <is>
          <t>BKK27</t>
        </is>
      </c>
      <c r="J187" s="4" t="inlineStr">
        <is>
          <t>B.C. DEPOT CO.,LTD. ( Bang-Na KM.18)</t>
        </is>
      </c>
      <c r="K187" s="4" t="inlineStr">
        <is>
          <t>20261008</t>
        </is>
      </c>
      <c r="L187" s="4" t="inlineStr">
        <is>
          <t>SPC GLOBAL LOGISTICS CO., LTD.</t>
        </is>
      </c>
      <c r="M187" s="4" t="inlineStr">
        <is>
          <t>MEDIFOODS (THAILAND) CO., LTD.</t>
        </is>
      </c>
      <c r="N187" s="4" t="inlineStr">
        <is>
          <t>RICE</t>
        </is>
      </c>
      <c r="O187" s="4" t="inlineStr">
        <is>
          <t>REQ GOOD &amp; CLEAN</t>
        </is>
      </c>
      <c r="P187" s="4" t="inlineStr">
        <is>
          <t xml:space="preserve">Pickup : 2026-10-08, Return : 2026-10-10 (1ST RTN 10/10 W/O RENT) 
 CLS TIME 12/10 @12.00 </t>
        </is>
      </c>
      <c r="Q187" s="4" t="n">
        <v>1</v>
      </c>
      <c r="R187" s="4" t="n">
        <v>0</v>
      </c>
      <c r="S187" s="4" t="n">
        <v>0</v>
      </c>
      <c r="T187" s="4" t="n">
        <v>0</v>
      </c>
      <c r="U187" s="4" t="n">
        <v>0</v>
      </c>
      <c r="V187" s="4" t="n">
        <v>0</v>
      </c>
      <c r="W187" s="4" t="n">
        <v>0</v>
      </c>
      <c r="X187" s="4" t="n">
        <v>0</v>
      </c>
      <c r="Y187" s="4" t="n">
        <v>0</v>
      </c>
      <c r="Z187" s="4" t="n">
        <v>0</v>
      </c>
      <c r="AA187" s="4" t="n">
        <v>0</v>
      </c>
      <c r="AB187" s="4">
        <f>SUM(Q187:Y187)-Z187</f>
        <v/>
      </c>
      <c r="AC187" s="4">
        <f>IF(I187="","",IF(OR(LEFT(I187,3)="BKK",I187="LCH55"),"BKK",IF(LEFT(I187,3)="LCH","LCH","OTHER")))</f>
        <v/>
      </c>
      <c r="AD187" s="4">
        <f>MAX(0,Q187-MAX(0,Z187))</f>
        <v/>
      </c>
      <c r="AE187" s="4">
        <f>MAX(0,R187-MAX(0,Z187-SUM(Q187:Q187)))</f>
        <v/>
      </c>
      <c r="AF187" s="4">
        <f>MAX(0,S187-MAX(0,Z187-SUM(Q187:R187)))</f>
        <v/>
      </c>
      <c r="AG187" s="4">
        <f>MAX(0,T187-MAX(0,Z187-SUM(Q187:S187)))</f>
        <v/>
      </c>
      <c r="AH187" s="4">
        <f>MAX(0,U187-MAX(0,Z187-SUM(Q187:T187)))</f>
        <v/>
      </c>
      <c r="AI187" s="4">
        <f>MAX(0,V187-MAX(0,Z187-SUM(Q187:U187)))</f>
        <v/>
      </c>
      <c r="AJ187" s="4">
        <f>MAX(0,W187-MAX(0,Z187-SUM(Q187:V187)))</f>
        <v/>
      </c>
      <c r="AK187" s="4">
        <f>MAX(0,X187-MAX(0,Z187-SUM(Q187:W187)))</f>
        <v/>
      </c>
      <c r="AL187" s="4">
        <f>MAX(0,Y187-MAX(0,Z187-SUM(Q187:X187)))</f>
        <v/>
      </c>
    </row>
    <row r="188">
      <c r="A188" s="4" t="inlineStr">
        <is>
          <t>HASLS22260901829</t>
        </is>
      </c>
      <c r="B188" s="4" t="inlineStr">
        <is>
          <t>KMBK</t>
        </is>
      </c>
      <c r="C188" s="4" t="inlineStr">
        <is>
          <t>2611N</t>
        </is>
      </c>
      <c r="D188" s="4" t="inlineStr">
        <is>
          <t>202610030900</t>
        </is>
      </c>
      <c r="E188" s="4" t="inlineStr"/>
      <c r="F188" s="4" t="inlineStr">
        <is>
          <t>THBKK</t>
        </is>
      </c>
      <c r="G188" s="4" t="inlineStr">
        <is>
          <t>VNSGN</t>
        </is>
      </c>
      <c r="H188" s="4" t="inlineStr">
        <is>
          <t xml:space="preserve">40Hx1 </t>
        </is>
      </c>
      <c r="I188" s="4" t="inlineStr">
        <is>
          <t>BKK27</t>
        </is>
      </c>
      <c r="J188" s="4" t="inlineStr">
        <is>
          <t>B.C. DEPOT CO.,LTD. ( Bang-Na KM.18)</t>
        </is>
      </c>
      <c r="K188" s="4" t="inlineStr">
        <is>
          <t>20260930</t>
        </is>
      </c>
      <c r="L188" s="4" t="inlineStr">
        <is>
          <t>TOPOCEAN (THAILAND) LIMITED</t>
        </is>
      </c>
      <c r="M188" s="4" t="inlineStr">
        <is>
          <t>KARMARTS PUBLIC COMPANY LIMITED</t>
        </is>
      </c>
      <c r="N188" s="4" t="inlineStr">
        <is>
          <t>COSMETIC</t>
        </is>
      </c>
      <c r="O188" s="4" t="inlineStr">
        <is>
          <t>REQ : CLEAN, DRY CONTAINER</t>
        </is>
      </c>
      <c r="P188" s="4" t="inlineStr">
        <is>
          <t>Pickup : 2026-09-30, Return : 2026-09-30</t>
        </is>
      </c>
      <c r="Q188" s="4" t="n">
        <v>0</v>
      </c>
      <c r="R188" s="4" t="n">
        <v>0</v>
      </c>
      <c r="S188" s="4" t="n">
        <v>1</v>
      </c>
      <c r="T188" s="4" t="n">
        <v>0</v>
      </c>
      <c r="U188" s="4" t="n">
        <v>0</v>
      </c>
      <c r="V188" s="4" t="n">
        <v>0</v>
      </c>
      <c r="W188" s="4" t="n">
        <v>0</v>
      </c>
      <c r="X188" s="4" t="n">
        <v>0</v>
      </c>
      <c r="Y188" s="4" t="n">
        <v>0</v>
      </c>
      <c r="Z188" s="4" t="n">
        <v>0</v>
      </c>
      <c r="AA188" s="4" t="n">
        <v>0</v>
      </c>
      <c r="AB188" s="4">
        <f>SUM(Q188:Y188)-Z188</f>
        <v/>
      </c>
      <c r="AC188" s="4">
        <f>IF(I188="","",IF(OR(LEFT(I188,3)="BKK",I188="LCH55"),"BKK",IF(LEFT(I188,3)="LCH","LCH","OTHER")))</f>
        <v/>
      </c>
      <c r="AD188" s="4">
        <f>MAX(0,Q188-MAX(0,Z188))</f>
        <v/>
      </c>
      <c r="AE188" s="4">
        <f>MAX(0,R188-MAX(0,Z188-SUM(Q188:Q188)))</f>
        <v/>
      </c>
      <c r="AF188" s="4">
        <f>MAX(0,S188-MAX(0,Z188-SUM(Q188:R188)))</f>
        <v/>
      </c>
      <c r="AG188" s="4">
        <f>MAX(0,T188-MAX(0,Z188-SUM(Q188:S188)))</f>
        <v/>
      </c>
      <c r="AH188" s="4">
        <f>MAX(0,U188-MAX(0,Z188-SUM(Q188:T188)))</f>
        <v/>
      </c>
      <c r="AI188" s="4">
        <f>MAX(0,V188-MAX(0,Z188-SUM(Q188:U188)))</f>
        <v/>
      </c>
      <c r="AJ188" s="4">
        <f>MAX(0,W188-MAX(0,Z188-SUM(Q188:V188)))</f>
        <v/>
      </c>
      <c r="AK188" s="4">
        <f>MAX(0,X188-MAX(0,Z188-SUM(Q188:W188)))</f>
        <v/>
      </c>
      <c r="AL188" s="4">
        <f>MAX(0,Y188-MAX(0,Z188-SUM(Q188:X188)))</f>
        <v/>
      </c>
    </row>
    <row r="189">
      <c r="A189" s="4" t="inlineStr">
        <is>
          <t>HASLS22260901835</t>
        </is>
      </c>
      <c r="B189" s="4" t="inlineStr">
        <is>
          <t>DJCF</t>
        </is>
      </c>
      <c r="C189" s="4" t="inlineStr">
        <is>
          <t>0152N</t>
        </is>
      </c>
      <c r="D189" s="4" t="inlineStr">
        <is>
          <t>202610111000</t>
        </is>
      </c>
      <c r="E189" s="4" t="inlineStr"/>
      <c r="F189" s="4" t="inlineStr">
        <is>
          <t>THBKK</t>
        </is>
      </c>
      <c r="G189" s="4" t="inlineStr">
        <is>
          <t>VNSGN</t>
        </is>
      </c>
      <c r="H189" s="4" t="inlineStr">
        <is>
          <t xml:space="preserve">20'x1 </t>
        </is>
      </c>
      <c r="I189" s="4" t="inlineStr">
        <is>
          <t>BKK27</t>
        </is>
      </c>
      <c r="J189" s="4" t="inlineStr">
        <is>
          <t>B.C. DEPOT CO.,LTD. ( Bang-Na KM.18)</t>
        </is>
      </c>
      <c r="K189" s="4" t="inlineStr">
        <is>
          <t>20261005</t>
        </is>
      </c>
      <c r="L189" s="4" t="inlineStr">
        <is>
          <t>ACCORD PILOT LOGISTICS (THAILAND) CO., LTD.</t>
        </is>
      </c>
      <c r="M189" s="4" t="inlineStr">
        <is>
          <t>JIRAKORN CO., LTD.</t>
        </is>
      </c>
      <c r="N189" s="4" t="inlineStr">
        <is>
          <t xml:space="preserve"> FOOD ADDITIVE,</t>
        </is>
      </c>
      <c r="O189" s="4" t="inlineStr">
        <is>
          <t>REQUEST GOOD &amp; CLEAN CONTAINER</t>
        </is>
      </c>
      <c r="P189" s="4" t="inlineStr">
        <is>
          <t>Pickup : 2026-10-05, Return : 2026-10-05 (1ST RTN DD: 06/10/26 WO/RENT)</t>
        </is>
      </c>
      <c r="Q189" s="4" t="n">
        <v>1</v>
      </c>
      <c r="R189" s="4" t="n">
        <v>0</v>
      </c>
      <c r="S189" s="4" t="n">
        <v>0</v>
      </c>
      <c r="T189" s="4" t="n">
        <v>0</v>
      </c>
      <c r="U189" s="4" t="n">
        <v>0</v>
      </c>
      <c r="V189" s="4" t="n">
        <v>0</v>
      </c>
      <c r="W189" s="4" t="n">
        <v>0</v>
      </c>
      <c r="X189" s="4" t="n">
        <v>0</v>
      </c>
      <c r="Y189" s="4" t="n">
        <v>0</v>
      </c>
      <c r="Z189" s="4" t="n">
        <v>0</v>
      </c>
      <c r="AA189" s="4" t="n">
        <v>0</v>
      </c>
      <c r="AB189" s="4">
        <f>SUM(Q189:Y189)-Z189</f>
        <v/>
      </c>
      <c r="AC189" s="4">
        <f>IF(I189="","",IF(OR(LEFT(I189,3)="BKK",I189="LCH55"),"BKK",IF(LEFT(I189,3)="LCH","LCH","OTHER")))</f>
        <v/>
      </c>
      <c r="AD189" s="4">
        <f>MAX(0,Q189-MAX(0,Z189))</f>
        <v/>
      </c>
      <c r="AE189" s="4">
        <f>MAX(0,R189-MAX(0,Z189-SUM(Q189:Q189)))</f>
        <v/>
      </c>
      <c r="AF189" s="4">
        <f>MAX(0,S189-MAX(0,Z189-SUM(Q189:R189)))</f>
        <v/>
      </c>
      <c r="AG189" s="4">
        <f>MAX(0,T189-MAX(0,Z189-SUM(Q189:S189)))</f>
        <v/>
      </c>
      <c r="AH189" s="4">
        <f>MAX(0,U189-MAX(0,Z189-SUM(Q189:T189)))</f>
        <v/>
      </c>
      <c r="AI189" s="4">
        <f>MAX(0,V189-MAX(0,Z189-SUM(Q189:U189)))</f>
        <v/>
      </c>
      <c r="AJ189" s="4">
        <f>MAX(0,W189-MAX(0,Z189-SUM(Q189:V189)))</f>
        <v/>
      </c>
      <c r="AK189" s="4">
        <f>MAX(0,X189-MAX(0,Z189-SUM(Q189:W189)))</f>
        <v/>
      </c>
      <c r="AL189" s="4">
        <f>MAX(0,Y189-MAX(0,Z189-SUM(Q189:X189)))</f>
        <v/>
      </c>
    </row>
    <row r="190">
      <c r="A190" s="4" t="inlineStr">
        <is>
          <t>HASLS22260901847</t>
        </is>
      </c>
      <c r="B190" s="4" t="inlineStr">
        <is>
          <t>KMBK</t>
        </is>
      </c>
      <c r="C190" s="4" t="inlineStr">
        <is>
          <t>2611N</t>
        </is>
      </c>
      <c r="D190" s="4" t="inlineStr">
        <is>
          <t>202610040100</t>
        </is>
      </c>
      <c r="E190" s="4" t="inlineStr"/>
      <c r="F190" s="4" t="inlineStr">
        <is>
          <t>THLCH</t>
        </is>
      </c>
      <c r="G190" s="4" t="inlineStr">
        <is>
          <t>KRPUS</t>
        </is>
      </c>
      <c r="H190" s="4" t="inlineStr">
        <is>
          <t xml:space="preserve">R40Hx1 </t>
        </is>
      </c>
      <c r="I190" s="4" t="inlineStr">
        <is>
          <t>BKK27</t>
        </is>
      </c>
      <c r="J190" s="4" t="inlineStr">
        <is>
          <t>B.C. DEPOT CO.,LTD. ( Bang-Na KM.18)</t>
        </is>
      </c>
      <c r="K190" s="4" t="inlineStr">
        <is>
          <t>20260930</t>
        </is>
      </c>
      <c r="L190" s="4" t="inlineStr">
        <is>
          <t>GFPT PUBLIC COMPANY LIMITED.</t>
        </is>
      </c>
      <c r="M190" s="4" t="inlineStr">
        <is>
          <t>GFPT PUBLIC COMPANY LIMITED.</t>
        </is>
      </c>
      <c r="N190" s="4" t="inlineStr">
        <is>
          <t>FROZEN CHICEKN</t>
        </is>
      </c>
      <c r="O190" s="4" t="inlineStr">
        <is>
          <t>(TEMP : -20'C / VENT CLOSE)
**Request good &amp; clean container and Thermo King / Carrier / Starcool A/C.
**Not accept Daikin A/C.</t>
        </is>
      </c>
      <c r="P190" s="4" t="inlineStr">
        <is>
          <t>CY - RTN DD: 30-01/10/26 (TEMP : -20'C / VENT CLOSE)
CLS TIME 03/10/26 @09.00 (1ST RETURN 02/10/26)</t>
        </is>
      </c>
      <c r="Q190" s="4" t="n">
        <v>0</v>
      </c>
      <c r="R190" s="4" t="n">
        <v>0</v>
      </c>
      <c r="S190" s="4" t="n">
        <v>0</v>
      </c>
      <c r="T190" s="4" t="n">
        <v>0</v>
      </c>
      <c r="U190" s="4" t="n">
        <v>1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>
        <f>SUM(Q190:Y190)-Z190</f>
        <v/>
      </c>
      <c r="AC190" s="4">
        <f>IF(I190="","",IF(OR(LEFT(I190,3)="BKK",I190="LCH55"),"BKK",IF(LEFT(I190,3)="LCH","LCH","OTHER")))</f>
        <v/>
      </c>
      <c r="AD190" s="4">
        <f>MAX(0,Q190-MAX(0,Z190))</f>
        <v/>
      </c>
      <c r="AE190" s="4">
        <f>MAX(0,R190-MAX(0,Z190-SUM(Q190:Q190)))</f>
        <v/>
      </c>
      <c r="AF190" s="4">
        <f>MAX(0,S190-MAX(0,Z190-SUM(Q190:R190)))</f>
        <v/>
      </c>
      <c r="AG190" s="4">
        <f>MAX(0,T190-MAX(0,Z190-SUM(Q190:S190)))</f>
        <v/>
      </c>
      <c r="AH190" s="4">
        <f>MAX(0,U190-MAX(0,Z190-SUM(Q190:T190)))</f>
        <v/>
      </c>
      <c r="AI190" s="4">
        <f>MAX(0,V190-MAX(0,Z190-SUM(Q190:U190)))</f>
        <v/>
      </c>
      <c r="AJ190" s="4">
        <f>MAX(0,W190-MAX(0,Z190-SUM(Q190:V190)))</f>
        <v/>
      </c>
      <c r="AK190" s="4">
        <f>MAX(0,X190-MAX(0,Z190-SUM(Q190:W190)))</f>
        <v/>
      </c>
      <c r="AL190" s="4">
        <f>MAX(0,Y190-MAX(0,Z190-SUM(Q190:X190)))</f>
        <v/>
      </c>
    </row>
    <row r="191">
      <c r="A191" s="4" t="inlineStr">
        <is>
          <t>HASLS22260901848</t>
        </is>
      </c>
      <c r="B191" s="4" t="inlineStr">
        <is>
          <t>KMBK</t>
        </is>
      </c>
      <c r="C191" s="4" t="inlineStr">
        <is>
          <t>2611N</t>
        </is>
      </c>
      <c r="D191" s="4" t="inlineStr">
        <is>
          <t>202610040100</t>
        </is>
      </c>
      <c r="E191" s="4" t="inlineStr"/>
      <c r="F191" s="4" t="inlineStr">
        <is>
          <t>THLCH</t>
        </is>
      </c>
      <c r="G191" s="4" t="inlineStr">
        <is>
          <t>KRPUS</t>
        </is>
      </c>
      <c r="H191" s="4" t="inlineStr">
        <is>
          <t xml:space="preserve">R40Hx1 </t>
        </is>
      </c>
      <c r="I191" s="4" t="inlineStr">
        <is>
          <t>BKK27</t>
        </is>
      </c>
      <c r="J191" s="4" t="inlineStr">
        <is>
          <t>B.C. DEPOT CO.,LTD. ( Bang-Na KM.18)</t>
        </is>
      </c>
      <c r="K191" s="4" t="inlineStr">
        <is>
          <t>20260930</t>
        </is>
      </c>
      <c r="L191" s="4" t="inlineStr">
        <is>
          <t>GFPT PUBLIC COMPANY LIMITED.</t>
        </is>
      </c>
      <c r="M191" s="4" t="inlineStr">
        <is>
          <t>GFPT PUBLIC COMPANY LIMITED.</t>
        </is>
      </c>
      <c r="N191" s="4" t="inlineStr">
        <is>
          <t>FROZEN CHICEKN</t>
        </is>
      </c>
      <c r="O191" s="4" t="inlineStr">
        <is>
          <t>(TEMP : -20'C / VENT CLOSE)
**Request good &amp; clean container and Thermo King / Carrier / Starcool A/C.
**Not accept Daikin A/C.</t>
        </is>
      </c>
      <c r="P191" s="4" t="inlineStr">
        <is>
          <t>CY - RTN DD: 30-01/10/26 (TEMP : -20'C / VENT CLOSE)
CLS TIME 02/10/26 @12.00 (1ST RETURN 02/10/26)</t>
        </is>
      </c>
      <c r="Q191" s="4" t="n">
        <v>0</v>
      </c>
      <c r="R191" s="4" t="n">
        <v>0</v>
      </c>
      <c r="S191" s="4" t="n">
        <v>0</v>
      </c>
      <c r="T191" s="4" t="n">
        <v>0</v>
      </c>
      <c r="U191" s="4" t="n">
        <v>1</v>
      </c>
      <c r="V191" s="4" t="n">
        <v>0</v>
      </c>
      <c r="W191" s="4" t="n">
        <v>0</v>
      </c>
      <c r="X191" s="4" t="n">
        <v>0</v>
      </c>
      <c r="Y191" s="4" t="n">
        <v>0</v>
      </c>
      <c r="Z191" s="4" t="n">
        <v>0</v>
      </c>
      <c r="AA191" s="4" t="n">
        <v>0</v>
      </c>
      <c r="AB191" s="4">
        <f>SUM(Q191:Y191)-Z191</f>
        <v/>
      </c>
      <c r="AC191" s="4">
        <f>IF(I191="","",IF(OR(LEFT(I191,3)="BKK",I191="LCH55"),"BKK",IF(LEFT(I191,3)="LCH","LCH","OTHER")))</f>
        <v/>
      </c>
      <c r="AD191" s="4">
        <f>MAX(0,Q191-MAX(0,Z191))</f>
        <v/>
      </c>
      <c r="AE191" s="4">
        <f>MAX(0,R191-MAX(0,Z191-SUM(Q191:Q191)))</f>
        <v/>
      </c>
      <c r="AF191" s="4">
        <f>MAX(0,S191-MAX(0,Z191-SUM(Q191:R191)))</f>
        <v/>
      </c>
      <c r="AG191" s="4">
        <f>MAX(0,T191-MAX(0,Z191-SUM(Q191:S191)))</f>
        <v/>
      </c>
      <c r="AH191" s="4">
        <f>MAX(0,U191-MAX(0,Z191-SUM(Q191:T191)))</f>
        <v/>
      </c>
      <c r="AI191" s="4">
        <f>MAX(0,V191-MAX(0,Z191-SUM(Q191:U191)))</f>
        <v/>
      </c>
      <c r="AJ191" s="4">
        <f>MAX(0,W191-MAX(0,Z191-SUM(Q191:V191)))</f>
        <v/>
      </c>
      <c r="AK191" s="4">
        <f>MAX(0,X191-MAX(0,Z191-SUM(Q191:W191)))</f>
        <v/>
      </c>
      <c r="AL191" s="4">
        <f>MAX(0,Y191-MAX(0,Z191-SUM(Q191:X191)))</f>
        <v/>
      </c>
    </row>
    <row r="192">
      <c r="A192" s="4" t="inlineStr">
        <is>
          <t>HASLS22260901849</t>
        </is>
      </c>
      <c r="B192" s="4" t="inlineStr">
        <is>
          <t>SWDN</t>
        </is>
      </c>
      <c r="C192" s="4" t="inlineStr">
        <is>
          <t>2610N</t>
        </is>
      </c>
      <c r="D192" s="4" t="inlineStr">
        <is>
          <t>202610060900</t>
        </is>
      </c>
      <c r="E192" s="4" t="inlineStr"/>
      <c r="F192" s="4" t="inlineStr">
        <is>
          <t>THBKK</t>
        </is>
      </c>
      <c r="G192" s="4" t="inlineStr">
        <is>
          <t>CNXMN</t>
        </is>
      </c>
      <c r="H192" s="4" t="inlineStr">
        <is>
          <t xml:space="preserve">40Hx1 </t>
        </is>
      </c>
      <c r="I192" s="4" t="inlineStr">
        <is>
          <t>BKK27</t>
        </is>
      </c>
      <c r="J192" s="4" t="inlineStr">
        <is>
          <t>B.C. DEPOT CO.,LTD. ( Bang-Na KM.18)</t>
        </is>
      </c>
      <c r="K192" s="4" t="inlineStr">
        <is>
          <t>20260929</t>
        </is>
      </c>
      <c r="L192" s="4" t="inlineStr">
        <is>
          <t>STAR CONCORD (THAILAND) CO., LTD.</t>
        </is>
      </c>
      <c r="M192" s="4" t="inlineStr">
        <is>
          <t>TITANIUM INTERNATIONAL CO., LTD.</t>
        </is>
      </c>
      <c r="N192" s="4" t="inlineStr">
        <is>
          <t>ROSE COVER</t>
        </is>
      </c>
      <c r="O192" s="4" t="inlineStr">
        <is>
          <t>GOOD AND CLEAN CONTAINER</t>
        </is>
      </c>
      <c r="P192" s="4" t="inlineStr">
        <is>
          <t xml:space="preserve">Pickup : 2026-09-29, Return : 2026-09-29 // EXTEND CLS TIME 29/09 @23.59 
</t>
        </is>
      </c>
      <c r="Q192" s="4" t="n">
        <v>0</v>
      </c>
      <c r="R192" s="4" t="n">
        <v>0</v>
      </c>
      <c r="S192" s="4" t="n">
        <v>1</v>
      </c>
      <c r="T192" s="4" t="n">
        <v>0</v>
      </c>
      <c r="U192" s="4" t="n">
        <v>0</v>
      </c>
      <c r="V192" s="4" t="n">
        <v>0</v>
      </c>
      <c r="W192" s="4" t="n">
        <v>0</v>
      </c>
      <c r="X192" s="4" t="n">
        <v>0</v>
      </c>
      <c r="Y192" s="4" t="n">
        <v>0</v>
      </c>
      <c r="Z192" s="4" t="n">
        <v>0</v>
      </c>
      <c r="AA192" s="4" t="n">
        <v>0</v>
      </c>
      <c r="AB192" s="4">
        <f>SUM(Q192:Y192)-Z192</f>
        <v/>
      </c>
      <c r="AC192" s="4">
        <f>IF(I192="","",IF(OR(LEFT(I192,3)="BKK",I192="LCH55"),"BKK",IF(LEFT(I192,3)="LCH","LCH","OTHER")))</f>
        <v/>
      </c>
      <c r="AD192" s="4">
        <f>MAX(0,Q192-MAX(0,Z192))</f>
        <v/>
      </c>
      <c r="AE192" s="4">
        <f>MAX(0,R192-MAX(0,Z192-SUM(Q192:Q192)))</f>
        <v/>
      </c>
      <c r="AF192" s="4">
        <f>MAX(0,S192-MAX(0,Z192-SUM(Q192:R192)))</f>
        <v/>
      </c>
      <c r="AG192" s="4">
        <f>MAX(0,T192-MAX(0,Z192-SUM(Q192:S192)))</f>
        <v/>
      </c>
      <c r="AH192" s="4">
        <f>MAX(0,U192-MAX(0,Z192-SUM(Q192:T192)))</f>
        <v/>
      </c>
      <c r="AI192" s="4">
        <f>MAX(0,V192-MAX(0,Z192-SUM(Q192:U192)))</f>
        <v/>
      </c>
      <c r="AJ192" s="4">
        <f>MAX(0,W192-MAX(0,Z192-SUM(Q192:V192)))</f>
        <v/>
      </c>
      <c r="AK192" s="4">
        <f>MAX(0,X192-MAX(0,Z192-SUM(Q192:W192)))</f>
        <v/>
      </c>
      <c r="AL192" s="4">
        <f>MAX(0,Y192-MAX(0,Z192-SUM(Q192:X192)))</f>
        <v/>
      </c>
    </row>
    <row r="193">
      <c r="A193" s="4" t="inlineStr">
        <is>
          <t>HASLS22260901854</t>
        </is>
      </c>
      <c r="B193" s="4" t="inlineStr">
        <is>
          <t>DJCF</t>
        </is>
      </c>
      <c r="C193" s="4" t="inlineStr">
        <is>
          <t>0152N</t>
        </is>
      </c>
      <c r="D193" s="4" t="inlineStr">
        <is>
          <t>202610111000</t>
        </is>
      </c>
      <c r="E193" s="4" t="inlineStr"/>
      <c r="F193" s="4" t="inlineStr">
        <is>
          <t>THBKK</t>
        </is>
      </c>
      <c r="G193" s="4" t="inlineStr">
        <is>
          <t>VNSGN</t>
        </is>
      </c>
      <c r="H193" s="4" t="inlineStr">
        <is>
          <t xml:space="preserve">20'x4 </t>
        </is>
      </c>
      <c r="I193" s="4" t="inlineStr">
        <is>
          <t>BKK27</t>
        </is>
      </c>
      <c r="J193" s="4" t="inlineStr">
        <is>
          <t>B.C. DEPOT CO.,LTD. ( Bang-Na KM.18)</t>
        </is>
      </c>
      <c r="K193" s="4" t="inlineStr">
        <is>
          <t>20261005</t>
        </is>
      </c>
      <c r="L193" s="4" t="inlineStr">
        <is>
          <t>CAPRICORN LOGISTICS CO., LTD.</t>
        </is>
      </c>
      <c r="M193" s="4" t="inlineStr">
        <is>
          <t>THAI GYPSUM PRODUCTS PCL.</t>
        </is>
      </c>
      <c r="N193" s="4" t="inlineStr">
        <is>
          <t xml:space="preserve">GYPSUM PLASTER </t>
        </is>
      </c>
      <c r="O193" s="4" t="inlineStr">
        <is>
          <t>request container upgrade 30 tons / REQUEST CONTAINER GOOD GRADE</t>
        </is>
      </c>
      <c r="P193" s="4" t="inlineStr">
        <is>
          <t>Pickup : 2026-10-05, Return : 2026-10-06 (1ST RTN DD: 07/10/26 WO/RENT)</t>
        </is>
      </c>
      <c r="Q193" s="4" t="n">
        <v>4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>
        <f>SUM(Q193:Y193)-Z193</f>
        <v/>
      </c>
      <c r="AC193" s="4">
        <f>IF(I193="","",IF(OR(LEFT(I193,3)="BKK",I193="LCH55"),"BKK",IF(LEFT(I193,3)="LCH","LCH","OTHER")))</f>
        <v/>
      </c>
      <c r="AD193" s="4">
        <f>MAX(0,Q193-MAX(0,Z193))</f>
        <v/>
      </c>
      <c r="AE193" s="4">
        <f>MAX(0,R193-MAX(0,Z193-SUM(Q193:Q193)))</f>
        <v/>
      </c>
      <c r="AF193" s="4">
        <f>MAX(0,S193-MAX(0,Z193-SUM(Q193:R193)))</f>
        <v/>
      </c>
      <c r="AG193" s="4">
        <f>MAX(0,T193-MAX(0,Z193-SUM(Q193:S193)))</f>
        <v/>
      </c>
      <c r="AH193" s="4">
        <f>MAX(0,U193-MAX(0,Z193-SUM(Q193:T193)))</f>
        <v/>
      </c>
      <c r="AI193" s="4">
        <f>MAX(0,V193-MAX(0,Z193-SUM(Q193:U193)))</f>
        <v/>
      </c>
      <c r="AJ193" s="4">
        <f>MAX(0,W193-MAX(0,Z193-SUM(Q193:V193)))</f>
        <v/>
      </c>
      <c r="AK193" s="4">
        <f>MAX(0,X193-MAX(0,Z193-SUM(Q193:W193)))</f>
        <v/>
      </c>
      <c r="AL193" s="4">
        <f>MAX(0,Y193-MAX(0,Z193-SUM(Q193:X193)))</f>
        <v/>
      </c>
    </row>
    <row r="194">
      <c r="A194" s="4" t="inlineStr">
        <is>
          <t>HASLS22260901855</t>
        </is>
      </c>
      <c r="B194" s="4" t="inlineStr">
        <is>
          <t>CMA</t>
        </is>
      </c>
      <c r="C194" s="4" t="inlineStr">
        <is>
          <t>2615N</t>
        </is>
      </c>
      <c r="D194" s="4" t="inlineStr">
        <is>
          <t>202610172300</t>
        </is>
      </c>
      <c r="E194" s="4" t="inlineStr"/>
      <c r="F194" s="4" t="inlineStr">
        <is>
          <t>THBKK</t>
        </is>
      </c>
      <c r="G194" s="4" t="inlineStr">
        <is>
          <t>CNSHK</t>
        </is>
      </c>
      <c r="H194" s="4" t="inlineStr">
        <is>
          <t xml:space="preserve">40Hx3 </t>
        </is>
      </c>
      <c r="I194" s="4" t="inlineStr">
        <is>
          <t>BKK27</t>
        </is>
      </c>
      <c r="J194" s="4" t="inlineStr">
        <is>
          <t>B.C. DEPOT CO.,LTD. ( Bang-Na KM.18)</t>
        </is>
      </c>
      <c r="K194" s="4" t="inlineStr">
        <is>
          <t>20261008</t>
        </is>
      </c>
      <c r="L194" s="4" t="inlineStr">
        <is>
          <t>DACHSER (THAILAND) CO., LTD.</t>
        </is>
      </c>
      <c r="M194" s="4" t="inlineStr">
        <is>
          <t>VILLEROY &amp; BOCH (THAILAND) CO., LTD.</t>
        </is>
      </c>
      <c r="N194" s="4" t="inlineStr">
        <is>
          <t>SANITARYWARE</t>
        </is>
      </c>
      <c r="O194" s="4" t="inlineStr">
        <is>
          <t>REQUEST GOOD AND CLEAN CONTAINER</t>
        </is>
      </c>
      <c r="P194" s="4" t="inlineStr">
        <is>
          <t>Pickup : 2026-10-08, Return : 2026-10-09 (1ST RTN DD: 13/10/26 WO/RENT)</t>
        </is>
      </c>
      <c r="Q194" s="4" t="n">
        <v>0</v>
      </c>
      <c r="R194" s="4" t="n">
        <v>0</v>
      </c>
      <c r="S194" s="4" t="n">
        <v>3</v>
      </c>
      <c r="T194" s="4" t="n">
        <v>0</v>
      </c>
      <c r="U194" s="4" t="n">
        <v>0</v>
      </c>
      <c r="V194" s="4" t="n">
        <v>0</v>
      </c>
      <c r="W194" s="4" t="n">
        <v>0</v>
      </c>
      <c r="X194" s="4" t="n">
        <v>0</v>
      </c>
      <c r="Y194" s="4" t="n">
        <v>0</v>
      </c>
      <c r="Z194" s="4" t="n">
        <v>0</v>
      </c>
      <c r="AA194" s="4" t="n">
        <v>0</v>
      </c>
      <c r="AB194" s="4">
        <f>SUM(Q194:Y194)-Z194</f>
        <v/>
      </c>
      <c r="AC194" s="4">
        <f>IF(I194="","",IF(OR(LEFT(I194,3)="BKK",I194="LCH55"),"BKK",IF(LEFT(I194,3)="LCH","LCH","OTHER")))</f>
        <v/>
      </c>
      <c r="AD194" s="4">
        <f>MAX(0,Q194-MAX(0,Z194))</f>
        <v/>
      </c>
      <c r="AE194" s="4">
        <f>MAX(0,R194-MAX(0,Z194-SUM(Q194:Q194)))</f>
        <v/>
      </c>
      <c r="AF194" s="4">
        <f>MAX(0,S194-MAX(0,Z194-SUM(Q194:R194)))</f>
        <v/>
      </c>
      <c r="AG194" s="4">
        <f>MAX(0,T194-MAX(0,Z194-SUM(Q194:S194)))</f>
        <v/>
      </c>
      <c r="AH194" s="4">
        <f>MAX(0,U194-MAX(0,Z194-SUM(Q194:T194)))</f>
        <v/>
      </c>
      <c r="AI194" s="4">
        <f>MAX(0,V194-MAX(0,Z194-SUM(Q194:U194)))</f>
        <v/>
      </c>
      <c r="AJ194" s="4">
        <f>MAX(0,W194-MAX(0,Z194-SUM(Q194:V194)))</f>
        <v/>
      </c>
      <c r="AK194" s="4">
        <f>MAX(0,X194-MAX(0,Z194-SUM(Q194:W194)))</f>
        <v/>
      </c>
      <c r="AL194" s="4">
        <f>MAX(0,Y194-MAX(0,Z194-SUM(Q194:X194)))</f>
        <v/>
      </c>
    </row>
    <row r="195">
      <c r="A195" s="4" t="inlineStr">
        <is>
          <t>HASLS22260901860</t>
        </is>
      </c>
      <c r="B195" s="4" t="inlineStr">
        <is>
          <t>SWRG</t>
        </is>
      </c>
      <c r="C195" s="4" t="inlineStr">
        <is>
          <t>2609N</t>
        </is>
      </c>
      <c r="D195" s="4" t="inlineStr">
        <is>
          <t>202610131130</t>
        </is>
      </c>
      <c r="E195" s="4" t="inlineStr">
        <is>
          <t>THSRP</t>
        </is>
      </c>
      <c r="F195" s="4" t="inlineStr">
        <is>
          <t>THLCH</t>
        </is>
      </c>
      <c r="G195" s="4" t="inlineStr">
        <is>
          <t>CNSHA</t>
        </is>
      </c>
      <c r="H195" s="4" t="inlineStr">
        <is>
          <t xml:space="preserve">20'x1 </t>
        </is>
      </c>
      <c r="I195" s="4" t="inlineStr">
        <is>
          <t>BKK27</t>
        </is>
      </c>
      <c r="J195" s="4" t="inlineStr">
        <is>
          <t>B.C. DEPOT CO.,LTD. ( Bang-Na KM.18)</t>
        </is>
      </c>
      <c r="K195" s="4" t="inlineStr">
        <is>
          <t>20261005</t>
        </is>
      </c>
      <c r="L195" s="4" t="inlineStr">
        <is>
          <t>DYNAMIC INTERTRANSPORT CO., LTD.</t>
        </is>
      </c>
      <c r="M195" s="4" t="inlineStr">
        <is>
          <t>RIVER KWAI INTERNATIONAL FOOD INDUSTRY CO., LTD.</t>
        </is>
      </c>
      <c r="N195" s="4" t="inlineStr">
        <is>
          <t>CANNED SWEET CORN</t>
        </is>
      </c>
      <c r="O195" s="4" t="inlineStr">
        <is>
          <t>GOOD AND CLEAN CONTAINER</t>
        </is>
      </c>
      <c r="P195" s="4" t="inlineStr">
        <is>
          <t>Pickup : 2026-10-05, Return SRP : 2026-10-06 [PAPERLESS CODE 2829]
CLS TIME 07/10/26 @11.00</t>
        </is>
      </c>
      <c r="Q195" s="4" t="n">
        <v>1</v>
      </c>
      <c r="R195" s="4" t="n">
        <v>0</v>
      </c>
      <c r="S195" s="4" t="n">
        <v>0</v>
      </c>
      <c r="T195" s="4" t="n">
        <v>0</v>
      </c>
      <c r="U195" s="4" t="n">
        <v>0</v>
      </c>
      <c r="V195" s="4" t="n">
        <v>0</v>
      </c>
      <c r="W195" s="4" t="n">
        <v>0</v>
      </c>
      <c r="X195" s="4" t="n">
        <v>0</v>
      </c>
      <c r="Y195" s="4" t="n">
        <v>0</v>
      </c>
      <c r="Z195" s="4" t="n">
        <v>0</v>
      </c>
      <c r="AA195" s="4" t="n">
        <v>0</v>
      </c>
      <c r="AB195" s="4">
        <f>SUM(Q195:Y195)-Z195</f>
        <v/>
      </c>
      <c r="AC195" s="4">
        <f>IF(I195="","",IF(OR(LEFT(I195,3)="BKK",I195="LCH55"),"BKK",IF(LEFT(I195,3)="LCH","LCH","OTHER")))</f>
        <v/>
      </c>
      <c r="AD195" s="4">
        <f>MAX(0,Q195-MAX(0,Z195))</f>
        <v/>
      </c>
      <c r="AE195" s="4">
        <f>MAX(0,R195-MAX(0,Z195-SUM(Q195:Q195)))</f>
        <v/>
      </c>
      <c r="AF195" s="4">
        <f>MAX(0,S195-MAX(0,Z195-SUM(Q195:R195)))</f>
        <v/>
      </c>
      <c r="AG195" s="4">
        <f>MAX(0,T195-MAX(0,Z195-SUM(Q195:S195)))</f>
        <v/>
      </c>
      <c r="AH195" s="4">
        <f>MAX(0,U195-MAX(0,Z195-SUM(Q195:T195)))</f>
        <v/>
      </c>
      <c r="AI195" s="4">
        <f>MAX(0,V195-MAX(0,Z195-SUM(Q195:U195)))</f>
        <v/>
      </c>
      <c r="AJ195" s="4">
        <f>MAX(0,W195-MAX(0,Z195-SUM(Q195:V195)))</f>
        <v/>
      </c>
      <c r="AK195" s="4">
        <f>MAX(0,X195-MAX(0,Z195-SUM(Q195:W195)))</f>
        <v/>
      </c>
      <c r="AL195" s="4">
        <f>MAX(0,Y195-MAX(0,Z195-SUM(Q195:X195)))</f>
        <v/>
      </c>
    </row>
    <row r="196">
      <c r="A196" s="4" t="inlineStr">
        <is>
          <t>HASLS22260901861</t>
        </is>
      </c>
      <c r="B196" s="4" t="inlineStr">
        <is>
          <t>SWVG</t>
        </is>
      </c>
      <c r="C196" s="4" t="inlineStr">
        <is>
          <t>2612N</t>
        </is>
      </c>
      <c r="D196" s="4" t="inlineStr">
        <is>
          <t>202610070330</t>
        </is>
      </c>
      <c r="E196" s="4" t="inlineStr">
        <is>
          <t>THSRP</t>
        </is>
      </c>
      <c r="F196" s="4" t="inlineStr">
        <is>
          <t>THLCH</t>
        </is>
      </c>
      <c r="G196" s="4" t="inlineStr">
        <is>
          <t>CNSHA</t>
        </is>
      </c>
      <c r="H196" s="4" t="inlineStr">
        <is>
          <t xml:space="preserve">40Hx3 </t>
        </is>
      </c>
      <c r="I196" s="4" t="inlineStr">
        <is>
          <t>BKK27</t>
        </is>
      </c>
      <c r="J196" s="4" t="inlineStr">
        <is>
          <t>B.C. DEPOT CO.,LTD. ( Bang-Na KM.18)</t>
        </is>
      </c>
      <c r="K196" s="4" t="inlineStr">
        <is>
          <t>20260930</t>
        </is>
      </c>
      <c r="L196" s="4" t="inlineStr">
        <is>
          <t>DACHSER (THAILAND) CO., LTD.</t>
        </is>
      </c>
      <c r="M196" s="4" t="inlineStr">
        <is>
          <t>VILLEROY &amp; BOCH (THAILAND) CO., LTD.</t>
        </is>
      </c>
      <c r="N196" s="4" t="inlineStr">
        <is>
          <t>SANITARYWARE</t>
        </is>
      </c>
      <c r="O196" s="4" t="inlineStr">
        <is>
          <t>REQUEST GOOD AND CLEAN CONTAINER</t>
        </is>
      </c>
      <c r="P196" s="4" t="inlineStr">
        <is>
          <t xml:space="preserve">Pickup : 2026-09-30, Return @SRP : 2026-10-01  (PAPERLESS CODE : 2829)
CLS TIME @SRP : 03/10/2026 @23.59 </t>
        </is>
      </c>
      <c r="Q196" s="4" t="n">
        <v>0</v>
      </c>
      <c r="R196" s="4" t="n">
        <v>0</v>
      </c>
      <c r="S196" s="4" t="n">
        <v>3</v>
      </c>
      <c r="T196" s="4" t="n">
        <v>0</v>
      </c>
      <c r="U196" s="4" t="n">
        <v>0</v>
      </c>
      <c r="V196" s="4" t="n">
        <v>0</v>
      </c>
      <c r="W196" s="4" t="n">
        <v>0</v>
      </c>
      <c r="X196" s="4" t="n">
        <v>0</v>
      </c>
      <c r="Y196" s="4" t="n">
        <v>0</v>
      </c>
      <c r="Z196" s="4" t="n">
        <v>0</v>
      </c>
      <c r="AA196" s="4" t="n">
        <v>0</v>
      </c>
      <c r="AB196" s="4">
        <f>SUM(Q196:Y196)-Z196</f>
        <v/>
      </c>
      <c r="AC196" s="4">
        <f>IF(I196="","",IF(OR(LEFT(I196,3)="BKK",I196="LCH55"),"BKK",IF(LEFT(I196,3)="LCH","LCH","OTHER")))</f>
        <v/>
      </c>
      <c r="AD196" s="4">
        <f>MAX(0,Q196-MAX(0,Z196))</f>
        <v/>
      </c>
      <c r="AE196" s="4">
        <f>MAX(0,R196-MAX(0,Z196-SUM(Q196:Q196)))</f>
        <v/>
      </c>
      <c r="AF196" s="4">
        <f>MAX(0,S196-MAX(0,Z196-SUM(Q196:R196)))</f>
        <v/>
      </c>
      <c r="AG196" s="4">
        <f>MAX(0,T196-MAX(0,Z196-SUM(Q196:S196)))</f>
        <v/>
      </c>
      <c r="AH196" s="4">
        <f>MAX(0,U196-MAX(0,Z196-SUM(Q196:T196)))</f>
        <v/>
      </c>
      <c r="AI196" s="4">
        <f>MAX(0,V196-MAX(0,Z196-SUM(Q196:U196)))</f>
        <v/>
      </c>
      <c r="AJ196" s="4">
        <f>MAX(0,W196-MAX(0,Z196-SUM(Q196:V196)))</f>
        <v/>
      </c>
      <c r="AK196" s="4">
        <f>MAX(0,X196-MAX(0,Z196-SUM(Q196:W196)))</f>
        <v/>
      </c>
      <c r="AL196" s="4">
        <f>MAX(0,Y196-MAX(0,Z196-SUM(Q196:X196)))</f>
        <v/>
      </c>
    </row>
    <row r="197">
      <c r="A197" s="4" t="inlineStr">
        <is>
          <t>HASLS22260901868</t>
        </is>
      </c>
      <c r="B197" s="4" t="inlineStr">
        <is>
          <t>SWDN</t>
        </is>
      </c>
      <c r="C197" s="4" t="inlineStr">
        <is>
          <t>2610N</t>
        </is>
      </c>
      <c r="D197" s="4" t="inlineStr">
        <is>
          <t>202610060900</t>
        </is>
      </c>
      <c r="E197" s="4" t="inlineStr"/>
      <c r="F197" s="4" t="inlineStr">
        <is>
          <t>THBKK</t>
        </is>
      </c>
      <c r="G197" s="4" t="inlineStr">
        <is>
          <t>KRINC</t>
        </is>
      </c>
      <c r="H197" s="4" t="inlineStr">
        <is>
          <t xml:space="preserve">40Hx1 </t>
        </is>
      </c>
      <c r="I197" s="4" t="inlineStr">
        <is>
          <t>BKK27</t>
        </is>
      </c>
      <c r="J197" s="4" t="inlineStr">
        <is>
          <t>B.C. DEPOT CO.,LTD. ( Bang-Na KM.18)</t>
        </is>
      </c>
      <c r="K197" s="4" t="inlineStr">
        <is>
          <t>20261001</t>
        </is>
      </c>
      <c r="L197" s="4" t="inlineStr">
        <is>
          <t>H &amp; FRIENDS GTL (THAILAND) CO., LTD.</t>
        </is>
      </c>
      <c r="M197" s="4" t="inlineStr">
        <is>
          <t>AUTOLIV (THAILAND) LIMITED</t>
        </is>
      </c>
      <c r="N197" s="4" t="inlineStr">
        <is>
          <t>SEAT BELT</t>
        </is>
      </c>
      <c r="O197" s="4" t="inlineStr">
        <is>
          <t>**APPROVAL IN SYSTEM DD.25/09/2026** DG45GPx1 (CLS 9 / UN 3268)</t>
        </is>
      </c>
      <c r="P197" s="4" t="inlineStr">
        <is>
          <t xml:space="preserve">**APPROVAL IN SYSTEM DD.25/09/2026** DG45GPx1 (CLS 9 / UN 3268) 
Pickup : 2026-10-01, Return : 2026-10-01  </t>
        </is>
      </c>
      <c r="Q197" s="4" t="n">
        <v>0</v>
      </c>
      <c r="R197" s="4" t="n">
        <v>0</v>
      </c>
      <c r="S197" s="4" t="n">
        <v>1</v>
      </c>
      <c r="T197" s="4" t="n">
        <v>0</v>
      </c>
      <c r="U197" s="4" t="n">
        <v>0</v>
      </c>
      <c r="V197" s="4" t="n">
        <v>0</v>
      </c>
      <c r="W197" s="4" t="n">
        <v>0</v>
      </c>
      <c r="X197" s="4" t="n">
        <v>0</v>
      </c>
      <c r="Y197" s="4" t="n">
        <v>0</v>
      </c>
      <c r="Z197" s="4" t="n">
        <v>0</v>
      </c>
      <c r="AA197" s="4" t="n">
        <v>0</v>
      </c>
      <c r="AB197" s="4">
        <f>SUM(Q197:Y197)-Z197</f>
        <v/>
      </c>
      <c r="AC197" s="4">
        <f>IF(I197="","",IF(OR(LEFT(I197,3)="BKK",I197="LCH55"),"BKK",IF(LEFT(I197,3)="LCH","LCH","OTHER")))</f>
        <v/>
      </c>
      <c r="AD197" s="4">
        <f>MAX(0,Q197-MAX(0,Z197))</f>
        <v/>
      </c>
      <c r="AE197" s="4">
        <f>MAX(0,R197-MAX(0,Z197-SUM(Q197:Q197)))</f>
        <v/>
      </c>
      <c r="AF197" s="4">
        <f>MAX(0,S197-MAX(0,Z197-SUM(Q197:R197)))</f>
        <v/>
      </c>
      <c r="AG197" s="4">
        <f>MAX(0,T197-MAX(0,Z197-SUM(Q197:S197)))</f>
        <v/>
      </c>
      <c r="AH197" s="4">
        <f>MAX(0,U197-MAX(0,Z197-SUM(Q197:T197)))</f>
        <v/>
      </c>
      <c r="AI197" s="4">
        <f>MAX(0,V197-MAX(0,Z197-SUM(Q197:U197)))</f>
        <v/>
      </c>
      <c r="AJ197" s="4">
        <f>MAX(0,W197-MAX(0,Z197-SUM(Q197:V197)))</f>
        <v/>
      </c>
      <c r="AK197" s="4">
        <f>MAX(0,X197-MAX(0,Z197-SUM(Q197:W197)))</f>
        <v/>
      </c>
      <c r="AL197" s="4">
        <f>MAX(0,Y197-MAX(0,Z197-SUM(Q197:X197)))</f>
        <v/>
      </c>
    </row>
    <row r="198">
      <c r="A198" s="4" t="inlineStr">
        <is>
          <t>HASLS22260901874</t>
        </is>
      </c>
      <c r="B198" s="4" t="inlineStr">
        <is>
          <t>HMVY</t>
        </is>
      </c>
      <c r="C198" s="4" t="inlineStr">
        <is>
          <t>2609N</t>
        </is>
      </c>
      <c r="D198" s="4" t="inlineStr">
        <is>
          <t>202610200330</t>
        </is>
      </c>
      <c r="E198" s="4" t="inlineStr">
        <is>
          <t>THSRP</t>
        </is>
      </c>
      <c r="F198" s="4" t="inlineStr">
        <is>
          <t>THLCH</t>
        </is>
      </c>
      <c r="G198" s="4" t="inlineStr">
        <is>
          <t>CNSHA</t>
        </is>
      </c>
      <c r="H198" s="4" t="inlineStr">
        <is>
          <t xml:space="preserve">40Hx4 </t>
        </is>
      </c>
      <c r="I198" s="4" t="inlineStr">
        <is>
          <t>BKK27</t>
        </is>
      </c>
      <c r="J198" s="4" t="inlineStr">
        <is>
          <t>B.C. DEPOT CO.,LTD. ( Bang-Na KM.18)</t>
        </is>
      </c>
      <c r="K198" s="4" t="inlineStr">
        <is>
          <t>20261012</t>
        </is>
      </c>
      <c r="L198" s="4" t="inlineStr">
        <is>
          <t>SCAN GLOBAL LOGISTICS CO., LTD.</t>
        </is>
      </c>
      <c r="M198" s="4" t="inlineStr">
        <is>
          <t>ECCO (THAILAND) CO., LTD.</t>
        </is>
      </c>
      <c r="N198" s="4" t="inlineStr">
        <is>
          <t>FOOTWEAR</t>
        </is>
      </c>
      <c r="O198" s="4" t="inlineStr">
        <is>
          <t>GOOD AND CLEAN CONTAINER</t>
        </is>
      </c>
      <c r="P198" s="4" t="inlineStr">
        <is>
          <t>Pickup : 2026-10-12, Return SRP  : 2026-10-14  [PAPERLESS CODE 2829]
CLS TIME 14/10/26 @12.00 *รอเรือดีเลย์*</t>
        </is>
      </c>
      <c r="Q198" s="4" t="n">
        <v>0</v>
      </c>
      <c r="R198" s="4" t="n">
        <v>0</v>
      </c>
      <c r="S198" s="4" t="n">
        <v>4</v>
      </c>
      <c r="T198" s="4" t="n">
        <v>0</v>
      </c>
      <c r="U198" s="4" t="n">
        <v>0</v>
      </c>
      <c r="V198" s="4" t="n">
        <v>0</v>
      </c>
      <c r="W198" s="4" t="n">
        <v>0</v>
      </c>
      <c r="X198" s="4" t="n">
        <v>0</v>
      </c>
      <c r="Y198" s="4" t="n">
        <v>0</v>
      </c>
      <c r="Z198" s="4" t="n">
        <v>0</v>
      </c>
      <c r="AA198" s="4" t="n">
        <v>0</v>
      </c>
      <c r="AB198" s="4">
        <f>SUM(Q198:Y198)-Z198</f>
        <v/>
      </c>
      <c r="AC198" s="4">
        <f>IF(I198="","",IF(OR(LEFT(I198,3)="BKK",I198="LCH55"),"BKK",IF(LEFT(I198,3)="LCH","LCH","OTHER")))</f>
        <v/>
      </c>
      <c r="AD198" s="4">
        <f>MAX(0,Q198-MAX(0,Z198))</f>
        <v/>
      </c>
      <c r="AE198" s="4">
        <f>MAX(0,R198-MAX(0,Z198-SUM(Q198:Q198)))</f>
        <v/>
      </c>
      <c r="AF198" s="4">
        <f>MAX(0,S198-MAX(0,Z198-SUM(Q198:R198)))</f>
        <v/>
      </c>
      <c r="AG198" s="4">
        <f>MAX(0,T198-MAX(0,Z198-SUM(Q198:S198)))</f>
        <v/>
      </c>
      <c r="AH198" s="4">
        <f>MAX(0,U198-MAX(0,Z198-SUM(Q198:T198)))</f>
        <v/>
      </c>
      <c r="AI198" s="4">
        <f>MAX(0,V198-MAX(0,Z198-SUM(Q198:U198)))</f>
        <v/>
      </c>
      <c r="AJ198" s="4">
        <f>MAX(0,W198-MAX(0,Z198-SUM(Q198:V198)))</f>
        <v/>
      </c>
      <c r="AK198" s="4">
        <f>MAX(0,X198-MAX(0,Z198-SUM(Q198:W198)))</f>
        <v/>
      </c>
      <c r="AL198" s="4">
        <f>MAX(0,Y198-MAX(0,Z198-SUM(Q198:X198)))</f>
        <v/>
      </c>
    </row>
    <row r="199">
      <c r="A199" s="4" t="inlineStr">
        <is>
          <t>HASLS22260901875</t>
        </is>
      </c>
      <c r="B199" s="4" t="inlineStr">
        <is>
          <t>SWMM</t>
        </is>
      </c>
      <c r="C199" s="4" t="inlineStr">
        <is>
          <t>2610N</t>
        </is>
      </c>
      <c r="D199" s="4" t="inlineStr">
        <is>
          <t>202610210400</t>
        </is>
      </c>
      <c r="E199" s="4" t="inlineStr"/>
      <c r="F199" s="4" t="inlineStr">
        <is>
          <t>THBKK</t>
        </is>
      </c>
      <c r="G199" s="4" t="inlineStr">
        <is>
          <t>VNSGN</t>
        </is>
      </c>
      <c r="H199" s="4" t="inlineStr">
        <is>
          <t xml:space="preserve">20'x1 </t>
        </is>
      </c>
      <c r="I199" s="4" t="inlineStr">
        <is>
          <t>BKK27</t>
        </is>
      </c>
      <c r="J199" s="4" t="inlineStr">
        <is>
          <t>B.C. DEPOT CO.,LTD. ( Bang-Na KM.18)</t>
        </is>
      </c>
      <c r="K199" s="4" t="inlineStr">
        <is>
          <t>20261015</t>
        </is>
      </c>
      <c r="L199" s="4" t="inlineStr">
        <is>
          <t>BRIO LOGISTICS (THAILAND) CO., LTD.</t>
        </is>
      </c>
      <c r="M199" s="4" t="inlineStr">
        <is>
          <t>GRIFFITH FOODS LTD.</t>
        </is>
      </c>
      <c r="N199" s="4" t="inlineStr">
        <is>
          <t>SAUCES (HS CODE : 2103.90)</t>
        </is>
      </c>
      <c r="O199" s="4" t="inlineStr">
        <is>
          <t>NEED FOODE GRADE / ODORLESS / CLEANED CONTAINER.</t>
        </is>
      </c>
      <c r="P199" s="4" t="inlineStr">
        <is>
          <t>Pickup : 2026-10-15, Return : 2026-10-15</t>
        </is>
      </c>
      <c r="Q199" s="4" t="n">
        <v>1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>
        <f>SUM(Q199:Y199)-Z199</f>
        <v/>
      </c>
      <c r="AC199" s="4">
        <f>IF(I199="","",IF(OR(LEFT(I199,3)="BKK",I199="LCH55"),"BKK",IF(LEFT(I199,3)="LCH","LCH","OTHER")))</f>
        <v/>
      </c>
      <c r="AD199" s="4">
        <f>MAX(0,Q199-MAX(0,Z199))</f>
        <v/>
      </c>
      <c r="AE199" s="4">
        <f>MAX(0,R199-MAX(0,Z199-SUM(Q199:Q199)))</f>
        <v/>
      </c>
      <c r="AF199" s="4">
        <f>MAX(0,S199-MAX(0,Z199-SUM(Q199:R199)))</f>
        <v/>
      </c>
      <c r="AG199" s="4">
        <f>MAX(0,T199-MAX(0,Z199-SUM(Q199:S199)))</f>
        <v/>
      </c>
      <c r="AH199" s="4">
        <f>MAX(0,U199-MAX(0,Z199-SUM(Q199:T199)))</f>
        <v/>
      </c>
      <c r="AI199" s="4">
        <f>MAX(0,V199-MAX(0,Z199-SUM(Q199:U199)))</f>
        <v/>
      </c>
      <c r="AJ199" s="4">
        <f>MAX(0,W199-MAX(0,Z199-SUM(Q199:V199)))</f>
        <v/>
      </c>
      <c r="AK199" s="4">
        <f>MAX(0,X199-MAX(0,Z199-SUM(Q199:W199)))</f>
        <v/>
      </c>
      <c r="AL199" s="4">
        <f>MAX(0,Y199-MAX(0,Z199-SUM(Q199:X199)))</f>
        <v/>
      </c>
    </row>
    <row r="200">
      <c r="A200" s="4" t="inlineStr">
        <is>
          <t>HASLS22260901893</t>
        </is>
      </c>
      <c r="B200" s="4" t="inlineStr">
        <is>
          <t>KMBK</t>
        </is>
      </c>
      <c r="C200" s="4" t="inlineStr">
        <is>
          <t>2611N</t>
        </is>
      </c>
      <c r="D200" s="4" t="inlineStr">
        <is>
          <t>202610030900</t>
        </is>
      </c>
      <c r="E200" s="4" t="inlineStr"/>
      <c r="F200" s="4" t="inlineStr">
        <is>
          <t>THBKK</t>
        </is>
      </c>
      <c r="G200" s="4" t="inlineStr">
        <is>
          <t>VNSGN</t>
        </is>
      </c>
      <c r="H200" s="4" t="inlineStr">
        <is>
          <t xml:space="preserve">20'x1 </t>
        </is>
      </c>
      <c r="I200" s="4" t="inlineStr">
        <is>
          <t>BKK27</t>
        </is>
      </c>
      <c r="J200" s="4" t="inlineStr">
        <is>
          <t>B.C. DEPOT CO.,LTD. ( Bang-Na KM.18)</t>
        </is>
      </c>
      <c r="K200" s="4" t="inlineStr">
        <is>
          <t>20260928</t>
        </is>
      </c>
      <c r="L200" s="4" t="inlineStr">
        <is>
          <t>HARBOUR NAVIGATION CO., LTD.</t>
        </is>
      </c>
      <c r="M200" s="4" t="inlineStr">
        <is>
          <t>SITTHINAN CO., LTD.</t>
        </is>
      </c>
      <c r="N200" s="4" t="inlineStr">
        <is>
          <t>NATIVE MUNG BEAN STARCH</t>
        </is>
      </c>
      <c r="O200" s="4" t="inlineStr">
        <is>
          <t>REQUEST AGRADE, FOOD GRADE, CLEAN AND GOOD CONTAINER</t>
        </is>
      </c>
      <c r="P200" s="4" t="inlineStr">
        <is>
          <t xml:space="preserve">Pickup : 2026-09-28, Return : 2026-09-29 
 </t>
        </is>
      </c>
      <c r="Q200" s="4" t="n">
        <v>1</v>
      </c>
      <c r="R200" s="4" t="n">
        <v>0</v>
      </c>
      <c r="S200" s="4" t="n">
        <v>0</v>
      </c>
      <c r="T200" s="4" t="n">
        <v>0</v>
      </c>
      <c r="U200" s="4" t="n">
        <v>0</v>
      </c>
      <c r="V200" s="4" t="n">
        <v>0</v>
      </c>
      <c r="W200" s="4" t="n">
        <v>0</v>
      </c>
      <c r="X200" s="4" t="n">
        <v>0</v>
      </c>
      <c r="Y200" s="4" t="n">
        <v>0</v>
      </c>
      <c r="Z200" s="4" t="n">
        <v>0</v>
      </c>
      <c r="AA200" s="4" t="n">
        <v>0</v>
      </c>
      <c r="AB200" s="4">
        <f>SUM(Q200:Y200)-Z200</f>
        <v/>
      </c>
      <c r="AC200" s="4">
        <f>IF(I200="","",IF(OR(LEFT(I200,3)="BKK",I200="LCH55"),"BKK",IF(LEFT(I200,3)="LCH","LCH","OTHER")))</f>
        <v/>
      </c>
      <c r="AD200" s="4">
        <f>MAX(0,Q200-MAX(0,Z200))</f>
        <v/>
      </c>
      <c r="AE200" s="4">
        <f>MAX(0,R200-MAX(0,Z200-SUM(Q200:Q200)))</f>
        <v/>
      </c>
      <c r="AF200" s="4">
        <f>MAX(0,S200-MAX(0,Z200-SUM(Q200:R200)))</f>
        <v/>
      </c>
      <c r="AG200" s="4">
        <f>MAX(0,T200-MAX(0,Z200-SUM(Q200:S200)))</f>
        <v/>
      </c>
      <c r="AH200" s="4">
        <f>MAX(0,U200-MAX(0,Z200-SUM(Q200:T200)))</f>
        <v/>
      </c>
      <c r="AI200" s="4">
        <f>MAX(0,V200-MAX(0,Z200-SUM(Q200:U200)))</f>
        <v/>
      </c>
      <c r="AJ200" s="4">
        <f>MAX(0,W200-MAX(0,Z200-SUM(Q200:V200)))</f>
        <v/>
      </c>
      <c r="AK200" s="4">
        <f>MAX(0,X200-MAX(0,Z200-SUM(Q200:W200)))</f>
        <v/>
      </c>
      <c r="AL200" s="4">
        <f>MAX(0,Y200-MAX(0,Z200-SUM(Q200:X200)))</f>
        <v/>
      </c>
    </row>
    <row r="201">
      <c r="A201" s="4" t="inlineStr">
        <is>
          <t>HASLS22260901897</t>
        </is>
      </c>
      <c r="B201" s="4" t="inlineStr">
        <is>
          <t>SWMM</t>
        </is>
      </c>
      <c r="C201" s="4" t="inlineStr">
        <is>
          <t>2610N</t>
        </is>
      </c>
      <c r="D201" s="4" t="inlineStr">
        <is>
          <t>202610210400</t>
        </is>
      </c>
      <c r="E201" s="4" t="inlineStr"/>
      <c r="F201" s="4" t="inlineStr">
        <is>
          <t>THBKK</t>
        </is>
      </c>
      <c r="G201" s="4" t="inlineStr">
        <is>
          <t>JPTMK</t>
        </is>
      </c>
      <c r="H201" s="4" t="inlineStr">
        <is>
          <t xml:space="preserve">40Hx3 </t>
        </is>
      </c>
      <c r="I201" s="4" t="inlineStr">
        <is>
          <t>BKK27</t>
        </is>
      </c>
      <c r="J201" s="4" t="inlineStr">
        <is>
          <t>B.C. DEPOT CO.,LTD. ( Bang-Na KM.18)</t>
        </is>
      </c>
      <c r="K201" s="4" t="inlineStr">
        <is>
          <t>20261015</t>
        </is>
      </c>
      <c r="L201" s="4" t="inlineStr">
        <is>
          <t>NIPPON EXPRESS LOGISTICS (THAILAND) CO., LTD.</t>
        </is>
      </c>
      <c r="M201" s="4" t="inlineStr">
        <is>
          <t>NIPRO (THAILAND) CORPORATION LIMITED</t>
        </is>
      </c>
      <c r="N201" s="4" t="inlineStr">
        <is>
          <t>MEDICAL PRODUCT</t>
        </is>
      </c>
      <c r="O201" s="4" t="inlineStr">
        <is>
          <t>GOOD CONTAINER A</t>
        </is>
      </c>
      <c r="P201" s="4" t="inlineStr">
        <is>
          <t>Pickup : 2026-10-15, Return : 2026-10-16</t>
        </is>
      </c>
      <c r="Q201" s="4" t="n">
        <v>0</v>
      </c>
      <c r="R201" s="4" t="n">
        <v>0</v>
      </c>
      <c r="S201" s="4" t="n">
        <v>3</v>
      </c>
      <c r="T201" s="4" t="n">
        <v>0</v>
      </c>
      <c r="U201" s="4" t="n">
        <v>0</v>
      </c>
      <c r="V201" s="4" t="n">
        <v>0</v>
      </c>
      <c r="W201" s="4" t="n">
        <v>0</v>
      </c>
      <c r="X201" s="4" t="n">
        <v>0</v>
      </c>
      <c r="Y201" s="4" t="n">
        <v>0</v>
      </c>
      <c r="Z201" s="4" t="n">
        <v>0</v>
      </c>
      <c r="AA201" s="4" t="n">
        <v>0</v>
      </c>
      <c r="AB201" s="4">
        <f>SUM(Q201:Y201)-Z201</f>
        <v/>
      </c>
      <c r="AC201" s="4">
        <f>IF(I201="","",IF(OR(LEFT(I201,3)="BKK",I201="LCH55"),"BKK",IF(LEFT(I201,3)="LCH","LCH","OTHER")))</f>
        <v/>
      </c>
      <c r="AD201" s="4">
        <f>MAX(0,Q201-MAX(0,Z201))</f>
        <v/>
      </c>
      <c r="AE201" s="4">
        <f>MAX(0,R201-MAX(0,Z201-SUM(Q201:Q201)))</f>
        <v/>
      </c>
      <c r="AF201" s="4">
        <f>MAX(0,S201-MAX(0,Z201-SUM(Q201:R201)))</f>
        <v/>
      </c>
      <c r="AG201" s="4">
        <f>MAX(0,T201-MAX(0,Z201-SUM(Q201:S201)))</f>
        <v/>
      </c>
      <c r="AH201" s="4">
        <f>MAX(0,U201-MAX(0,Z201-SUM(Q201:T201)))</f>
        <v/>
      </c>
      <c r="AI201" s="4">
        <f>MAX(0,V201-MAX(0,Z201-SUM(Q201:U201)))</f>
        <v/>
      </c>
      <c r="AJ201" s="4">
        <f>MAX(0,W201-MAX(0,Z201-SUM(Q201:V201)))</f>
        <v/>
      </c>
      <c r="AK201" s="4">
        <f>MAX(0,X201-MAX(0,Z201-SUM(Q201:W201)))</f>
        <v/>
      </c>
      <c r="AL201" s="4">
        <f>MAX(0,Y201-MAX(0,Z201-SUM(Q201:X201)))</f>
        <v/>
      </c>
    </row>
    <row r="202">
      <c r="A202" s="4" t="inlineStr">
        <is>
          <t>HASLS22260901904</t>
        </is>
      </c>
      <c r="B202" s="4" t="inlineStr">
        <is>
          <t>SWDN</t>
        </is>
      </c>
      <c r="C202" s="4" t="inlineStr">
        <is>
          <t>2610N</t>
        </is>
      </c>
      <c r="D202" s="4" t="inlineStr">
        <is>
          <t>202610060900</t>
        </is>
      </c>
      <c r="E202" s="4" t="inlineStr"/>
      <c r="F202" s="4" t="inlineStr">
        <is>
          <t>THBKK</t>
        </is>
      </c>
      <c r="G202" s="4" t="inlineStr">
        <is>
          <t>KRINC</t>
        </is>
      </c>
      <c r="H202" s="4" t="inlineStr">
        <is>
          <t xml:space="preserve">40Hx20 </t>
        </is>
      </c>
      <c r="I202" s="4" t="inlineStr">
        <is>
          <t>BKK27</t>
        </is>
      </c>
      <c r="J202" s="4" t="inlineStr">
        <is>
          <t>B.C. DEPOT CO.,LTD. ( Bang-Na KM.18)</t>
        </is>
      </c>
      <c r="K202" s="4" t="inlineStr">
        <is>
          <t>20260928</t>
        </is>
      </c>
      <c r="L202" s="4" t="inlineStr">
        <is>
          <t>METRO PARTICLE CO., LTD.</t>
        </is>
      </c>
      <c r="M202" s="4" t="inlineStr">
        <is>
          <t>METRO PARTICLE CO., LTD.</t>
        </is>
      </c>
      <c r="N202" s="4" t="inlineStr">
        <is>
          <t>PARTICLE BOARD</t>
        </is>
      </c>
      <c r="O202" s="4" t="inlineStr">
        <is>
          <t>RQST CNTR UPGRADE 32.50 TONS</t>
        </is>
      </c>
      <c r="P202" s="4" t="inlineStr">
        <is>
          <t xml:space="preserve">CY-RTN DD.28/09 - 29/09  EXTEND CLS TIME 30/09 @23.59 
</t>
        </is>
      </c>
      <c r="Q202" s="4" t="n">
        <v>0</v>
      </c>
      <c r="R202" s="4" t="n">
        <v>0</v>
      </c>
      <c r="S202" s="4" t="n">
        <v>20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15</v>
      </c>
      <c r="AA202" s="4" t="n">
        <v>0</v>
      </c>
      <c r="AB202" s="4">
        <f>SUM(Q202:Y202)-Z202</f>
        <v/>
      </c>
      <c r="AC202" s="4">
        <f>IF(I202="","",IF(OR(LEFT(I202,3)="BKK",I202="LCH55"),"BKK",IF(LEFT(I202,3)="LCH","LCH","OTHER")))</f>
        <v/>
      </c>
      <c r="AD202" s="4">
        <f>MAX(0,Q202-MAX(0,Z202))</f>
        <v/>
      </c>
      <c r="AE202" s="4">
        <f>MAX(0,R202-MAX(0,Z202-SUM(Q202:Q202)))</f>
        <v/>
      </c>
      <c r="AF202" s="4">
        <f>MAX(0,S202-MAX(0,Z202-SUM(Q202:R202)))</f>
        <v/>
      </c>
      <c r="AG202" s="4">
        <f>MAX(0,T202-MAX(0,Z202-SUM(Q202:S202)))</f>
        <v/>
      </c>
      <c r="AH202" s="4">
        <f>MAX(0,U202-MAX(0,Z202-SUM(Q202:T202)))</f>
        <v/>
      </c>
      <c r="AI202" s="4">
        <f>MAX(0,V202-MAX(0,Z202-SUM(Q202:U202)))</f>
        <v/>
      </c>
      <c r="AJ202" s="4">
        <f>MAX(0,W202-MAX(0,Z202-SUM(Q202:V202)))</f>
        <v/>
      </c>
      <c r="AK202" s="4">
        <f>MAX(0,X202-MAX(0,Z202-SUM(Q202:W202)))</f>
        <v/>
      </c>
      <c r="AL202" s="4">
        <f>MAX(0,Y202-MAX(0,Z202-SUM(Q202:X202)))</f>
        <v/>
      </c>
    </row>
    <row r="203">
      <c r="A203" s="4" t="inlineStr">
        <is>
          <t>HASLS22260901912</t>
        </is>
      </c>
      <c r="B203" s="4" t="inlineStr">
        <is>
          <t>KMBK</t>
        </is>
      </c>
      <c r="C203" s="4" t="inlineStr">
        <is>
          <t>2611N</t>
        </is>
      </c>
      <c r="D203" s="4" t="inlineStr">
        <is>
          <t>202610030900</t>
        </is>
      </c>
      <c r="E203" s="4" t="inlineStr"/>
      <c r="F203" s="4" t="inlineStr">
        <is>
          <t>THBKK</t>
        </is>
      </c>
      <c r="G203" s="4" t="inlineStr">
        <is>
          <t>VNSGN</t>
        </is>
      </c>
      <c r="H203" s="4" t="inlineStr">
        <is>
          <t xml:space="preserve">20'x1 </t>
        </is>
      </c>
      <c r="I203" s="4" t="inlineStr">
        <is>
          <t>BKK27</t>
        </is>
      </c>
      <c r="J203" s="4" t="inlineStr">
        <is>
          <t>B.C. DEPOT CO.,LTD. ( Bang-Na KM.18)</t>
        </is>
      </c>
      <c r="K203" s="4" t="inlineStr">
        <is>
          <t>20260929</t>
        </is>
      </c>
      <c r="L203" s="4" t="inlineStr">
        <is>
          <t>H &amp; FRIENDS GTL (THAILAND) CO., LTD.</t>
        </is>
      </c>
      <c r="M203" s="4" t="inlineStr">
        <is>
          <t>EVEREST TEXTILE (THAILAND) CO., LTD.</t>
        </is>
      </c>
      <c r="N203" s="4" t="inlineStr">
        <is>
          <t>WOVEN FABRIC</t>
        </is>
      </c>
      <c r="O203" s="4" t="inlineStr">
        <is>
          <t>REQ GOOD GRADE CNTR, CLEAN CNTR, NO SMELL CNTR, ** NO DMG CNTR** /</t>
        </is>
      </c>
      <c r="P203" s="4" t="inlineStr">
        <is>
          <t>Pickup : 2026-09-29, Return : 2026-09-30</t>
        </is>
      </c>
      <c r="Q203" s="4" t="n">
        <v>1</v>
      </c>
      <c r="R203" s="4" t="n">
        <v>0</v>
      </c>
      <c r="S203" s="4" t="n">
        <v>0</v>
      </c>
      <c r="T203" s="4" t="n">
        <v>0</v>
      </c>
      <c r="U203" s="4" t="n">
        <v>0</v>
      </c>
      <c r="V203" s="4" t="n">
        <v>0</v>
      </c>
      <c r="W203" s="4" t="n">
        <v>0</v>
      </c>
      <c r="X203" s="4" t="n">
        <v>0</v>
      </c>
      <c r="Y203" s="4" t="n">
        <v>0</v>
      </c>
      <c r="Z203" s="4" t="n">
        <v>0</v>
      </c>
      <c r="AA203" s="4" t="n">
        <v>0</v>
      </c>
      <c r="AB203" s="4">
        <f>SUM(Q203:Y203)-Z203</f>
        <v/>
      </c>
      <c r="AC203" s="4">
        <f>IF(I203="","",IF(OR(LEFT(I203,3)="BKK",I203="LCH55"),"BKK",IF(LEFT(I203,3)="LCH","LCH","OTHER")))</f>
        <v/>
      </c>
      <c r="AD203" s="4">
        <f>MAX(0,Q203-MAX(0,Z203))</f>
        <v/>
      </c>
      <c r="AE203" s="4">
        <f>MAX(0,R203-MAX(0,Z203-SUM(Q203:Q203)))</f>
        <v/>
      </c>
      <c r="AF203" s="4">
        <f>MAX(0,S203-MAX(0,Z203-SUM(Q203:R203)))</f>
        <v/>
      </c>
      <c r="AG203" s="4">
        <f>MAX(0,T203-MAX(0,Z203-SUM(Q203:S203)))</f>
        <v/>
      </c>
      <c r="AH203" s="4">
        <f>MAX(0,U203-MAX(0,Z203-SUM(Q203:T203)))</f>
        <v/>
      </c>
      <c r="AI203" s="4">
        <f>MAX(0,V203-MAX(0,Z203-SUM(Q203:U203)))</f>
        <v/>
      </c>
      <c r="AJ203" s="4">
        <f>MAX(0,W203-MAX(0,Z203-SUM(Q203:V203)))</f>
        <v/>
      </c>
      <c r="AK203" s="4">
        <f>MAX(0,X203-MAX(0,Z203-SUM(Q203:W203)))</f>
        <v/>
      </c>
      <c r="AL203" s="4">
        <f>MAX(0,Y203-MAX(0,Z203-SUM(Q203:X203)))</f>
        <v/>
      </c>
    </row>
    <row r="204">
      <c r="A204" s="4" t="inlineStr">
        <is>
          <t>HASLS22260901916</t>
        </is>
      </c>
      <c r="B204" s="4" t="inlineStr">
        <is>
          <t>KMTP</t>
        </is>
      </c>
      <c r="C204" s="4" t="inlineStr">
        <is>
          <t>2612N</t>
        </is>
      </c>
      <c r="D204" s="4" t="inlineStr">
        <is>
          <t>202610120800</t>
        </is>
      </c>
      <c r="E204" s="4" t="inlineStr"/>
      <c r="F204" s="4" t="inlineStr">
        <is>
          <t>THBKK</t>
        </is>
      </c>
      <c r="G204" s="4" t="inlineStr">
        <is>
          <t>CNXMN</t>
        </is>
      </c>
      <c r="H204" s="4" t="inlineStr">
        <is>
          <t xml:space="preserve">20'x2 </t>
        </is>
      </c>
      <c r="I204" s="4" t="inlineStr">
        <is>
          <t>BKK27</t>
        </is>
      </c>
      <c r="J204" s="4" t="inlineStr">
        <is>
          <t>B.C. DEPOT CO.,LTD. ( Bang-Na KM.18)</t>
        </is>
      </c>
      <c r="K204" s="4" t="inlineStr">
        <is>
          <t>20261006</t>
        </is>
      </c>
      <c r="L204" s="4" t="inlineStr">
        <is>
          <t>KAMIGUMI (THAILAND) CO., LTD.</t>
        </is>
      </c>
      <c r="M204" s="4" t="inlineStr">
        <is>
          <t>NITTO FUJI INTERNATIONAL (THAILAND) CO., LTD.</t>
        </is>
      </c>
      <c r="N204" s="4" t="inlineStr">
        <is>
          <t>MIX FLOUR</t>
        </is>
      </c>
      <c r="O204" s="4" t="inlineStr">
        <is>
          <t>REQUEST FOOD GRADE CONTAINER / GOOD, CLEAN AND NO SMELL CONTAINER</t>
        </is>
      </c>
      <c r="P204" s="4" t="inlineStr">
        <is>
          <t>Pickup : 2026-10-06, Return : 2026-10-07</t>
        </is>
      </c>
      <c r="Q204" s="4" t="n">
        <v>2</v>
      </c>
      <c r="R204" s="4" t="n">
        <v>0</v>
      </c>
      <c r="S204" s="4" t="n">
        <v>0</v>
      </c>
      <c r="T204" s="4" t="n">
        <v>0</v>
      </c>
      <c r="U204" s="4" t="n">
        <v>0</v>
      </c>
      <c r="V204" s="4" t="n">
        <v>0</v>
      </c>
      <c r="W204" s="4" t="n">
        <v>0</v>
      </c>
      <c r="X204" s="4" t="n">
        <v>0</v>
      </c>
      <c r="Y204" s="4" t="n">
        <v>0</v>
      </c>
      <c r="Z204" s="4" t="n">
        <v>0</v>
      </c>
      <c r="AA204" s="4" t="n">
        <v>0</v>
      </c>
      <c r="AB204" s="4">
        <f>SUM(Q204:Y204)-Z204</f>
        <v/>
      </c>
      <c r="AC204" s="4">
        <f>IF(I204="","",IF(OR(LEFT(I204,3)="BKK",I204="LCH55"),"BKK",IF(LEFT(I204,3)="LCH","LCH","OTHER")))</f>
        <v/>
      </c>
      <c r="AD204" s="4">
        <f>MAX(0,Q204-MAX(0,Z204))</f>
        <v/>
      </c>
      <c r="AE204" s="4">
        <f>MAX(0,R204-MAX(0,Z204-SUM(Q204:Q204)))</f>
        <v/>
      </c>
      <c r="AF204" s="4">
        <f>MAX(0,S204-MAX(0,Z204-SUM(Q204:R204)))</f>
        <v/>
      </c>
      <c r="AG204" s="4">
        <f>MAX(0,T204-MAX(0,Z204-SUM(Q204:S204)))</f>
        <v/>
      </c>
      <c r="AH204" s="4">
        <f>MAX(0,U204-MAX(0,Z204-SUM(Q204:T204)))</f>
        <v/>
      </c>
      <c r="AI204" s="4">
        <f>MAX(0,V204-MAX(0,Z204-SUM(Q204:U204)))</f>
        <v/>
      </c>
      <c r="AJ204" s="4">
        <f>MAX(0,W204-MAX(0,Z204-SUM(Q204:V204)))</f>
        <v/>
      </c>
      <c r="AK204" s="4">
        <f>MAX(0,X204-MAX(0,Z204-SUM(Q204:W204)))</f>
        <v/>
      </c>
      <c r="AL204" s="4">
        <f>MAX(0,Y204-MAX(0,Z204-SUM(Q204:X204)))</f>
        <v/>
      </c>
    </row>
    <row r="205">
      <c r="A205" s="4" t="inlineStr">
        <is>
          <t>HASLS22260901918</t>
        </is>
      </c>
      <c r="B205" s="4" t="inlineStr">
        <is>
          <t>KMTP</t>
        </is>
      </c>
      <c r="C205" s="4" t="inlineStr">
        <is>
          <t>2612N</t>
        </is>
      </c>
      <c r="D205" s="4" t="inlineStr">
        <is>
          <t>202610120800</t>
        </is>
      </c>
      <c r="E205" s="4" t="inlineStr"/>
      <c r="F205" s="4" t="inlineStr">
        <is>
          <t>THBKK</t>
        </is>
      </c>
      <c r="G205" s="4" t="inlineStr">
        <is>
          <t>HKHKG</t>
        </is>
      </c>
      <c r="H205" s="4" t="inlineStr">
        <is>
          <t xml:space="preserve">20'x1 </t>
        </is>
      </c>
      <c r="I205" s="4" t="inlineStr">
        <is>
          <t>BKK27</t>
        </is>
      </c>
      <c r="J205" s="4" t="inlineStr">
        <is>
          <t>B.C. DEPOT CO.,LTD. ( Bang-Na KM.18)</t>
        </is>
      </c>
      <c r="K205" s="4" t="inlineStr">
        <is>
          <t>20261006</t>
        </is>
      </c>
      <c r="L205" s="4" t="inlineStr">
        <is>
          <t>ACCORD PILOT LOGISTICS (THAILAND) CO., LTD.</t>
        </is>
      </c>
      <c r="M205" s="4" t="inlineStr">
        <is>
          <t>FUJIKURA AUTOMOTIVE (THAILAND) LTD.</t>
        </is>
      </c>
      <c r="N205" s="4" t="inlineStr">
        <is>
          <t>AUTOMOTIVE PARTS</t>
        </is>
      </c>
      <c r="O205" s="4" t="inlineStr">
        <is>
          <t>REQUEST GOOD &amp; CLEAN CONTAINER ( CONTAINER GRADE A+++)</t>
        </is>
      </c>
      <c r="P205" s="4" t="inlineStr">
        <is>
          <t xml:space="preserve">Pickup : 2026-10-06, Return : 2026-10-07
REQUEST GOOD &amp; CLEAN CONTAINER ( CONTAINER GRADE A+++) </t>
        </is>
      </c>
      <c r="Q205" s="4" t="n">
        <v>1</v>
      </c>
      <c r="R205" s="4" t="n">
        <v>0</v>
      </c>
      <c r="S205" s="4" t="n">
        <v>0</v>
      </c>
      <c r="T205" s="4" t="n">
        <v>0</v>
      </c>
      <c r="U205" s="4" t="n">
        <v>0</v>
      </c>
      <c r="V205" s="4" t="n">
        <v>0</v>
      </c>
      <c r="W205" s="4" t="n">
        <v>0</v>
      </c>
      <c r="X205" s="4" t="n">
        <v>0</v>
      </c>
      <c r="Y205" s="4" t="n">
        <v>0</v>
      </c>
      <c r="Z205" s="4" t="n">
        <v>0</v>
      </c>
      <c r="AA205" s="4" t="n">
        <v>0</v>
      </c>
      <c r="AB205" s="4">
        <f>SUM(Q205:Y205)-Z205</f>
        <v/>
      </c>
      <c r="AC205" s="4">
        <f>IF(I205="","",IF(OR(LEFT(I205,3)="BKK",I205="LCH55"),"BKK",IF(LEFT(I205,3)="LCH","LCH","OTHER")))</f>
        <v/>
      </c>
      <c r="AD205" s="4">
        <f>MAX(0,Q205-MAX(0,Z205))</f>
        <v/>
      </c>
      <c r="AE205" s="4">
        <f>MAX(0,R205-MAX(0,Z205-SUM(Q205:Q205)))</f>
        <v/>
      </c>
      <c r="AF205" s="4">
        <f>MAX(0,S205-MAX(0,Z205-SUM(Q205:R205)))</f>
        <v/>
      </c>
      <c r="AG205" s="4">
        <f>MAX(0,T205-MAX(0,Z205-SUM(Q205:S205)))</f>
        <v/>
      </c>
      <c r="AH205" s="4">
        <f>MAX(0,U205-MAX(0,Z205-SUM(Q205:T205)))</f>
        <v/>
      </c>
      <c r="AI205" s="4">
        <f>MAX(0,V205-MAX(0,Z205-SUM(Q205:U205)))</f>
        <v/>
      </c>
      <c r="AJ205" s="4">
        <f>MAX(0,W205-MAX(0,Z205-SUM(Q205:V205)))</f>
        <v/>
      </c>
      <c r="AK205" s="4">
        <f>MAX(0,X205-MAX(0,Z205-SUM(Q205:W205)))</f>
        <v/>
      </c>
      <c r="AL205" s="4">
        <f>MAX(0,Y205-MAX(0,Z205-SUM(Q205:X205)))</f>
        <v/>
      </c>
    </row>
    <row r="206">
      <c r="A206" s="4" t="inlineStr">
        <is>
          <t>HASLS22260901922</t>
        </is>
      </c>
      <c r="B206" s="4" t="inlineStr">
        <is>
          <t>KMBK</t>
        </is>
      </c>
      <c r="C206" s="4" t="inlineStr">
        <is>
          <t>2611N</t>
        </is>
      </c>
      <c r="D206" s="4" t="inlineStr">
        <is>
          <t>202610030900</t>
        </is>
      </c>
      <c r="E206" s="4" t="inlineStr"/>
      <c r="F206" s="4" t="inlineStr">
        <is>
          <t>THBKK</t>
        </is>
      </c>
      <c r="G206" s="4" t="inlineStr">
        <is>
          <t>VNSGN</t>
        </is>
      </c>
      <c r="H206" s="4" t="inlineStr">
        <is>
          <t xml:space="preserve">40Hx1 </t>
        </is>
      </c>
      <c r="I206" s="4" t="inlineStr">
        <is>
          <t>BKK27</t>
        </is>
      </c>
      <c r="J206" s="4" t="inlineStr">
        <is>
          <t>B.C. DEPOT CO.,LTD. ( Bang-Na KM.18)</t>
        </is>
      </c>
      <c r="K206" s="4" t="inlineStr">
        <is>
          <t>20260930</t>
        </is>
      </c>
      <c r="L206" s="4" t="inlineStr">
        <is>
          <t>ROYAL MARINE CONTAINER LINES CO., LTD.</t>
        </is>
      </c>
      <c r="M206" s="4" t="inlineStr">
        <is>
          <t>UENO FINE CHEMICALS INDUSTRY (THAILAND) LTD.</t>
        </is>
      </c>
      <c r="N206" s="4" t="inlineStr">
        <is>
          <t xml:space="preserve">SORBITOL </t>
        </is>
      </c>
      <c r="O206" s="4" t="inlineStr">
        <is>
          <t>GOOD AND CLEAN CONTAINER</t>
        </is>
      </c>
      <c r="P206" s="4" t="inlineStr">
        <is>
          <t xml:space="preserve">Pickup : 2026-09-30, Return : 2026-09-30 </t>
        </is>
      </c>
      <c r="Q206" s="4" t="n">
        <v>0</v>
      </c>
      <c r="R206" s="4" t="n">
        <v>0</v>
      </c>
      <c r="S206" s="4" t="n">
        <v>1</v>
      </c>
      <c r="T206" s="4" t="n">
        <v>0</v>
      </c>
      <c r="U206" s="4" t="n">
        <v>0</v>
      </c>
      <c r="V206" s="4" t="n">
        <v>0</v>
      </c>
      <c r="W206" s="4" t="n">
        <v>0</v>
      </c>
      <c r="X206" s="4" t="n">
        <v>0</v>
      </c>
      <c r="Y206" s="4" t="n">
        <v>0</v>
      </c>
      <c r="Z206" s="4" t="n">
        <v>0</v>
      </c>
      <c r="AA206" s="4" t="n">
        <v>0</v>
      </c>
      <c r="AB206" s="4">
        <f>SUM(Q206:Y206)-Z206</f>
        <v/>
      </c>
      <c r="AC206" s="4">
        <f>IF(I206="","",IF(OR(LEFT(I206,3)="BKK",I206="LCH55"),"BKK",IF(LEFT(I206,3)="LCH","LCH","OTHER")))</f>
        <v/>
      </c>
      <c r="AD206" s="4">
        <f>MAX(0,Q206-MAX(0,Z206))</f>
        <v/>
      </c>
      <c r="AE206" s="4">
        <f>MAX(0,R206-MAX(0,Z206-SUM(Q206:Q206)))</f>
        <v/>
      </c>
      <c r="AF206" s="4">
        <f>MAX(0,S206-MAX(0,Z206-SUM(Q206:R206)))</f>
        <v/>
      </c>
      <c r="AG206" s="4">
        <f>MAX(0,T206-MAX(0,Z206-SUM(Q206:S206)))</f>
        <v/>
      </c>
      <c r="AH206" s="4">
        <f>MAX(0,U206-MAX(0,Z206-SUM(Q206:T206)))</f>
        <v/>
      </c>
      <c r="AI206" s="4">
        <f>MAX(0,V206-MAX(0,Z206-SUM(Q206:U206)))</f>
        <v/>
      </c>
      <c r="AJ206" s="4">
        <f>MAX(0,W206-MAX(0,Z206-SUM(Q206:V206)))</f>
        <v/>
      </c>
      <c r="AK206" s="4">
        <f>MAX(0,X206-MAX(0,Z206-SUM(Q206:W206)))</f>
        <v/>
      </c>
      <c r="AL206" s="4">
        <f>MAX(0,Y206-MAX(0,Z206-SUM(Q206:X206)))</f>
        <v/>
      </c>
    </row>
    <row r="207">
      <c r="A207" s="4" t="inlineStr">
        <is>
          <t>HASLS22260901926</t>
        </is>
      </c>
      <c r="B207" s="4" t="inlineStr">
        <is>
          <t>SWIC</t>
        </is>
      </c>
      <c r="C207" s="4" t="inlineStr">
        <is>
          <t>2611N</t>
        </is>
      </c>
      <c r="D207" s="4" t="inlineStr">
        <is>
          <t>202610130700</t>
        </is>
      </c>
      <c r="E207" s="4" t="inlineStr"/>
      <c r="F207" s="4" t="inlineStr">
        <is>
          <t>THBKK</t>
        </is>
      </c>
      <c r="G207" s="4" t="inlineStr">
        <is>
          <t>VNSGN</t>
        </is>
      </c>
      <c r="H207" s="4" t="inlineStr">
        <is>
          <t xml:space="preserve">20'x10 </t>
        </is>
      </c>
      <c r="I207" s="4" t="inlineStr">
        <is>
          <t>BKK27</t>
        </is>
      </c>
      <c r="J207" s="4" t="inlineStr">
        <is>
          <t>B.C. DEPOT CO.,LTD. ( Bang-Na KM.18)</t>
        </is>
      </c>
      <c r="K207" s="4" t="inlineStr">
        <is>
          <t>20261008</t>
        </is>
      </c>
      <c r="L207" s="4" t="inlineStr">
        <is>
          <t>SEA FLEXI LOGISTICS CO.,LTD.</t>
        </is>
      </c>
      <c r="M207" s="4" t="inlineStr">
        <is>
          <t>THANAKORN VEGETABLE OIL PRODUCTS CO., LTD.</t>
        </is>
      </c>
      <c r="N207" s="4" t="inlineStr">
        <is>
          <t>SOYBEAN OIL</t>
        </is>
      </c>
      <c r="O207" s="4" t="inlineStr">
        <is>
          <t>** APPROVED BY MJ CHANG DD.28/09/26** *FLEXIBAG ONDECK*
Survey : 2026-10-07, Pickup : 2026-10-08  REQUEST STRONG, CLEAN, FOOD GRADE CONTAINER</t>
        </is>
      </c>
      <c r="P207" s="4" t="inlineStr">
        <is>
          <t xml:space="preserve">** APPROVED BY MJ CHANG DD.28/09/26** *FLEXIBAG ONDECK*
Survey : 2026-10-07, Pickup : 2026-10-08, Return : 2026-10-09 </t>
        </is>
      </c>
      <c r="Q207" s="4" t="n">
        <v>10</v>
      </c>
      <c r="R207" s="4" t="n">
        <v>0</v>
      </c>
      <c r="S207" s="4" t="n">
        <v>0</v>
      </c>
      <c r="T207" s="4" t="n">
        <v>0</v>
      </c>
      <c r="U207" s="4" t="n">
        <v>0</v>
      </c>
      <c r="V207" s="4" t="n">
        <v>0</v>
      </c>
      <c r="W207" s="4" t="n">
        <v>0</v>
      </c>
      <c r="X207" s="4" t="n">
        <v>0</v>
      </c>
      <c r="Y207" s="4" t="n">
        <v>0</v>
      </c>
      <c r="Z207" s="4" t="n">
        <v>0</v>
      </c>
      <c r="AA207" s="4" t="n">
        <v>0</v>
      </c>
      <c r="AB207" s="4">
        <f>SUM(Q207:Y207)-Z207</f>
        <v/>
      </c>
      <c r="AC207" s="4">
        <f>IF(I207="","",IF(OR(LEFT(I207,3)="BKK",I207="LCH55"),"BKK",IF(LEFT(I207,3)="LCH","LCH","OTHER")))</f>
        <v/>
      </c>
      <c r="AD207" s="4">
        <f>MAX(0,Q207-MAX(0,Z207))</f>
        <v/>
      </c>
      <c r="AE207" s="4">
        <f>MAX(0,R207-MAX(0,Z207-SUM(Q207:Q207)))</f>
        <v/>
      </c>
      <c r="AF207" s="4">
        <f>MAX(0,S207-MAX(0,Z207-SUM(Q207:R207)))</f>
        <v/>
      </c>
      <c r="AG207" s="4">
        <f>MAX(0,T207-MAX(0,Z207-SUM(Q207:S207)))</f>
        <v/>
      </c>
      <c r="AH207" s="4">
        <f>MAX(0,U207-MAX(0,Z207-SUM(Q207:T207)))</f>
        <v/>
      </c>
      <c r="AI207" s="4">
        <f>MAX(0,V207-MAX(0,Z207-SUM(Q207:U207)))</f>
        <v/>
      </c>
      <c r="AJ207" s="4">
        <f>MAX(0,W207-MAX(0,Z207-SUM(Q207:V207)))</f>
        <v/>
      </c>
      <c r="AK207" s="4">
        <f>MAX(0,X207-MAX(0,Z207-SUM(Q207:W207)))</f>
        <v/>
      </c>
      <c r="AL207" s="4">
        <f>MAX(0,Y207-MAX(0,Z207-SUM(Q207:X207)))</f>
        <v/>
      </c>
    </row>
    <row r="208">
      <c r="A208" s="4" t="inlineStr">
        <is>
          <t>HASLS22260901928</t>
        </is>
      </c>
      <c r="B208" s="4" t="inlineStr">
        <is>
          <t>DJCF</t>
        </is>
      </c>
      <c r="C208" s="4" t="inlineStr">
        <is>
          <t>0152N</t>
        </is>
      </c>
      <c r="D208" s="4" t="inlineStr">
        <is>
          <t>202610111000</t>
        </is>
      </c>
      <c r="E208" s="4" t="inlineStr"/>
      <c r="F208" s="4" t="inlineStr">
        <is>
          <t>THBKK</t>
        </is>
      </c>
      <c r="G208" s="4" t="inlineStr">
        <is>
          <t>VNSGN</t>
        </is>
      </c>
      <c r="H208" s="4" t="inlineStr">
        <is>
          <t xml:space="preserve">40Hx1 20'x1 </t>
        </is>
      </c>
      <c r="I208" s="4" t="inlineStr">
        <is>
          <t>BKK27</t>
        </is>
      </c>
      <c r="J208" s="4" t="inlineStr">
        <is>
          <t>B.C. DEPOT CO.,LTD. ( Bang-Na KM.18)</t>
        </is>
      </c>
      <c r="K208" s="4" t="inlineStr">
        <is>
          <t>20261008</t>
        </is>
      </c>
      <c r="L208" s="4" t="inlineStr">
        <is>
          <t>L.A.N. LOGISTICS CO., LTD.</t>
        </is>
      </c>
      <c r="M208" s="4" t="inlineStr">
        <is>
          <t>NAN YANG KNITTING FACTORY CO., LTD.</t>
        </is>
      </c>
      <c r="N208" s="4" t="inlineStr">
        <is>
          <t>FABRIC</t>
        </is>
      </c>
      <c r="O208" s="4" t="inlineStr">
        <is>
          <t>GOOD &amp; CLEAN CONTAINER</t>
        </is>
      </c>
      <c r="P208" s="4" t="inlineStr">
        <is>
          <t>Pickup : 2026-10-08, Return : 2026-10-08</t>
        </is>
      </c>
      <c r="Q208" s="4" t="n">
        <v>1</v>
      </c>
      <c r="R208" s="4" t="n">
        <v>0</v>
      </c>
      <c r="S208" s="4" t="n">
        <v>1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>
        <f>SUM(Q208:Y208)-Z208</f>
        <v/>
      </c>
      <c r="AC208" s="4">
        <f>IF(I208="","",IF(OR(LEFT(I208,3)="BKK",I208="LCH55"),"BKK",IF(LEFT(I208,3)="LCH","LCH","OTHER")))</f>
        <v/>
      </c>
      <c r="AD208" s="4">
        <f>MAX(0,Q208-MAX(0,Z208))</f>
        <v/>
      </c>
      <c r="AE208" s="4">
        <f>MAX(0,R208-MAX(0,Z208-SUM(Q208:Q208)))</f>
        <v/>
      </c>
      <c r="AF208" s="4">
        <f>MAX(0,S208-MAX(0,Z208-SUM(Q208:R208)))</f>
        <v/>
      </c>
      <c r="AG208" s="4">
        <f>MAX(0,T208-MAX(0,Z208-SUM(Q208:S208)))</f>
        <v/>
      </c>
      <c r="AH208" s="4">
        <f>MAX(0,U208-MAX(0,Z208-SUM(Q208:T208)))</f>
        <v/>
      </c>
      <c r="AI208" s="4">
        <f>MAX(0,V208-MAX(0,Z208-SUM(Q208:U208)))</f>
        <v/>
      </c>
      <c r="AJ208" s="4">
        <f>MAX(0,W208-MAX(0,Z208-SUM(Q208:V208)))</f>
        <v/>
      </c>
      <c r="AK208" s="4">
        <f>MAX(0,X208-MAX(0,Z208-SUM(Q208:W208)))</f>
        <v/>
      </c>
      <c r="AL208" s="4">
        <f>MAX(0,Y208-MAX(0,Z208-SUM(Q208:X208)))</f>
        <v/>
      </c>
    </row>
    <row r="209">
      <c r="A209" s="4" t="inlineStr">
        <is>
          <t>HASLS22260901929</t>
        </is>
      </c>
      <c r="B209" s="4" t="inlineStr">
        <is>
          <t>KUS</t>
        </is>
      </c>
      <c r="C209" s="4" t="inlineStr">
        <is>
          <t>2616N</t>
        </is>
      </c>
      <c r="D209" s="4" t="inlineStr">
        <is>
          <t>202610141100</t>
        </is>
      </c>
      <c r="E209" s="4" t="inlineStr"/>
      <c r="F209" s="4" t="inlineStr">
        <is>
          <t>THBKK</t>
        </is>
      </c>
      <c r="G209" s="4" t="inlineStr">
        <is>
          <t>RUVVO</t>
        </is>
      </c>
      <c r="H209" s="4" t="inlineStr">
        <is>
          <t xml:space="preserve">20'x1 </t>
        </is>
      </c>
      <c r="I209" s="4" t="inlineStr">
        <is>
          <t>BKK27</t>
        </is>
      </c>
      <c r="J209" s="4" t="inlineStr">
        <is>
          <t>B.C. DEPOT CO.,LTD. ( Bang-Na KM.18)</t>
        </is>
      </c>
      <c r="K209" s="4" t="inlineStr">
        <is>
          <t>20261006</t>
        </is>
      </c>
      <c r="L209" s="4" t="inlineStr">
        <is>
          <t>THAI AGRI FOODS PUBLIC COMPANY LIMITED</t>
        </is>
      </c>
      <c r="M209" s="4" t="inlineStr">
        <is>
          <t>THAI AGRI FOODS PUBLIC COMPANY LIMITED</t>
        </is>
      </c>
      <c r="N209" s="4" t="inlineStr">
        <is>
          <t>SWEET CHILLI SAUCE FOR CHICKEN</t>
        </is>
      </c>
      <c r="O209" s="4" t="inlineStr">
        <is>
          <t>GOOD AND CLEAN CONTAINER</t>
        </is>
      </c>
      <c r="P209" s="4" t="inlineStr">
        <is>
          <t>Pickup : 2026-10-06, Return : 2026-10-08 (1ST RTN DD: 09/10/26 WO/RENT)</t>
        </is>
      </c>
      <c r="Q209" s="4" t="n">
        <v>1</v>
      </c>
      <c r="R209" s="4" t="n">
        <v>0</v>
      </c>
      <c r="S209" s="4" t="n">
        <v>0</v>
      </c>
      <c r="T209" s="4" t="n">
        <v>0</v>
      </c>
      <c r="U209" s="4" t="n">
        <v>0</v>
      </c>
      <c r="V209" s="4" t="n">
        <v>0</v>
      </c>
      <c r="W209" s="4" t="n">
        <v>0</v>
      </c>
      <c r="X209" s="4" t="n">
        <v>0</v>
      </c>
      <c r="Y209" s="4" t="n">
        <v>0</v>
      </c>
      <c r="Z209" s="4" t="n">
        <v>0</v>
      </c>
      <c r="AA209" s="4" t="n">
        <v>0</v>
      </c>
      <c r="AB209" s="4">
        <f>SUM(Q209:Y209)-Z209</f>
        <v/>
      </c>
      <c r="AC209" s="4">
        <f>IF(I209="","",IF(OR(LEFT(I209,3)="BKK",I209="LCH55"),"BKK",IF(LEFT(I209,3)="LCH","LCH","OTHER")))</f>
        <v/>
      </c>
      <c r="AD209" s="4">
        <f>MAX(0,Q209-MAX(0,Z209))</f>
        <v/>
      </c>
      <c r="AE209" s="4">
        <f>MAX(0,R209-MAX(0,Z209-SUM(Q209:Q209)))</f>
        <v/>
      </c>
      <c r="AF209" s="4">
        <f>MAX(0,S209-MAX(0,Z209-SUM(Q209:R209)))</f>
        <v/>
      </c>
      <c r="AG209" s="4">
        <f>MAX(0,T209-MAX(0,Z209-SUM(Q209:S209)))</f>
        <v/>
      </c>
      <c r="AH209" s="4">
        <f>MAX(0,U209-MAX(0,Z209-SUM(Q209:T209)))</f>
        <v/>
      </c>
      <c r="AI209" s="4">
        <f>MAX(0,V209-MAX(0,Z209-SUM(Q209:U209)))</f>
        <v/>
      </c>
      <c r="AJ209" s="4">
        <f>MAX(0,W209-MAX(0,Z209-SUM(Q209:V209)))</f>
        <v/>
      </c>
      <c r="AK209" s="4">
        <f>MAX(0,X209-MAX(0,Z209-SUM(Q209:W209)))</f>
        <v/>
      </c>
      <c r="AL209" s="4">
        <f>MAX(0,Y209-MAX(0,Z209-SUM(Q209:X209)))</f>
        <v/>
      </c>
    </row>
    <row r="210">
      <c r="A210" s="4" t="inlineStr">
        <is>
          <t>HASLS22260901930</t>
        </is>
      </c>
      <c r="B210" s="4" t="inlineStr">
        <is>
          <t>KUS</t>
        </is>
      </c>
      <c r="C210" s="4" t="inlineStr">
        <is>
          <t>2616N</t>
        </is>
      </c>
      <c r="D210" s="4" t="inlineStr">
        <is>
          <t>202610141100</t>
        </is>
      </c>
      <c r="E210" s="4" t="inlineStr"/>
      <c r="F210" s="4" t="inlineStr">
        <is>
          <t>THBKK</t>
        </is>
      </c>
      <c r="G210" s="4" t="inlineStr">
        <is>
          <t>RUVVO</t>
        </is>
      </c>
      <c r="H210" s="4" t="inlineStr">
        <is>
          <t xml:space="preserve">20'x1 </t>
        </is>
      </c>
      <c r="I210" s="4" t="inlineStr">
        <is>
          <t>BKK27</t>
        </is>
      </c>
      <c r="J210" s="4" t="inlineStr">
        <is>
          <t>B.C. DEPOT CO.,LTD. ( Bang-Na KM.18)</t>
        </is>
      </c>
      <c r="K210" s="4" t="inlineStr">
        <is>
          <t>20261006</t>
        </is>
      </c>
      <c r="L210" s="4" t="inlineStr">
        <is>
          <t>THAI AGRI FOODS PUBLIC COMPANY LIMITED</t>
        </is>
      </c>
      <c r="M210" s="4" t="inlineStr">
        <is>
          <t>THAI AGRI FOODS PUBLIC COMPANY LIMITED</t>
        </is>
      </c>
      <c r="N210" s="4" t="inlineStr">
        <is>
          <t>SWEET CHILLI SAUCE FOR CHICKEN</t>
        </is>
      </c>
      <c r="O210" s="4" t="inlineStr">
        <is>
          <t>GOOD AND CLEAN CONTAINER</t>
        </is>
      </c>
      <c r="P210" s="4" t="inlineStr">
        <is>
          <t>Pickup : 2026-10-06, Return : 2026-10-08 (1ST RTN DD: 09/10/26 WO/RENT)</t>
        </is>
      </c>
      <c r="Q210" s="4" t="n">
        <v>1</v>
      </c>
      <c r="R210" s="4" t="n">
        <v>0</v>
      </c>
      <c r="S210" s="4" t="n">
        <v>0</v>
      </c>
      <c r="T210" s="4" t="n">
        <v>0</v>
      </c>
      <c r="U210" s="4" t="n">
        <v>0</v>
      </c>
      <c r="V210" s="4" t="n">
        <v>0</v>
      </c>
      <c r="W210" s="4" t="n">
        <v>0</v>
      </c>
      <c r="X210" s="4" t="n">
        <v>0</v>
      </c>
      <c r="Y210" s="4" t="n">
        <v>0</v>
      </c>
      <c r="Z210" s="4" t="n">
        <v>0</v>
      </c>
      <c r="AA210" s="4" t="n">
        <v>0</v>
      </c>
      <c r="AB210" s="4">
        <f>SUM(Q210:Y210)-Z210</f>
        <v/>
      </c>
      <c r="AC210" s="4">
        <f>IF(I210="","",IF(OR(LEFT(I210,3)="BKK",I210="LCH55"),"BKK",IF(LEFT(I210,3)="LCH","LCH","OTHER")))</f>
        <v/>
      </c>
      <c r="AD210" s="4">
        <f>MAX(0,Q210-MAX(0,Z210))</f>
        <v/>
      </c>
      <c r="AE210" s="4">
        <f>MAX(0,R210-MAX(0,Z210-SUM(Q210:Q210)))</f>
        <v/>
      </c>
      <c r="AF210" s="4">
        <f>MAX(0,S210-MAX(0,Z210-SUM(Q210:R210)))</f>
        <v/>
      </c>
      <c r="AG210" s="4">
        <f>MAX(0,T210-MAX(0,Z210-SUM(Q210:S210)))</f>
        <v/>
      </c>
      <c r="AH210" s="4">
        <f>MAX(0,U210-MAX(0,Z210-SUM(Q210:T210)))</f>
        <v/>
      </c>
      <c r="AI210" s="4">
        <f>MAX(0,V210-MAX(0,Z210-SUM(Q210:U210)))</f>
        <v/>
      </c>
      <c r="AJ210" s="4">
        <f>MAX(0,W210-MAX(0,Z210-SUM(Q210:V210)))</f>
        <v/>
      </c>
      <c r="AK210" s="4">
        <f>MAX(0,X210-MAX(0,Z210-SUM(Q210:W210)))</f>
        <v/>
      </c>
      <c r="AL210" s="4">
        <f>MAX(0,Y210-MAX(0,Z210-SUM(Q210:X210)))</f>
        <v/>
      </c>
    </row>
    <row r="211">
      <c r="A211" s="4" t="inlineStr">
        <is>
          <t>HASLS22260901931</t>
        </is>
      </c>
      <c r="B211" s="4" t="inlineStr">
        <is>
          <t>KUS</t>
        </is>
      </c>
      <c r="C211" s="4" t="inlineStr">
        <is>
          <t>2616N</t>
        </is>
      </c>
      <c r="D211" s="4" t="inlineStr">
        <is>
          <t>202610141100</t>
        </is>
      </c>
      <c r="E211" s="4" t="inlineStr"/>
      <c r="F211" s="4" t="inlineStr">
        <is>
          <t>THBKK</t>
        </is>
      </c>
      <c r="G211" s="4" t="inlineStr">
        <is>
          <t>RUVVO</t>
        </is>
      </c>
      <c r="H211" s="4" t="inlineStr">
        <is>
          <t xml:space="preserve">20'x1 </t>
        </is>
      </c>
      <c r="I211" s="4" t="inlineStr">
        <is>
          <t>BKK27</t>
        </is>
      </c>
      <c r="J211" s="4" t="inlineStr">
        <is>
          <t>B.C. DEPOT CO.,LTD. ( Bang-Na KM.18)</t>
        </is>
      </c>
      <c r="K211" s="4" t="inlineStr">
        <is>
          <t>20261006</t>
        </is>
      </c>
      <c r="L211" s="4" t="inlineStr">
        <is>
          <t>THAI AGRI FOODS PUBLIC COMPANY LIMITED</t>
        </is>
      </c>
      <c r="M211" s="4" t="inlineStr">
        <is>
          <t>THAI AGRI FOODS PUBLIC COMPANY LIMITED</t>
        </is>
      </c>
      <c r="N211" s="4" t="inlineStr">
        <is>
          <t>SWEET CHILLI SAUCE FOR CHICKEN</t>
        </is>
      </c>
      <c r="O211" s="4" t="inlineStr">
        <is>
          <t>GOOD AND CLEAN CONTAINER</t>
        </is>
      </c>
      <c r="P211" s="4" t="inlineStr">
        <is>
          <t>Pickup : 2026-10-06, Return : 2026-10-08 (1ST RTN DD: 09/10/26 WO/RENT)</t>
        </is>
      </c>
      <c r="Q211" s="4" t="n">
        <v>1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>
        <f>SUM(Q211:Y211)-Z211</f>
        <v/>
      </c>
      <c r="AC211" s="4">
        <f>IF(I211="","",IF(OR(LEFT(I211,3)="BKK",I211="LCH55"),"BKK",IF(LEFT(I211,3)="LCH","LCH","OTHER")))</f>
        <v/>
      </c>
      <c r="AD211" s="4">
        <f>MAX(0,Q211-MAX(0,Z211))</f>
        <v/>
      </c>
      <c r="AE211" s="4">
        <f>MAX(0,R211-MAX(0,Z211-SUM(Q211:Q211)))</f>
        <v/>
      </c>
      <c r="AF211" s="4">
        <f>MAX(0,S211-MAX(0,Z211-SUM(Q211:R211)))</f>
        <v/>
      </c>
      <c r="AG211" s="4">
        <f>MAX(0,T211-MAX(0,Z211-SUM(Q211:S211)))</f>
        <v/>
      </c>
      <c r="AH211" s="4">
        <f>MAX(0,U211-MAX(0,Z211-SUM(Q211:T211)))</f>
        <v/>
      </c>
      <c r="AI211" s="4">
        <f>MAX(0,V211-MAX(0,Z211-SUM(Q211:U211)))</f>
        <v/>
      </c>
      <c r="AJ211" s="4">
        <f>MAX(0,W211-MAX(0,Z211-SUM(Q211:V211)))</f>
        <v/>
      </c>
      <c r="AK211" s="4">
        <f>MAX(0,X211-MAX(0,Z211-SUM(Q211:W211)))</f>
        <v/>
      </c>
      <c r="AL211" s="4">
        <f>MAX(0,Y211-MAX(0,Z211-SUM(Q211:X211)))</f>
        <v/>
      </c>
    </row>
    <row r="212">
      <c r="A212" s="4" t="inlineStr">
        <is>
          <t>HASLS22260901932</t>
        </is>
      </c>
      <c r="B212" s="4" t="inlineStr">
        <is>
          <t>KUS</t>
        </is>
      </c>
      <c r="C212" s="4" t="inlineStr">
        <is>
          <t>2616N</t>
        </is>
      </c>
      <c r="D212" s="4" t="inlineStr">
        <is>
          <t>202610141100</t>
        </is>
      </c>
      <c r="E212" s="4" t="inlineStr"/>
      <c r="F212" s="4" t="inlineStr">
        <is>
          <t>THBKK</t>
        </is>
      </c>
      <c r="G212" s="4" t="inlineStr">
        <is>
          <t>RUVVO</t>
        </is>
      </c>
      <c r="H212" s="4" t="inlineStr">
        <is>
          <t xml:space="preserve">20'x1 </t>
        </is>
      </c>
      <c r="I212" s="4" t="inlineStr">
        <is>
          <t>BKK27</t>
        </is>
      </c>
      <c r="J212" s="4" t="inlineStr">
        <is>
          <t>B.C. DEPOT CO.,LTD. ( Bang-Na KM.18)</t>
        </is>
      </c>
      <c r="K212" s="4" t="inlineStr">
        <is>
          <t>20261006</t>
        </is>
      </c>
      <c r="L212" s="4" t="inlineStr">
        <is>
          <t>THAI AGRI FOODS PUBLIC COMPANY LIMITED</t>
        </is>
      </c>
      <c r="M212" s="4" t="inlineStr">
        <is>
          <t>THAI AGRI FOODS PUBLIC COMPANY LIMITED</t>
        </is>
      </c>
      <c r="N212" s="4" t="inlineStr">
        <is>
          <t>SWEET CHILLI SAUCE FOR CHICKEN</t>
        </is>
      </c>
      <c r="O212" s="4" t="inlineStr">
        <is>
          <t>GOOD AND CLEAN CONTAINER</t>
        </is>
      </c>
      <c r="P212" s="4" t="inlineStr">
        <is>
          <t>Pickup : 2026-10-06, Return : 2026-10-08 (1ST RTN DD: 09/10/26 WO/RENT)</t>
        </is>
      </c>
      <c r="Q212" s="4" t="n">
        <v>1</v>
      </c>
      <c r="R212" s="4" t="n">
        <v>0</v>
      </c>
      <c r="S212" s="4" t="n">
        <v>0</v>
      </c>
      <c r="T212" s="4" t="n">
        <v>0</v>
      </c>
      <c r="U212" s="4" t="n">
        <v>0</v>
      </c>
      <c r="V212" s="4" t="n">
        <v>0</v>
      </c>
      <c r="W212" s="4" t="n">
        <v>0</v>
      </c>
      <c r="X212" s="4" t="n">
        <v>0</v>
      </c>
      <c r="Y212" s="4" t="n">
        <v>0</v>
      </c>
      <c r="Z212" s="4" t="n">
        <v>0</v>
      </c>
      <c r="AA212" s="4" t="n">
        <v>0</v>
      </c>
      <c r="AB212" s="4">
        <f>SUM(Q212:Y212)-Z212</f>
        <v/>
      </c>
      <c r="AC212" s="4">
        <f>IF(I212="","",IF(OR(LEFT(I212,3)="BKK",I212="LCH55"),"BKK",IF(LEFT(I212,3)="LCH","LCH","OTHER")))</f>
        <v/>
      </c>
      <c r="AD212" s="4">
        <f>MAX(0,Q212-MAX(0,Z212))</f>
        <v/>
      </c>
      <c r="AE212" s="4">
        <f>MAX(0,R212-MAX(0,Z212-SUM(Q212:Q212)))</f>
        <v/>
      </c>
      <c r="AF212" s="4">
        <f>MAX(0,S212-MAX(0,Z212-SUM(Q212:R212)))</f>
        <v/>
      </c>
      <c r="AG212" s="4">
        <f>MAX(0,T212-MAX(0,Z212-SUM(Q212:S212)))</f>
        <v/>
      </c>
      <c r="AH212" s="4">
        <f>MAX(0,U212-MAX(0,Z212-SUM(Q212:T212)))</f>
        <v/>
      </c>
      <c r="AI212" s="4">
        <f>MAX(0,V212-MAX(0,Z212-SUM(Q212:U212)))</f>
        <v/>
      </c>
      <c r="AJ212" s="4">
        <f>MAX(0,W212-MAX(0,Z212-SUM(Q212:V212)))</f>
        <v/>
      </c>
      <c r="AK212" s="4">
        <f>MAX(0,X212-MAX(0,Z212-SUM(Q212:W212)))</f>
        <v/>
      </c>
      <c r="AL212" s="4">
        <f>MAX(0,Y212-MAX(0,Z212-SUM(Q212:X212)))</f>
        <v/>
      </c>
    </row>
    <row r="213">
      <c r="A213" s="4" t="inlineStr">
        <is>
          <t>HASLS22260901933</t>
        </is>
      </c>
      <c r="B213" s="4" t="inlineStr">
        <is>
          <t>KUS</t>
        </is>
      </c>
      <c r="C213" s="4" t="inlineStr">
        <is>
          <t>2616N</t>
        </is>
      </c>
      <c r="D213" s="4" t="inlineStr">
        <is>
          <t>202610141100</t>
        </is>
      </c>
      <c r="E213" s="4" t="inlineStr"/>
      <c r="F213" s="4" t="inlineStr">
        <is>
          <t>THBKK</t>
        </is>
      </c>
      <c r="G213" s="4" t="inlineStr">
        <is>
          <t>RUVVO</t>
        </is>
      </c>
      <c r="H213" s="4" t="inlineStr">
        <is>
          <t xml:space="preserve">20'x1 </t>
        </is>
      </c>
      <c r="I213" s="4" t="inlineStr">
        <is>
          <t>BKK27</t>
        </is>
      </c>
      <c r="J213" s="4" t="inlineStr">
        <is>
          <t>B.C. DEPOT CO.,LTD. ( Bang-Na KM.18)</t>
        </is>
      </c>
      <c r="K213" s="4" t="inlineStr">
        <is>
          <t>20261006</t>
        </is>
      </c>
      <c r="L213" s="4" t="inlineStr">
        <is>
          <t>THAI AGRI FOODS PUBLIC COMPANY LIMITED</t>
        </is>
      </c>
      <c r="M213" s="4" t="inlineStr">
        <is>
          <t>THAI AGRI FOODS PUBLIC COMPANY LIMITED</t>
        </is>
      </c>
      <c r="N213" s="4" t="inlineStr">
        <is>
          <t>SWEET CHILLI SAUCE FOR CHICKEN</t>
        </is>
      </c>
      <c r="O213" s="4" t="inlineStr">
        <is>
          <t>GOOD AND CLEAN CONTAINER</t>
        </is>
      </c>
      <c r="P213" s="4" t="inlineStr">
        <is>
          <t>Pickup : 2026-10-06, Return : 2026-10-08 (1ST RTN DD: 09/10/26 WO/RENT)</t>
        </is>
      </c>
      <c r="Q213" s="4" t="n">
        <v>1</v>
      </c>
      <c r="R213" s="4" t="n">
        <v>0</v>
      </c>
      <c r="S213" s="4" t="n">
        <v>0</v>
      </c>
      <c r="T213" s="4" t="n">
        <v>0</v>
      </c>
      <c r="U213" s="4" t="n">
        <v>0</v>
      </c>
      <c r="V213" s="4" t="n">
        <v>0</v>
      </c>
      <c r="W213" s="4" t="n">
        <v>0</v>
      </c>
      <c r="X213" s="4" t="n">
        <v>0</v>
      </c>
      <c r="Y213" s="4" t="n">
        <v>0</v>
      </c>
      <c r="Z213" s="4" t="n">
        <v>0</v>
      </c>
      <c r="AA213" s="4" t="n">
        <v>0</v>
      </c>
      <c r="AB213" s="4">
        <f>SUM(Q213:Y213)-Z213</f>
        <v/>
      </c>
      <c r="AC213" s="4">
        <f>IF(I213="","",IF(OR(LEFT(I213,3)="BKK",I213="LCH55"),"BKK",IF(LEFT(I213,3)="LCH","LCH","OTHER")))</f>
        <v/>
      </c>
      <c r="AD213" s="4">
        <f>MAX(0,Q213-MAX(0,Z213))</f>
        <v/>
      </c>
      <c r="AE213" s="4">
        <f>MAX(0,R213-MAX(0,Z213-SUM(Q213:Q213)))</f>
        <v/>
      </c>
      <c r="AF213" s="4">
        <f>MAX(0,S213-MAX(0,Z213-SUM(Q213:R213)))</f>
        <v/>
      </c>
      <c r="AG213" s="4">
        <f>MAX(0,T213-MAX(0,Z213-SUM(Q213:S213)))</f>
        <v/>
      </c>
      <c r="AH213" s="4">
        <f>MAX(0,U213-MAX(0,Z213-SUM(Q213:T213)))</f>
        <v/>
      </c>
      <c r="AI213" s="4">
        <f>MAX(0,V213-MAX(0,Z213-SUM(Q213:U213)))</f>
        <v/>
      </c>
      <c r="AJ213" s="4">
        <f>MAX(0,W213-MAX(0,Z213-SUM(Q213:V213)))</f>
        <v/>
      </c>
      <c r="AK213" s="4">
        <f>MAX(0,X213-MAX(0,Z213-SUM(Q213:W213)))</f>
        <v/>
      </c>
      <c r="AL213" s="4">
        <f>MAX(0,Y213-MAX(0,Z213-SUM(Q213:X213)))</f>
        <v/>
      </c>
    </row>
    <row r="214">
      <c r="A214" s="4" t="inlineStr">
        <is>
          <t>HASLS22260901934</t>
        </is>
      </c>
      <c r="B214" s="4" t="inlineStr">
        <is>
          <t>KUS</t>
        </is>
      </c>
      <c r="C214" s="4" t="inlineStr">
        <is>
          <t>2616N</t>
        </is>
      </c>
      <c r="D214" s="4" t="inlineStr">
        <is>
          <t>202610141100</t>
        </is>
      </c>
      <c r="E214" s="4" t="inlineStr"/>
      <c r="F214" s="4" t="inlineStr">
        <is>
          <t>THBKK</t>
        </is>
      </c>
      <c r="G214" s="4" t="inlineStr">
        <is>
          <t>RUVVO</t>
        </is>
      </c>
      <c r="H214" s="4" t="inlineStr">
        <is>
          <t xml:space="preserve">20'x1 </t>
        </is>
      </c>
      <c r="I214" s="4" t="inlineStr">
        <is>
          <t>BKK27</t>
        </is>
      </c>
      <c r="J214" s="4" t="inlineStr">
        <is>
          <t>B.C. DEPOT CO.,LTD. ( Bang-Na KM.18)</t>
        </is>
      </c>
      <c r="K214" s="4" t="inlineStr">
        <is>
          <t>20261006</t>
        </is>
      </c>
      <c r="L214" s="4" t="inlineStr">
        <is>
          <t>THAI AGRI FOODS PUBLIC COMPANY LIMITED</t>
        </is>
      </c>
      <c r="M214" s="4" t="inlineStr">
        <is>
          <t>THAI AGRI FOODS PUBLIC COMPANY LIMITED</t>
        </is>
      </c>
      <c r="N214" s="4" t="inlineStr">
        <is>
          <t>SWEET CHILLI SAUCE FOR CHICKEN</t>
        </is>
      </c>
      <c r="O214" s="4" t="inlineStr">
        <is>
          <t>GOOD AND CLEAN CONTAINER</t>
        </is>
      </c>
      <c r="P214" s="4" t="inlineStr">
        <is>
          <t>Pickup : 2026-10-06, Return : 2026-10-08  (1ST RTN DD: 09/10/26 WO/RENT)</t>
        </is>
      </c>
      <c r="Q214" s="4" t="n">
        <v>1</v>
      </c>
      <c r="R214" s="4" t="n">
        <v>0</v>
      </c>
      <c r="S214" s="4" t="n">
        <v>0</v>
      </c>
      <c r="T214" s="4" t="n">
        <v>0</v>
      </c>
      <c r="U214" s="4" t="n">
        <v>0</v>
      </c>
      <c r="V214" s="4" t="n">
        <v>0</v>
      </c>
      <c r="W214" s="4" t="n">
        <v>0</v>
      </c>
      <c r="X214" s="4" t="n">
        <v>0</v>
      </c>
      <c r="Y214" s="4" t="n">
        <v>0</v>
      </c>
      <c r="Z214" s="4" t="n">
        <v>0</v>
      </c>
      <c r="AA214" s="4" t="n">
        <v>0</v>
      </c>
      <c r="AB214" s="4">
        <f>SUM(Q214:Y214)-Z214</f>
        <v/>
      </c>
      <c r="AC214" s="4">
        <f>IF(I214="","",IF(OR(LEFT(I214,3)="BKK",I214="LCH55"),"BKK",IF(LEFT(I214,3)="LCH","LCH","OTHER")))</f>
        <v/>
      </c>
      <c r="AD214" s="4">
        <f>MAX(0,Q214-MAX(0,Z214))</f>
        <v/>
      </c>
      <c r="AE214" s="4">
        <f>MAX(0,R214-MAX(0,Z214-SUM(Q214:Q214)))</f>
        <v/>
      </c>
      <c r="AF214" s="4">
        <f>MAX(0,S214-MAX(0,Z214-SUM(Q214:R214)))</f>
        <v/>
      </c>
      <c r="AG214" s="4">
        <f>MAX(0,T214-MAX(0,Z214-SUM(Q214:S214)))</f>
        <v/>
      </c>
      <c r="AH214" s="4">
        <f>MAX(0,U214-MAX(0,Z214-SUM(Q214:T214)))</f>
        <v/>
      </c>
      <c r="AI214" s="4">
        <f>MAX(0,V214-MAX(0,Z214-SUM(Q214:U214)))</f>
        <v/>
      </c>
      <c r="AJ214" s="4">
        <f>MAX(0,W214-MAX(0,Z214-SUM(Q214:V214)))</f>
        <v/>
      </c>
      <c r="AK214" s="4">
        <f>MAX(0,X214-MAX(0,Z214-SUM(Q214:W214)))</f>
        <v/>
      </c>
      <c r="AL214" s="4">
        <f>MAX(0,Y214-MAX(0,Z214-SUM(Q214:X214)))</f>
        <v/>
      </c>
    </row>
    <row r="215">
      <c r="A215" s="4" t="inlineStr">
        <is>
          <t>HASLS22260901935</t>
        </is>
      </c>
      <c r="B215" s="4" t="inlineStr">
        <is>
          <t>KUS</t>
        </is>
      </c>
      <c r="C215" s="4" t="inlineStr">
        <is>
          <t>2616N</t>
        </is>
      </c>
      <c r="D215" s="4" t="inlineStr">
        <is>
          <t>202610141100</t>
        </is>
      </c>
      <c r="E215" s="4" t="inlineStr"/>
      <c r="F215" s="4" t="inlineStr">
        <is>
          <t>THBKK</t>
        </is>
      </c>
      <c r="G215" s="4" t="inlineStr">
        <is>
          <t>RUVVO</t>
        </is>
      </c>
      <c r="H215" s="4" t="inlineStr">
        <is>
          <t xml:space="preserve">20'x1 </t>
        </is>
      </c>
      <c r="I215" s="4" t="inlineStr">
        <is>
          <t>BKK27</t>
        </is>
      </c>
      <c r="J215" s="4" t="inlineStr">
        <is>
          <t>B.C. DEPOT CO.,LTD. ( Bang-Na KM.18)</t>
        </is>
      </c>
      <c r="K215" s="4" t="inlineStr">
        <is>
          <t>20261006</t>
        </is>
      </c>
      <c r="L215" s="4" t="inlineStr">
        <is>
          <t>THAI AGRI FOODS PUBLIC COMPANY LIMITED</t>
        </is>
      </c>
      <c r="M215" s="4" t="inlineStr">
        <is>
          <t>THAI AGRI FOODS PUBLIC COMPANY LIMITED</t>
        </is>
      </c>
      <c r="N215" s="4" t="inlineStr">
        <is>
          <t>SWEET CHILLI SAUCE FOR CHICKEN</t>
        </is>
      </c>
      <c r="O215" s="4" t="inlineStr">
        <is>
          <t>GOOD AND CLEAN CONTAINER</t>
        </is>
      </c>
      <c r="P215" s="4" t="inlineStr">
        <is>
          <t>Pickup : 2026-10-06, Return : 2026-10-08 (1ST RTN DD: 09/10/26 WO/RENT)</t>
        </is>
      </c>
      <c r="Q215" s="4" t="n">
        <v>1</v>
      </c>
      <c r="R215" s="4" t="n">
        <v>0</v>
      </c>
      <c r="S215" s="4" t="n">
        <v>0</v>
      </c>
      <c r="T215" s="4" t="n">
        <v>0</v>
      </c>
      <c r="U215" s="4" t="n">
        <v>0</v>
      </c>
      <c r="V215" s="4" t="n">
        <v>0</v>
      </c>
      <c r="W215" s="4" t="n">
        <v>0</v>
      </c>
      <c r="X215" s="4" t="n">
        <v>0</v>
      </c>
      <c r="Y215" s="4" t="n">
        <v>0</v>
      </c>
      <c r="Z215" s="4" t="n">
        <v>0</v>
      </c>
      <c r="AA215" s="4" t="n">
        <v>0</v>
      </c>
      <c r="AB215" s="4">
        <f>SUM(Q215:Y215)-Z215</f>
        <v/>
      </c>
      <c r="AC215" s="4">
        <f>IF(I215="","",IF(OR(LEFT(I215,3)="BKK",I215="LCH55"),"BKK",IF(LEFT(I215,3)="LCH","LCH","OTHER")))</f>
        <v/>
      </c>
      <c r="AD215" s="4">
        <f>MAX(0,Q215-MAX(0,Z215))</f>
        <v/>
      </c>
      <c r="AE215" s="4">
        <f>MAX(0,R215-MAX(0,Z215-SUM(Q215:Q215)))</f>
        <v/>
      </c>
      <c r="AF215" s="4">
        <f>MAX(0,S215-MAX(0,Z215-SUM(Q215:R215)))</f>
        <v/>
      </c>
      <c r="AG215" s="4">
        <f>MAX(0,T215-MAX(0,Z215-SUM(Q215:S215)))</f>
        <v/>
      </c>
      <c r="AH215" s="4">
        <f>MAX(0,U215-MAX(0,Z215-SUM(Q215:T215)))</f>
        <v/>
      </c>
      <c r="AI215" s="4">
        <f>MAX(0,V215-MAX(0,Z215-SUM(Q215:U215)))</f>
        <v/>
      </c>
      <c r="AJ215" s="4">
        <f>MAX(0,W215-MAX(0,Z215-SUM(Q215:V215)))</f>
        <v/>
      </c>
      <c r="AK215" s="4">
        <f>MAX(0,X215-MAX(0,Z215-SUM(Q215:W215)))</f>
        <v/>
      </c>
      <c r="AL215" s="4">
        <f>MAX(0,Y215-MAX(0,Z215-SUM(Q215:X215)))</f>
        <v/>
      </c>
    </row>
    <row r="216">
      <c r="A216" s="4" t="inlineStr">
        <is>
          <t>HASLS22260901936</t>
        </is>
      </c>
      <c r="B216" s="4" t="inlineStr">
        <is>
          <t>SWDN</t>
        </is>
      </c>
      <c r="C216" s="4" t="inlineStr">
        <is>
          <t>2610N</t>
        </is>
      </c>
      <c r="D216" s="4" t="inlineStr">
        <is>
          <t>202610060900</t>
        </is>
      </c>
      <c r="E216" s="4" t="inlineStr"/>
      <c r="F216" s="4" t="inlineStr">
        <is>
          <t>THBKK</t>
        </is>
      </c>
      <c r="G216" s="4" t="inlineStr">
        <is>
          <t>KRINC</t>
        </is>
      </c>
      <c r="H216" s="4" t="inlineStr">
        <is>
          <t xml:space="preserve">40Hx1 </t>
        </is>
      </c>
      <c r="I216" s="4" t="inlineStr">
        <is>
          <t>BKK27</t>
        </is>
      </c>
      <c r="J216" s="4" t="inlineStr">
        <is>
          <t>B.C. DEPOT CO.,LTD. ( Bang-Na KM.18)</t>
        </is>
      </c>
      <c r="K216" s="4" t="inlineStr">
        <is>
          <t>20260929</t>
        </is>
      </c>
      <c r="L216" s="4" t="inlineStr">
        <is>
          <t>SIAM NISTRANS CO.,LTD.</t>
        </is>
      </c>
      <c r="M216" s="4" t="inlineStr">
        <is>
          <t>THAI FOODS INTERNATIONAL CO.,LTD.</t>
        </is>
      </c>
      <c r="N216" s="4" t="inlineStr">
        <is>
          <t>YEAST EXTRACT</t>
        </is>
      </c>
      <c r="O216" s="4" t="inlineStr">
        <is>
          <t>GOOD AND CLEAN CONTAINER</t>
        </is>
      </c>
      <c r="P216" s="4" t="inlineStr">
        <is>
          <t>Pickup : 2026-09-29, Return : 2026-09-30</t>
        </is>
      </c>
      <c r="Q216" s="4" t="n">
        <v>0</v>
      </c>
      <c r="R216" s="4" t="n">
        <v>0</v>
      </c>
      <c r="S216" s="4" t="n">
        <v>1</v>
      </c>
      <c r="T216" s="4" t="n">
        <v>0</v>
      </c>
      <c r="U216" s="4" t="n">
        <v>0</v>
      </c>
      <c r="V216" s="4" t="n">
        <v>0</v>
      </c>
      <c r="W216" s="4" t="n">
        <v>0</v>
      </c>
      <c r="X216" s="4" t="n">
        <v>0</v>
      </c>
      <c r="Y216" s="4" t="n">
        <v>0</v>
      </c>
      <c r="Z216" s="4" t="n">
        <v>0</v>
      </c>
      <c r="AA216" s="4" t="n">
        <v>0</v>
      </c>
      <c r="AB216" s="4">
        <f>SUM(Q216:Y216)-Z216</f>
        <v/>
      </c>
      <c r="AC216" s="4">
        <f>IF(I216="","",IF(OR(LEFT(I216,3)="BKK",I216="LCH55"),"BKK",IF(LEFT(I216,3)="LCH","LCH","OTHER")))</f>
        <v/>
      </c>
      <c r="AD216" s="4">
        <f>MAX(0,Q216-MAX(0,Z216))</f>
        <v/>
      </c>
      <c r="AE216" s="4">
        <f>MAX(0,R216-MAX(0,Z216-SUM(Q216:Q216)))</f>
        <v/>
      </c>
      <c r="AF216" s="4">
        <f>MAX(0,S216-MAX(0,Z216-SUM(Q216:R216)))</f>
        <v/>
      </c>
      <c r="AG216" s="4">
        <f>MAX(0,T216-MAX(0,Z216-SUM(Q216:S216)))</f>
        <v/>
      </c>
      <c r="AH216" s="4">
        <f>MAX(0,U216-MAX(0,Z216-SUM(Q216:T216)))</f>
        <v/>
      </c>
      <c r="AI216" s="4">
        <f>MAX(0,V216-MAX(0,Z216-SUM(Q216:U216)))</f>
        <v/>
      </c>
      <c r="AJ216" s="4">
        <f>MAX(0,W216-MAX(0,Z216-SUM(Q216:V216)))</f>
        <v/>
      </c>
      <c r="AK216" s="4">
        <f>MAX(0,X216-MAX(0,Z216-SUM(Q216:W216)))</f>
        <v/>
      </c>
      <c r="AL216" s="4">
        <f>MAX(0,Y216-MAX(0,Z216-SUM(Q216:X216)))</f>
        <v/>
      </c>
    </row>
    <row r="217">
      <c r="A217" s="4" t="inlineStr">
        <is>
          <t>HASLS22260901939</t>
        </is>
      </c>
      <c r="B217" s="4" t="inlineStr">
        <is>
          <t>KJT</t>
        </is>
      </c>
      <c r="C217" s="4" t="inlineStr">
        <is>
          <t>2611N</t>
        </is>
      </c>
      <c r="D217" s="4" t="inlineStr">
        <is>
          <t>202610141800</t>
        </is>
      </c>
      <c r="E217" s="4" t="inlineStr"/>
      <c r="F217" s="4" t="inlineStr">
        <is>
          <t>THBKK</t>
        </is>
      </c>
      <c r="G217" s="4" t="inlineStr">
        <is>
          <t>HKHKG</t>
        </is>
      </c>
      <c r="H217" s="4" t="inlineStr">
        <is>
          <t xml:space="preserve">20'x1 </t>
        </is>
      </c>
      <c r="I217" s="4" t="inlineStr">
        <is>
          <t>BKK27</t>
        </is>
      </c>
      <c r="J217" s="4" t="inlineStr">
        <is>
          <t>B.C. DEPOT CO.,LTD. ( Bang-Na KM.18)</t>
        </is>
      </c>
      <c r="K217" s="4" t="inlineStr">
        <is>
          <t>20261007</t>
        </is>
      </c>
      <c r="L217" s="4" t="inlineStr">
        <is>
          <t>UNITED MARINE LOGISTIC CO., LTD.</t>
        </is>
      </c>
      <c r="M217" s="4" t="inlineStr">
        <is>
          <t>GENERAL MILLS CORPORATION LIMITED</t>
        </is>
      </c>
      <c r="N217" s="4" t="inlineStr">
        <is>
          <t>RICE</t>
        </is>
      </c>
      <c r="O217" s="4" t="inlineStr">
        <is>
          <t>GOOD AND CLEAN CONTAINER</t>
        </is>
      </c>
      <c r="P217" s="4" t="inlineStr">
        <is>
          <t>Pickup : 2026-10-07, Return : 2026-10-09 [1ST RTN 10/10/2026 W/O RENT]</t>
        </is>
      </c>
      <c r="Q217" s="4" t="n">
        <v>1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>
        <f>SUM(Q217:Y217)-Z217</f>
        <v/>
      </c>
      <c r="AC217" s="4">
        <f>IF(I217="","",IF(OR(LEFT(I217,3)="BKK",I217="LCH55"),"BKK",IF(LEFT(I217,3)="LCH","LCH","OTHER")))</f>
        <v/>
      </c>
      <c r="AD217" s="4">
        <f>MAX(0,Q217-MAX(0,Z217))</f>
        <v/>
      </c>
      <c r="AE217" s="4">
        <f>MAX(0,R217-MAX(0,Z217-SUM(Q217:Q217)))</f>
        <v/>
      </c>
      <c r="AF217" s="4">
        <f>MAX(0,S217-MAX(0,Z217-SUM(Q217:R217)))</f>
        <v/>
      </c>
      <c r="AG217" s="4">
        <f>MAX(0,T217-MAX(0,Z217-SUM(Q217:S217)))</f>
        <v/>
      </c>
      <c r="AH217" s="4">
        <f>MAX(0,U217-MAX(0,Z217-SUM(Q217:T217)))</f>
        <v/>
      </c>
      <c r="AI217" s="4">
        <f>MAX(0,V217-MAX(0,Z217-SUM(Q217:U217)))</f>
        <v/>
      </c>
      <c r="AJ217" s="4">
        <f>MAX(0,W217-MAX(0,Z217-SUM(Q217:V217)))</f>
        <v/>
      </c>
      <c r="AK217" s="4">
        <f>MAX(0,X217-MAX(0,Z217-SUM(Q217:W217)))</f>
        <v/>
      </c>
      <c r="AL217" s="4">
        <f>MAX(0,Y217-MAX(0,Z217-SUM(Q217:X217)))</f>
        <v/>
      </c>
    </row>
    <row r="218">
      <c r="A218" s="4" t="inlineStr">
        <is>
          <t>HASLS22260901957</t>
        </is>
      </c>
      <c r="B218" s="4" t="inlineStr">
        <is>
          <t>SWMM</t>
        </is>
      </c>
      <c r="C218" s="4" t="inlineStr">
        <is>
          <t>2610N</t>
        </is>
      </c>
      <c r="D218" s="4" t="inlineStr">
        <is>
          <t>202610210400</t>
        </is>
      </c>
      <c r="E218" s="4" t="inlineStr"/>
      <c r="F218" s="4" t="inlineStr">
        <is>
          <t>THBKK</t>
        </is>
      </c>
      <c r="G218" s="4" t="inlineStr">
        <is>
          <t>JPMIZ</t>
        </is>
      </c>
      <c r="H218" s="4" t="inlineStr">
        <is>
          <t xml:space="preserve">20'x6 </t>
        </is>
      </c>
      <c r="I218" s="4" t="inlineStr">
        <is>
          <t>BKK27</t>
        </is>
      </c>
      <c r="J218" s="4" t="inlineStr">
        <is>
          <t>B.C. DEPOT CO.,LTD. ( Bang-Na KM.18)</t>
        </is>
      </c>
      <c r="K218" s="4" t="inlineStr">
        <is>
          <t>20261015</t>
        </is>
      </c>
      <c r="L218" s="4" t="inlineStr">
        <is>
          <t>BANGKOK COLD STORAGE SERVICE,LTD</t>
        </is>
      </c>
      <c r="M218" s="4" t="inlineStr">
        <is>
          <t>UENO FINE CHEMICALS INDUSTRY (THAILAND) LTD.</t>
        </is>
      </c>
      <c r="N218" s="4" t="inlineStr">
        <is>
          <t>SUGAR AND SORBITOL</t>
        </is>
      </c>
      <c r="O218" s="4" t="inlineStr">
        <is>
          <t>REQ CNTR FOOD GRADE(A) AND CLEAN NO SMELL</t>
        </is>
      </c>
      <c r="P218" s="4" t="inlineStr">
        <is>
          <t>Pickup : 2026-10-15, Return : 2026-10-16</t>
        </is>
      </c>
      <c r="Q218" s="4" t="n">
        <v>6</v>
      </c>
      <c r="R218" s="4" t="n">
        <v>0</v>
      </c>
      <c r="S218" s="4" t="n">
        <v>0</v>
      </c>
      <c r="T218" s="4" t="n">
        <v>0</v>
      </c>
      <c r="U218" s="4" t="n">
        <v>0</v>
      </c>
      <c r="V218" s="4" t="n">
        <v>0</v>
      </c>
      <c r="W218" s="4" t="n">
        <v>0</v>
      </c>
      <c r="X218" s="4" t="n">
        <v>0</v>
      </c>
      <c r="Y218" s="4" t="n">
        <v>0</v>
      </c>
      <c r="Z218" s="4" t="n">
        <v>0</v>
      </c>
      <c r="AA218" s="4" t="n">
        <v>0</v>
      </c>
      <c r="AB218" s="4">
        <f>SUM(Q218:Y218)-Z218</f>
        <v/>
      </c>
      <c r="AC218" s="4">
        <f>IF(I218="","",IF(OR(LEFT(I218,3)="BKK",I218="LCH55"),"BKK",IF(LEFT(I218,3)="LCH","LCH","OTHER")))</f>
        <v/>
      </c>
      <c r="AD218" s="4">
        <f>MAX(0,Q218-MAX(0,Z218))</f>
        <v/>
      </c>
      <c r="AE218" s="4">
        <f>MAX(0,R218-MAX(0,Z218-SUM(Q218:Q218)))</f>
        <v/>
      </c>
      <c r="AF218" s="4">
        <f>MAX(0,S218-MAX(0,Z218-SUM(Q218:R218)))</f>
        <v/>
      </c>
      <c r="AG218" s="4">
        <f>MAX(0,T218-MAX(0,Z218-SUM(Q218:S218)))</f>
        <v/>
      </c>
      <c r="AH218" s="4">
        <f>MAX(0,U218-MAX(0,Z218-SUM(Q218:T218)))</f>
        <v/>
      </c>
      <c r="AI218" s="4">
        <f>MAX(0,V218-MAX(0,Z218-SUM(Q218:U218)))</f>
        <v/>
      </c>
      <c r="AJ218" s="4">
        <f>MAX(0,W218-MAX(0,Z218-SUM(Q218:V218)))</f>
        <v/>
      </c>
      <c r="AK218" s="4">
        <f>MAX(0,X218-MAX(0,Z218-SUM(Q218:W218)))</f>
        <v/>
      </c>
      <c r="AL218" s="4">
        <f>MAX(0,Y218-MAX(0,Z218-SUM(Q218:X218)))</f>
        <v/>
      </c>
    </row>
    <row r="219">
      <c r="A219" s="4" t="inlineStr">
        <is>
          <t>HASLS22260901962</t>
        </is>
      </c>
      <c r="B219" s="4" t="inlineStr">
        <is>
          <t>KMTP</t>
        </is>
      </c>
      <c r="C219" s="4" t="inlineStr">
        <is>
          <t>2612N</t>
        </is>
      </c>
      <c r="D219" s="4" t="inlineStr">
        <is>
          <t>202610120800</t>
        </is>
      </c>
      <c r="E219" s="4" t="inlineStr"/>
      <c r="F219" s="4" t="inlineStr">
        <is>
          <t>THBKK</t>
        </is>
      </c>
      <c r="G219" s="4" t="inlineStr">
        <is>
          <t>CNXMN</t>
        </is>
      </c>
      <c r="H219" s="4" t="inlineStr">
        <is>
          <t xml:space="preserve">40Hx1 </t>
        </is>
      </c>
      <c r="I219" s="4" t="inlineStr">
        <is>
          <t>BKK27</t>
        </is>
      </c>
      <c r="J219" s="4" t="inlineStr">
        <is>
          <t>B.C. DEPOT CO.,LTD. ( Bang-Na KM.18)</t>
        </is>
      </c>
      <c r="K219" s="4" t="inlineStr">
        <is>
          <t>20261009</t>
        </is>
      </c>
      <c r="L219" s="4" t="inlineStr">
        <is>
          <t>STAR CONCORD (THAILAND) CO., LTD.</t>
        </is>
      </c>
      <c r="M219" s="4" t="inlineStr">
        <is>
          <t>TITANIUM INTERNATIONAL CO., LTD.</t>
        </is>
      </c>
      <c r="N219" s="4" t="inlineStr">
        <is>
          <t>ROSE COVER</t>
        </is>
      </c>
      <c r="O219" s="4" t="inlineStr">
        <is>
          <t>REQ GOOD, CLEAN, NO SMELL, NO RUST CONTAINER</t>
        </is>
      </c>
      <c r="P219" s="4" t="inlineStr">
        <is>
          <t xml:space="preserve">Pickup : 2026-10-09, Return : 2026-10-09 // EXTEND CLS TIME 09/10 @23.59 
 </t>
        </is>
      </c>
      <c r="Q219" s="4" t="n">
        <v>0</v>
      </c>
      <c r="R219" s="4" t="n">
        <v>0</v>
      </c>
      <c r="S219" s="4" t="n">
        <v>1</v>
      </c>
      <c r="T219" s="4" t="n">
        <v>0</v>
      </c>
      <c r="U219" s="4" t="n">
        <v>0</v>
      </c>
      <c r="V219" s="4" t="n">
        <v>0</v>
      </c>
      <c r="W219" s="4" t="n">
        <v>0</v>
      </c>
      <c r="X219" s="4" t="n">
        <v>0</v>
      </c>
      <c r="Y219" s="4" t="n">
        <v>0</v>
      </c>
      <c r="Z219" s="4" t="n">
        <v>0</v>
      </c>
      <c r="AA219" s="4" t="n">
        <v>0</v>
      </c>
      <c r="AB219" s="4">
        <f>SUM(Q219:Y219)-Z219</f>
        <v/>
      </c>
      <c r="AC219" s="4">
        <f>IF(I219="","",IF(OR(LEFT(I219,3)="BKK",I219="LCH55"),"BKK",IF(LEFT(I219,3)="LCH","LCH","OTHER")))</f>
        <v/>
      </c>
      <c r="AD219" s="4">
        <f>MAX(0,Q219-MAX(0,Z219))</f>
        <v/>
      </c>
      <c r="AE219" s="4">
        <f>MAX(0,R219-MAX(0,Z219-SUM(Q219:Q219)))</f>
        <v/>
      </c>
      <c r="AF219" s="4">
        <f>MAX(0,S219-MAX(0,Z219-SUM(Q219:R219)))</f>
        <v/>
      </c>
      <c r="AG219" s="4">
        <f>MAX(0,T219-MAX(0,Z219-SUM(Q219:S219)))</f>
        <v/>
      </c>
      <c r="AH219" s="4">
        <f>MAX(0,U219-MAX(0,Z219-SUM(Q219:T219)))</f>
        <v/>
      </c>
      <c r="AI219" s="4">
        <f>MAX(0,V219-MAX(0,Z219-SUM(Q219:U219)))</f>
        <v/>
      </c>
      <c r="AJ219" s="4">
        <f>MAX(0,W219-MAX(0,Z219-SUM(Q219:V219)))</f>
        <v/>
      </c>
      <c r="AK219" s="4">
        <f>MAX(0,X219-MAX(0,Z219-SUM(Q219:W219)))</f>
        <v/>
      </c>
      <c r="AL219" s="4">
        <f>MAX(0,Y219-MAX(0,Z219-SUM(Q219:X219)))</f>
        <v/>
      </c>
    </row>
    <row r="220">
      <c r="A220" s="4" t="inlineStr">
        <is>
          <t>HASLS22260901972</t>
        </is>
      </c>
      <c r="B220" s="4" t="inlineStr">
        <is>
          <t>KJT</t>
        </is>
      </c>
      <c r="C220" s="4" t="inlineStr">
        <is>
          <t>2611N</t>
        </is>
      </c>
      <c r="D220" s="4" t="inlineStr">
        <is>
          <t>202610141800</t>
        </is>
      </c>
      <c r="E220" s="4" t="inlineStr"/>
      <c r="F220" s="4" t="inlineStr">
        <is>
          <t>THBKK</t>
        </is>
      </c>
      <c r="G220" s="4" t="inlineStr">
        <is>
          <t>TWKEL</t>
        </is>
      </c>
      <c r="H220" s="4" t="inlineStr">
        <is>
          <t xml:space="preserve">20'x1 </t>
        </is>
      </c>
      <c r="I220" s="4" t="inlineStr">
        <is>
          <t>BKK27</t>
        </is>
      </c>
      <c r="J220" s="4" t="inlineStr">
        <is>
          <t>B.C. DEPOT CO.,LTD. ( Bang-Na KM.18)</t>
        </is>
      </c>
      <c r="K220" s="4" t="inlineStr">
        <is>
          <t>20261007</t>
        </is>
      </c>
      <c r="L220" s="4" t="inlineStr">
        <is>
          <t>SMS CORPORATION CO., LTD.</t>
        </is>
      </c>
      <c r="M220" s="4" t="inlineStr">
        <is>
          <t>SMS CORPORATION CO., LTD.</t>
        </is>
      </c>
      <c r="N220" s="4" t="inlineStr">
        <is>
          <t xml:space="preserve">MODIFIED TAPIOCA STARCH </t>
        </is>
      </c>
      <c r="O220" s="4" t="inlineStr">
        <is>
          <t>NEED VERY CLEAN CONTAINER</t>
        </is>
      </c>
      <c r="P220" s="4" t="inlineStr">
        <is>
          <t>Pickup : 2026-10-07, Return : 2026-10-09 (1ST RTN DD: 10/10/26 WO/RENT)</t>
        </is>
      </c>
      <c r="Q220" s="4" t="n">
        <v>1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>
        <f>SUM(Q220:Y220)-Z220</f>
        <v/>
      </c>
      <c r="AC220" s="4">
        <f>IF(I220="","",IF(OR(LEFT(I220,3)="BKK",I220="LCH55"),"BKK",IF(LEFT(I220,3)="LCH","LCH","OTHER")))</f>
        <v/>
      </c>
      <c r="AD220" s="4">
        <f>MAX(0,Q220-MAX(0,Z220))</f>
        <v/>
      </c>
      <c r="AE220" s="4">
        <f>MAX(0,R220-MAX(0,Z220-SUM(Q220:Q220)))</f>
        <v/>
      </c>
      <c r="AF220" s="4">
        <f>MAX(0,S220-MAX(0,Z220-SUM(Q220:R220)))</f>
        <v/>
      </c>
      <c r="AG220" s="4">
        <f>MAX(0,T220-MAX(0,Z220-SUM(Q220:S220)))</f>
        <v/>
      </c>
      <c r="AH220" s="4">
        <f>MAX(0,U220-MAX(0,Z220-SUM(Q220:T220)))</f>
        <v/>
      </c>
      <c r="AI220" s="4">
        <f>MAX(0,V220-MAX(0,Z220-SUM(Q220:U220)))</f>
        <v/>
      </c>
      <c r="AJ220" s="4">
        <f>MAX(0,W220-MAX(0,Z220-SUM(Q220:V220)))</f>
        <v/>
      </c>
      <c r="AK220" s="4">
        <f>MAX(0,X220-MAX(0,Z220-SUM(Q220:W220)))</f>
        <v/>
      </c>
      <c r="AL220" s="4">
        <f>MAX(0,Y220-MAX(0,Z220-SUM(Q220:X220)))</f>
        <v/>
      </c>
    </row>
    <row r="221">
      <c r="A221" s="4" t="inlineStr">
        <is>
          <t>HASLS22260901978</t>
        </is>
      </c>
      <c r="B221" s="4" t="inlineStr">
        <is>
          <t>SWAL</t>
        </is>
      </c>
      <c r="C221" s="4" t="inlineStr">
        <is>
          <t>2609N</t>
        </is>
      </c>
      <c r="D221" s="4" t="inlineStr">
        <is>
          <t>202610191500</t>
        </is>
      </c>
      <c r="E221" s="4" t="inlineStr"/>
      <c r="F221" s="4" t="inlineStr">
        <is>
          <t>THBKK</t>
        </is>
      </c>
      <c r="G221" s="4" t="inlineStr">
        <is>
          <t>KRINC</t>
        </is>
      </c>
      <c r="H221" s="4" t="inlineStr">
        <is>
          <t xml:space="preserve">40Hx1 </t>
        </is>
      </c>
      <c r="I221" s="4" t="inlineStr">
        <is>
          <t>BKK27</t>
        </is>
      </c>
      <c r="J221" s="4" t="inlineStr">
        <is>
          <t>B.C. DEPOT CO.,LTD. ( Bang-Na KM.18)</t>
        </is>
      </c>
      <c r="K221" s="4" t="inlineStr">
        <is>
          <t>20261014</t>
        </is>
      </c>
      <c r="L221" s="4" t="inlineStr">
        <is>
          <t>WORLDNET EXPRESS CO., LTD.</t>
        </is>
      </c>
      <c r="M221" s="4" t="inlineStr">
        <is>
          <t>MAHANAVA CO.,LTD.</t>
        </is>
      </c>
      <c r="N221" s="4" t="inlineStr">
        <is>
          <t>FOODSTUFF</t>
        </is>
      </c>
      <c r="O221" s="4" t="inlineStr">
        <is>
          <t>REQ. GOOD AND CLEAN CONTAINER, NO SMELL, NO RUST, NO HOLE, FOOD GRADE</t>
        </is>
      </c>
      <c r="P221" s="4" t="inlineStr">
        <is>
          <t>Pickup : 2026-10-14, Return : 2026-10-15</t>
        </is>
      </c>
      <c r="Q221" s="4" t="n">
        <v>0</v>
      </c>
      <c r="R221" s="4" t="n">
        <v>0</v>
      </c>
      <c r="S221" s="4" t="n">
        <v>1</v>
      </c>
      <c r="T221" s="4" t="n">
        <v>0</v>
      </c>
      <c r="U221" s="4" t="n">
        <v>0</v>
      </c>
      <c r="V221" s="4" t="n">
        <v>0</v>
      </c>
      <c r="W221" s="4" t="n">
        <v>0</v>
      </c>
      <c r="X221" s="4" t="n">
        <v>0</v>
      </c>
      <c r="Y221" s="4" t="n">
        <v>0</v>
      </c>
      <c r="Z221" s="4" t="n">
        <v>0</v>
      </c>
      <c r="AA221" s="4" t="n">
        <v>0</v>
      </c>
      <c r="AB221" s="4">
        <f>SUM(Q221:Y221)-Z221</f>
        <v/>
      </c>
      <c r="AC221" s="4">
        <f>IF(I221="","",IF(OR(LEFT(I221,3)="BKK",I221="LCH55"),"BKK",IF(LEFT(I221,3)="LCH","LCH","OTHER")))</f>
        <v/>
      </c>
      <c r="AD221" s="4">
        <f>MAX(0,Q221-MAX(0,Z221))</f>
        <v/>
      </c>
      <c r="AE221" s="4">
        <f>MAX(0,R221-MAX(0,Z221-SUM(Q221:Q221)))</f>
        <v/>
      </c>
      <c r="AF221" s="4">
        <f>MAX(0,S221-MAX(0,Z221-SUM(Q221:R221)))</f>
        <v/>
      </c>
      <c r="AG221" s="4">
        <f>MAX(0,T221-MAX(0,Z221-SUM(Q221:S221)))</f>
        <v/>
      </c>
      <c r="AH221" s="4">
        <f>MAX(0,U221-MAX(0,Z221-SUM(Q221:T221)))</f>
        <v/>
      </c>
      <c r="AI221" s="4">
        <f>MAX(0,V221-MAX(0,Z221-SUM(Q221:U221)))</f>
        <v/>
      </c>
      <c r="AJ221" s="4">
        <f>MAX(0,W221-MAX(0,Z221-SUM(Q221:V221)))</f>
        <v/>
      </c>
      <c r="AK221" s="4">
        <f>MAX(0,X221-MAX(0,Z221-SUM(Q221:W221)))</f>
        <v/>
      </c>
      <c r="AL221" s="4">
        <f>MAX(0,Y221-MAX(0,Z221-SUM(Q221:X221)))</f>
        <v/>
      </c>
    </row>
    <row r="222">
      <c r="A222" s="4" t="inlineStr">
        <is>
          <t>HASLS22260901986</t>
        </is>
      </c>
      <c r="B222" s="4" t="inlineStr">
        <is>
          <t>KXM</t>
        </is>
      </c>
      <c r="C222" s="4" t="inlineStr">
        <is>
          <t>2608S</t>
        </is>
      </c>
      <c r="D222" s="4" t="inlineStr">
        <is>
          <t>202610100500</t>
        </is>
      </c>
      <c r="E222" s="4" t="inlineStr">
        <is>
          <t>THLKR</t>
        </is>
      </c>
      <c r="F222" s="4" t="inlineStr">
        <is>
          <t>THLCH</t>
        </is>
      </c>
      <c r="G222" s="4" t="inlineStr">
        <is>
          <t>IDJKT</t>
        </is>
      </c>
      <c r="H222" s="4" t="inlineStr">
        <is>
          <t xml:space="preserve">40Hx1 </t>
        </is>
      </c>
      <c r="I222" s="4" t="inlineStr">
        <is>
          <t>BKK27</t>
        </is>
      </c>
      <c r="J222" s="4" t="inlineStr">
        <is>
          <t>B.C. DEPOT CO.,LTD. ( Bang-Na KM.18)</t>
        </is>
      </c>
      <c r="K222" s="4" t="inlineStr">
        <is>
          <t>20260925</t>
        </is>
      </c>
      <c r="L222" s="4" t="inlineStr">
        <is>
          <t>SCAN GLOBAL LOGISTICS CO., LTD.</t>
        </is>
      </c>
      <c r="M222" s="4" t="inlineStr">
        <is>
          <t>SCAN GLOBAL LOGISTICS CO., LTD.</t>
        </is>
      </c>
      <c r="N222" s="4" t="inlineStr">
        <is>
          <t>DEHYDRATED RICE VERMICELLI</t>
        </is>
      </c>
      <c r="O222" s="4" t="inlineStr">
        <is>
          <t>GOOD AND CLEAN CONTAINER</t>
        </is>
      </c>
      <c r="P222" s="4" t="inlineStr">
        <is>
          <t>Pickup : 2026-09-25, Return : 2026-09-25 Paperless Code 2835
Closing Time LKB 2026-10-07 @ 18.00 // (1ST RETUN 03/10 W/o RENT) (PLEASE ADD SHIPPER)</t>
        </is>
      </c>
      <c r="Q222" s="4" t="n">
        <v>0</v>
      </c>
      <c r="R222" s="4" t="n">
        <v>0</v>
      </c>
      <c r="S222" s="4" t="n">
        <v>1</v>
      </c>
      <c r="T222" s="4" t="n">
        <v>0</v>
      </c>
      <c r="U222" s="4" t="n">
        <v>0</v>
      </c>
      <c r="V222" s="4" t="n">
        <v>0</v>
      </c>
      <c r="W222" s="4" t="n">
        <v>0</v>
      </c>
      <c r="X222" s="4" t="n">
        <v>0</v>
      </c>
      <c r="Y222" s="4" t="n">
        <v>0</v>
      </c>
      <c r="Z222" s="4" t="n">
        <v>0</v>
      </c>
      <c r="AA222" s="4" t="n">
        <v>0</v>
      </c>
      <c r="AB222" s="4">
        <f>SUM(Q222:Y222)-Z222</f>
        <v/>
      </c>
      <c r="AC222" s="4">
        <f>IF(I222="","",IF(OR(LEFT(I222,3)="BKK",I222="LCH55"),"BKK",IF(LEFT(I222,3)="LCH","LCH","OTHER")))</f>
        <v/>
      </c>
      <c r="AD222" s="4">
        <f>MAX(0,Q222-MAX(0,Z222))</f>
        <v/>
      </c>
      <c r="AE222" s="4">
        <f>MAX(0,R222-MAX(0,Z222-SUM(Q222:Q222)))</f>
        <v/>
      </c>
      <c r="AF222" s="4">
        <f>MAX(0,S222-MAX(0,Z222-SUM(Q222:R222)))</f>
        <v/>
      </c>
      <c r="AG222" s="4">
        <f>MAX(0,T222-MAX(0,Z222-SUM(Q222:S222)))</f>
        <v/>
      </c>
      <c r="AH222" s="4">
        <f>MAX(0,U222-MAX(0,Z222-SUM(Q222:T222)))</f>
        <v/>
      </c>
      <c r="AI222" s="4">
        <f>MAX(0,V222-MAX(0,Z222-SUM(Q222:U222)))</f>
        <v/>
      </c>
      <c r="AJ222" s="4">
        <f>MAX(0,W222-MAX(0,Z222-SUM(Q222:V222)))</f>
        <v/>
      </c>
      <c r="AK222" s="4">
        <f>MAX(0,X222-MAX(0,Z222-SUM(Q222:W222)))</f>
        <v/>
      </c>
      <c r="AL222" s="4">
        <f>MAX(0,Y222-MAX(0,Z222-SUM(Q222:X222)))</f>
        <v/>
      </c>
    </row>
    <row r="223">
      <c r="A223" s="4" t="inlineStr">
        <is>
          <t>HASLS22260901990</t>
        </is>
      </c>
      <c r="B223" s="4" t="inlineStr">
        <is>
          <t>SWVG</t>
        </is>
      </c>
      <c r="C223" s="4" t="inlineStr">
        <is>
          <t>2612N</t>
        </is>
      </c>
      <c r="D223" s="4" t="inlineStr">
        <is>
          <t>202610070330</t>
        </is>
      </c>
      <c r="E223" s="4" t="inlineStr">
        <is>
          <t>THSRP</t>
        </is>
      </c>
      <c r="F223" s="4" t="inlineStr">
        <is>
          <t>THLCH</t>
        </is>
      </c>
      <c r="G223" s="4" t="inlineStr">
        <is>
          <t>CNSHA</t>
        </is>
      </c>
      <c r="H223" s="4" t="inlineStr">
        <is>
          <t xml:space="preserve">40Hx4 </t>
        </is>
      </c>
      <c r="I223" s="4" t="inlineStr">
        <is>
          <t>BKK27</t>
        </is>
      </c>
      <c r="J223" s="4" t="inlineStr">
        <is>
          <t>B.C. DEPOT CO.,LTD. ( Bang-Na KM.18)</t>
        </is>
      </c>
      <c r="K223" s="4" t="inlineStr">
        <is>
          <t>20261002</t>
        </is>
      </c>
      <c r="L223" s="4" t="inlineStr">
        <is>
          <t>ABLE AWARDS GLOBAL LOGISTICS CO., LTD.</t>
        </is>
      </c>
      <c r="M223" s="4" t="inlineStr">
        <is>
          <t>BANDAI LOGIPAL (THAILAND) CO., LTD.</t>
        </is>
      </c>
      <c r="N223" s="4" t="inlineStr">
        <is>
          <t>SNACK</t>
        </is>
      </c>
      <c r="O223" s="4" t="inlineStr">
        <is>
          <t>GOOD AND CLEAN CONTAINER</t>
        </is>
      </c>
      <c r="P223" s="4" t="inlineStr">
        <is>
          <t>Pickup : 2026-10-02, Return SRP : 2026-10-03 [PAPERLESS CODE 2829]
CLS TIME 03/10/26 @23.59</t>
        </is>
      </c>
      <c r="Q223" s="4" t="n">
        <v>0</v>
      </c>
      <c r="R223" s="4" t="n">
        <v>0</v>
      </c>
      <c r="S223" s="4" t="n">
        <v>4</v>
      </c>
      <c r="T223" s="4" t="n">
        <v>0</v>
      </c>
      <c r="U223" s="4" t="n">
        <v>0</v>
      </c>
      <c r="V223" s="4" t="n">
        <v>0</v>
      </c>
      <c r="W223" s="4" t="n">
        <v>0</v>
      </c>
      <c r="X223" s="4" t="n">
        <v>0</v>
      </c>
      <c r="Y223" s="4" t="n">
        <v>0</v>
      </c>
      <c r="Z223" s="4" t="n">
        <v>0</v>
      </c>
      <c r="AA223" s="4" t="n">
        <v>0</v>
      </c>
      <c r="AB223" s="4">
        <f>SUM(Q223:Y223)-Z223</f>
        <v/>
      </c>
      <c r="AC223" s="4">
        <f>IF(I223="","",IF(OR(LEFT(I223,3)="BKK",I223="LCH55"),"BKK",IF(LEFT(I223,3)="LCH","LCH","OTHER")))</f>
        <v/>
      </c>
      <c r="AD223" s="4">
        <f>MAX(0,Q223-MAX(0,Z223))</f>
        <v/>
      </c>
      <c r="AE223" s="4">
        <f>MAX(0,R223-MAX(0,Z223-SUM(Q223:Q223)))</f>
        <v/>
      </c>
      <c r="AF223" s="4">
        <f>MAX(0,S223-MAX(0,Z223-SUM(Q223:R223)))</f>
        <v/>
      </c>
      <c r="AG223" s="4">
        <f>MAX(0,T223-MAX(0,Z223-SUM(Q223:S223)))</f>
        <v/>
      </c>
      <c r="AH223" s="4">
        <f>MAX(0,U223-MAX(0,Z223-SUM(Q223:T223)))</f>
        <v/>
      </c>
      <c r="AI223" s="4">
        <f>MAX(0,V223-MAX(0,Z223-SUM(Q223:U223)))</f>
        <v/>
      </c>
      <c r="AJ223" s="4">
        <f>MAX(0,W223-MAX(0,Z223-SUM(Q223:V223)))</f>
        <v/>
      </c>
      <c r="AK223" s="4">
        <f>MAX(0,X223-MAX(0,Z223-SUM(Q223:W223)))</f>
        <v/>
      </c>
      <c r="AL223" s="4">
        <f>MAX(0,Y223-MAX(0,Z223-SUM(Q223:X223)))</f>
        <v/>
      </c>
    </row>
    <row r="224">
      <c r="A224" s="4" t="inlineStr">
        <is>
          <t>HASLS22260901996</t>
        </is>
      </c>
      <c r="B224" s="4" t="inlineStr">
        <is>
          <t>SWAL</t>
        </is>
      </c>
      <c r="C224" s="4" t="inlineStr">
        <is>
          <t>2609N</t>
        </is>
      </c>
      <c r="D224" s="4" t="inlineStr">
        <is>
          <t>202610191500</t>
        </is>
      </c>
      <c r="E224" s="4" t="inlineStr"/>
      <c r="F224" s="4" t="inlineStr">
        <is>
          <t>THBKK</t>
        </is>
      </c>
      <c r="G224" s="4" t="inlineStr">
        <is>
          <t>KRINC</t>
        </is>
      </c>
      <c r="H224" s="4" t="inlineStr">
        <is>
          <t xml:space="preserve">20'x1 </t>
        </is>
      </c>
      <c r="I224" s="4" t="inlineStr">
        <is>
          <t>BKK27</t>
        </is>
      </c>
      <c r="J224" s="4" t="inlineStr">
        <is>
          <t>B.C. DEPOT CO.,LTD. ( Bang-Na KM.18)</t>
        </is>
      </c>
      <c r="K224" s="4" t="inlineStr">
        <is>
          <t>20261014</t>
        </is>
      </c>
      <c r="L224" s="4" t="inlineStr">
        <is>
          <t>KORCHINA FREIGHT (THAILAND) CO., LTD.</t>
        </is>
      </c>
      <c r="M224" s="4" t="inlineStr">
        <is>
          <t>PANTAINORASINGH MANUFACTURER CO.,LTD.</t>
        </is>
      </c>
      <c r="N224" s="4" t="inlineStr">
        <is>
          <t>FOODSTUFFS</t>
        </is>
      </c>
      <c r="O224" s="4" t="inlineStr">
        <is>
          <t>be in new condition, clean, have a flat surface with no beams, a smooth ceiling, and no leaks.
It must also be rust-free, odorless, never used to sto</t>
        </is>
      </c>
      <c r="P224" s="4" t="inlineStr">
        <is>
          <t>Pickup : 2026-10-14, Return : 2026-10-15</t>
        </is>
      </c>
      <c r="Q224" s="4" t="n">
        <v>1</v>
      </c>
      <c r="R224" s="4" t="n">
        <v>0</v>
      </c>
      <c r="S224" s="4" t="n">
        <v>0</v>
      </c>
      <c r="T224" s="4" t="n">
        <v>0</v>
      </c>
      <c r="U224" s="4" t="n">
        <v>0</v>
      </c>
      <c r="V224" s="4" t="n">
        <v>0</v>
      </c>
      <c r="W224" s="4" t="n">
        <v>0</v>
      </c>
      <c r="X224" s="4" t="n">
        <v>0</v>
      </c>
      <c r="Y224" s="4" t="n">
        <v>0</v>
      </c>
      <c r="Z224" s="4" t="n">
        <v>0</v>
      </c>
      <c r="AA224" s="4" t="n">
        <v>0</v>
      </c>
      <c r="AB224" s="4">
        <f>SUM(Q224:Y224)-Z224</f>
        <v/>
      </c>
      <c r="AC224" s="4">
        <f>IF(I224="","",IF(OR(LEFT(I224,3)="BKK",I224="LCH55"),"BKK",IF(LEFT(I224,3)="LCH","LCH","OTHER")))</f>
        <v/>
      </c>
      <c r="AD224" s="4">
        <f>MAX(0,Q224-MAX(0,Z224))</f>
        <v/>
      </c>
      <c r="AE224" s="4">
        <f>MAX(0,R224-MAX(0,Z224-SUM(Q224:Q224)))</f>
        <v/>
      </c>
      <c r="AF224" s="4">
        <f>MAX(0,S224-MAX(0,Z224-SUM(Q224:R224)))</f>
        <v/>
      </c>
      <c r="AG224" s="4">
        <f>MAX(0,T224-MAX(0,Z224-SUM(Q224:S224)))</f>
        <v/>
      </c>
      <c r="AH224" s="4">
        <f>MAX(0,U224-MAX(0,Z224-SUM(Q224:T224)))</f>
        <v/>
      </c>
      <c r="AI224" s="4">
        <f>MAX(0,V224-MAX(0,Z224-SUM(Q224:U224)))</f>
        <v/>
      </c>
      <c r="AJ224" s="4">
        <f>MAX(0,W224-MAX(0,Z224-SUM(Q224:V224)))</f>
        <v/>
      </c>
      <c r="AK224" s="4">
        <f>MAX(0,X224-MAX(0,Z224-SUM(Q224:W224)))</f>
        <v/>
      </c>
      <c r="AL224" s="4">
        <f>MAX(0,Y224-MAX(0,Z224-SUM(Q224:X224)))</f>
        <v/>
      </c>
    </row>
    <row r="225">
      <c r="A225" s="4" t="inlineStr">
        <is>
          <t>HASLS22260901997</t>
        </is>
      </c>
      <c r="B225" s="4" t="inlineStr">
        <is>
          <t>SWSP</t>
        </is>
      </c>
      <c r="C225" s="4" t="inlineStr">
        <is>
          <t>2609N</t>
        </is>
      </c>
      <c r="D225" s="4" t="inlineStr">
        <is>
          <t>202610071530</t>
        </is>
      </c>
      <c r="E225" s="4" t="inlineStr"/>
      <c r="F225" s="4" t="inlineStr">
        <is>
          <t>THBKK</t>
        </is>
      </c>
      <c r="G225" s="4" t="inlineStr">
        <is>
          <t>RUVVO</t>
        </is>
      </c>
      <c r="H225" s="4" t="inlineStr">
        <is>
          <t xml:space="preserve">20RFx1 </t>
        </is>
      </c>
      <c r="I225" s="4" t="inlineStr">
        <is>
          <t>BKK27</t>
        </is>
      </c>
      <c r="J225" s="4" t="inlineStr">
        <is>
          <t>B.C. DEPOT CO.,LTD. ( Bang-Na KM.18)</t>
        </is>
      </c>
      <c r="K225" s="4" t="inlineStr">
        <is>
          <t>20261003</t>
        </is>
      </c>
      <c r="L225" s="4" t="inlineStr">
        <is>
          <t>BRIO LOGISTICS (THAILAND) CO., LTD.</t>
        </is>
      </c>
      <c r="M225" s="4" t="inlineStr">
        <is>
          <t>LUCK SIAM GLOBAL COMPANY LIMITED</t>
        </is>
      </c>
      <c r="N225" s="4" t="inlineStr">
        <is>
          <t>CANNED TUNA</t>
        </is>
      </c>
      <c r="O225" s="4" t="inlineStr">
        <is>
          <t>(Temp +18.0℃ / Vent Close)</t>
        </is>
      </c>
      <c r="P225" s="4" t="inlineStr">
        <is>
          <t xml:space="preserve">Pickup : 2026-10-03, Return : 2026-10-04 (Temp +18.0 / Vent Close)
 CLS TIME 06/10 @09.00 </t>
        </is>
      </c>
      <c r="Q225" s="4" t="n">
        <v>0</v>
      </c>
      <c r="R225" s="4" t="n">
        <v>0</v>
      </c>
      <c r="S225" s="4" t="n">
        <v>0</v>
      </c>
      <c r="T225" s="4" t="n">
        <v>1</v>
      </c>
      <c r="U225" s="4" t="n">
        <v>0</v>
      </c>
      <c r="V225" s="4" t="n">
        <v>0</v>
      </c>
      <c r="W225" s="4" t="n">
        <v>0</v>
      </c>
      <c r="X225" s="4" t="n">
        <v>0</v>
      </c>
      <c r="Y225" s="4" t="n">
        <v>0</v>
      </c>
      <c r="Z225" s="4" t="n">
        <v>0</v>
      </c>
      <c r="AA225" s="4" t="n">
        <v>0</v>
      </c>
      <c r="AB225" s="4">
        <f>SUM(Q225:Y225)-Z225</f>
        <v/>
      </c>
      <c r="AC225" s="4">
        <f>IF(I225="","",IF(OR(LEFT(I225,3)="BKK",I225="LCH55"),"BKK",IF(LEFT(I225,3)="LCH","LCH","OTHER")))</f>
        <v/>
      </c>
      <c r="AD225" s="4">
        <f>MAX(0,Q225-MAX(0,Z225))</f>
        <v/>
      </c>
      <c r="AE225" s="4">
        <f>MAX(0,R225-MAX(0,Z225-SUM(Q225:Q225)))</f>
        <v/>
      </c>
      <c r="AF225" s="4">
        <f>MAX(0,S225-MAX(0,Z225-SUM(Q225:R225)))</f>
        <v/>
      </c>
      <c r="AG225" s="4">
        <f>MAX(0,T225-MAX(0,Z225-SUM(Q225:S225)))</f>
        <v/>
      </c>
      <c r="AH225" s="4">
        <f>MAX(0,U225-MAX(0,Z225-SUM(Q225:T225)))</f>
        <v/>
      </c>
      <c r="AI225" s="4">
        <f>MAX(0,V225-MAX(0,Z225-SUM(Q225:U225)))</f>
        <v/>
      </c>
      <c r="AJ225" s="4">
        <f>MAX(0,W225-MAX(0,Z225-SUM(Q225:V225)))</f>
        <v/>
      </c>
      <c r="AK225" s="4">
        <f>MAX(0,X225-MAX(0,Z225-SUM(Q225:W225)))</f>
        <v/>
      </c>
      <c r="AL225" s="4">
        <f>MAX(0,Y225-MAX(0,Z225-SUM(Q225:X225)))</f>
        <v/>
      </c>
    </row>
    <row r="226">
      <c r="A226" s="4" t="inlineStr">
        <is>
          <t>HASLS22260901999</t>
        </is>
      </c>
      <c r="B226" s="4" t="inlineStr">
        <is>
          <t>SWAT</t>
        </is>
      </c>
      <c r="C226" s="4" t="inlineStr">
        <is>
          <t>2610N</t>
        </is>
      </c>
      <c r="D226" s="4" t="inlineStr">
        <is>
          <t>202610071700</t>
        </is>
      </c>
      <c r="E226" s="4" t="inlineStr"/>
      <c r="F226" s="4" t="inlineStr">
        <is>
          <t>THBKK</t>
        </is>
      </c>
      <c r="G226" s="4" t="inlineStr">
        <is>
          <t>TWKEL</t>
        </is>
      </c>
      <c r="H226" s="4" t="inlineStr">
        <is>
          <t xml:space="preserve">20'x3 </t>
        </is>
      </c>
      <c r="I226" s="4" t="inlineStr">
        <is>
          <t>BKK27</t>
        </is>
      </c>
      <c r="J226" s="4" t="inlineStr">
        <is>
          <t>B.C. DEPOT CO.,LTD. ( Bang-Na KM.18)</t>
        </is>
      </c>
      <c r="K226" s="4" t="inlineStr">
        <is>
          <t>20260930</t>
        </is>
      </c>
      <c r="L226" s="4" t="inlineStr">
        <is>
          <t>SMS CORPORATION CO., LTD.</t>
        </is>
      </c>
      <c r="M226" s="4" t="inlineStr">
        <is>
          <t>SMS CORPORATION CO., LTD.</t>
        </is>
      </c>
      <c r="N226" s="4" t="inlineStr">
        <is>
          <t xml:space="preserve">MODIFIED TAPIOCA STARCH </t>
        </is>
      </c>
      <c r="O226" s="4" t="inlineStr">
        <is>
          <t>NEED VERY CLEAN CONTAINER</t>
        </is>
      </c>
      <c r="P226" s="4" t="inlineStr">
        <is>
          <t xml:space="preserve">Pickup : 2026-09-30, Return : 2026-10-03 </t>
        </is>
      </c>
      <c r="Q226" s="4" t="n">
        <v>3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>
        <f>SUM(Q226:Y226)-Z226</f>
        <v/>
      </c>
      <c r="AC226" s="4">
        <f>IF(I226="","",IF(OR(LEFT(I226,3)="BKK",I226="LCH55"),"BKK",IF(LEFT(I226,3)="LCH","LCH","OTHER")))</f>
        <v/>
      </c>
      <c r="AD226" s="4">
        <f>MAX(0,Q226-MAX(0,Z226))</f>
        <v/>
      </c>
      <c r="AE226" s="4">
        <f>MAX(0,R226-MAX(0,Z226-SUM(Q226:Q226)))</f>
        <v/>
      </c>
      <c r="AF226" s="4">
        <f>MAX(0,S226-MAX(0,Z226-SUM(Q226:R226)))</f>
        <v/>
      </c>
      <c r="AG226" s="4">
        <f>MAX(0,T226-MAX(0,Z226-SUM(Q226:S226)))</f>
        <v/>
      </c>
      <c r="AH226" s="4">
        <f>MAX(0,U226-MAX(0,Z226-SUM(Q226:T226)))</f>
        <v/>
      </c>
      <c r="AI226" s="4">
        <f>MAX(0,V226-MAX(0,Z226-SUM(Q226:U226)))</f>
        <v/>
      </c>
      <c r="AJ226" s="4">
        <f>MAX(0,W226-MAX(0,Z226-SUM(Q226:V226)))</f>
        <v/>
      </c>
      <c r="AK226" s="4">
        <f>MAX(0,X226-MAX(0,Z226-SUM(Q226:W226)))</f>
        <v/>
      </c>
      <c r="AL226" s="4">
        <f>MAX(0,Y226-MAX(0,Z226-SUM(Q226:X226)))</f>
        <v/>
      </c>
    </row>
    <row r="227">
      <c r="A227" s="4" t="inlineStr">
        <is>
          <t>HASLS22260902006</t>
        </is>
      </c>
      <c r="B227" s="4" t="inlineStr">
        <is>
          <t>SWAL</t>
        </is>
      </c>
      <c r="C227" s="4" t="inlineStr">
        <is>
          <t>2609N</t>
        </is>
      </c>
      <c r="D227" s="4" t="inlineStr">
        <is>
          <t>202610191500</t>
        </is>
      </c>
      <c r="E227" s="4" t="inlineStr"/>
      <c r="F227" s="4" t="inlineStr">
        <is>
          <t>THBKK</t>
        </is>
      </c>
      <c r="G227" s="4" t="inlineStr">
        <is>
          <t>VNSGN</t>
        </is>
      </c>
      <c r="H227" s="4" t="inlineStr">
        <is>
          <t xml:space="preserve">20'x1 </t>
        </is>
      </c>
      <c r="I227" s="4" t="inlineStr">
        <is>
          <t>BKK27</t>
        </is>
      </c>
      <c r="J227" s="4" t="inlineStr">
        <is>
          <t>B.C. DEPOT CO.,LTD. ( Bang-Na KM.18)</t>
        </is>
      </c>
      <c r="K227" s="4" t="inlineStr">
        <is>
          <t>20261014</t>
        </is>
      </c>
      <c r="L227" s="4" t="inlineStr">
        <is>
          <t>PRIME LOGISTICS INTERNATIONAL CO., LTD.</t>
        </is>
      </c>
      <c r="M227" s="4" t="inlineStr">
        <is>
          <t>ROYAL CAN INDUSTRIES CO., LTD.</t>
        </is>
      </c>
      <c r="N227" s="4" t="inlineStr">
        <is>
          <t>EMPTY CAN</t>
        </is>
      </c>
      <c r="O227" s="4" t="inlineStr">
        <is>
          <t>REQ FOOD GRADE CONTAINER</t>
        </is>
      </c>
      <c r="P227" s="4" t="inlineStr">
        <is>
          <t>Pickup : 2026-10-14, Return : 2026-10-15</t>
        </is>
      </c>
      <c r="Q227" s="4" t="n">
        <v>1</v>
      </c>
      <c r="R227" s="4" t="n">
        <v>0</v>
      </c>
      <c r="S227" s="4" t="n">
        <v>0</v>
      </c>
      <c r="T227" s="4" t="n">
        <v>0</v>
      </c>
      <c r="U227" s="4" t="n">
        <v>0</v>
      </c>
      <c r="V227" s="4" t="n">
        <v>0</v>
      </c>
      <c r="W227" s="4" t="n">
        <v>0</v>
      </c>
      <c r="X227" s="4" t="n">
        <v>0</v>
      </c>
      <c r="Y227" s="4" t="n">
        <v>0</v>
      </c>
      <c r="Z227" s="4" t="n">
        <v>0</v>
      </c>
      <c r="AA227" s="4" t="n">
        <v>0</v>
      </c>
      <c r="AB227" s="4">
        <f>SUM(Q227:Y227)-Z227</f>
        <v/>
      </c>
      <c r="AC227" s="4">
        <f>IF(I227="","",IF(OR(LEFT(I227,3)="BKK",I227="LCH55"),"BKK",IF(LEFT(I227,3)="LCH","LCH","OTHER")))</f>
        <v/>
      </c>
      <c r="AD227" s="4">
        <f>MAX(0,Q227-MAX(0,Z227))</f>
        <v/>
      </c>
      <c r="AE227" s="4">
        <f>MAX(0,R227-MAX(0,Z227-SUM(Q227:Q227)))</f>
        <v/>
      </c>
      <c r="AF227" s="4">
        <f>MAX(0,S227-MAX(0,Z227-SUM(Q227:R227)))</f>
        <v/>
      </c>
      <c r="AG227" s="4">
        <f>MAX(0,T227-MAX(0,Z227-SUM(Q227:S227)))</f>
        <v/>
      </c>
      <c r="AH227" s="4">
        <f>MAX(0,U227-MAX(0,Z227-SUM(Q227:T227)))</f>
        <v/>
      </c>
      <c r="AI227" s="4">
        <f>MAX(0,V227-MAX(0,Z227-SUM(Q227:U227)))</f>
        <v/>
      </c>
      <c r="AJ227" s="4">
        <f>MAX(0,W227-MAX(0,Z227-SUM(Q227:V227)))</f>
        <v/>
      </c>
      <c r="AK227" s="4">
        <f>MAX(0,X227-MAX(0,Z227-SUM(Q227:W227)))</f>
        <v/>
      </c>
      <c r="AL227" s="4">
        <f>MAX(0,Y227-MAX(0,Z227-SUM(Q227:X227)))</f>
        <v/>
      </c>
    </row>
    <row r="228">
      <c r="A228" s="4" t="inlineStr">
        <is>
          <t>HASLS22260902007</t>
        </is>
      </c>
      <c r="B228" s="4" t="inlineStr">
        <is>
          <t>SWSP</t>
        </is>
      </c>
      <c r="C228" s="4" t="inlineStr">
        <is>
          <t>2609N</t>
        </is>
      </c>
      <c r="D228" s="4" t="inlineStr">
        <is>
          <t>202610071530</t>
        </is>
      </c>
      <c r="E228" s="4" t="inlineStr"/>
      <c r="F228" s="4" t="inlineStr">
        <is>
          <t>THBKK</t>
        </is>
      </c>
      <c r="G228" s="4" t="inlineStr">
        <is>
          <t>VNSGN</t>
        </is>
      </c>
      <c r="H228" s="4" t="inlineStr">
        <is>
          <t xml:space="preserve">R40Hx1 </t>
        </is>
      </c>
      <c r="I228" s="4" t="inlineStr">
        <is>
          <t>BKK27</t>
        </is>
      </c>
      <c r="J228" s="4" t="inlineStr">
        <is>
          <t>B.C. DEPOT CO.,LTD. ( Bang-Na KM.18)</t>
        </is>
      </c>
      <c r="K228" s="4" t="inlineStr">
        <is>
          <t>20261003</t>
        </is>
      </c>
      <c r="L228" s="4" t="inlineStr">
        <is>
          <t>PACIFIC FORWARDER INTERNATIONAL CO., LTD.</t>
        </is>
      </c>
      <c r="M228" s="4" t="inlineStr">
        <is>
          <t>MEGA LIFESCIENCES PUBLIC CO., LTD.</t>
        </is>
      </c>
      <c r="N228" s="4" t="inlineStr">
        <is>
          <t>PHARMACEUTICAL PRODUCTS</t>
        </is>
      </c>
      <c r="O228" s="4" t="inlineStr">
        <is>
          <t>RF45REx1 (RF45REx1 (Temp 22.0℃ / Vent Close)</t>
        </is>
      </c>
      <c r="P228" s="4" t="inlineStr">
        <is>
          <t xml:space="preserve">Pickup : 2026-10-03, Return : 2026-10-03 (Temp +22.0 / Vent Close)
 CLS TIME 04/10 @05.00 [1ST RTN 02/10 W/O LECTRIC] </t>
        </is>
      </c>
      <c r="Q228" s="4" t="n">
        <v>0</v>
      </c>
      <c r="R228" s="4" t="n">
        <v>0</v>
      </c>
      <c r="S228" s="4" t="n">
        <v>0</v>
      </c>
      <c r="T228" s="4" t="n">
        <v>0</v>
      </c>
      <c r="U228" s="4" t="n">
        <v>1</v>
      </c>
      <c r="V228" s="4" t="n">
        <v>0</v>
      </c>
      <c r="W228" s="4" t="n">
        <v>0</v>
      </c>
      <c r="X228" s="4" t="n">
        <v>0</v>
      </c>
      <c r="Y228" s="4" t="n">
        <v>0</v>
      </c>
      <c r="Z228" s="4" t="n">
        <v>0</v>
      </c>
      <c r="AA228" s="4" t="n">
        <v>0</v>
      </c>
      <c r="AB228" s="4">
        <f>SUM(Q228:Y228)-Z228</f>
        <v/>
      </c>
      <c r="AC228" s="4">
        <f>IF(I228="","",IF(OR(LEFT(I228,3)="BKK",I228="LCH55"),"BKK",IF(LEFT(I228,3)="LCH","LCH","OTHER")))</f>
        <v/>
      </c>
      <c r="AD228" s="4">
        <f>MAX(0,Q228-MAX(0,Z228))</f>
        <v/>
      </c>
      <c r="AE228" s="4">
        <f>MAX(0,R228-MAX(0,Z228-SUM(Q228:Q228)))</f>
        <v/>
      </c>
      <c r="AF228" s="4">
        <f>MAX(0,S228-MAX(0,Z228-SUM(Q228:R228)))</f>
        <v/>
      </c>
      <c r="AG228" s="4">
        <f>MAX(0,T228-MAX(0,Z228-SUM(Q228:S228)))</f>
        <v/>
      </c>
      <c r="AH228" s="4">
        <f>MAX(0,U228-MAX(0,Z228-SUM(Q228:T228)))</f>
        <v/>
      </c>
      <c r="AI228" s="4">
        <f>MAX(0,V228-MAX(0,Z228-SUM(Q228:U228)))</f>
        <v/>
      </c>
      <c r="AJ228" s="4">
        <f>MAX(0,W228-MAX(0,Z228-SUM(Q228:V228)))</f>
        <v/>
      </c>
      <c r="AK228" s="4">
        <f>MAX(0,X228-MAX(0,Z228-SUM(Q228:W228)))</f>
        <v/>
      </c>
      <c r="AL228" s="4">
        <f>MAX(0,Y228-MAX(0,Z228-SUM(Q228:X228)))</f>
        <v/>
      </c>
    </row>
    <row r="229">
      <c r="A229" s="4" t="inlineStr">
        <is>
          <t>HASLS22260902010</t>
        </is>
      </c>
      <c r="B229" s="4" t="inlineStr">
        <is>
          <t>SWAT</t>
        </is>
      </c>
      <c r="C229" s="4" t="inlineStr">
        <is>
          <t>2611N</t>
        </is>
      </c>
      <c r="D229" s="4" t="inlineStr">
        <is>
          <t>202610282200</t>
        </is>
      </c>
      <c r="E229" s="4" t="inlineStr"/>
      <c r="F229" s="4" t="inlineStr">
        <is>
          <t>THBKK</t>
        </is>
      </c>
      <c r="G229" s="4" t="inlineStr">
        <is>
          <t>HKHKG</t>
        </is>
      </c>
      <c r="H229" s="4" t="inlineStr">
        <is>
          <t xml:space="preserve">20'x1 </t>
        </is>
      </c>
      <c r="I229" s="4" t="inlineStr">
        <is>
          <t>BKK27</t>
        </is>
      </c>
      <c r="J229" s="4" t="inlineStr">
        <is>
          <t>B.C. DEPOT CO.,LTD. ( Bang-Na KM.18)</t>
        </is>
      </c>
      <c r="K229" s="4" t="inlineStr">
        <is>
          <t>20260926</t>
        </is>
      </c>
      <c r="L229" s="4" t="inlineStr">
        <is>
          <t>YUSEN LOGISTICS (THAILAND) CO., LTD.</t>
        </is>
      </c>
      <c r="M229" s="4" t="inlineStr">
        <is>
          <t>COSMOS BREWERY (THAILAND) CO.,LTD.</t>
        </is>
      </c>
      <c r="N229" s="4" t="inlineStr">
        <is>
          <t xml:space="preserve">BOTTLED CHANG BEER </t>
        </is>
      </c>
      <c r="O229" s="4" t="inlineStr">
        <is>
          <t>REQ. GOOD, CLEAN &amp; DRY GRADE A CONTAINER. PLEASE DO NOT CHANGE VESSEL AND PAPERLESS CODE</t>
        </is>
      </c>
      <c r="P229" s="4" t="inlineStr">
        <is>
          <t>Pickup : 2026-09-26, Return : 2026-09-27</t>
        </is>
      </c>
      <c r="Q229" s="4" t="n">
        <v>1</v>
      </c>
      <c r="R229" s="4" t="n">
        <v>0</v>
      </c>
      <c r="S229" s="4" t="n">
        <v>0</v>
      </c>
      <c r="T229" s="4" t="n">
        <v>0</v>
      </c>
      <c r="U229" s="4" t="n">
        <v>0</v>
      </c>
      <c r="V229" s="4" t="n">
        <v>0</v>
      </c>
      <c r="W229" s="4" t="n">
        <v>0</v>
      </c>
      <c r="X229" s="4" t="n">
        <v>0</v>
      </c>
      <c r="Y229" s="4" t="n">
        <v>0</v>
      </c>
      <c r="Z229" s="4" t="n">
        <v>0</v>
      </c>
      <c r="AA229" s="4" t="n">
        <v>0</v>
      </c>
      <c r="AB229" s="4">
        <f>SUM(Q229:Y229)-Z229</f>
        <v/>
      </c>
      <c r="AC229" s="4">
        <f>IF(I229="","",IF(OR(LEFT(I229,3)="BKK",I229="LCH55"),"BKK",IF(LEFT(I229,3)="LCH","LCH","OTHER")))</f>
        <v/>
      </c>
      <c r="AD229" s="4">
        <f>MAX(0,Q229-MAX(0,Z229))</f>
        <v/>
      </c>
      <c r="AE229" s="4">
        <f>MAX(0,R229-MAX(0,Z229-SUM(Q229:Q229)))</f>
        <v/>
      </c>
      <c r="AF229" s="4">
        <f>MAX(0,S229-MAX(0,Z229-SUM(Q229:R229)))</f>
        <v/>
      </c>
      <c r="AG229" s="4">
        <f>MAX(0,T229-MAX(0,Z229-SUM(Q229:S229)))</f>
        <v/>
      </c>
      <c r="AH229" s="4">
        <f>MAX(0,U229-MAX(0,Z229-SUM(Q229:T229)))</f>
        <v/>
      </c>
      <c r="AI229" s="4">
        <f>MAX(0,V229-MAX(0,Z229-SUM(Q229:U229)))</f>
        <v/>
      </c>
      <c r="AJ229" s="4">
        <f>MAX(0,W229-MAX(0,Z229-SUM(Q229:V229)))</f>
        <v/>
      </c>
      <c r="AK229" s="4">
        <f>MAX(0,X229-MAX(0,Z229-SUM(Q229:W229)))</f>
        <v/>
      </c>
      <c r="AL229" s="4">
        <f>MAX(0,Y229-MAX(0,Z229-SUM(Q229:X229)))</f>
        <v/>
      </c>
    </row>
    <row r="230">
      <c r="A230" s="4" t="inlineStr">
        <is>
          <t>HASLS22260902011</t>
        </is>
      </c>
      <c r="B230" s="4" t="inlineStr">
        <is>
          <t>KJT</t>
        </is>
      </c>
      <c r="C230" s="4" t="inlineStr">
        <is>
          <t>2611N</t>
        </is>
      </c>
      <c r="D230" s="4" t="inlineStr">
        <is>
          <t>202610141800</t>
        </is>
      </c>
      <c r="E230" s="4" t="inlineStr"/>
      <c r="F230" s="4" t="inlineStr">
        <is>
          <t>THBKK</t>
        </is>
      </c>
      <c r="G230" s="4" t="inlineStr">
        <is>
          <t>HKHKG</t>
        </is>
      </c>
      <c r="H230" s="4" t="inlineStr">
        <is>
          <t xml:space="preserve">20'x1 </t>
        </is>
      </c>
      <c r="I230" s="4" t="inlineStr">
        <is>
          <t>BKK27</t>
        </is>
      </c>
      <c r="J230" s="4" t="inlineStr">
        <is>
          <t>B.C. DEPOT CO.,LTD. ( Bang-Na KM.18)</t>
        </is>
      </c>
      <c r="K230" s="4" t="inlineStr">
        <is>
          <t>20261010</t>
        </is>
      </c>
      <c r="L230" s="4" t="inlineStr">
        <is>
          <t>YUSEN LOGISTICS (THAILAND) CO., LTD.</t>
        </is>
      </c>
      <c r="M230" s="4" t="inlineStr">
        <is>
          <t>COSMOS BREWERY (THAILAND) CO.,LTD.</t>
        </is>
      </c>
      <c r="N230" s="4" t="inlineStr">
        <is>
          <t xml:space="preserve">BOTTLED CHANG BEER </t>
        </is>
      </c>
      <c r="O230" s="4" t="inlineStr">
        <is>
          <t>REQ. GOOD, CLEAN &amp; DRY GRADE A CONTAINER. PLEASE DO NOT CHANGE VESSEL AND PAPERLESS CODE</t>
        </is>
      </c>
      <c r="P230" s="4" t="inlineStr">
        <is>
          <t>Pickup : 2026-10-10, Return : 2026-10-12</t>
        </is>
      </c>
      <c r="Q230" s="4" t="n">
        <v>1</v>
      </c>
      <c r="R230" s="4" t="n">
        <v>0</v>
      </c>
      <c r="S230" s="4" t="n">
        <v>0</v>
      </c>
      <c r="T230" s="4" t="n">
        <v>0</v>
      </c>
      <c r="U230" s="4" t="n">
        <v>0</v>
      </c>
      <c r="V230" s="4" t="n">
        <v>0</v>
      </c>
      <c r="W230" s="4" t="n">
        <v>0</v>
      </c>
      <c r="X230" s="4" t="n">
        <v>0</v>
      </c>
      <c r="Y230" s="4" t="n">
        <v>0</v>
      </c>
      <c r="Z230" s="4" t="n">
        <v>0</v>
      </c>
      <c r="AA230" s="4" t="n">
        <v>0</v>
      </c>
      <c r="AB230" s="4">
        <f>SUM(Q230:Y230)-Z230</f>
        <v/>
      </c>
      <c r="AC230" s="4">
        <f>IF(I230="","",IF(OR(LEFT(I230,3)="BKK",I230="LCH55"),"BKK",IF(LEFT(I230,3)="LCH","LCH","OTHER")))</f>
        <v/>
      </c>
      <c r="AD230" s="4">
        <f>MAX(0,Q230-MAX(0,Z230))</f>
        <v/>
      </c>
      <c r="AE230" s="4">
        <f>MAX(0,R230-MAX(0,Z230-SUM(Q230:Q230)))</f>
        <v/>
      </c>
      <c r="AF230" s="4">
        <f>MAX(0,S230-MAX(0,Z230-SUM(Q230:R230)))</f>
        <v/>
      </c>
      <c r="AG230" s="4">
        <f>MAX(0,T230-MAX(0,Z230-SUM(Q230:S230)))</f>
        <v/>
      </c>
      <c r="AH230" s="4">
        <f>MAX(0,U230-MAX(0,Z230-SUM(Q230:T230)))</f>
        <v/>
      </c>
      <c r="AI230" s="4">
        <f>MAX(0,V230-MAX(0,Z230-SUM(Q230:U230)))</f>
        <v/>
      </c>
      <c r="AJ230" s="4">
        <f>MAX(0,W230-MAX(0,Z230-SUM(Q230:V230)))</f>
        <v/>
      </c>
      <c r="AK230" s="4">
        <f>MAX(0,X230-MAX(0,Z230-SUM(Q230:W230)))</f>
        <v/>
      </c>
      <c r="AL230" s="4">
        <f>MAX(0,Y230-MAX(0,Z230-SUM(Q230:X230)))</f>
        <v/>
      </c>
    </row>
    <row r="231">
      <c r="A231" s="4" t="inlineStr">
        <is>
          <t>HASLS22260902016</t>
        </is>
      </c>
      <c r="B231" s="4" t="inlineStr">
        <is>
          <t>KJT</t>
        </is>
      </c>
      <c r="C231" s="4" t="inlineStr">
        <is>
          <t>2611N</t>
        </is>
      </c>
      <c r="D231" s="4" t="inlineStr">
        <is>
          <t>202610141800</t>
        </is>
      </c>
      <c r="E231" s="4" t="inlineStr"/>
      <c r="F231" s="4" t="inlineStr">
        <is>
          <t>THBKK</t>
        </is>
      </c>
      <c r="G231" s="4" t="inlineStr">
        <is>
          <t>HKHKG</t>
        </is>
      </c>
      <c r="H231" s="4" t="inlineStr">
        <is>
          <t xml:space="preserve">20'x1 </t>
        </is>
      </c>
      <c r="I231" s="4" t="inlineStr">
        <is>
          <t>BKK27</t>
        </is>
      </c>
      <c r="J231" s="4" t="inlineStr">
        <is>
          <t>B.C. DEPOT CO.,LTD. ( Bang-Na KM.18)</t>
        </is>
      </c>
      <c r="K231" s="4" t="inlineStr">
        <is>
          <t>20261010</t>
        </is>
      </c>
      <c r="L231" s="4" t="inlineStr">
        <is>
          <t>YUSEN LOGISTICS (THAILAND) CO., LTD.</t>
        </is>
      </c>
      <c r="M231" s="4" t="inlineStr">
        <is>
          <t>COSMOS BREWERY (THAILAND) CO.,LTD.</t>
        </is>
      </c>
      <c r="N231" s="4" t="inlineStr">
        <is>
          <t xml:space="preserve">CANNED CHANG BEER </t>
        </is>
      </c>
      <c r="O231" s="4" t="inlineStr">
        <is>
          <t>REQ. GOOD, CLEAN &amp; DRY GRADE A CONTAINER. PLEASE DO NOT CHANGE VESSEL AND PAPERLESS CODE</t>
        </is>
      </c>
      <c r="P231" s="4" t="inlineStr">
        <is>
          <t>Pickup : 2026-10-10, Return : 2026-10-12</t>
        </is>
      </c>
      <c r="Q231" s="4" t="n">
        <v>1</v>
      </c>
      <c r="R231" s="4" t="n">
        <v>0</v>
      </c>
      <c r="S231" s="4" t="n">
        <v>0</v>
      </c>
      <c r="T231" s="4" t="n">
        <v>0</v>
      </c>
      <c r="U231" s="4" t="n">
        <v>0</v>
      </c>
      <c r="V231" s="4" t="n">
        <v>0</v>
      </c>
      <c r="W231" s="4" t="n">
        <v>0</v>
      </c>
      <c r="X231" s="4" t="n">
        <v>0</v>
      </c>
      <c r="Y231" s="4" t="n">
        <v>0</v>
      </c>
      <c r="Z231" s="4" t="n">
        <v>0</v>
      </c>
      <c r="AA231" s="4" t="n">
        <v>0</v>
      </c>
      <c r="AB231" s="4">
        <f>SUM(Q231:Y231)-Z231</f>
        <v/>
      </c>
      <c r="AC231" s="4">
        <f>IF(I231="","",IF(OR(LEFT(I231,3)="BKK",I231="LCH55"),"BKK",IF(LEFT(I231,3)="LCH","LCH","OTHER")))</f>
        <v/>
      </c>
      <c r="AD231" s="4">
        <f>MAX(0,Q231-MAX(0,Z231))</f>
        <v/>
      </c>
      <c r="AE231" s="4">
        <f>MAX(0,R231-MAX(0,Z231-SUM(Q231:Q231)))</f>
        <v/>
      </c>
      <c r="AF231" s="4">
        <f>MAX(0,S231-MAX(0,Z231-SUM(Q231:R231)))</f>
        <v/>
      </c>
      <c r="AG231" s="4">
        <f>MAX(0,T231-MAX(0,Z231-SUM(Q231:S231)))</f>
        <v/>
      </c>
      <c r="AH231" s="4">
        <f>MAX(0,U231-MAX(0,Z231-SUM(Q231:T231)))</f>
        <v/>
      </c>
      <c r="AI231" s="4">
        <f>MAX(0,V231-MAX(0,Z231-SUM(Q231:U231)))</f>
        <v/>
      </c>
      <c r="AJ231" s="4">
        <f>MAX(0,W231-MAX(0,Z231-SUM(Q231:V231)))</f>
        <v/>
      </c>
      <c r="AK231" s="4">
        <f>MAX(0,X231-MAX(0,Z231-SUM(Q231:W231)))</f>
        <v/>
      </c>
      <c r="AL231" s="4">
        <f>MAX(0,Y231-MAX(0,Z231-SUM(Q231:X231)))</f>
        <v/>
      </c>
    </row>
    <row r="232">
      <c r="A232" s="4" t="inlineStr">
        <is>
          <t>HASLS22260902019</t>
        </is>
      </c>
      <c r="B232" s="4" t="inlineStr">
        <is>
          <t>SWAT</t>
        </is>
      </c>
      <c r="C232" s="4" t="inlineStr">
        <is>
          <t>2610N</t>
        </is>
      </c>
      <c r="D232" s="4" t="inlineStr">
        <is>
          <t>202610071700</t>
        </is>
      </c>
      <c r="E232" s="4" t="inlineStr"/>
      <c r="F232" s="4" t="inlineStr">
        <is>
          <t>THBKK</t>
        </is>
      </c>
      <c r="G232" s="4" t="inlineStr">
        <is>
          <t>HKHKG</t>
        </is>
      </c>
      <c r="H232" s="4" t="inlineStr">
        <is>
          <t xml:space="preserve">20'x1 </t>
        </is>
      </c>
      <c r="I232" s="4" t="inlineStr">
        <is>
          <t>BKK27</t>
        </is>
      </c>
      <c r="J232" s="4" t="inlineStr">
        <is>
          <t>B.C. DEPOT CO.,LTD. ( Bang-Na KM.18)</t>
        </is>
      </c>
      <c r="K232" s="4" t="inlineStr">
        <is>
          <t>20261002</t>
        </is>
      </c>
      <c r="L232" s="4" t="inlineStr">
        <is>
          <t>VICTOR RICHER TRANS CO., LTD.</t>
        </is>
      </c>
      <c r="M232" s="4" t="inlineStr">
        <is>
          <t>M PLUS COMMERCIAL CO., LTD.</t>
        </is>
      </c>
      <c r="N232" s="4" t="inlineStr">
        <is>
          <t>PRINTER</t>
        </is>
      </c>
      <c r="O232" s="4" t="inlineStr">
        <is>
          <t>GOOD AND CLEAN CONTAINER</t>
        </is>
      </c>
      <c r="P232" s="4" t="inlineStr">
        <is>
          <t>Pickup : 2026-10-02, Return : 2026-10-02</t>
        </is>
      </c>
      <c r="Q232" s="4" t="n">
        <v>1</v>
      </c>
      <c r="R232" s="4" t="n">
        <v>0</v>
      </c>
      <c r="S232" s="4" t="n">
        <v>0</v>
      </c>
      <c r="T232" s="4" t="n">
        <v>0</v>
      </c>
      <c r="U232" s="4" t="n">
        <v>0</v>
      </c>
      <c r="V232" s="4" t="n">
        <v>0</v>
      </c>
      <c r="W232" s="4" t="n">
        <v>0</v>
      </c>
      <c r="X232" s="4" t="n">
        <v>0</v>
      </c>
      <c r="Y232" s="4" t="n">
        <v>0</v>
      </c>
      <c r="Z232" s="4" t="n">
        <v>0</v>
      </c>
      <c r="AA232" s="4" t="n">
        <v>0</v>
      </c>
      <c r="AB232" s="4">
        <f>SUM(Q232:Y232)-Z232</f>
        <v/>
      </c>
      <c r="AC232" s="4">
        <f>IF(I232="","",IF(OR(LEFT(I232,3)="BKK",I232="LCH55"),"BKK",IF(LEFT(I232,3)="LCH","LCH","OTHER")))</f>
        <v/>
      </c>
      <c r="AD232" s="4">
        <f>MAX(0,Q232-MAX(0,Z232))</f>
        <v/>
      </c>
      <c r="AE232" s="4">
        <f>MAX(0,R232-MAX(0,Z232-SUM(Q232:Q232)))</f>
        <v/>
      </c>
      <c r="AF232" s="4">
        <f>MAX(0,S232-MAX(0,Z232-SUM(Q232:R232)))</f>
        <v/>
      </c>
      <c r="AG232" s="4">
        <f>MAX(0,T232-MAX(0,Z232-SUM(Q232:S232)))</f>
        <v/>
      </c>
      <c r="AH232" s="4">
        <f>MAX(0,U232-MAX(0,Z232-SUM(Q232:T232)))</f>
        <v/>
      </c>
      <c r="AI232" s="4">
        <f>MAX(0,V232-MAX(0,Z232-SUM(Q232:U232)))</f>
        <v/>
      </c>
      <c r="AJ232" s="4">
        <f>MAX(0,W232-MAX(0,Z232-SUM(Q232:V232)))</f>
        <v/>
      </c>
      <c r="AK232" s="4">
        <f>MAX(0,X232-MAX(0,Z232-SUM(Q232:W232)))</f>
        <v/>
      </c>
      <c r="AL232" s="4">
        <f>MAX(0,Y232-MAX(0,Z232-SUM(Q232:X232)))</f>
        <v/>
      </c>
    </row>
    <row r="233">
      <c r="A233" s="4" t="inlineStr">
        <is>
          <t>HASLS22260902021</t>
        </is>
      </c>
      <c r="B233" s="4" t="inlineStr">
        <is>
          <t>KMBK</t>
        </is>
      </c>
      <c r="C233" s="4" t="inlineStr">
        <is>
          <t>2611N</t>
        </is>
      </c>
      <c r="D233" s="4" t="inlineStr">
        <is>
          <t>202610030900</t>
        </is>
      </c>
      <c r="E233" s="4" t="inlineStr"/>
      <c r="F233" s="4" t="inlineStr">
        <is>
          <t>THBKK</t>
        </is>
      </c>
      <c r="G233" s="4" t="inlineStr">
        <is>
          <t>VNSGN</t>
        </is>
      </c>
      <c r="H233" s="4" t="inlineStr">
        <is>
          <t xml:space="preserve">40Hx1 </t>
        </is>
      </c>
      <c r="I233" s="4" t="inlineStr">
        <is>
          <t>BKK27</t>
        </is>
      </c>
      <c r="J233" s="4" t="inlineStr">
        <is>
          <t>B.C. DEPOT CO.,LTD. ( Bang-Na KM.18)</t>
        </is>
      </c>
      <c r="K233" s="4" t="inlineStr">
        <is>
          <t>20260929</t>
        </is>
      </c>
      <c r="L233" s="4" t="inlineStr">
        <is>
          <t>OASIS LOGISTICS CO., LTD.</t>
        </is>
      </c>
      <c r="M233" s="4" t="inlineStr">
        <is>
          <t>MJ EX-IM COMPANY LIMITED</t>
        </is>
      </c>
      <c r="N233" s="4" t="inlineStr">
        <is>
          <t>CANDY</t>
        </is>
      </c>
      <c r="O233" s="4" t="inlineStr">
        <is>
          <t>request good and clean container</t>
        </is>
      </c>
      <c r="P233" s="4" t="inlineStr">
        <is>
          <t>Pickup : 2026-09-29, Return : 2026-09-29</t>
        </is>
      </c>
      <c r="Q233" s="4" t="n">
        <v>0</v>
      </c>
      <c r="R233" s="4" t="n">
        <v>0</v>
      </c>
      <c r="S233" s="4" t="n">
        <v>1</v>
      </c>
      <c r="T233" s="4" t="n">
        <v>0</v>
      </c>
      <c r="U233" s="4" t="n">
        <v>0</v>
      </c>
      <c r="V233" s="4" t="n">
        <v>0</v>
      </c>
      <c r="W233" s="4" t="n">
        <v>0</v>
      </c>
      <c r="X233" s="4" t="n">
        <v>0</v>
      </c>
      <c r="Y233" s="4" t="n">
        <v>0</v>
      </c>
      <c r="Z233" s="4" t="n">
        <v>0</v>
      </c>
      <c r="AA233" s="4" t="n">
        <v>0</v>
      </c>
      <c r="AB233" s="4">
        <f>SUM(Q233:Y233)-Z233</f>
        <v/>
      </c>
      <c r="AC233" s="4">
        <f>IF(I233="","",IF(OR(LEFT(I233,3)="BKK",I233="LCH55"),"BKK",IF(LEFT(I233,3)="LCH","LCH","OTHER")))</f>
        <v/>
      </c>
      <c r="AD233" s="4">
        <f>MAX(0,Q233-MAX(0,Z233))</f>
        <v/>
      </c>
      <c r="AE233" s="4">
        <f>MAX(0,R233-MAX(0,Z233-SUM(Q233:Q233)))</f>
        <v/>
      </c>
      <c r="AF233" s="4">
        <f>MAX(0,S233-MAX(0,Z233-SUM(Q233:R233)))</f>
        <v/>
      </c>
      <c r="AG233" s="4">
        <f>MAX(0,T233-MAX(0,Z233-SUM(Q233:S233)))</f>
        <v/>
      </c>
      <c r="AH233" s="4">
        <f>MAX(0,U233-MAX(0,Z233-SUM(Q233:T233)))</f>
        <v/>
      </c>
      <c r="AI233" s="4">
        <f>MAX(0,V233-MAX(0,Z233-SUM(Q233:U233)))</f>
        <v/>
      </c>
      <c r="AJ233" s="4">
        <f>MAX(0,W233-MAX(0,Z233-SUM(Q233:V233)))</f>
        <v/>
      </c>
      <c r="AK233" s="4">
        <f>MAX(0,X233-MAX(0,Z233-SUM(Q233:W233)))</f>
        <v/>
      </c>
      <c r="AL233" s="4">
        <f>MAX(0,Y233-MAX(0,Z233-SUM(Q233:X233)))</f>
        <v/>
      </c>
    </row>
    <row r="234">
      <c r="A234" s="4" t="inlineStr">
        <is>
          <t>HASLS22260902031</t>
        </is>
      </c>
      <c r="B234" s="4" t="inlineStr">
        <is>
          <t>KMBK</t>
        </is>
      </c>
      <c r="C234" s="4" t="inlineStr">
        <is>
          <t>2611N</t>
        </is>
      </c>
      <c r="D234" s="4" t="inlineStr">
        <is>
          <t>202610030900</t>
        </is>
      </c>
      <c r="E234" s="4" t="inlineStr"/>
      <c r="F234" s="4" t="inlineStr">
        <is>
          <t>THBKK</t>
        </is>
      </c>
      <c r="G234" s="4" t="inlineStr">
        <is>
          <t>VNSGN</t>
        </is>
      </c>
      <c r="H234" s="4" t="inlineStr">
        <is>
          <t xml:space="preserve">R40Hx4 </t>
        </is>
      </c>
      <c r="I234" s="4" t="inlineStr">
        <is>
          <t>BKK27</t>
        </is>
      </c>
      <c r="J234" s="4" t="inlineStr">
        <is>
          <t>B.C. DEPOT CO.,LTD. ( Bang-Na KM.18)</t>
        </is>
      </c>
      <c r="K234" s="4" t="inlineStr">
        <is>
          <t>20260929</t>
        </is>
      </c>
      <c r="L234" s="4" t="inlineStr">
        <is>
          <t>ASIA ATLANTIC LINENER COMPANY LIMITED.</t>
        </is>
      </c>
      <c r="M234" s="4" t="inlineStr">
        <is>
          <t>CPS WAREHOUSE COMPANY LIMITED</t>
        </is>
      </c>
      <c r="N234" s="4" t="inlineStr">
        <is>
          <t>TAMARIND</t>
        </is>
      </c>
      <c r="O234" s="4" t="inlineStr">
        <is>
          <t>RF45REx4 (Temp +2.0℃ / Vent 30% Open)</t>
        </is>
      </c>
      <c r="P234" s="4" t="inlineStr">
        <is>
          <t xml:space="preserve">Pickup : 2026-09-29, Return : 2026-09-30 RF45REx4 (Temp +2.0 / Vent 30% Open) 
CLS TIME : 01/10/2026 @18.00 </t>
        </is>
      </c>
      <c r="Q234" s="4" t="n">
        <v>0</v>
      </c>
      <c r="R234" s="4" t="n">
        <v>0</v>
      </c>
      <c r="S234" s="4" t="n">
        <v>0</v>
      </c>
      <c r="T234" s="4" t="n">
        <v>0</v>
      </c>
      <c r="U234" s="4" t="n">
        <v>4</v>
      </c>
      <c r="V234" s="4" t="n">
        <v>0</v>
      </c>
      <c r="W234" s="4" t="n">
        <v>0</v>
      </c>
      <c r="X234" s="4" t="n">
        <v>0</v>
      </c>
      <c r="Y234" s="4" t="n">
        <v>0</v>
      </c>
      <c r="Z234" s="4" t="n">
        <v>0</v>
      </c>
      <c r="AA234" s="4" t="n">
        <v>0</v>
      </c>
      <c r="AB234" s="4">
        <f>SUM(Q234:Y234)-Z234</f>
        <v/>
      </c>
      <c r="AC234" s="4">
        <f>IF(I234="","",IF(OR(LEFT(I234,3)="BKK",I234="LCH55"),"BKK",IF(LEFT(I234,3)="LCH","LCH","OTHER")))</f>
        <v/>
      </c>
      <c r="AD234" s="4">
        <f>MAX(0,Q234-MAX(0,Z234))</f>
        <v/>
      </c>
      <c r="AE234" s="4">
        <f>MAX(0,R234-MAX(0,Z234-SUM(Q234:Q234)))</f>
        <v/>
      </c>
      <c r="AF234" s="4">
        <f>MAX(0,S234-MAX(0,Z234-SUM(Q234:R234)))</f>
        <v/>
      </c>
      <c r="AG234" s="4">
        <f>MAX(0,T234-MAX(0,Z234-SUM(Q234:S234)))</f>
        <v/>
      </c>
      <c r="AH234" s="4">
        <f>MAX(0,U234-MAX(0,Z234-SUM(Q234:T234)))</f>
        <v/>
      </c>
      <c r="AI234" s="4">
        <f>MAX(0,V234-MAX(0,Z234-SUM(Q234:U234)))</f>
        <v/>
      </c>
      <c r="AJ234" s="4">
        <f>MAX(0,W234-MAX(0,Z234-SUM(Q234:V234)))</f>
        <v/>
      </c>
      <c r="AK234" s="4">
        <f>MAX(0,X234-MAX(0,Z234-SUM(Q234:W234)))</f>
        <v/>
      </c>
      <c r="AL234" s="4">
        <f>MAX(0,Y234-MAX(0,Z234-SUM(Q234:X234)))</f>
        <v/>
      </c>
    </row>
    <row r="235">
      <c r="A235" s="4" t="inlineStr">
        <is>
          <t>HASLS22260902038</t>
        </is>
      </c>
      <c r="B235" s="4" t="inlineStr">
        <is>
          <t>SWIC</t>
        </is>
      </c>
      <c r="C235" s="4" t="inlineStr">
        <is>
          <t>2611N</t>
        </is>
      </c>
      <c r="D235" s="4" t="inlineStr">
        <is>
          <t>202610130700</t>
        </is>
      </c>
      <c r="E235" s="4" t="inlineStr"/>
      <c r="F235" s="4" t="inlineStr">
        <is>
          <t>THBKK</t>
        </is>
      </c>
      <c r="G235" s="4" t="inlineStr">
        <is>
          <t>VNSGN</t>
        </is>
      </c>
      <c r="H235" s="4" t="inlineStr">
        <is>
          <t xml:space="preserve">40Hx1 </t>
        </is>
      </c>
      <c r="I235" s="4" t="inlineStr">
        <is>
          <t>BKK27</t>
        </is>
      </c>
      <c r="J235" s="4" t="inlineStr">
        <is>
          <t>B.C. DEPOT CO.,LTD. ( Bang-Na KM.18)</t>
        </is>
      </c>
      <c r="K235" s="4" t="inlineStr">
        <is>
          <t>20261009</t>
        </is>
      </c>
      <c r="L235" s="4" t="inlineStr">
        <is>
          <t>NIMBLE LOGISTICS CO., LTD.</t>
        </is>
      </c>
      <c r="M235" s="4" t="inlineStr">
        <is>
          <t>WELLGROW GLASS INDUSTRY CO., LTD.</t>
        </is>
      </c>
      <c r="N235" s="4" t="inlineStr">
        <is>
          <t>GLASS BOTTLE</t>
        </is>
      </c>
      <c r="O235" s="4" t="inlineStr">
        <is>
          <t>GOOD AND CLEAN CONTAINER</t>
        </is>
      </c>
      <c r="P235" s="4" t="inlineStr">
        <is>
          <t>Pickup : 2026-10-09, Return : 2026-10-10</t>
        </is>
      </c>
      <c r="Q235" s="4" t="n">
        <v>0</v>
      </c>
      <c r="R235" s="4" t="n">
        <v>0</v>
      </c>
      <c r="S235" s="4" t="n">
        <v>1</v>
      </c>
      <c r="T235" s="4" t="n">
        <v>0</v>
      </c>
      <c r="U235" s="4" t="n">
        <v>0</v>
      </c>
      <c r="V235" s="4" t="n">
        <v>0</v>
      </c>
      <c r="W235" s="4" t="n">
        <v>0</v>
      </c>
      <c r="X235" s="4" t="n">
        <v>0</v>
      </c>
      <c r="Y235" s="4" t="n">
        <v>0</v>
      </c>
      <c r="Z235" s="4" t="n">
        <v>0</v>
      </c>
      <c r="AA235" s="4" t="n">
        <v>0</v>
      </c>
      <c r="AB235" s="4">
        <f>SUM(Q235:Y235)-Z235</f>
        <v/>
      </c>
      <c r="AC235" s="4">
        <f>IF(I235="","",IF(OR(LEFT(I235,3)="BKK",I235="LCH55"),"BKK",IF(LEFT(I235,3)="LCH","LCH","OTHER")))</f>
        <v/>
      </c>
      <c r="AD235" s="4">
        <f>MAX(0,Q235-MAX(0,Z235))</f>
        <v/>
      </c>
      <c r="AE235" s="4">
        <f>MAX(0,R235-MAX(0,Z235-SUM(Q235:Q235)))</f>
        <v/>
      </c>
      <c r="AF235" s="4">
        <f>MAX(0,S235-MAX(0,Z235-SUM(Q235:R235)))</f>
        <v/>
      </c>
      <c r="AG235" s="4">
        <f>MAX(0,T235-MAX(0,Z235-SUM(Q235:S235)))</f>
        <v/>
      </c>
      <c r="AH235" s="4">
        <f>MAX(0,U235-MAX(0,Z235-SUM(Q235:T235)))</f>
        <v/>
      </c>
      <c r="AI235" s="4">
        <f>MAX(0,V235-MAX(0,Z235-SUM(Q235:U235)))</f>
        <v/>
      </c>
      <c r="AJ235" s="4">
        <f>MAX(0,W235-MAX(0,Z235-SUM(Q235:V235)))</f>
        <v/>
      </c>
      <c r="AK235" s="4">
        <f>MAX(0,X235-MAX(0,Z235-SUM(Q235:W235)))</f>
        <v/>
      </c>
      <c r="AL235" s="4">
        <f>MAX(0,Y235-MAX(0,Z235-SUM(Q235:X235)))</f>
        <v/>
      </c>
    </row>
    <row r="236">
      <c r="A236" s="4" t="inlineStr">
        <is>
          <t>HASLS22260902041</t>
        </is>
      </c>
      <c r="B236" s="4" t="inlineStr">
        <is>
          <t>KUS</t>
        </is>
      </c>
      <c r="C236" s="4" t="inlineStr">
        <is>
          <t>2616N</t>
        </is>
      </c>
      <c r="D236" s="4" t="inlineStr">
        <is>
          <t>202610141100</t>
        </is>
      </c>
      <c r="E236" s="4" t="inlineStr"/>
      <c r="F236" s="4" t="inlineStr">
        <is>
          <t>THBKK</t>
        </is>
      </c>
      <c r="G236" s="4" t="inlineStr">
        <is>
          <t>KRINC</t>
        </is>
      </c>
      <c r="H236" s="4" t="inlineStr">
        <is>
          <t xml:space="preserve">20'x1 </t>
        </is>
      </c>
      <c r="I236" s="4" t="inlineStr">
        <is>
          <t>BKK27</t>
        </is>
      </c>
      <c r="J236" s="4" t="inlineStr">
        <is>
          <t>B.C. DEPOT CO.,LTD. ( Bang-Na KM.18)</t>
        </is>
      </c>
      <c r="K236" s="4" t="inlineStr">
        <is>
          <t>20261008</t>
        </is>
      </c>
      <c r="L236" s="4" t="inlineStr">
        <is>
          <t>CELESTIAL XPRESS LOGISTICS (THAILAND) CO., LTD.</t>
        </is>
      </c>
      <c r="M236" s="4" t="inlineStr">
        <is>
          <t>UNICORD PUBLIC COMPANY LIMITED</t>
        </is>
      </c>
      <c r="N236" s="4" t="inlineStr">
        <is>
          <t>PET FOOD</t>
        </is>
      </c>
      <c r="O236" s="4" t="inlineStr">
        <is>
          <t>GOOD AND CLEAN CONTAINER</t>
        </is>
      </c>
      <c r="P236" s="4" t="inlineStr">
        <is>
          <t>Pickup : 2026-10-08, Return : 2026-10-09</t>
        </is>
      </c>
      <c r="Q236" s="4" t="n">
        <v>1</v>
      </c>
      <c r="R236" s="4" t="n">
        <v>0</v>
      </c>
      <c r="S236" s="4" t="n">
        <v>0</v>
      </c>
      <c r="T236" s="4" t="n">
        <v>0</v>
      </c>
      <c r="U236" s="4" t="n">
        <v>0</v>
      </c>
      <c r="V236" s="4" t="n">
        <v>0</v>
      </c>
      <c r="W236" s="4" t="n">
        <v>0</v>
      </c>
      <c r="X236" s="4" t="n">
        <v>0</v>
      </c>
      <c r="Y236" s="4" t="n">
        <v>0</v>
      </c>
      <c r="Z236" s="4" t="n">
        <v>0</v>
      </c>
      <c r="AA236" s="4" t="n">
        <v>0</v>
      </c>
      <c r="AB236" s="4">
        <f>SUM(Q236:Y236)-Z236</f>
        <v/>
      </c>
      <c r="AC236" s="4">
        <f>IF(I236="","",IF(OR(LEFT(I236,3)="BKK",I236="LCH55"),"BKK",IF(LEFT(I236,3)="LCH","LCH","OTHER")))</f>
        <v/>
      </c>
      <c r="AD236" s="4">
        <f>MAX(0,Q236-MAX(0,Z236))</f>
        <v/>
      </c>
      <c r="AE236" s="4">
        <f>MAX(0,R236-MAX(0,Z236-SUM(Q236:Q236)))</f>
        <v/>
      </c>
      <c r="AF236" s="4">
        <f>MAX(0,S236-MAX(0,Z236-SUM(Q236:R236)))</f>
        <v/>
      </c>
      <c r="AG236" s="4">
        <f>MAX(0,T236-MAX(0,Z236-SUM(Q236:S236)))</f>
        <v/>
      </c>
      <c r="AH236" s="4">
        <f>MAX(0,U236-MAX(0,Z236-SUM(Q236:T236)))</f>
        <v/>
      </c>
      <c r="AI236" s="4">
        <f>MAX(0,V236-MAX(0,Z236-SUM(Q236:U236)))</f>
        <v/>
      </c>
      <c r="AJ236" s="4">
        <f>MAX(0,W236-MAX(0,Z236-SUM(Q236:V236)))</f>
        <v/>
      </c>
      <c r="AK236" s="4">
        <f>MAX(0,X236-MAX(0,Z236-SUM(Q236:W236)))</f>
        <v/>
      </c>
      <c r="AL236" s="4">
        <f>MAX(0,Y236-MAX(0,Z236-SUM(Q236:X236)))</f>
        <v/>
      </c>
    </row>
    <row r="237">
      <c r="A237" s="4" t="inlineStr">
        <is>
          <t>HASLS22260902045</t>
        </is>
      </c>
      <c r="B237" s="4" t="inlineStr">
        <is>
          <t>SWSR</t>
        </is>
      </c>
      <c r="C237" s="4" t="inlineStr">
        <is>
          <t>2611N</t>
        </is>
      </c>
      <c r="D237" s="4" t="inlineStr">
        <is>
          <t>202610110900</t>
        </is>
      </c>
      <c r="E237" s="4" t="inlineStr"/>
      <c r="F237" s="4" t="inlineStr">
        <is>
          <t>THBKK</t>
        </is>
      </c>
      <c r="G237" s="4" t="inlineStr">
        <is>
          <t>HKHKG</t>
        </is>
      </c>
      <c r="H237" s="4" t="inlineStr">
        <is>
          <t xml:space="preserve">20'x1 </t>
        </is>
      </c>
      <c r="I237" s="4" t="inlineStr">
        <is>
          <t>BKK27</t>
        </is>
      </c>
      <c r="J237" s="4" t="inlineStr">
        <is>
          <t>B.C. DEPOT CO.,LTD. ( Bang-Na KM.18)</t>
        </is>
      </c>
      <c r="K237" s="4" t="inlineStr">
        <is>
          <t>20261005</t>
        </is>
      </c>
      <c r="L237" s="4" t="inlineStr">
        <is>
          <t>UNITED MARINE LOGISTIC CO., LTD.</t>
        </is>
      </c>
      <c r="M237" s="4" t="inlineStr">
        <is>
          <t>ASIA MART EXPORT CO., LTD.</t>
        </is>
      </c>
      <c r="N237" s="4" t="inlineStr">
        <is>
          <t xml:space="preserve">SNACK </t>
        </is>
      </c>
      <c r="O237" s="4" t="inlineStr">
        <is>
          <t>GOOD AND CLEAN CONTAINER</t>
        </is>
      </c>
      <c r="P237" s="4" t="inlineStr">
        <is>
          <t>Pickup : 2026-10-05, Return : 2026-10-05 (1ST RETURN 06/10 W/O  RENT)</t>
        </is>
      </c>
      <c r="Q237" s="4" t="n">
        <v>1</v>
      </c>
      <c r="R237" s="4" t="n">
        <v>0</v>
      </c>
      <c r="S237" s="4" t="n">
        <v>0</v>
      </c>
      <c r="T237" s="4" t="n">
        <v>0</v>
      </c>
      <c r="U237" s="4" t="n">
        <v>0</v>
      </c>
      <c r="V237" s="4" t="n">
        <v>0</v>
      </c>
      <c r="W237" s="4" t="n">
        <v>0</v>
      </c>
      <c r="X237" s="4" t="n">
        <v>0</v>
      </c>
      <c r="Y237" s="4" t="n">
        <v>0</v>
      </c>
      <c r="Z237" s="4" t="n">
        <v>0</v>
      </c>
      <c r="AA237" s="4" t="n">
        <v>0</v>
      </c>
      <c r="AB237" s="4">
        <f>SUM(Q237:Y237)-Z237</f>
        <v/>
      </c>
      <c r="AC237" s="4">
        <f>IF(I237="","",IF(OR(LEFT(I237,3)="BKK",I237="LCH55"),"BKK",IF(LEFT(I237,3)="LCH","LCH","OTHER")))</f>
        <v/>
      </c>
      <c r="AD237" s="4">
        <f>MAX(0,Q237-MAX(0,Z237))</f>
        <v/>
      </c>
      <c r="AE237" s="4">
        <f>MAX(0,R237-MAX(0,Z237-SUM(Q237:Q237)))</f>
        <v/>
      </c>
      <c r="AF237" s="4">
        <f>MAX(0,S237-MAX(0,Z237-SUM(Q237:R237)))</f>
        <v/>
      </c>
      <c r="AG237" s="4">
        <f>MAX(0,T237-MAX(0,Z237-SUM(Q237:S237)))</f>
        <v/>
      </c>
      <c r="AH237" s="4">
        <f>MAX(0,U237-MAX(0,Z237-SUM(Q237:T237)))</f>
        <v/>
      </c>
      <c r="AI237" s="4">
        <f>MAX(0,V237-MAX(0,Z237-SUM(Q237:U237)))</f>
        <v/>
      </c>
      <c r="AJ237" s="4">
        <f>MAX(0,W237-MAX(0,Z237-SUM(Q237:V237)))</f>
        <v/>
      </c>
      <c r="AK237" s="4">
        <f>MAX(0,X237-MAX(0,Z237-SUM(Q237:W237)))</f>
        <v/>
      </c>
      <c r="AL237" s="4">
        <f>MAX(0,Y237-MAX(0,Z237-SUM(Q237:X237)))</f>
        <v/>
      </c>
    </row>
    <row r="238">
      <c r="A238" s="4" t="inlineStr">
        <is>
          <t>HASLS22260902065</t>
        </is>
      </c>
      <c r="B238" s="4" t="inlineStr">
        <is>
          <t>DJCF</t>
        </is>
      </c>
      <c r="C238" s="4" t="inlineStr">
        <is>
          <t>0152N</t>
        </is>
      </c>
      <c r="D238" s="4" t="inlineStr">
        <is>
          <t>202610111000</t>
        </is>
      </c>
      <c r="E238" s="4" t="inlineStr"/>
      <c r="F238" s="4" t="inlineStr">
        <is>
          <t>THBKK</t>
        </is>
      </c>
      <c r="G238" s="4" t="inlineStr">
        <is>
          <t>KRINC</t>
        </is>
      </c>
      <c r="H238" s="4" t="inlineStr">
        <is>
          <t xml:space="preserve">20'x1 </t>
        </is>
      </c>
      <c r="I238" s="4" t="inlineStr">
        <is>
          <t>BKK27</t>
        </is>
      </c>
      <c r="J238" s="4" t="inlineStr">
        <is>
          <t>B.C. DEPOT CO.,LTD. ( Bang-Na KM.18)</t>
        </is>
      </c>
      <c r="K238" s="4" t="inlineStr">
        <is>
          <t>20261007</t>
        </is>
      </c>
      <c r="L238" s="4" t="inlineStr">
        <is>
          <t>CPS SHIPPING &amp; LOGISTICS CO., LTD.</t>
        </is>
      </c>
      <c r="M238" s="4" t="inlineStr">
        <is>
          <t>THE BEAN LATEX THAL CO.,LTD</t>
        </is>
      </c>
      <c r="N238" s="4" t="inlineStr">
        <is>
          <t>NATURAL LATEX FOAM</t>
        </is>
      </c>
      <c r="O238" s="4" t="inlineStr">
        <is>
          <t>Request container no smell no damage.</t>
        </is>
      </c>
      <c r="P238" s="4" t="inlineStr">
        <is>
          <t>Pickup : 2026-10-07, Return : 2026-10-07</t>
        </is>
      </c>
      <c r="Q238" s="4" t="n">
        <v>1</v>
      </c>
      <c r="R238" s="4" t="n">
        <v>0</v>
      </c>
      <c r="S238" s="4" t="n">
        <v>0</v>
      </c>
      <c r="T238" s="4" t="n">
        <v>0</v>
      </c>
      <c r="U238" s="4" t="n">
        <v>0</v>
      </c>
      <c r="V238" s="4" t="n">
        <v>0</v>
      </c>
      <c r="W238" s="4" t="n">
        <v>0</v>
      </c>
      <c r="X238" s="4" t="n">
        <v>0</v>
      </c>
      <c r="Y238" s="4" t="n">
        <v>0</v>
      </c>
      <c r="Z238" s="4" t="n">
        <v>0</v>
      </c>
      <c r="AA238" s="4" t="n">
        <v>0</v>
      </c>
      <c r="AB238" s="4">
        <f>SUM(Q238:Y238)-Z238</f>
        <v/>
      </c>
      <c r="AC238" s="4">
        <f>IF(I238="","",IF(OR(LEFT(I238,3)="BKK",I238="LCH55"),"BKK",IF(LEFT(I238,3)="LCH","LCH","OTHER")))</f>
        <v/>
      </c>
      <c r="AD238" s="4">
        <f>MAX(0,Q238-MAX(0,Z238))</f>
        <v/>
      </c>
      <c r="AE238" s="4">
        <f>MAX(0,R238-MAX(0,Z238-SUM(Q238:Q238)))</f>
        <v/>
      </c>
      <c r="AF238" s="4">
        <f>MAX(0,S238-MAX(0,Z238-SUM(Q238:R238)))</f>
        <v/>
      </c>
      <c r="AG238" s="4">
        <f>MAX(0,T238-MAX(0,Z238-SUM(Q238:S238)))</f>
        <v/>
      </c>
      <c r="AH238" s="4">
        <f>MAX(0,U238-MAX(0,Z238-SUM(Q238:T238)))</f>
        <v/>
      </c>
      <c r="AI238" s="4">
        <f>MAX(0,V238-MAX(0,Z238-SUM(Q238:U238)))</f>
        <v/>
      </c>
      <c r="AJ238" s="4">
        <f>MAX(0,W238-MAX(0,Z238-SUM(Q238:V238)))</f>
        <v/>
      </c>
      <c r="AK238" s="4">
        <f>MAX(0,X238-MAX(0,Z238-SUM(Q238:W238)))</f>
        <v/>
      </c>
      <c r="AL238" s="4">
        <f>MAX(0,Y238-MAX(0,Z238-SUM(Q238:X238)))</f>
        <v/>
      </c>
    </row>
    <row r="239">
      <c r="A239" s="4" t="inlineStr">
        <is>
          <t>HASLS22260902066</t>
        </is>
      </c>
      <c r="B239" s="4" t="inlineStr">
        <is>
          <t>SWMM</t>
        </is>
      </c>
      <c r="C239" s="4" t="inlineStr">
        <is>
          <t>2610N</t>
        </is>
      </c>
      <c r="D239" s="4" t="inlineStr">
        <is>
          <t>202610210400</t>
        </is>
      </c>
      <c r="E239" s="4" t="inlineStr"/>
      <c r="F239" s="4" t="inlineStr">
        <is>
          <t>THBKK</t>
        </is>
      </c>
      <c r="G239" s="4" t="inlineStr">
        <is>
          <t>VNSGN</t>
        </is>
      </c>
      <c r="H239" s="4" t="inlineStr">
        <is>
          <t xml:space="preserve">40Hx30 </t>
        </is>
      </c>
      <c r="I239" s="4" t="inlineStr">
        <is>
          <t>BKK27</t>
        </is>
      </c>
      <c r="J239" s="4" t="inlineStr">
        <is>
          <t>B.C. DEPOT CO.,LTD. ( Bang-Na KM.18)</t>
        </is>
      </c>
      <c r="K239" s="4" t="inlineStr">
        <is>
          <t>20261014</t>
        </is>
      </c>
      <c r="L239" s="4" t="inlineStr">
        <is>
          <t>METRO PARTICLE CO., LTD.</t>
        </is>
      </c>
      <c r="M239" s="4" t="inlineStr">
        <is>
          <t>METRO PARTICLE CO., LTD.</t>
        </is>
      </c>
      <c r="N239" s="4" t="inlineStr">
        <is>
          <t>PARTICLE BOARD</t>
        </is>
      </c>
      <c r="O239" s="4" t="inlineStr">
        <is>
          <t>RQST CNTR UPGRADE 32.50 TONS</t>
        </is>
      </c>
      <c r="P239" s="4" t="inlineStr">
        <is>
          <t>CY -RTN DD.14/10 -15/10/2026  RQST CNTR UPGRADE 32.50 TONS</t>
        </is>
      </c>
      <c r="Q239" s="4" t="n">
        <v>0</v>
      </c>
      <c r="R239" s="4" t="n">
        <v>0</v>
      </c>
      <c r="S239" s="4" t="n">
        <v>30</v>
      </c>
      <c r="T239" s="4" t="n">
        <v>0</v>
      </c>
      <c r="U239" s="4" t="n">
        <v>0</v>
      </c>
      <c r="V239" s="4" t="n">
        <v>0</v>
      </c>
      <c r="W239" s="4" t="n">
        <v>0</v>
      </c>
      <c r="X239" s="4" t="n">
        <v>0</v>
      </c>
      <c r="Y239" s="4" t="n">
        <v>0</v>
      </c>
      <c r="Z239" s="4" t="n">
        <v>0</v>
      </c>
      <c r="AA239" s="4" t="n">
        <v>0</v>
      </c>
      <c r="AB239" s="4">
        <f>SUM(Q239:Y239)-Z239</f>
        <v/>
      </c>
      <c r="AC239" s="4">
        <f>IF(I239="","",IF(OR(LEFT(I239,3)="BKK",I239="LCH55"),"BKK",IF(LEFT(I239,3)="LCH","LCH","OTHER")))</f>
        <v/>
      </c>
      <c r="AD239" s="4">
        <f>MAX(0,Q239-MAX(0,Z239))</f>
        <v/>
      </c>
      <c r="AE239" s="4">
        <f>MAX(0,R239-MAX(0,Z239-SUM(Q239:Q239)))</f>
        <v/>
      </c>
      <c r="AF239" s="4">
        <f>MAX(0,S239-MAX(0,Z239-SUM(Q239:R239)))</f>
        <v/>
      </c>
      <c r="AG239" s="4">
        <f>MAX(0,T239-MAX(0,Z239-SUM(Q239:S239)))</f>
        <v/>
      </c>
      <c r="AH239" s="4">
        <f>MAX(0,U239-MAX(0,Z239-SUM(Q239:T239)))</f>
        <v/>
      </c>
      <c r="AI239" s="4">
        <f>MAX(0,V239-MAX(0,Z239-SUM(Q239:U239)))</f>
        <v/>
      </c>
      <c r="AJ239" s="4">
        <f>MAX(0,W239-MAX(0,Z239-SUM(Q239:V239)))</f>
        <v/>
      </c>
      <c r="AK239" s="4">
        <f>MAX(0,X239-MAX(0,Z239-SUM(Q239:W239)))</f>
        <v/>
      </c>
      <c r="AL239" s="4">
        <f>MAX(0,Y239-MAX(0,Z239-SUM(Q239:X239)))</f>
        <v/>
      </c>
    </row>
    <row r="240">
      <c r="A240" s="4" t="inlineStr">
        <is>
          <t>HASLS22260902067</t>
        </is>
      </c>
      <c r="B240" s="4" t="inlineStr">
        <is>
          <t>SWDN</t>
        </is>
      </c>
      <c r="C240" s="4" t="inlineStr">
        <is>
          <t>2610N</t>
        </is>
      </c>
      <c r="D240" s="4" t="inlineStr">
        <is>
          <t>202610060900</t>
        </is>
      </c>
      <c r="E240" s="4" t="inlineStr"/>
      <c r="F240" s="4" t="inlineStr">
        <is>
          <t>THBKK</t>
        </is>
      </c>
      <c r="G240" s="4" t="inlineStr">
        <is>
          <t>KRINC</t>
        </is>
      </c>
      <c r="H240" s="4" t="inlineStr">
        <is>
          <t xml:space="preserve">R40Hx1 </t>
        </is>
      </c>
      <c r="I240" s="4" t="inlineStr">
        <is>
          <t>BKK27</t>
        </is>
      </c>
      <c r="J240" s="4" t="inlineStr">
        <is>
          <t>B.C. DEPOT CO.,LTD. ( Bang-Na KM.18)</t>
        </is>
      </c>
      <c r="K240" s="4" t="inlineStr">
        <is>
          <t>20261002</t>
        </is>
      </c>
      <c r="L240" s="4" t="inlineStr">
        <is>
          <t>MJ LOGISTICS (THAILAND) CO., LTD.</t>
        </is>
      </c>
      <c r="M240" s="4" t="inlineStr">
        <is>
          <t>KIBUN (THAILAND) CO., LTD.</t>
        </is>
      </c>
      <c r="N240" s="4" t="inlineStr">
        <is>
          <t>FROZEN IMITATION CRAB MEAT</t>
        </is>
      </c>
      <c r="O240" s="4" t="inlineStr">
        <is>
          <t>(Temp -20.0℃ / Vent Close)</t>
        </is>
      </c>
      <c r="P240" s="4" t="inlineStr">
        <is>
          <t>Pickup : 2026-10-02, Return : 2026-10-03(Temp -20.0 / Vent Close) 
CLS TIME 04/10/26 @23.59</t>
        </is>
      </c>
      <c r="Q240" s="4" t="n">
        <v>0</v>
      </c>
      <c r="R240" s="4" t="n">
        <v>0</v>
      </c>
      <c r="S240" s="4" t="n">
        <v>0</v>
      </c>
      <c r="T240" s="4" t="n">
        <v>0</v>
      </c>
      <c r="U240" s="4" t="n">
        <v>1</v>
      </c>
      <c r="V240" s="4" t="n">
        <v>0</v>
      </c>
      <c r="W240" s="4" t="n">
        <v>0</v>
      </c>
      <c r="X240" s="4" t="n">
        <v>0</v>
      </c>
      <c r="Y240" s="4" t="n">
        <v>0</v>
      </c>
      <c r="Z240" s="4" t="n">
        <v>0</v>
      </c>
      <c r="AA240" s="4" t="n">
        <v>0</v>
      </c>
      <c r="AB240" s="4">
        <f>SUM(Q240:Y240)-Z240</f>
        <v/>
      </c>
      <c r="AC240" s="4">
        <f>IF(I240="","",IF(OR(LEFT(I240,3)="BKK",I240="LCH55"),"BKK",IF(LEFT(I240,3)="LCH","LCH","OTHER")))</f>
        <v/>
      </c>
      <c r="AD240" s="4">
        <f>MAX(0,Q240-MAX(0,Z240))</f>
        <v/>
      </c>
      <c r="AE240" s="4">
        <f>MAX(0,R240-MAX(0,Z240-SUM(Q240:Q240)))</f>
        <v/>
      </c>
      <c r="AF240" s="4">
        <f>MAX(0,S240-MAX(0,Z240-SUM(Q240:R240)))</f>
        <v/>
      </c>
      <c r="AG240" s="4">
        <f>MAX(0,T240-MAX(0,Z240-SUM(Q240:S240)))</f>
        <v/>
      </c>
      <c r="AH240" s="4">
        <f>MAX(0,U240-MAX(0,Z240-SUM(Q240:T240)))</f>
        <v/>
      </c>
      <c r="AI240" s="4">
        <f>MAX(0,V240-MAX(0,Z240-SUM(Q240:U240)))</f>
        <v/>
      </c>
      <c r="AJ240" s="4">
        <f>MAX(0,W240-MAX(0,Z240-SUM(Q240:V240)))</f>
        <v/>
      </c>
      <c r="AK240" s="4">
        <f>MAX(0,X240-MAX(0,Z240-SUM(Q240:W240)))</f>
        <v/>
      </c>
      <c r="AL240" s="4">
        <f>MAX(0,Y240-MAX(0,Z240-SUM(Q240:X240)))</f>
        <v/>
      </c>
    </row>
    <row r="241">
      <c r="A241" s="4" t="inlineStr">
        <is>
          <t>HASLS22260902069</t>
        </is>
      </c>
      <c r="B241" s="4" t="inlineStr">
        <is>
          <t>SWSP</t>
        </is>
      </c>
      <c r="C241" s="4" t="inlineStr">
        <is>
          <t>2609N</t>
        </is>
      </c>
      <c r="D241" s="4" t="inlineStr">
        <is>
          <t>202610071530</t>
        </is>
      </c>
      <c r="E241" s="4" t="inlineStr"/>
      <c r="F241" s="4" t="inlineStr">
        <is>
          <t>THBKK</t>
        </is>
      </c>
      <c r="G241" s="4" t="inlineStr">
        <is>
          <t>JPSDJ</t>
        </is>
      </c>
      <c r="H241" s="4" t="inlineStr">
        <is>
          <t xml:space="preserve">R40Hx1 </t>
        </is>
      </c>
      <c r="I241" s="4" t="inlineStr">
        <is>
          <t>BKK27</t>
        </is>
      </c>
      <c r="J241" s="4" t="inlineStr">
        <is>
          <t>B.C. DEPOT CO.,LTD. ( Bang-Na KM.18)</t>
        </is>
      </c>
      <c r="K241" s="4" t="inlineStr">
        <is>
          <t>20261001</t>
        </is>
      </c>
      <c r="L241" s="4" t="inlineStr">
        <is>
          <t>KODAI (THAILAND) CO., LTD.</t>
        </is>
      </c>
      <c r="M241" s="4" t="inlineStr">
        <is>
          <t>MCKEY FOOD SERVICES</t>
        </is>
      </c>
      <c r="N241" s="4" t="inlineStr">
        <is>
          <t>FROZEN CHICKEN</t>
        </is>
      </c>
      <c r="O241" s="4" t="inlineStr">
        <is>
          <t>RF45REx1 (Temp -25.0℃ / Vent Close) 
GRADE A CONTAINER Clean and in good condition both inside and outside.
**Not accept Daikin A/C.**</t>
        </is>
      </c>
      <c r="P241" s="4" t="inlineStr">
        <is>
          <t xml:space="preserve">Pickup : 2026-10-01, Return : 2026-10-01 (Temp -25.0 / Vent Close) 
 CLS TIME 04/10 05.00 [1ST RTN 01/10 W/O RENT &amp; ELECTRIC] </t>
        </is>
      </c>
      <c r="Q241" s="4" t="n">
        <v>0</v>
      </c>
      <c r="R241" s="4" t="n">
        <v>0</v>
      </c>
      <c r="S241" s="4" t="n">
        <v>0</v>
      </c>
      <c r="T241" s="4" t="n">
        <v>0</v>
      </c>
      <c r="U241" s="4" t="n">
        <v>1</v>
      </c>
      <c r="V241" s="4" t="n">
        <v>0</v>
      </c>
      <c r="W241" s="4" t="n">
        <v>0</v>
      </c>
      <c r="X241" s="4" t="n">
        <v>0</v>
      </c>
      <c r="Y241" s="4" t="n">
        <v>0</v>
      </c>
      <c r="Z241" s="4" t="n">
        <v>0</v>
      </c>
      <c r="AA241" s="4" t="n">
        <v>0</v>
      </c>
      <c r="AB241" s="4">
        <f>SUM(Q241:Y241)-Z241</f>
        <v/>
      </c>
      <c r="AC241" s="4">
        <f>IF(I241="","",IF(OR(LEFT(I241,3)="BKK",I241="LCH55"),"BKK",IF(LEFT(I241,3)="LCH","LCH","OTHER")))</f>
        <v/>
      </c>
      <c r="AD241" s="4">
        <f>MAX(0,Q241-MAX(0,Z241))</f>
        <v/>
      </c>
      <c r="AE241" s="4">
        <f>MAX(0,R241-MAX(0,Z241-SUM(Q241:Q241)))</f>
        <v/>
      </c>
      <c r="AF241" s="4">
        <f>MAX(0,S241-MAX(0,Z241-SUM(Q241:R241)))</f>
        <v/>
      </c>
      <c r="AG241" s="4">
        <f>MAX(0,T241-MAX(0,Z241-SUM(Q241:S241)))</f>
        <v/>
      </c>
      <c r="AH241" s="4">
        <f>MAX(0,U241-MAX(0,Z241-SUM(Q241:T241)))</f>
        <v/>
      </c>
      <c r="AI241" s="4">
        <f>MAX(0,V241-MAX(0,Z241-SUM(Q241:U241)))</f>
        <v/>
      </c>
      <c r="AJ241" s="4">
        <f>MAX(0,W241-MAX(0,Z241-SUM(Q241:V241)))</f>
        <v/>
      </c>
      <c r="AK241" s="4">
        <f>MAX(0,X241-MAX(0,Z241-SUM(Q241:W241)))</f>
        <v/>
      </c>
      <c r="AL241" s="4">
        <f>MAX(0,Y241-MAX(0,Z241-SUM(Q241:X241)))</f>
        <v/>
      </c>
    </row>
    <row r="242">
      <c r="A242" s="4" t="inlineStr">
        <is>
          <t>HASLS22260902080</t>
        </is>
      </c>
      <c r="B242" s="4" t="inlineStr">
        <is>
          <t>SWMM</t>
        </is>
      </c>
      <c r="C242" s="4" t="inlineStr">
        <is>
          <t>2610N</t>
        </is>
      </c>
      <c r="D242" s="4" t="inlineStr">
        <is>
          <t>202610210400</t>
        </is>
      </c>
      <c r="E242" s="4" t="inlineStr"/>
      <c r="F242" s="4" t="inlineStr">
        <is>
          <t>THBKK</t>
        </is>
      </c>
      <c r="G242" s="4" t="inlineStr">
        <is>
          <t>VNSGN</t>
        </is>
      </c>
      <c r="H242" s="4" t="inlineStr">
        <is>
          <t xml:space="preserve">40Hx1 </t>
        </is>
      </c>
      <c r="I242" s="4" t="inlineStr">
        <is>
          <t>BKK27</t>
        </is>
      </c>
      <c r="J242" s="4" t="inlineStr">
        <is>
          <t>B.C. DEPOT CO.,LTD. ( Bang-Na KM.18)</t>
        </is>
      </c>
      <c r="K242" s="4" t="inlineStr">
        <is>
          <t>20261015</t>
        </is>
      </c>
      <c r="L242" s="4" t="inlineStr">
        <is>
          <t>SANKYU-THAI CO., LTD.</t>
        </is>
      </c>
      <c r="M242" s="4" t="inlineStr">
        <is>
          <t>NIPRO (THAILAND) CORPORATION LIMITED</t>
        </is>
      </c>
      <c r="N242" s="4" t="inlineStr">
        <is>
          <t>MEDICAL PRODUCT</t>
        </is>
      </c>
      <c r="O242" s="4" t="inlineStr">
        <is>
          <t>GOOD AND CLEAN CONTAINER</t>
        </is>
      </c>
      <c r="P242" s="4" t="inlineStr">
        <is>
          <t>Pickup : 2026-10-15, Return : 2026-10-16</t>
        </is>
      </c>
      <c r="Q242" s="4" t="n">
        <v>0</v>
      </c>
      <c r="R242" s="4" t="n">
        <v>0</v>
      </c>
      <c r="S242" s="4" t="n">
        <v>1</v>
      </c>
      <c r="T242" s="4" t="n">
        <v>0</v>
      </c>
      <c r="U242" s="4" t="n">
        <v>0</v>
      </c>
      <c r="V242" s="4" t="n">
        <v>0</v>
      </c>
      <c r="W242" s="4" t="n">
        <v>0</v>
      </c>
      <c r="X242" s="4" t="n">
        <v>0</v>
      </c>
      <c r="Y242" s="4" t="n">
        <v>0</v>
      </c>
      <c r="Z242" s="4" t="n">
        <v>0</v>
      </c>
      <c r="AA242" s="4" t="n">
        <v>0</v>
      </c>
      <c r="AB242" s="4">
        <f>SUM(Q242:Y242)-Z242</f>
        <v/>
      </c>
      <c r="AC242" s="4">
        <f>IF(I242="","",IF(OR(LEFT(I242,3)="BKK",I242="LCH55"),"BKK",IF(LEFT(I242,3)="LCH","LCH","OTHER")))</f>
        <v/>
      </c>
      <c r="AD242" s="4">
        <f>MAX(0,Q242-MAX(0,Z242))</f>
        <v/>
      </c>
      <c r="AE242" s="4">
        <f>MAX(0,R242-MAX(0,Z242-SUM(Q242:Q242)))</f>
        <v/>
      </c>
      <c r="AF242" s="4">
        <f>MAX(0,S242-MAX(0,Z242-SUM(Q242:R242)))</f>
        <v/>
      </c>
      <c r="AG242" s="4">
        <f>MAX(0,T242-MAX(0,Z242-SUM(Q242:S242)))</f>
        <v/>
      </c>
      <c r="AH242" s="4">
        <f>MAX(0,U242-MAX(0,Z242-SUM(Q242:T242)))</f>
        <v/>
      </c>
      <c r="AI242" s="4">
        <f>MAX(0,V242-MAX(0,Z242-SUM(Q242:U242)))</f>
        <v/>
      </c>
      <c r="AJ242" s="4">
        <f>MAX(0,W242-MAX(0,Z242-SUM(Q242:V242)))</f>
        <v/>
      </c>
      <c r="AK242" s="4">
        <f>MAX(0,X242-MAX(0,Z242-SUM(Q242:W242)))</f>
        <v/>
      </c>
      <c r="AL242" s="4">
        <f>MAX(0,Y242-MAX(0,Z242-SUM(Q242:X242)))</f>
        <v/>
      </c>
    </row>
    <row r="243">
      <c r="A243" s="4" t="inlineStr">
        <is>
          <t>HASLS22260902088</t>
        </is>
      </c>
      <c r="B243" s="4" t="inlineStr">
        <is>
          <t>SWMM</t>
        </is>
      </c>
      <c r="C243" s="4" t="inlineStr">
        <is>
          <t>2610N</t>
        </is>
      </c>
      <c r="D243" s="4" t="inlineStr">
        <is>
          <t>202610210400</t>
        </is>
      </c>
      <c r="E243" s="4" t="inlineStr"/>
      <c r="F243" s="4" t="inlineStr">
        <is>
          <t>THBKK</t>
        </is>
      </c>
      <c r="G243" s="4" t="inlineStr">
        <is>
          <t>KRPUS</t>
        </is>
      </c>
      <c r="H243" s="4" t="inlineStr">
        <is>
          <t xml:space="preserve">40Hx1 </t>
        </is>
      </c>
      <c r="I243" s="4" t="inlineStr">
        <is>
          <t>BKK27</t>
        </is>
      </c>
      <c r="J243" s="4" t="inlineStr">
        <is>
          <t>B.C. DEPOT CO.,LTD. ( Bang-Na KM.18)</t>
        </is>
      </c>
      <c r="K243" s="4" t="inlineStr">
        <is>
          <t>20261015</t>
        </is>
      </c>
      <c r="L243" s="4" t="inlineStr">
        <is>
          <t>OCEAN GLASS PUBLIC COMPANY LIMITED</t>
        </is>
      </c>
      <c r="M243" s="4" t="inlineStr">
        <is>
          <t>OCEAN GLASS PUBLIC COMPANY LIMITED</t>
        </is>
      </c>
      <c r="N243" s="4" t="inlineStr">
        <is>
          <t>HOUSEHOLD GLASSWARE</t>
        </is>
      </c>
      <c r="O243" s="4" t="inlineStr">
        <is>
          <t>GOOD AND CLEAN CONTAINER</t>
        </is>
      </c>
      <c r="P243" s="4" t="inlineStr">
        <is>
          <t xml:space="preserve">Pickup : 2026-10-15, Return : 2026-10-16 // EXTEND CLS TIME 16/10 @23.59 
 </t>
        </is>
      </c>
      <c r="Q243" s="4" t="n">
        <v>0</v>
      </c>
      <c r="R243" s="4" t="n">
        <v>0</v>
      </c>
      <c r="S243" s="4" t="n">
        <v>1</v>
      </c>
      <c r="T243" s="4" t="n">
        <v>0</v>
      </c>
      <c r="U243" s="4" t="n">
        <v>0</v>
      </c>
      <c r="V243" s="4" t="n">
        <v>0</v>
      </c>
      <c r="W243" s="4" t="n">
        <v>0</v>
      </c>
      <c r="X243" s="4" t="n">
        <v>0</v>
      </c>
      <c r="Y243" s="4" t="n">
        <v>0</v>
      </c>
      <c r="Z243" s="4" t="n">
        <v>0</v>
      </c>
      <c r="AA243" s="4" t="n">
        <v>0</v>
      </c>
      <c r="AB243" s="4">
        <f>SUM(Q243:Y243)-Z243</f>
        <v/>
      </c>
      <c r="AC243" s="4">
        <f>IF(I243="","",IF(OR(LEFT(I243,3)="BKK",I243="LCH55"),"BKK",IF(LEFT(I243,3)="LCH","LCH","OTHER")))</f>
        <v/>
      </c>
      <c r="AD243" s="4">
        <f>MAX(0,Q243-MAX(0,Z243))</f>
        <v/>
      </c>
      <c r="AE243" s="4">
        <f>MAX(0,R243-MAX(0,Z243-SUM(Q243:Q243)))</f>
        <v/>
      </c>
      <c r="AF243" s="4">
        <f>MAX(0,S243-MAX(0,Z243-SUM(Q243:R243)))</f>
        <v/>
      </c>
      <c r="AG243" s="4">
        <f>MAX(0,T243-MAX(0,Z243-SUM(Q243:S243)))</f>
        <v/>
      </c>
      <c r="AH243" s="4">
        <f>MAX(0,U243-MAX(0,Z243-SUM(Q243:T243)))</f>
        <v/>
      </c>
      <c r="AI243" s="4">
        <f>MAX(0,V243-MAX(0,Z243-SUM(Q243:U243)))</f>
        <v/>
      </c>
      <c r="AJ243" s="4">
        <f>MAX(0,W243-MAX(0,Z243-SUM(Q243:V243)))</f>
        <v/>
      </c>
      <c r="AK243" s="4">
        <f>MAX(0,X243-MAX(0,Z243-SUM(Q243:W243)))</f>
        <v/>
      </c>
      <c r="AL243" s="4">
        <f>MAX(0,Y243-MAX(0,Z243-SUM(Q243:X243)))</f>
        <v/>
      </c>
    </row>
    <row r="244">
      <c r="A244" s="4" t="inlineStr">
        <is>
          <t>HASLS22260902089</t>
        </is>
      </c>
      <c r="B244" s="4" t="inlineStr">
        <is>
          <t>SWMM</t>
        </is>
      </c>
      <c r="C244" s="4" t="inlineStr">
        <is>
          <t>2610N</t>
        </is>
      </c>
      <c r="D244" s="4" t="inlineStr">
        <is>
          <t>202610210400</t>
        </is>
      </c>
      <c r="E244" s="4" t="inlineStr"/>
      <c r="F244" s="4" t="inlineStr">
        <is>
          <t>THBKK</t>
        </is>
      </c>
      <c r="G244" s="4" t="inlineStr">
        <is>
          <t>KRPUS</t>
        </is>
      </c>
      <c r="H244" s="4" t="inlineStr">
        <is>
          <t xml:space="preserve">40Hx1 </t>
        </is>
      </c>
      <c r="I244" s="4" t="inlineStr">
        <is>
          <t>BKK27</t>
        </is>
      </c>
      <c r="J244" s="4" t="inlineStr">
        <is>
          <t>B.C. DEPOT CO.,LTD. ( Bang-Na KM.18)</t>
        </is>
      </c>
      <c r="K244" s="4" t="inlineStr">
        <is>
          <t>20261015</t>
        </is>
      </c>
      <c r="L244" s="4" t="inlineStr">
        <is>
          <t>OCEAN GLASS PUBLIC COMPANY LIMITED</t>
        </is>
      </c>
      <c r="M244" s="4" t="inlineStr">
        <is>
          <t>OCEAN GLASS PUBLIC COMPANY LIMITED</t>
        </is>
      </c>
      <c r="N244" s="4" t="inlineStr">
        <is>
          <t>HOUSEHOLD GLASSWARE</t>
        </is>
      </c>
      <c r="O244" s="4" t="inlineStr">
        <is>
          <t>GOOD AND CLEAN CONTAINER</t>
        </is>
      </c>
      <c r="P244" s="4" t="inlineStr">
        <is>
          <t xml:space="preserve">Pickup : 2026-10-15, Return : 2026-10-16 // EXTEND CLS TIME 16/10 23.59 
 </t>
        </is>
      </c>
      <c r="Q244" s="4" t="n">
        <v>0</v>
      </c>
      <c r="R244" s="4" t="n">
        <v>0</v>
      </c>
      <c r="S244" s="4" t="n">
        <v>1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>
        <f>SUM(Q244:Y244)-Z244</f>
        <v/>
      </c>
      <c r="AC244" s="4">
        <f>IF(I244="","",IF(OR(LEFT(I244,3)="BKK",I244="LCH55"),"BKK",IF(LEFT(I244,3)="LCH","LCH","OTHER")))</f>
        <v/>
      </c>
      <c r="AD244" s="4">
        <f>MAX(0,Q244-MAX(0,Z244))</f>
        <v/>
      </c>
      <c r="AE244" s="4">
        <f>MAX(0,R244-MAX(0,Z244-SUM(Q244:Q244)))</f>
        <v/>
      </c>
      <c r="AF244" s="4">
        <f>MAX(0,S244-MAX(0,Z244-SUM(Q244:R244)))</f>
        <v/>
      </c>
      <c r="AG244" s="4">
        <f>MAX(0,T244-MAX(0,Z244-SUM(Q244:S244)))</f>
        <v/>
      </c>
      <c r="AH244" s="4">
        <f>MAX(0,U244-MAX(0,Z244-SUM(Q244:T244)))</f>
        <v/>
      </c>
      <c r="AI244" s="4">
        <f>MAX(0,V244-MAX(0,Z244-SUM(Q244:U244)))</f>
        <v/>
      </c>
      <c r="AJ244" s="4">
        <f>MAX(0,W244-MAX(0,Z244-SUM(Q244:V244)))</f>
        <v/>
      </c>
      <c r="AK244" s="4">
        <f>MAX(0,X244-MAX(0,Z244-SUM(Q244:W244)))</f>
        <v/>
      </c>
      <c r="AL244" s="4">
        <f>MAX(0,Y244-MAX(0,Z244-SUM(Q244:X244)))</f>
        <v/>
      </c>
    </row>
    <row r="245">
      <c r="A245" s="4" t="inlineStr">
        <is>
          <t>HASLS22260902094</t>
        </is>
      </c>
      <c r="B245" s="4" t="inlineStr">
        <is>
          <t>SWIC</t>
        </is>
      </c>
      <c r="C245" s="4" t="inlineStr">
        <is>
          <t>2611N</t>
        </is>
      </c>
      <c r="D245" s="4" t="inlineStr">
        <is>
          <t>202610130700</t>
        </is>
      </c>
      <c r="E245" s="4" t="inlineStr"/>
      <c r="F245" s="4" t="inlineStr">
        <is>
          <t>THBKK</t>
        </is>
      </c>
      <c r="G245" s="4" t="inlineStr">
        <is>
          <t>JPUKB</t>
        </is>
      </c>
      <c r="H245" s="4" t="inlineStr">
        <is>
          <t xml:space="preserve">20'x4 </t>
        </is>
      </c>
      <c r="I245" s="4" t="inlineStr">
        <is>
          <t>BKK27</t>
        </is>
      </c>
      <c r="J245" s="4" t="inlineStr">
        <is>
          <t>B.C. DEPOT CO.,LTD. ( Bang-Na KM.18)</t>
        </is>
      </c>
      <c r="K245" s="4" t="inlineStr">
        <is>
          <t>20261007</t>
        </is>
      </c>
      <c r="L245" s="4" t="inlineStr">
        <is>
          <t>BIRLA CARBON (THAILAND) PUBLIC COMPANY LIMITED</t>
        </is>
      </c>
      <c r="M245" s="4" t="inlineStr">
        <is>
          <t>BIRLA CARBON (THAILAND) PUBLIC COMPANY LIMITED</t>
        </is>
      </c>
      <c r="N245" s="4" t="inlineStr">
        <is>
          <t>CABON BLACK</t>
        </is>
      </c>
      <c r="O245" s="4" t="inlineStr">
        <is>
          <t>ainer / No rust / No hole / No sharp surface inside areas in container ( GRADE A FOR BULK LINER)
CARBON BLACK (NON DG)</t>
        </is>
      </c>
      <c r="P245" s="4" t="inlineStr">
        <is>
          <t>Pickup : 2026-10-07, Return : 2026-10-08</t>
        </is>
      </c>
      <c r="Q245" s="4" t="n">
        <v>4</v>
      </c>
      <c r="R245" s="4" t="n">
        <v>0</v>
      </c>
      <c r="S245" s="4" t="n">
        <v>0</v>
      </c>
      <c r="T245" s="4" t="n">
        <v>0</v>
      </c>
      <c r="U245" s="4" t="n">
        <v>0</v>
      </c>
      <c r="V245" s="4" t="n">
        <v>0</v>
      </c>
      <c r="W245" s="4" t="n">
        <v>0</v>
      </c>
      <c r="X245" s="4" t="n">
        <v>0</v>
      </c>
      <c r="Y245" s="4" t="n">
        <v>0</v>
      </c>
      <c r="Z245" s="4" t="n">
        <v>0</v>
      </c>
      <c r="AA245" s="4" t="n">
        <v>0</v>
      </c>
      <c r="AB245" s="4">
        <f>SUM(Q245:Y245)-Z245</f>
        <v/>
      </c>
      <c r="AC245" s="4">
        <f>IF(I245="","",IF(OR(LEFT(I245,3)="BKK",I245="LCH55"),"BKK",IF(LEFT(I245,3)="LCH","LCH","OTHER")))</f>
        <v/>
      </c>
      <c r="AD245" s="4">
        <f>MAX(0,Q245-MAX(0,Z245))</f>
        <v/>
      </c>
      <c r="AE245" s="4">
        <f>MAX(0,R245-MAX(0,Z245-SUM(Q245:Q245)))</f>
        <v/>
      </c>
      <c r="AF245" s="4">
        <f>MAX(0,S245-MAX(0,Z245-SUM(Q245:R245)))</f>
        <v/>
      </c>
      <c r="AG245" s="4">
        <f>MAX(0,T245-MAX(0,Z245-SUM(Q245:S245)))</f>
        <v/>
      </c>
      <c r="AH245" s="4">
        <f>MAX(0,U245-MAX(0,Z245-SUM(Q245:T245)))</f>
        <v/>
      </c>
      <c r="AI245" s="4">
        <f>MAX(0,V245-MAX(0,Z245-SUM(Q245:U245)))</f>
        <v/>
      </c>
      <c r="AJ245" s="4">
        <f>MAX(0,W245-MAX(0,Z245-SUM(Q245:V245)))</f>
        <v/>
      </c>
      <c r="AK245" s="4">
        <f>MAX(0,X245-MAX(0,Z245-SUM(Q245:W245)))</f>
        <v/>
      </c>
      <c r="AL245" s="4">
        <f>MAX(0,Y245-MAX(0,Z245-SUM(Q245:X245)))</f>
        <v/>
      </c>
    </row>
    <row r="246">
      <c r="A246" s="4" t="inlineStr">
        <is>
          <t>HASLS22260902095</t>
        </is>
      </c>
      <c r="B246" s="4" t="inlineStr">
        <is>
          <t>KJT</t>
        </is>
      </c>
      <c r="C246" s="4" t="inlineStr">
        <is>
          <t>2611N</t>
        </is>
      </c>
      <c r="D246" s="4" t="inlineStr">
        <is>
          <t>202610141800</t>
        </is>
      </c>
      <c r="E246" s="4" t="inlineStr"/>
      <c r="F246" s="4" t="inlineStr">
        <is>
          <t>THBKK</t>
        </is>
      </c>
      <c r="G246" s="4" t="inlineStr">
        <is>
          <t>HKHKG</t>
        </is>
      </c>
      <c r="H246" s="4" t="inlineStr">
        <is>
          <t xml:space="preserve">40Hx1 </t>
        </is>
      </c>
      <c r="I246" s="4" t="inlineStr">
        <is>
          <t>BKK27</t>
        </is>
      </c>
      <c r="J246" s="4" t="inlineStr">
        <is>
          <t>B.C. DEPOT CO.,LTD. ( Bang-Na KM.18)</t>
        </is>
      </c>
      <c r="K246" s="4" t="inlineStr">
        <is>
          <t>20261008</t>
        </is>
      </c>
      <c r="L246" s="4" t="inlineStr">
        <is>
          <t>MULTI FREIGHT SYSTEM CO., LTD.</t>
        </is>
      </c>
      <c r="M246" s="4" t="inlineStr">
        <is>
          <t>WAN THAI FOODS INDUSTRY CO., LTD.</t>
        </is>
      </c>
      <c r="N246" s="4" t="inlineStr">
        <is>
          <t>FOOD STUFFS</t>
        </is>
      </c>
      <c r="O246" s="4" t="inlineStr">
        <is>
          <t>container food grade and</t>
        </is>
      </c>
      <c r="P246" s="4" t="inlineStr">
        <is>
          <t xml:space="preserve">Pickup : 2026-10-08, Return : 2026-10-10
 </t>
        </is>
      </c>
      <c r="Q246" s="4" t="n">
        <v>0</v>
      </c>
      <c r="R246" s="4" t="n">
        <v>0</v>
      </c>
      <c r="S246" s="4" t="n">
        <v>1</v>
      </c>
      <c r="T246" s="4" t="n">
        <v>0</v>
      </c>
      <c r="U246" s="4" t="n">
        <v>0</v>
      </c>
      <c r="V246" s="4" t="n">
        <v>0</v>
      </c>
      <c r="W246" s="4" t="n">
        <v>0</v>
      </c>
      <c r="X246" s="4" t="n">
        <v>0</v>
      </c>
      <c r="Y246" s="4" t="n">
        <v>0</v>
      </c>
      <c r="Z246" s="4" t="n">
        <v>0</v>
      </c>
      <c r="AA246" s="4" t="n">
        <v>0</v>
      </c>
      <c r="AB246" s="4">
        <f>SUM(Q246:Y246)-Z246</f>
        <v/>
      </c>
      <c r="AC246" s="4">
        <f>IF(I246="","",IF(OR(LEFT(I246,3)="BKK",I246="LCH55"),"BKK",IF(LEFT(I246,3)="LCH","LCH","OTHER")))</f>
        <v/>
      </c>
      <c r="AD246" s="4">
        <f>MAX(0,Q246-MAX(0,Z246))</f>
        <v/>
      </c>
      <c r="AE246" s="4">
        <f>MAX(0,R246-MAX(0,Z246-SUM(Q246:Q246)))</f>
        <v/>
      </c>
      <c r="AF246" s="4">
        <f>MAX(0,S246-MAX(0,Z246-SUM(Q246:R246)))</f>
        <v/>
      </c>
      <c r="AG246" s="4">
        <f>MAX(0,T246-MAX(0,Z246-SUM(Q246:S246)))</f>
        <v/>
      </c>
      <c r="AH246" s="4">
        <f>MAX(0,U246-MAX(0,Z246-SUM(Q246:T246)))</f>
        <v/>
      </c>
      <c r="AI246" s="4">
        <f>MAX(0,V246-MAX(0,Z246-SUM(Q246:U246)))</f>
        <v/>
      </c>
      <c r="AJ246" s="4">
        <f>MAX(0,W246-MAX(0,Z246-SUM(Q246:V246)))</f>
        <v/>
      </c>
      <c r="AK246" s="4">
        <f>MAX(0,X246-MAX(0,Z246-SUM(Q246:W246)))</f>
        <v/>
      </c>
      <c r="AL246" s="4">
        <f>MAX(0,Y246-MAX(0,Z246-SUM(Q246:X246)))</f>
        <v/>
      </c>
    </row>
    <row r="247">
      <c r="A247" s="4" t="inlineStr">
        <is>
          <t>HASLS22260902103</t>
        </is>
      </c>
      <c r="B247" s="4" t="inlineStr">
        <is>
          <t>HMVY</t>
        </is>
      </c>
      <c r="C247" s="4" t="inlineStr">
        <is>
          <t>2609N</t>
        </is>
      </c>
      <c r="D247" s="4" t="inlineStr">
        <is>
          <t>202610200330</t>
        </is>
      </c>
      <c r="E247" s="4" t="inlineStr">
        <is>
          <t>THSRP</t>
        </is>
      </c>
      <c r="F247" s="4" t="inlineStr">
        <is>
          <t>THLCH</t>
        </is>
      </c>
      <c r="G247" s="4" t="inlineStr">
        <is>
          <t>CNSHA</t>
        </is>
      </c>
      <c r="H247" s="4" t="inlineStr">
        <is>
          <t xml:space="preserve">20'x1 </t>
        </is>
      </c>
      <c r="I247" s="4" t="inlineStr">
        <is>
          <t>BKK27</t>
        </is>
      </c>
      <c r="J247" s="4" t="inlineStr">
        <is>
          <t>B.C. DEPOT CO.,LTD. ( Bang-Na KM.18)</t>
        </is>
      </c>
      <c r="K247" s="4" t="inlineStr">
        <is>
          <t>20261015</t>
        </is>
      </c>
      <c r="L247" s="4" t="inlineStr">
        <is>
          <t>MAJOR FREIGHT INTERNATIONAL CO., LTD.</t>
        </is>
      </c>
      <c r="M247" s="4" t="inlineStr">
        <is>
          <t>PRANBURI FRUIT INDUSTRIAL.LTD.PART</t>
        </is>
      </c>
      <c r="N247" s="4" t="inlineStr">
        <is>
          <t>DREID FRUITS</t>
        </is>
      </c>
      <c r="O247" s="4" t="inlineStr">
        <is>
          <t>GOOD AND CLEAN CONTAINER</t>
        </is>
      </c>
      <c r="P247" s="4" t="inlineStr">
        <is>
          <t>Pickup : 2026-10-15, Return SRP  : 2026-10-16 [PAPERLESS CODE 2829]
CLS TIME 14/10/26 @12.00</t>
        </is>
      </c>
      <c r="Q247" s="4" t="n">
        <v>1</v>
      </c>
      <c r="R247" s="4" t="n">
        <v>0</v>
      </c>
      <c r="S247" s="4" t="n">
        <v>0</v>
      </c>
      <c r="T247" s="4" t="n">
        <v>0</v>
      </c>
      <c r="U247" s="4" t="n">
        <v>0</v>
      </c>
      <c r="V247" s="4" t="n">
        <v>0</v>
      </c>
      <c r="W247" s="4" t="n">
        <v>0</v>
      </c>
      <c r="X247" s="4" t="n">
        <v>0</v>
      </c>
      <c r="Y247" s="4" t="n">
        <v>0</v>
      </c>
      <c r="Z247" s="4" t="n">
        <v>0</v>
      </c>
      <c r="AA247" s="4" t="n">
        <v>0</v>
      </c>
      <c r="AB247" s="4">
        <f>SUM(Q247:Y247)-Z247</f>
        <v/>
      </c>
      <c r="AC247" s="4">
        <f>IF(I247="","",IF(OR(LEFT(I247,3)="BKK",I247="LCH55"),"BKK",IF(LEFT(I247,3)="LCH","LCH","OTHER")))</f>
        <v/>
      </c>
      <c r="AD247" s="4">
        <f>MAX(0,Q247-MAX(0,Z247))</f>
        <v/>
      </c>
      <c r="AE247" s="4">
        <f>MAX(0,R247-MAX(0,Z247-SUM(Q247:Q247)))</f>
        <v/>
      </c>
      <c r="AF247" s="4">
        <f>MAX(0,S247-MAX(0,Z247-SUM(Q247:R247)))</f>
        <v/>
      </c>
      <c r="AG247" s="4">
        <f>MAX(0,T247-MAX(0,Z247-SUM(Q247:S247)))</f>
        <v/>
      </c>
      <c r="AH247" s="4">
        <f>MAX(0,U247-MAX(0,Z247-SUM(Q247:T247)))</f>
        <v/>
      </c>
      <c r="AI247" s="4">
        <f>MAX(0,V247-MAX(0,Z247-SUM(Q247:U247)))</f>
        <v/>
      </c>
      <c r="AJ247" s="4">
        <f>MAX(0,W247-MAX(0,Z247-SUM(Q247:V247)))</f>
        <v/>
      </c>
      <c r="AK247" s="4">
        <f>MAX(0,X247-MAX(0,Z247-SUM(Q247:W247)))</f>
        <v/>
      </c>
      <c r="AL247" s="4">
        <f>MAX(0,Y247-MAX(0,Z247-SUM(Q247:X247)))</f>
        <v/>
      </c>
    </row>
    <row r="248">
      <c r="A248" s="4" t="inlineStr">
        <is>
          <t>HASLS22260902107</t>
        </is>
      </c>
      <c r="B248" s="4" t="inlineStr">
        <is>
          <t>KJT</t>
        </is>
      </c>
      <c r="C248" s="4" t="inlineStr">
        <is>
          <t>2611N</t>
        </is>
      </c>
      <c r="D248" s="4" t="inlineStr">
        <is>
          <t>202610141800</t>
        </is>
      </c>
      <c r="E248" s="4" t="inlineStr"/>
      <c r="F248" s="4" t="inlineStr">
        <is>
          <t>THBKK</t>
        </is>
      </c>
      <c r="G248" s="4" t="inlineStr">
        <is>
          <t>HKHKG</t>
        </is>
      </c>
      <c r="H248" s="4" t="inlineStr">
        <is>
          <t xml:space="preserve">40Hx1 </t>
        </is>
      </c>
      <c r="I248" s="4" t="inlineStr">
        <is>
          <t>BKK27</t>
        </is>
      </c>
      <c r="J248" s="4" t="inlineStr">
        <is>
          <t>B.C. DEPOT CO.,LTD. ( Bang-Na KM.18)</t>
        </is>
      </c>
      <c r="K248" s="4" t="inlineStr">
        <is>
          <t>20261007</t>
        </is>
      </c>
      <c r="L248" s="4" t="inlineStr">
        <is>
          <t>ELC CONTAINER LINES CO.,LTD.</t>
        </is>
      </c>
      <c r="M248" s="4" t="inlineStr">
        <is>
          <t>THAI ARROW PRODUCTS CO., LTD.</t>
        </is>
      </c>
      <c r="N248" s="4" t="inlineStr">
        <is>
          <t>RAW MATERIAL</t>
        </is>
      </c>
      <c r="O248" s="4" t="inlineStr">
        <is>
          <t>CONTAINER GRADE A</t>
        </is>
      </c>
      <c r="P248" s="4" t="inlineStr">
        <is>
          <t xml:space="preserve">Pickup : 2026-10-07, Return : 2026-10-09 (1ST RTN 10/10 W/O RENT) 
 </t>
        </is>
      </c>
      <c r="Q248" s="4" t="n">
        <v>0</v>
      </c>
      <c r="R248" s="4" t="n">
        <v>0</v>
      </c>
      <c r="S248" s="4" t="n">
        <v>1</v>
      </c>
      <c r="T248" s="4" t="n">
        <v>0</v>
      </c>
      <c r="U248" s="4" t="n">
        <v>0</v>
      </c>
      <c r="V248" s="4" t="n">
        <v>0</v>
      </c>
      <c r="W248" s="4" t="n">
        <v>0</v>
      </c>
      <c r="X248" s="4" t="n">
        <v>0</v>
      </c>
      <c r="Y248" s="4" t="n">
        <v>0</v>
      </c>
      <c r="Z248" s="4" t="n">
        <v>0</v>
      </c>
      <c r="AA248" s="4" t="n">
        <v>0</v>
      </c>
      <c r="AB248" s="4">
        <f>SUM(Q248:Y248)-Z248</f>
        <v/>
      </c>
      <c r="AC248" s="4">
        <f>IF(I248="","",IF(OR(LEFT(I248,3)="BKK",I248="LCH55"),"BKK",IF(LEFT(I248,3)="LCH","LCH","OTHER")))</f>
        <v/>
      </c>
      <c r="AD248" s="4">
        <f>MAX(0,Q248-MAX(0,Z248))</f>
        <v/>
      </c>
      <c r="AE248" s="4">
        <f>MAX(0,R248-MAX(0,Z248-SUM(Q248:Q248)))</f>
        <v/>
      </c>
      <c r="AF248" s="4">
        <f>MAX(0,S248-MAX(0,Z248-SUM(Q248:R248)))</f>
        <v/>
      </c>
      <c r="AG248" s="4">
        <f>MAX(0,T248-MAX(0,Z248-SUM(Q248:S248)))</f>
        <v/>
      </c>
      <c r="AH248" s="4">
        <f>MAX(0,U248-MAX(0,Z248-SUM(Q248:T248)))</f>
        <v/>
      </c>
      <c r="AI248" s="4">
        <f>MAX(0,V248-MAX(0,Z248-SUM(Q248:U248)))</f>
        <v/>
      </c>
      <c r="AJ248" s="4">
        <f>MAX(0,W248-MAX(0,Z248-SUM(Q248:V248)))</f>
        <v/>
      </c>
      <c r="AK248" s="4">
        <f>MAX(0,X248-MAX(0,Z248-SUM(Q248:W248)))</f>
        <v/>
      </c>
      <c r="AL248" s="4">
        <f>MAX(0,Y248-MAX(0,Z248-SUM(Q248:X248)))</f>
        <v/>
      </c>
    </row>
    <row r="249">
      <c r="A249" s="4" t="inlineStr">
        <is>
          <t>HASLS22260902114</t>
        </is>
      </c>
      <c r="B249" s="4" t="inlineStr">
        <is>
          <t>YSVY</t>
        </is>
      </c>
      <c r="C249" s="4" t="inlineStr">
        <is>
          <t>2608S</t>
        </is>
      </c>
      <c r="D249" s="4" t="inlineStr">
        <is>
          <t>202610190700</t>
        </is>
      </c>
      <c r="E249" s="4" t="inlineStr">
        <is>
          <t>THLKR</t>
        </is>
      </c>
      <c r="F249" s="4" t="inlineStr">
        <is>
          <t>THLCH</t>
        </is>
      </c>
      <c r="G249" s="4" t="inlineStr">
        <is>
          <t>IDJKT</t>
        </is>
      </c>
      <c r="H249" s="4" t="inlineStr">
        <is>
          <t xml:space="preserve">40Hx1 20'x1 </t>
        </is>
      </c>
      <c r="I249" s="4" t="inlineStr">
        <is>
          <t>BKK27</t>
        </is>
      </c>
      <c r="J249" s="4" t="inlineStr">
        <is>
          <t>B.C. DEPOT CO.,LTD. ( Bang-Na KM.18)</t>
        </is>
      </c>
      <c r="K249" s="4" t="inlineStr">
        <is>
          <t>20261014</t>
        </is>
      </c>
      <c r="L249" s="4" t="inlineStr">
        <is>
          <t>ACCORD PILOT LOGISTICS (THAILAND) CO., LTD.</t>
        </is>
      </c>
      <c r="M249" s="4" t="inlineStr">
        <is>
          <t>THAI PLASPAC PUBLIC CO.,LTD.</t>
        </is>
      </c>
      <c r="N249" s="4" t="inlineStr">
        <is>
          <t>PLATIC CAP</t>
        </is>
      </c>
      <c r="O249" s="4" t="inlineStr">
        <is>
          <t>**REQUEST CLEAN AND GOOD CONTAINER**
**REQUEST FREE TIME 14 DAYS COMBINE AT DESTINATION**</t>
        </is>
      </c>
      <c r="P249" s="4" t="inlineStr">
        <is>
          <t>Pickup : 2026-10-14, Return : 2026-10-15 paperless code 2835
Closing time LKB 2026-10-15 @ 18.00</t>
        </is>
      </c>
      <c r="Q249" s="4" t="n">
        <v>1</v>
      </c>
      <c r="R249" s="4" t="n">
        <v>0</v>
      </c>
      <c r="S249" s="4" t="n">
        <v>1</v>
      </c>
      <c r="T249" s="4" t="n">
        <v>0</v>
      </c>
      <c r="U249" s="4" t="n">
        <v>0</v>
      </c>
      <c r="V249" s="4" t="n">
        <v>0</v>
      </c>
      <c r="W249" s="4" t="n">
        <v>0</v>
      </c>
      <c r="X249" s="4" t="n">
        <v>0</v>
      </c>
      <c r="Y249" s="4" t="n">
        <v>0</v>
      </c>
      <c r="Z249" s="4" t="n">
        <v>0</v>
      </c>
      <c r="AA249" s="4" t="n">
        <v>0</v>
      </c>
      <c r="AB249" s="4">
        <f>SUM(Q249:Y249)-Z249</f>
        <v/>
      </c>
      <c r="AC249" s="4">
        <f>IF(I249="","",IF(OR(LEFT(I249,3)="BKK",I249="LCH55"),"BKK",IF(LEFT(I249,3)="LCH","LCH","OTHER")))</f>
        <v/>
      </c>
      <c r="AD249" s="4">
        <f>MAX(0,Q249-MAX(0,Z249))</f>
        <v/>
      </c>
      <c r="AE249" s="4">
        <f>MAX(0,R249-MAX(0,Z249-SUM(Q249:Q249)))</f>
        <v/>
      </c>
      <c r="AF249" s="4">
        <f>MAX(0,S249-MAX(0,Z249-SUM(Q249:R249)))</f>
        <v/>
      </c>
      <c r="AG249" s="4">
        <f>MAX(0,T249-MAX(0,Z249-SUM(Q249:S249)))</f>
        <v/>
      </c>
      <c r="AH249" s="4">
        <f>MAX(0,U249-MAX(0,Z249-SUM(Q249:T249)))</f>
        <v/>
      </c>
      <c r="AI249" s="4">
        <f>MAX(0,V249-MAX(0,Z249-SUM(Q249:U249)))</f>
        <v/>
      </c>
      <c r="AJ249" s="4">
        <f>MAX(0,W249-MAX(0,Z249-SUM(Q249:V249)))</f>
        <v/>
      </c>
      <c r="AK249" s="4">
        <f>MAX(0,X249-MAX(0,Z249-SUM(Q249:W249)))</f>
        <v/>
      </c>
      <c r="AL249" s="4">
        <f>MAX(0,Y249-MAX(0,Z249-SUM(Q249:X249)))</f>
        <v/>
      </c>
    </row>
    <row r="250">
      <c r="A250" s="4" t="inlineStr">
        <is>
          <t>HASLS22260902116</t>
        </is>
      </c>
      <c r="B250" s="4" t="inlineStr">
        <is>
          <t>NSSJ</t>
        </is>
      </c>
      <c r="C250" s="4" t="inlineStr">
        <is>
          <t>2608S</t>
        </is>
      </c>
      <c r="D250" s="4" t="inlineStr">
        <is>
          <t>202610201630</t>
        </is>
      </c>
      <c r="E250" s="4" t="inlineStr">
        <is>
          <t>THLKR</t>
        </is>
      </c>
      <c r="F250" s="4" t="inlineStr">
        <is>
          <t>THLCH</t>
        </is>
      </c>
      <c r="G250" s="4" t="inlineStr">
        <is>
          <t>IDJKT</t>
        </is>
      </c>
      <c r="H250" s="4" t="inlineStr">
        <is>
          <t xml:space="preserve">20'x1 </t>
        </is>
      </c>
      <c r="I250" s="4" t="inlineStr">
        <is>
          <t>BKK27</t>
        </is>
      </c>
      <c r="J250" s="4" t="inlineStr">
        <is>
          <t>B.C. DEPOT CO.,LTD. ( Bang-Na KM.18)</t>
        </is>
      </c>
      <c r="K250" s="4" t="inlineStr">
        <is>
          <t>20261016</t>
        </is>
      </c>
      <c r="L250" s="4" t="inlineStr">
        <is>
          <t>ACCORD PILOT LOGISTICS (THAILAND) CO., LTD.</t>
        </is>
      </c>
      <c r="M250" s="4" t="inlineStr">
        <is>
          <t>THAI PLASPAC PUBLIC CO.,LTD.</t>
        </is>
      </c>
      <c r="N250" s="4" t="inlineStr">
        <is>
          <t>PLATIC CAP</t>
        </is>
      </c>
      <c r="O250" s="4" t="inlineStr">
        <is>
          <t>**REQUEST CLEAN AND GOOD CONTAINER**
**REQUEST FREE TIME 14 DAYS COMBINE AT DESTINATION**</t>
        </is>
      </c>
      <c r="P250" s="4" t="inlineStr">
        <is>
          <t>Pickup : 2026-10-16, Return : 2026-10-17 Paperless Coide 2835
Closing Time LKB 2026-10-17 @ 18.00</t>
        </is>
      </c>
      <c r="Q250" s="4" t="n">
        <v>1</v>
      </c>
      <c r="R250" s="4" t="n">
        <v>0</v>
      </c>
      <c r="S250" s="4" t="n">
        <v>0</v>
      </c>
      <c r="T250" s="4" t="n">
        <v>0</v>
      </c>
      <c r="U250" s="4" t="n">
        <v>0</v>
      </c>
      <c r="V250" s="4" t="n">
        <v>0</v>
      </c>
      <c r="W250" s="4" t="n">
        <v>0</v>
      </c>
      <c r="X250" s="4" t="n">
        <v>0</v>
      </c>
      <c r="Y250" s="4" t="n">
        <v>0</v>
      </c>
      <c r="Z250" s="4" t="n">
        <v>0</v>
      </c>
      <c r="AA250" s="4" t="n">
        <v>0</v>
      </c>
      <c r="AB250" s="4">
        <f>SUM(Q250:Y250)-Z250</f>
        <v/>
      </c>
      <c r="AC250" s="4">
        <f>IF(I250="","",IF(OR(LEFT(I250,3)="BKK",I250="LCH55"),"BKK",IF(LEFT(I250,3)="LCH","LCH","OTHER")))</f>
        <v/>
      </c>
      <c r="AD250" s="4">
        <f>MAX(0,Q250-MAX(0,Z250))</f>
        <v/>
      </c>
      <c r="AE250" s="4">
        <f>MAX(0,R250-MAX(0,Z250-SUM(Q250:Q250)))</f>
        <v/>
      </c>
      <c r="AF250" s="4">
        <f>MAX(0,S250-MAX(0,Z250-SUM(Q250:R250)))</f>
        <v/>
      </c>
      <c r="AG250" s="4">
        <f>MAX(0,T250-MAX(0,Z250-SUM(Q250:S250)))</f>
        <v/>
      </c>
      <c r="AH250" s="4">
        <f>MAX(0,U250-MAX(0,Z250-SUM(Q250:T250)))</f>
        <v/>
      </c>
      <c r="AI250" s="4">
        <f>MAX(0,V250-MAX(0,Z250-SUM(Q250:U250)))</f>
        <v/>
      </c>
      <c r="AJ250" s="4">
        <f>MAX(0,W250-MAX(0,Z250-SUM(Q250:V250)))</f>
        <v/>
      </c>
      <c r="AK250" s="4">
        <f>MAX(0,X250-MAX(0,Z250-SUM(Q250:W250)))</f>
        <v/>
      </c>
      <c r="AL250" s="4">
        <f>MAX(0,Y250-MAX(0,Z250-SUM(Q250:X250)))</f>
        <v/>
      </c>
    </row>
    <row r="251">
      <c r="A251" s="4" t="inlineStr">
        <is>
          <t>HASLS22260902120</t>
        </is>
      </c>
      <c r="B251" s="4" t="inlineStr">
        <is>
          <t>NSSJ</t>
        </is>
      </c>
      <c r="C251" s="4" t="inlineStr">
        <is>
          <t>2608S</t>
        </is>
      </c>
      <c r="D251" s="4" t="inlineStr">
        <is>
          <t>202610201630</t>
        </is>
      </c>
      <c r="E251" s="4" t="inlineStr">
        <is>
          <t>THLKR</t>
        </is>
      </c>
      <c r="F251" s="4" t="inlineStr">
        <is>
          <t>THLCH</t>
        </is>
      </c>
      <c r="G251" s="4" t="inlineStr">
        <is>
          <t>IDJKT</t>
        </is>
      </c>
      <c r="H251" s="4" t="inlineStr">
        <is>
          <t xml:space="preserve">20'x1 </t>
        </is>
      </c>
      <c r="I251" s="4" t="inlineStr">
        <is>
          <t>BKK27</t>
        </is>
      </c>
      <c r="J251" s="4" t="inlineStr">
        <is>
          <t>B.C. DEPOT CO.,LTD. ( Bang-Na KM.18)</t>
        </is>
      </c>
      <c r="K251" s="4" t="inlineStr">
        <is>
          <t>20261017</t>
        </is>
      </c>
      <c r="L251" s="4" t="inlineStr">
        <is>
          <t>FREIGHT CONNECT CO., LTD.</t>
        </is>
      </c>
      <c r="M251" s="4" t="inlineStr">
        <is>
          <t>SPF DIANA (THAILAND) CO., LTD.</t>
        </is>
      </c>
      <c r="N251" s="4" t="inlineStr">
        <is>
          <t>PET FOOD</t>
        </is>
      </c>
      <c r="O251" s="4" t="inlineStr">
        <is>
          <t>GOOD AND CLEAN CONTAINER</t>
        </is>
      </c>
      <c r="P251" s="4" t="inlineStr">
        <is>
          <t>Pickup : 2026-10-17, Return : 2026-10-19 Paperless Code 2835
Closing time LKB 2026-10-17 @ 18.00</t>
        </is>
      </c>
      <c r="Q251" s="4" t="n">
        <v>1</v>
      </c>
      <c r="R251" s="4" t="n">
        <v>0</v>
      </c>
      <c r="S251" s="4" t="n">
        <v>0</v>
      </c>
      <c r="T251" s="4" t="n">
        <v>0</v>
      </c>
      <c r="U251" s="4" t="n">
        <v>0</v>
      </c>
      <c r="V251" s="4" t="n">
        <v>0</v>
      </c>
      <c r="W251" s="4" t="n">
        <v>0</v>
      </c>
      <c r="X251" s="4" t="n">
        <v>0</v>
      </c>
      <c r="Y251" s="4" t="n">
        <v>0</v>
      </c>
      <c r="Z251" s="4" t="n">
        <v>0</v>
      </c>
      <c r="AA251" s="4" t="n">
        <v>0</v>
      </c>
      <c r="AB251" s="4">
        <f>SUM(Q251:Y251)-Z251</f>
        <v/>
      </c>
      <c r="AC251" s="4">
        <f>IF(I251="","",IF(OR(LEFT(I251,3)="BKK",I251="LCH55"),"BKK",IF(LEFT(I251,3)="LCH","LCH","OTHER")))</f>
        <v/>
      </c>
      <c r="AD251" s="4">
        <f>MAX(0,Q251-MAX(0,Z251))</f>
        <v/>
      </c>
      <c r="AE251" s="4">
        <f>MAX(0,R251-MAX(0,Z251-SUM(Q251:Q251)))</f>
        <v/>
      </c>
      <c r="AF251" s="4">
        <f>MAX(0,S251-MAX(0,Z251-SUM(Q251:R251)))</f>
        <v/>
      </c>
      <c r="AG251" s="4">
        <f>MAX(0,T251-MAX(0,Z251-SUM(Q251:S251)))</f>
        <v/>
      </c>
      <c r="AH251" s="4">
        <f>MAX(0,U251-MAX(0,Z251-SUM(Q251:T251)))</f>
        <v/>
      </c>
      <c r="AI251" s="4">
        <f>MAX(0,V251-MAX(0,Z251-SUM(Q251:U251)))</f>
        <v/>
      </c>
      <c r="AJ251" s="4">
        <f>MAX(0,W251-MAX(0,Z251-SUM(Q251:V251)))</f>
        <v/>
      </c>
      <c r="AK251" s="4">
        <f>MAX(0,X251-MAX(0,Z251-SUM(Q251:W251)))</f>
        <v/>
      </c>
      <c r="AL251" s="4">
        <f>MAX(0,Y251-MAX(0,Z251-SUM(Q251:X251)))</f>
        <v/>
      </c>
    </row>
    <row r="252">
      <c r="A252" s="4" t="inlineStr">
        <is>
          <t>HASLS22260902124</t>
        </is>
      </c>
      <c r="B252" s="4" t="inlineStr">
        <is>
          <t>CMA</t>
        </is>
      </c>
      <c r="C252" s="4" t="inlineStr">
        <is>
          <t>2615N</t>
        </is>
      </c>
      <c r="D252" s="4" t="inlineStr">
        <is>
          <t>202610172300</t>
        </is>
      </c>
      <c r="E252" s="4" t="inlineStr"/>
      <c r="F252" s="4" t="inlineStr">
        <is>
          <t>THBKK</t>
        </is>
      </c>
      <c r="G252" s="4" t="inlineStr">
        <is>
          <t>CNSHK</t>
        </is>
      </c>
      <c r="H252" s="4" t="inlineStr">
        <is>
          <t xml:space="preserve">40Hx2 </t>
        </is>
      </c>
      <c r="I252" s="4" t="inlineStr">
        <is>
          <t>BKK27</t>
        </is>
      </c>
      <c r="J252" s="4" t="inlineStr">
        <is>
          <t>B.C. DEPOT CO.,LTD. ( Bang-Na KM.18)</t>
        </is>
      </c>
      <c r="K252" s="4" t="inlineStr">
        <is>
          <t>20261014</t>
        </is>
      </c>
      <c r="L252" s="4" t="inlineStr">
        <is>
          <t>CTI LOGISTICS CO., LTD.</t>
        </is>
      </c>
      <c r="M252" s="4" t="inlineStr">
        <is>
          <t>NMB-MINEBEA THAI LIMITED</t>
        </is>
      </c>
      <c r="N252" s="4" t="inlineStr">
        <is>
          <t>BALL BEARING</t>
        </is>
      </c>
      <c r="O252" s="4" t="inlineStr">
        <is>
          <t>REQUEST CLEAN CONTAINER</t>
        </is>
      </c>
      <c r="P252" s="4" t="inlineStr">
        <is>
          <t>Pickup : 2026-10-14, Return : 2026-10-14</t>
        </is>
      </c>
      <c r="Q252" s="4" t="n">
        <v>0</v>
      </c>
      <c r="R252" s="4" t="n">
        <v>0</v>
      </c>
      <c r="S252" s="4" t="n">
        <v>2</v>
      </c>
      <c r="T252" s="4" t="n">
        <v>0</v>
      </c>
      <c r="U252" s="4" t="n">
        <v>0</v>
      </c>
      <c r="V252" s="4" t="n">
        <v>0</v>
      </c>
      <c r="W252" s="4" t="n">
        <v>0</v>
      </c>
      <c r="X252" s="4" t="n">
        <v>0</v>
      </c>
      <c r="Y252" s="4" t="n">
        <v>0</v>
      </c>
      <c r="Z252" s="4" t="n">
        <v>0</v>
      </c>
      <c r="AA252" s="4" t="n">
        <v>0</v>
      </c>
      <c r="AB252" s="4">
        <f>SUM(Q252:Y252)-Z252</f>
        <v/>
      </c>
      <c r="AC252" s="4">
        <f>IF(I252="","",IF(OR(LEFT(I252,3)="BKK",I252="LCH55"),"BKK",IF(LEFT(I252,3)="LCH","LCH","OTHER")))</f>
        <v/>
      </c>
      <c r="AD252" s="4">
        <f>MAX(0,Q252-MAX(0,Z252))</f>
        <v/>
      </c>
      <c r="AE252" s="4">
        <f>MAX(0,R252-MAX(0,Z252-SUM(Q252:Q252)))</f>
        <v/>
      </c>
      <c r="AF252" s="4">
        <f>MAX(0,S252-MAX(0,Z252-SUM(Q252:R252)))</f>
        <v/>
      </c>
      <c r="AG252" s="4">
        <f>MAX(0,T252-MAX(0,Z252-SUM(Q252:S252)))</f>
        <v/>
      </c>
      <c r="AH252" s="4">
        <f>MAX(0,U252-MAX(0,Z252-SUM(Q252:T252)))</f>
        <v/>
      </c>
      <c r="AI252" s="4">
        <f>MAX(0,V252-MAX(0,Z252-SUM(Q252:U252)))</f>
        <v/>
      </c>
      <c r="AJ252" s="4">
        <f>MAX(0,W252-MAX(0,Z252-SUM(Q252:V252)))</f>
        <v/>
      </c>
      <c r="AK252" s="4">
        <f>MAX(0,X252-MAX(0,Z252-SUM(Q252:W252)))</f>
        <v/>
      </c>
      <c r="AL252" s="4">
        <f>MAX(0,Y252-MAX(0,Z252-SUM(Q252:X252)))</f>
        <v/>
      </c>
    </row>
    <row r="253">
      <c r="A253" s="4" t="inlineStr">
        <is>
          <t>HASLS22260902127</t>
        </is>
      </c>
      <c r="B253" s="4" t="inlineStr">
        <is>
          <t>CMA</t>
        </is>
      </c>
      <c r="C253" s="4" t="inlineStr">
        <is>
          <t>2615N</t>
        </is>
      </c>
      <c r="D253" s="4" t="inlineStr">
        <is>
          <t>202610172300</t>
        </is>
      </c>
      <c r="E253" s="4" t="inlineStr"/>
      <c r="F253" s="4" t="inlineStr">
        <is>
          <t>THBKK</t>
        </is>
      </c>
      <c r="G253" s="4" t="inlineStr">
        <is>
          <t>CNSHK</t>
        </is>
      </c>
      <c r="H253" s="4" t="inlineStr">
        <is>
          <t xml:space="preserve">40Hx2 20'x1 </t>
        </is>
      </c>
      <c r="I253" s="4" t="inlineStr">
        <is>
          <t>BKK27</t>
        </is>
      </c>
      <c r="J253" s="4" t="inlineStr">
        <is>
          <t>B.C. DEPOT CO.,LTD. ( Bang-Na KM.18)</t>
        </is>
      </c>
      <c r="K253" s="4" t="inlineStr">
        <is>
          <t>20261014</t>
        </is>
      </c>
      <c r="L253" s="4" t="inlineStr">
        <is>
          <t>CTI LOGISTICS CO., LTD.</t>
        </is>
      </c>
      <c r="M253" s="4" t="inlineStr">
        <is>
          <t>NMB-MINEBEA THAI LTD.</t>
        </is>
      </c>
      <c r="N253" s="4" t="inlineStr">
        <is>
          <t>BALL BEARING</t>
        </is>
      </c>
      <c r="O253" s="4" t="inlineStr">
        <is>
          <t>REQUEST CLEAN CONTAINER</t>
        </is>
      </c>
      <c r="P253" s="4" t="inlineStr">
        <is>
          <t>Pickup : 2026-10-14, Return : 2026-10-14</t>
        </is>
      </c>
      <c r="Q253" s="4" t="n">
        <v>1</v>
      </c>
      <c r="R253" s="4" t="n">
        <v>0</v>
      </c>
      <c r="S253" s="4" t="n">
        <v>2</v>
      </c>
      <c r="T253" s="4" t="n">
        <v>0</v>
      </c>
      <c r="U253" s="4" t="n">
        <v>0</v>
      </c>
      <c r="V253" s="4" t="n">
        <v>0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>
        <f>SUM(Q253:Y253)-Z253</f>
        <v/>
      </c>
      <c r="AC253" s="4">
        <f>IF(I253="","",IF(OR(LEFT(I253,3)="BKK",I253="LCH55"),"BKK",IF(LEFT(I253,3)="LCH","LCH","OTHER")))</f>
        <v/>
      </c>
      <c r="AD253" s="4">
        <f>MAX(0,Q253-MAX(0,Z253))</f>
        <v/>
      </c>
      <c r="AE253" s="4">
        <f>MAX(0,R253-MAX(0,Z253-SUM(Q253:Q253)))</f>
        <v/>
      </c>
      <c r="AF253" s="4">
        <f>MAX(0,S253-MAX(0,Z253-SUM(Q253:R253)))</f>
        <v/>
      </c>
      <c r="AG253" s="4">
        <f>MAX(0,T253-MAX(0,Z253-SUM(Q253:S253)))</f>
        <v/>
      </c>
      <c r="AH253" s="4">
        <f>MAX(0,U253-MAX(0,Z253-SUM(Q253:T253)))</f>
        <v/>
      </c>
      <c r="AI253" s="4">
        <f>MAX(0,V253-MAX(0,Z253-SUM(Q253:U253)))</f>
        <v/>
      </c>
      <c r="AJ253" s="4">
        <f>MAX(0,W253-MAX(0,Z253-SUM(Q253:V253)))</f>
        <v/>
      </c>
      <c r="AK253" s="4">
        <f>MAX(0,X253-MAX(0,Z253-SUM(Q253:W253)))</f>
        <v/>
      </c>
      <c r="AL253" s="4">
        <f>MAX(0,Y253-MAX(0,Z253-SUM(Q253:X253)))</f>
        <v/>
      </c>
    </row>
    <row r="254">
      <c r="A254" s="4" t="inlineStr">
        <is>
          <t>HASLS22260902132</t>
        </is>
      </c>
      <c r="B254" s="4" t="inlineStr">
        <is>
          <t>DJCF</t>
        </is>
      </c>
      <c r="C254" s="4" t="inlineStr">
        <is>
          <t>0152N</t>
        </is>
      </c>
      <c r="D254" s="4" t="inlineStr">
        <is>
          <t>202610111000</t>
        </is>
      </c>
      <c r="E254" s="4" t="inlineStr"/>
      <c r="F254" s="4" t="inlineStr">
        <is>
          <t>THBKK</t>
        </is>
      </c>
      <c r="G254" s="4" t="inlineStr">
        <is>
          <t>VNSGN</t>
        </is>
      </c>
      <c r="H254" s="4" t="inlineStr">
        <is>
          <t xml:space="preserve">20RFx1 </t>
        </is>
      </c>
      <c r="I254" s="4" t="inlineStr">
        <is>
          <t>BKK27</t>
        </is>
      </c>
      <c r="J254" s="4" t="inlineStr">
        <is>
          <t>B.C. DEPOT CO.,LTD. ( Bang-Na KM.18)</t>
        </is>
      </c>
      <c r="K254" s="4" t="inlineStr">
        <is>
          <t>20261005</t>
        </is>
      </c>
      <c r="L254" s="4" t="inlineStr">
        <is>
          <t>CONAIR INTERTRAFFIC CO., LTD.</t>
        </is>
      </c>
      <c r="M254" s="4" t="inlineStr">
        <is>
          <t>R&amp;B FOOD SUPPLY PUBLIC COMPANY LIMITED</t>
        </is>
      </c>
      <c r="N254" s="4" t="inlineStr">
        <is>
          <t>BREADCRUMB</t>
        </is>
      </c>
      <c r="O254" s="4" t="inlineStr">
        <is>
          <t>*PRECOOL* (Temp -18.0℃ / Vent Close)</t>
        </is>
      </c>
      <c r="P254" s="4" t="inlineStr">
        <is>
          <t>Pickup : 2026-10-05, Return : 2026-10-05 (Temp -18.0 / Vent Close) 
Closing Time 2026-10-10 @ 06.00 * PRE COOL COST 1,000 BAHT*</t>
        </is>
      </c>
      <c r="Q254" s="4" t="n">
        <v>0</v>
      </c>
      <c r="R254" s="4" t="n">
        <v>0</v>
      </c>
      <c r="S254" s="4" t="n">
        <v>0</v>
      </c>
      <c r="T254" s="4" t="n">
        <v>1</v>
      </c>
      <c r="U254" s="4" t="n">
        <v>0</v>
      </c>
      <c r="V254" s="4" t="n">
        <v>0</v>
      </c>
      <c r="W254" s="4" t="n">
        <v>0</v>
      </c>
      <c r="X254" s="4" t="n">
        <v>0</v>
      </c>
      <c r="Y254" s="4" t="n">
        <v>0</v>
      </c>
      <c r="Z254" s="4" t="n">
        <v>0</v>
      </c>
      <c r="AA254" s="4" t="n">
        <v>0</v>
      </c>
      <c r="AB254" s="4">
        <f>SUM(Q254:Y254)-Z254</f>
        <v/>
      </c>
      <c r="AC254" s="4">
        <f>IF(I254="","",IF(OR(LEFT(I254,3)="BKK",I254="LCH55"),"BKK",IF(LEFT(I254,3)="LCH","LCH","OTHER")))</f>
        <v/>
      </c>
      <c r="AD254" s="4">
        <f>MAX(0,Q254-MAX(0,Z254))</f>
        <v/>
      </c>
      <c r="AE254" s="4">
        <f>MAX(0,R254-MAX(0,Z254-SUM(Q254:Q254)))</f>
        <v/>
      </c>
      <c r="AF254" s="4">
        <f>MAX(0,S254-MAX(0,Z254-SUM(Q254:R254)))</f>
        <v/>
      </c>
      <c r="AG254" s="4">
        <f>MAX(0,T254-MAX(0,Z254-SUM(Q254:S254)))</f>
        <v/>
      </c>
      <c r="AH254" s="4">
        <f>MAX(0,U254-MAX(0,Z254-SUM(Q254:T254)))</f>
        <v/>
      </c>
      <c r="AI254" s="4">
        <f>MAX(0,V254-MAX(0,Z254-SUM(Q254:U254)))</f>
        <v/>
      </c>
      <c r="AJ254" s="4">
        <f>MAX(0,W254-MAX(0,Z254-SUM(Q254:V254)))</f>
        <v/>
      </c>
      <c r="AK254" s="4">
        <f>MAX(0,X254-MAX(0,Z254-SUM(Q254:W254)))</f>
        <v/>
      </c>
      <c r="AL254" s="4">
        <f>MAX(0,Y254-MAX(0,Z254-SUM(Q254:X254)))</f>
        <v/>
      </c>
    </row>
    <row r="255">
      <c r="A255" s="4" t="inlineStr">
        <is>
          <t>HASLS22260902140</t>
        </is>
      </c>
      <c r="B255" s="4" t="inlineStr">
        <is>
          <t>SKOR</t>
        </is>
      </c>
      <c r="C255" s="4" t="inlineStr">
        <is>
          <t>2612N</t>
        </is>
      </c>
      <c r="D255" s="4" t="inlineStr">
        <is>
          <t>202610181700</t>
        </is>
      </c>
      <c r="E255" s="4" t="inlineStr"/>
      <c r="F255" s="4" t="inlineStr">
        <is>
          <t>THBKK</t>
        </is>
      </c>
      <c r="G255" s="4" t="inlineStr">
        <is>
          <t>HKHKG</t>
        </is>
      </c>
      <c r="H255" s="4" t="inlineStr">
        <is>
          <t xml:space="preserve">40Hx1 </t>
        </is>
      </c>
      <c r="I255" s="4" t="inlineStr">
        <is>
          <t>BKK27</t>
        </is>
      </c>
      <c r="J255" s="4" t="inlineStr">
        <is>
          <t>B.C. DEPOT CO.,LTD. ( Bang-Na KM.18)</t>
        </is>
      </c>
      <c r="K255" s="4" t="inlineStr">
        <is>
          <t>20261012</t>
        </is>
      </c>
      <c r="L255" s="4" t="inlineStr">
        <is>
          <t>ELC CONTAINER LINES CO.,LTD.</t>
        </is>
      </c>
      <c r="M255" s="4" t="inlineStr">
        <is>
          <t>THAI ARROW PRODUCTS CO., LTD.</t>
        </is>
      </c>
      <c r="N255" s="4" t="inlineStr">
        <is>
          <t>RAW MATERIAL</t>
        </is>
      </c>
      <c r="O255" s="4" t="inlineStr">
        <is>
          <t>CONTAINER GRADE A</t>
        </is>
      </c>
      <c r="P255" s="4" t="inlineStr">
        <is>
          <t>Pickup : 2026-10-12, Return : 2026-10-14</t>
        </is>
      </c>
      <c r="Q255" s="4" t="n">
        <v>0</v>
      </c>
      <c r="R255" s="4" t="n">
        <v>0</v>
      </c>
      <c r="S255" s="4" t="n">
        <v>1</v>
      </c>
      <c r="T255" s="4" t="n">
        <v>0</v>
      </c>
      <c r="U255" s="4" t="n">
        <v>0</v>
      </c>
      <c r="V255" s="4" t="n">
        <v>0</v>
      </c>
      <c r="W255" s="4" t="n">
        <v>0</v>
      </c>
      <c r="X255" s="4" t="n">
        <v>0</v>
      </c>
      <c r="Y255" s="4" t="n">
        <v>0</v>
      </c>
      <c r="Z255" s="4" t="n">
        <v>0</v>
      </c>
      <c r="AA255" s="4" t="n">
        <v>0</v>
      </c>
      <c r="AB255" s="4">
        <f>SUM(Q255:Y255)-Z255</f>
        <v/>
      </c>
      <c r="AC255" s="4">
        <f>IF(I255="","",IF(OR(LEFT(I255,3)="BKK",I255="LCH55"),"BKK",IF(LEFT(I255,3)="LCH","LCH","OTHER")))</f>
        <v/>
      </c>
      <c r="AD255" s="4">
        <f>MAX(0,Q255-MAX(0,Z255))</f>
        <v/>
      </c>
      <c r="AE255" s="4">
        <f>MAX(0,R255-MAX(0,Z255-SUM(Q255:Q255)))</f>
        <v/>
      </c>
      <c r="AF255" s="4">
        <f>MAX(0,S255-MAX(0,Z255-SUM(Q255:R255)))</f>
        <v/>
      </c>
      <c r="AG255" s="4">
        <f>MAX(0,T255-MAX(0,Z255-SUM(Q255:S255)))</f>
        <v/>
      </c>
      <c r="AH255" s="4">
        <f>MAX(0,U255-MAX(0,Z255-SUM(Q255:T255)))</f>
        <v/>
      </c>
      <c r="AI255" s="4">
        <f>MAX(0,V255-MAX(0,Z255-SUM(Q255:U255)))</f>
        <v/>
      </c>
      <c r="AJ255" s="4">
        <f>MAX(0,W255-MAX(0,Z255-SUM(Q255:V255)))</f>
        <v/>
      </c>
      <c r="AK255" s="4">
        <f>MAX(0,X255-MAX(0,Z255-SUM(Q255:W255)))</f>
        <v/>
      </c>
      <c r="AL255" s="4">
        <f>MAX(0,Y255-MAX(0,Z255-SUM(Q255:X255)))</f>
        <v/>
      </c>
    </row>
    <row r="256">
      <c r="A256" s="4" t="inlineStr">
        <is>
          <t>HASLS22260902142</t>
        </is>
      </c>
      <c r="B256" s="4" t="inlineStr">
        <is>
          <t>SWSR</t>
        </is>
      </c>
      <c r="C256" s="4" t="inlineStr">
        <is>
          <t>2611N</t>
        </is>
      </c>
      <c r="D256" s="4" t="inlineStr">
        <is>
          <t>202610110900</t>
        </is>
      </c>
      <c r="E256" s="4" t="inlineStr"/>
      <c r="F256" s="4" t="inlineStr">
        <is>
          <t>THBKK</t>
        </is>
      </c>
      <c r="G256" s="4" t="inlineStr">
        <is>
          <t>HKHKG</t>
        </is>
      </c>
      <c r="H256" s="4" t="inlineStr">
        <is>
          <t xml:space="preserve">40Hx1 </t>
        </is>
      </c>
      <c r="I256" s="4" t="inlineStr">
        <is>
          <t>BKK27</t>
        </is>
      </c>
      <c r="J256" s="4" t="inlineStr">
        <is>
          <t>B.C. DEPOT CO.,LTD. ( Bang-Na KM.18)</t>
        </is>
      </c>
      <c r="K256" s="4" t="inlineStr">
        <is>
          <t>20261005</t>
        </is>
      </c>
      <c r="L256" s="4" t="inlineStr">
        <is>
          <t>ELC CONTAINER LINES CO.,LTD.</t>
        </is>
      </c>
      <c r="M256" s="4" t="inlineStr">
        <is>
          <t>THAI ARROW PRODUCTS CO., LTD.</t>
        </is>
      </c>
      <c r="N256" s="4" t="inlineStr">
        <is>
          <t>RAW MATERIAL</t>
        </is>
      </c>
      <c r="O256" s="4" t="inlineStr">
        <is>
          <t>CONTAINER GRADE A</t>
        </is>
      </c>
      <c r="P256" s="4" t="inlineStr">
        <is>
          <t xml:space="preserve">Pickup : 2026-10-05, Return : 2026-10-07 </t>
        </is>
      </c>
      <c r="Q256" s="4" t="n">
        <v>0</v>
      </c>
      <c r="R256" s="4" t="n">
        <v>0</v>
      </c>
      <c r="S256" s="4" t="n">
        <v>1</v>
      </c>
      <c r="T256" s="4" t="n">
        <v>0</v>
      </c>
      <c r="U256" s="4" t="n">
        <v>0</v>
      </c>
      <c r="V256" s="4" t="n">
        <v>0</v>
      </c>
      <c r="W256" s="4" t="n">
        <v>0</v>
      </c>
      <c r="X256" s="4" t="n">
        <v>0</v>
      </c>
      <c r="Y256" s="4" t="n">
        <v>0</v>
      </c>
      <c r="Z256" s="4" t="n">
        <v>0</v>
      </c>
      <c r="AA256" s="4" t="n">
        <v>0</v>
      </c>
      <c r="AB256" s="4">
        <f>SUM(Q256:Y256)-Z256</f>
        <v/>
      </c>
      <c r="AC256" s="4">
        <f>IF(I256="","",IF(OR(LEFT(I256,3)="BKK",I256="LCH55"),"BKK",IF(LEFT(I256,3)="LCH","LCH","OTHER")))</f>
        <v/>
      </c>
      <c r="AD256" s="4">
        <f>MAX(0,Q256-MAX(0,Z256))</f>
        <v/>
      </c>
      <c r="AE256" s="4">
        <f>MAX(0,R256-MAX(0,Z256-SUM(Q256:Q256)))</f>
        <v/>
      </c>
      <c r="AF256" s="4">
        <f>MAX(0,S256-MAX(0,Z256-SUM(Q256:R256)))</f>
        <v/>
      </c>
      <c r="AG256" s="4">
        <f>MAX(0,T256-MAX(0,Z256-SUM(Q256:S256)))</f>
        <v/>
      </c>
      <c r="AH256" s="4">
        <f>MAX(0,U256-MAX(0,Z256-SUM(Q256:T256)))</f>
        <v/>
      </c>
      <c r="AI256" s="4">
        <f>MAX(0,V256-MAX(0,Z256-SUM(Q256:U256)))</f>
        <v/>
      </c>
      <c r="AJ256" s="4">
        <f>MAX(0,W256-MAX(0,Z256-SUM(Q256:V256)))</f>
        <v/>
      </c>
      <c r="AK256" s="4">
        <f>MAX(0,X256-MAX(0,Z256-SUM(Q256:W256)))</f>
        <v/>
      </c>
      <c r="AL256" s="4">
        <f>MAX(0,Y256-MAX(0,Z256-SUM(Q256:X256)))</f>
        <v/>
      </c>
    </row>
    <row r="257">
      <c r="A257" s="4" t="inlineStr">
        <is>
          <t>HASLS22260902152</t>
        </is>
      </c>
      <c r="B257" s="4" t="inlineStr">
        <is>
          <t>KMBK</t>
        </is>
      </c>
      <c r="C257" s="4" t="inlineStr">
        <is>
          <t>2611N</t>
        </is>
      </c>
      <c r="D257" s="4" t="inlineStr">
        <is>
          <t>202610030900</t>
        </is>
      </c>
      <c r="E257" s="4" t="inlineStr"/>
      <c r="F257" s="4" t="inlineStr">
        <is>
          <t>THBKK</t>
        </is>
      </c>
      <c r="G257" s="4" t="inlineStr">
        <is>
          <t>VNSGN</t>
        </is>
      </c>
      <c r="H257" s="4" t="inlineStr">
        <is>
          <t xml:space="preserve">20'x1 </t>
        </is>
      </c>
      <c r="I257" s="4" t="inlineStr">
        <is>
          <t>BKK27</t>
        </is>
      </c>
      <c r="J257" s="4" t="inlineStr">
        <is>
          <t>B.C. DEPOT CO.,LTD. ( Bang-Na KM.18)</t>
        </is>
      </c>
      <c r="K257" s="4" t="inlineStr">
        <is>
          <t>20260929</t>
        </is>
      </c>
      <c r="L257" s="4" t="inlineStr">
        <is>
          <t>SCANWELL LOGISTICS (THAILAND) CO., LTD.</t>
        </is>
      </c>
      <c r="M257" s="4" t="inlineStr">
        <is>
          <t>FOOD GRAVITY CO.,LTD.</t>
        </is>
      </c>
      <c r="N257" s="4" t="inlineStr">
        <is>
          <t>FLAVOURED SYRUP</t>
        </is>
      </c>
      <c r="O257" s="4" t="inlineStr">
        <is>
          <t>REQUEST FOOD GRADE CONTAINER, DRY AND CLEAN CONTAINER</t>
        </is>
      </c>
      <c r="P257" s="4" t="inlineStr">
        <is>
          <t>Pickup : 2026-09-29, Return : 2026-09-30</t>
        </is>
      </c>
      <c r="Q257" s="4" t="n">
        <v>1</v>
      </c>
      <c r="R257" s="4" t="n">
        <v>0</v>
      </c>
      <c r="S257" s="4" t="n">
        <v>0</v>
      </c>
      <c r="T257" s="4" t="n">
        <v>0</v>
      </c>
      <c r="U257" s="4" t="n">
        <v>0</v>
      </c>
      <c r="V257" s="4" t="n">
        <v>0</v>
      </c>
      <c r="W257" s="4" t="n">
        <v>0</v>
      </c>
      <c r="X257" s="4" t="n">
        <v>0</v>
      </c>
      <c r="Y257" s="4" t="n">
        <v>0</v>
      </c>
      <c r="Z257" s="4" t="n">
        <v>0</v>
      </c>
      <c r="AA257" s="4" t="n">
        <v>0</v>
      </c>
      <c r="AB257" s="4">
        <f>SUM(Q257:Y257)-Z257</f>
        <v/>
      </c>
      <c r="AC257" s="4">
        <f>IF(I257="","",IF(OR(LEFT(I257,3)="BKK",I257="LCH55"),"BKK",IF(LEFT(I257,3)="LCH","LCH","OTHER")))</f>
        <v/>
      </c>
      <c r="AD257" s="4">
        <f>MAX(0,Q257-MAX(0,Z257))</f>
        <v/>
      </c>
      <c r="AE257" s="4">
        <f>MAX(0,R257-MAX(0,Z257-SUM(Q257:Q257)))</f>
        <v/>
      </c>
      <c r="AF257" s="4">
        <f>MAX(0,S257-MAX(0,Z257-SUM(Q257:R257)))</f>
        <v/>
      </c>
      <c r="AG257" s="4">
        <f>MAX(0,T257-MAX(0,Z257-SUM(Q257:S257)))</f>
        <v/>
      </c>
      <c r="AH257" s="4">
        <f>MAX(0,U257-MAX(0,Z257-SUM(Q257:T257)))</f>
        <v/>
      </c>
      <c r="AI257" s="4">
        <f>MAX(0,V257-MAX(0,Z257-SUM(Q257:U257)))</f>
        <v/>
      </c>
      <c r="AJ257" s="4">
        <f>MAX(0,W257-MAX(0,Z257-SUM(Q257:V257)))</f>
        <v/>
      </c>
      <c r="AK257" s="4">
        <f>MAX(0,X257-MAX(0,Z257-SUM(Q257:W257)))</f>
        <v/>
      </c>
      <c r="AL257" s="4">
        <f>MAX(0,Y257-MAX(0,Z257-SUM(Q257:X257)))</f>
        <v/>
      </c>
    </row>
    <row r="258">
      <c r="A258" s="4" t="inlineStr">
        <is>
          <t>HASLS22260902158</t>
        </is>
      </c>
      <c r="B258" s="4" t="inlineStr">
        <is>
          <t>SWBT</t>
        </is>
      </c>
      <c r="C258" s="4" t="inlineStr">
        <is>
          <t>2616N</t>
        </is>
      </c>
      <c r="D258" s="4" t="inlineStr">
        <is>
          <t>202610130600</t>
        </is>
      </c>
      <c r="E258" s="4" t="inlineStr"/>
      <c r="F258" s="4" t="inlineStr">
        <is>
          <t>THBKK</t>
        </is>
      </c>
      <c r="G258" s="4" t="inlineStr">
        <is>
          <t>VNSGN</t>
        </is>
      </c>
      <c r="H258" s="4" t="inlineStr">
        <is>
          <t xml:space="preserve">20'x2 </t>
        </is>
      </c>
      <c r="I258" s="4" t="inlineStr">
        <is>
          <t>BKK27</t>
        </is>
      </c>
      <c r="J258" s="4" t="inlineStr">
        <is>
          <t>B.C. DEPOT CO.,LTD. ( Bang-Na KM.18)</t>
        </is>
      </c>
      <c r="K258" s="4" t="inlineStr">
        <is>
          <t>20261007</t>
        </is>
      </c>
      <c r="L258" s="4" t="inlineStr">
        <is>
          <t>ICONS GLOBAL LOGISTICS CO., LTD.</t>
        </is>
      </c>
      <c r="M258" s="4" t="inlineStr">
        <is>
          <t>THANAKORN VEGETABLE OIL PRODUCTS CO., LTD.</t>
        </is>
      </c>
      <c r="N258" s="4" t="inlineStr">
        <is>
          <t>SOYBEAN OIL</t>
        </is>
      </c>
      <c r="O258" s="4" t="inlineStr">
        <is>
          <t>** APPROVED BY GHL DD.23/09/2026 ** *FLEXIBAG ONDECK*
Survey : 2026-10-07, Pickup : 2026-10-08</t>
        </is>
      </c>
      <c r="P258" s="4" t="inlineStr">
        <is>
          <t>** APPROVED BY GHL DD.23/09/2026 ** *FLEXIBAG ONDECK*
Survey : 2026-10-07, Pickup : 2026-10-08, Return : 2026-10-09</t>
        </is>
      </c>
      <c r="Q258" s="4" t="n">
        <v>2</v>
      </c>
      <c r="R258" s="4" t="n">
        <v>0</v>
      </c>
      <c r="S258" s="4" t="n">
        <v>0</v>
      </c>
      <c r="T258" s="4" t="n">
        <v>0</v>
      </c>
      <c r="U258" s="4" t="n">
        <v>0</v>
      </c>
      <c r="V258" s="4" t="n">
        <v>0</v>
      </c>
      <c r="W258" s="4" t="n">
        <v>0</v>
      </c>
      <c r="X258" s="4" t="n">
        <v>0</v>
      </c>
      <c r="Y258" s="4" t="n">
        <v>0</v>
      </c>
      <c r="Z258" s="4" t="n">
        <v>0</v>
      </c>
      <c r="AA258" s="4" t="n">
        <v>0</v>
      </c>
      <c r="AB258" s="4">
        <f>SUM(Q258:Y258)-Z258</f>
        <v/>
      </c>
      <c r="AC258" s="4">
        <f>IF(I258="","",IF(OR(LEFT(I258,3)="BKK",I258="LCH55"),"BKK",IF(LEFT(I258,3)="LCH","LCH","OTHER")))</f>
        <v/>
      </c>
      <c r="AD258" s="4">
        <f>MAX(0,Q258-MAX(0,Z258))</f>
        <v/>
      </c>
      <c r="AE258" s="4">
        <f>MAX(0,R258-MAX(0,Z258-SUM(Q258:Q258)))</f>
        <v/>
      </c>
      <c r="AF258" s="4">
        <f>MAX(0,S258-MAX(0,Z258-SUM(Q258:R258)))</f>
        <v/>
      </c>
      <c r="AG258" s="4">
        <f>MAX(0,T258-MAX(0,Z258-SUM(Q258:S258)))</f>
        <v/>
      </c>
      <c r="AH258" s="4">
        <f>MAX(0,U258-MAX(0,Z258-SUM(Q258:T258)))</f>
        <v/>
      </c>
      <c r="AI258" s="4">
        <f>MAX(0,V258-MAX(0,Z258-SUM(Q258:U258)))</f>
        <v/>
      </c>
      <c r="AJ258" s="4">
        <f>MAX(0,W258-MAX(0,Z258-SUM(Q258:V258)))</f>
        <v/>
      </c>
      <c r="AK258" s="4">
        <f>MAX(0,X258-MAX(0,Z258-SUM(Q258:W258)))</f>
        <v/>
      </c>
      <c r="AL258" s="4">
        <f>MAX(0,Y258-MAX(0,Z258-SUM(Q258:X258)))</f>
        <v/>
      </c>
    </row>
    <row r="259">
      <c r="A259" s="4" t="inlineStr">
        <is>
          <t>HASLS22260902159</t>
        </is>
      </c>
      <c r="B259" s="4" t="inlineStr">
        <is>
          <t>KJT</t>
        </is>
      </c>
      <c r="C259" s="4" t="inlineStr">
        <is>
          <t>2611N</t>
        </is>
      </c>
      <c r="D259" s="4" t="inlineStr">
        <is>
          <t>202610141800</t>
        </is>
      </c>
      <c r="E259" s="4" t="inlineStr"/>
      <c r="F259" s="4" t="inlineStr">
        <is>
          <t>THBKK</t>
        </is>
      </c>
      <c r="G259" s="4" t="inlineStr">
        <is>
          <t>HKHKG</t>
        </is>
      </c>
      <c r="H259" s="4" t="inlineStr">
        <is>
          <t xml:space="preserve">20'x2 </t>
        </is>
      </c>
      <c r="I259" s="4" t="inlineStr">
        <is>
          <t>BKK27</t>
        </is>
      </c>
      <c r="J259" s="4" t="inlineStr">
        <is>
          <t>B.C. DEPOT CO.,LTD. ( Bang-Na KM.18)</t>
        </is>
      </c>
      <c r="K259" s="4" t="inlineStr">
        <is>
          <t>20261010</t>
        </is>
      </c>
      <c r="L259" s="4" t="inlineStr">
        <is>
          <t>ELIO LOGISTICS (THAILAND) CO., LTD</t>
        </is>
      </c>
      <c r="M259" s="4" t="inlineStr">
        <is>
          <t>CHAITIP CO., LTD.</t>
        </is>
      </c>
      <c r="N259" s="4" t="inlineStr">
        <is>
          <t>RICE IN BAG</t>
        </is>
      </c>
      <c r="O259" s="4" t="inlineStr">
        <is>
          <t>RQST CONTAINER 30 TONS.</t>
        </is>
      </c>
      <c r="P259" s="4" t="inlineStr">
        <is>
          <t xml:space="preserve">Pickup : 2026-10-10, Return : 2026-10-12 // EXTEND CLS TIME 12/10 @23.59 
 </t>
        </is>
      </c>
      <c r="Q259" s="4" t="n">
        <v>2</v>
      </c>
      <c r="R259" s="4" t="n">
        <v>0</v>
      </c>
      <c r="S259" s="4" t="n">
        <v>0</v>
      </c>
      <c r="T259" s="4" t="n">
        <v>0</v>
      </c>
      <c r="U259" s="4" t="n">
        <v>0</v>
      </c>
      <c r="V259" s="4" t="n">
        <v>0</v>
      </c>
      <c r="W259" s="4" t="n">
        <v>0</v>
      </c>
      <c r="X259" s="4" t="n">
        <v>0</v>
      </c>
      <c r="Y259" s="4" t="n">
        <v>0</v>
      </c>
      <c r="Z259" s="4" t="n">
        <v>0</v>
      </c>
      <c r="AA259" s="4" t="n">
        <v>0</v>
      </c>
      <c r="AB259" s="4">
        <f>SUM(Q259:Y259)-Z259</f>
        <v/>
      </c>
      <c r="AC259" s="4">
        <f>IF(I259="","",IF(OR(LEFT(I259,3)="BKK",I259="LCH55"),"BKK",IF(LEFT(I259,3)="LCH","LCH","OTHER")))</f>
        <v/>
      </c>
      <c r="AD259" s="4">
        <f>MAX(0,Q259-MAX(0,Z259))</f>
        <v/>
      </c>
      <c r="AE259" s="4">
        <f>MAX(0,R259-MAX(0,Z259-SUM(Q259:Q259)))</f>
        <v/>
      </c>
      <c r="AF259" s="4">
        <f>MAX(0,S259-MAX(0,Z259-SUM(Q259:R259)))</f>
        <v/>
      </c>
      <c r="AG259" s="4">
        <f>MAX(0,T259-MAX(0,Z259-SUM(Q259:S259)))</f>
        <v/>
      </c>
      <c r="AH259" s="4">
        <f>MAX(0,U259-MAX(0,Z259-SUM(Q259:T259)))</f>
        <v/>
      </c>
      <c r="AI259" s="4">
        <f>MAX(0,V259-MAX(0,Z259-SUM(Q259:U259)))</f>
        <v/>
      </c>
      <c r="AJ259" s="4">
        <f>MAX(0,W259-MAX(0,Z259-SUM(Q259:V259)))</f>
        <v/>
      </c>
      <c r="AK259" s="4">
        <f>MAX(0,X259-MAX(0,Z259-SUM(Q259:W259)))</f>
        <v/>
      </c>
      <c r="AL259" s="4">
        <f>MAX(0,Y259-MAX(0,Z259-SUM(Q259:X259)))</f>
        <v/>
      </c>
    </row>
    <row r="260">
      <c r="A260" s="4" t="inlineStr">
        <is>
          <t>HASLS22260902161</t>
        </is>
      </c>
      <c r="B260" s="4" t="inlineStr">
        <is>
          <t>KXM</t>
        </is>
      </c>
      <c r="C260" s="4" t="inlineStr">
        <is>
          <t>2608S</t>
        </is>
      </c>
      <c r="D260" s="4" t="inlineStr">
        <is>
          <t>202610100500</t>
        </is>
      </c>
      <c r="E260" s="4" t="inlineStr">
        <is>
          <t>THLKR</t>
        </is>
      </c>
      <c r="F260" s="4" t="inlineStr">
        <is>
          <t>THLCH</t>
        </is>
      </c>
      <c r="G260" s="4" t="inlineStr">
        <is>
          <t>IDJKT</t>
        </is>
      </c>
      <c r="H260" s="4" t="inlineStr">
        <is>
          <t xml:space="preserve">40Hx1 </t>
        </is>
      </c>
      <c r="I260" s="4" t="inlineStr">
        <is>
          <t>BKK27</t>
        </is>
      </c>
      <c r="J260" s="4" t="inlineStr">
        <is>
          <t>B.C. DEPOT CO.,LTD. ( Bang-Na KM.18)</t>
        </is>
      </c>
      <c r="K260" s="4" t="inlineStr">
        <is>
          <t>20261005</t>
        </is>
      </c>
      <c r="L260" s="4" t="inlineStr">
        <is>
          <t>TRANS UNITED LOGISTICS CO., LTD.</t>
        </is>
      </c>
      <c r="M260" s="4" t="inlineStr">
        <is>
          <t>THAI NAMSIRI INTERTEX CO., LTD.</t>
        </is>
      </c>
      <c r="N260" s="4" t="inlineStr">
        <is>
          <t>RETURNABLE IRON BOBBINS</t>
        </is>
      </c>
      <c r="O260" s="4" t="inlineStr">
        <is>
          <t>GOOD AND CLEAN CONTAINER</t>
        </is>
      </c>
      <c r="P260" s="4" t="inlineStr">
        <is>
          <t>Pickup : 2026-10-05, Return : 2026-10-06 Paperless Code 2835
Closing Time LKB 2026-10-07 @ 18.00</t>
        </is>
      </c>
      <c r="Q260" s="4" t="n">
        <v>0</v>
      </c>
      <c r="R260" s="4" t="n">
        <v>0</v>
      </c>
      <c r="S260" s="4" t="n">
        <v>1</v>
      </c>
      <c r="T260" s="4" t="n">
        <v>0</v>
      </c>
      <c r="U260" s="4" t="n">
        <v>0</v>
      </c>
      <c r="V260" s="4" t="n">
        <v>0</v>
      </c>
      <c r="W260" s="4" t="n">
        <v>0</v>
      </c>
      <c r="X260" s="4" t="n">
        <v>0</v>
      </c>
      <c r="Y260" s="4" t="n">
        <v>0</v>
      </c>
      <c r="Z260" s="4" t="n">
        <v>0</v>
      </c>
      <c r="AA260" s="4" t="n">
        <v>0</v>
      </c>
      <c r="AB260" s="4">
        <f>SUM(Q260:Y260)-Z260</f>
        <v/>
      </c>
      <c r="AC260" s="4">
        <f>IF(I260="","",IF(OR(LEFT(I260,3)="BKK",I260="LCH55"),"BKK",IF(LEFT(I260,3)="LCH","LCH","OTHER")))</f>
        <v/>
      </c>
      <c r="AD260" s="4">
        <f>MAX(0,Q260-MAX(0,Z260))</f>
        <v/>
      </c>
      <c r="AE260" s="4">
        <f>MAX(0,R260-MAX(0,Z260-SUM(Q260:Q260)))</f>
        <v/>
      </c>
      <c r="AF260" s="4">
        <f>MAX(0,S260-MAX(0,Z260-SUM(Q260:R260)))</f>
        <v/>
      </c>
      <c r="AG260" s="4">
        <f>MAX(0,T260-MAX(0,Z260-SUM(Q260:S260)))</f>
        <v/>
      </c>
      <c r="AH260" s="4">
        <f>MAX(0,U260-MAX(0,Z260-SUM(Q260:T260)))</f>
        <v/>
      </c>
      <c r="AI260" s="4">
        <f>MAX(0,V260-MAX(0,Z260-SUM(Q260:U260)))</f>
        <v/>
      </c>
      <c r="AJ260" s="4">
        <f>MAX(0,W260-MAX(0,Z260-SUM(Q260:V260)))</f>
        <v/>
      </c>
      <c r="AK260" s="4">
        <f>MAX(0,X260-MAX(0,Z260-SUM(Q260:W260)))</f>
        <v/>
      </c>
      <c r="AL260" s="4">
        <f>MAX(0,Y260-MAX(0,Z260-SUM(Q260:X260)))</f>
        <v/>
      </c>
    </row>
    <row r="261">
      <c r="A261" s="4" t="inlineStr">
        <is>
          <t>HASLS22260902173</t>
        </is>
      </c>
      <c r="B261" s="4" t="inlineStr">
        <is>
          <t>HMVY</t>
        </is>
      </c>
      <c r="C261" s="4" t="inlineStr">
        <is>
          <t>2609N</t>
        </is>
      </c>
      <c r="D261" s="4" t="inlineStr">
        <is>
          <t>202610200330</t>
        </is>
      </c>
      <c r="E261" s="4" t="inlineStr">
        <is>
          <t>THSRP</t>
        </is>
      </c>
      <c r="F261" s="4" t="inlineStr">
        <is>
          <t>THLCH</t>
        </is>
      </c>
      <c r="G261" s="4" t="inlineStr">
        <is>
          <t>CNSHA</t>
        </is>
      </c>
      <c r="H261" s="4" t="inlineStr">
        <is>
          <t xml:space="preserve">40Hx1 </t>
        </is>
      </c>
      <c r="I261" s="4" t="inlineStr">
        <is>
          <t>BKK27</t>
        </is>
      </c>
      <c r="J261" s="4" t="inlineStr">
        <is>
          <t>B.C. DEPOT CO.,LTD. ( Bang-Na KM.18)</t>
        </is>
      </c>
      <c r="K261" s="4" t="inlineStr">
        <is>
          <t>20261013</t>
        </is>
      </c>
      <c r="L261" s="4" t="inlineStr">
        <is>
          <t>YUSEN LOGISTICS (THAILAND) CO., LTD.</t>
        </is>
      </c>
      <c r="M261" s="4" t="inlineStr">
        <is>
          <t>IDEC ASIA (THAILAND) CO., LTD.</t>
        </is>
      </c>
      <c r="N261" s="4" t="inlineStr">
        <is>
          <t>CONTACT BLOCK / ELECTRONIC PART</t>
        </is>
      </c>
      <c r="O261" s="4" t="inlineStr">
        <is>
          <t>GOOD AND CLEAN CONTAINER</t>
        </is>
      </c>
      <c r="P261" s="4" t="inlineStr">
        <is>
          <t>Pickup : 2026-10-13, Return SRP : 2026-10-14 [PAPERLESS CODE 2829]
CLS TIME 14/10/26 @12.00</t>
        </is>
      </c>
      <c r="Q261" s="4" t="n">
        <v>0</v>
      </c>
      <c r="R261" s="4" t="n">
        <v>0</v>
      </c>
      <c r="S261" s="4" t="n">
        <v>1</v>
      </c>
      <c r="T261" s="4" t="n">
        <v>0</v>
      </c>
      <c r="U261" s="4" t="n">
        <v>0</v>
      </c>
      <c r="V261" s="4" t="n">
        <v>0</v>
      </c>
      <c r="W261" s="4" t="n">
        <v>0</v>
      </c>
      <c r="X261" s="4" t="n">
        <v>0</v>
      </c>
      <c r="Y261" s="4" t="n">
        <v>0</v>
      </c>
      <c r="Z261" s="4" t="n">
        <v>0</v>
      </c>
      <c r="AA261" s="4" t="n">
        <v>0</v>
      </c>
      <c r="AB261" s="4">
        <f>SUM(Q261:Y261)-Z261</f>
        <v/>
      </c>
      <c r="AC261" s="4">
        <f>IF(I261="","",IF(OR(LEFT(I261,3)="BKK",I261="LCH55"),"BKK",IF(LEFT(I261,3)="LCH","LCH","OTHER")))</f>
        <v/>
      </c>
      <c r="AD261" s="4">
        <f>MAX(0,Q261-MAX(0,Z261))</f>
        <v/>
      </c>
      <c r="AE261" s="4">
        <f>MAX(0,R261-MAX(0,Z261-SUM(Q261:Q261)))</f>
        <v/>
      </c>
      <c r="AF261" s="4">
        <f>MAX(0,S261-MAX(0,Z261-SUM(Q261:R261)))</f>
        <v/>
      </c>
      <c r="AG261" s="4">
        <f>MAX(0,T261-MAX(0,Z261-SUM(Q261:S261)))</f>
        <v/>
      </c>
      <c r="AH261" s="4">
        <f>MAX(0,U261-MAX(0,Z261-SUM(Q261:T261)))</f>
        <v/>
      </c>
      <c r="AI261" s="4">
        <f>MAX(0,V261-MAX(0,Z261-SUM(Q261:U261)))</f>
        <v/>
      </c>
      <c r="AJ261" s="4">
        <f>MAX(0,W261-MAX(0,Z261-SUM(Q261:V261)))</f>
        <v/>
      </c>
      <c r="AK261" s="4">
        <f>MAX(0,X261-MAX(0,Z261-SUM(Q261:W261)))</f>
        <v/>
      </c>
      <c r="AL261" s="4">
        <f>MAX(0,Y261-MAX(0,Z261-SUM(Q261:X261)))</f>
        <v/>
      </c>
    </row>
    <row r="262">
      <c r="A262" s="4" t="inlineStr">
        <is>
          <t>HASLS22260902176</t>
        </is>
      </c>
      <c r="B262" s="4" t="inlineStr">
        <is>
          <t>SWIC</t>
        </is>
      </c>
      <c r="C262" s="4" t="inlineStr">
        <is>
          <t>2611N</t>
        </is>
      </c>
      <c r="D262" s="4" t="inlineStr">
        <is>
          <t>202610130700</t>
        </is>
      </c>
      <c r="E262" s="4" t="inlineStr"/>
      <c r="F262" s="4" t="inlineStr">
        <is>
          <t>THBKK</t>
        </is>
      </c>
      <c r="G262" s="4" t="inlineStr">
        <is>
          <t>JPISS</t>
        </is>
      </c>
      <c r="H262" s="4" t="inlineStr">
        <is>
          <t xml:space="preserve">R40Hx1 </t>
        </is>
      </c>
      <c r="I262" s="4" t="inlineStr">
        <is>
          <t>BKK27</t>
        </is>
      </c>
      <c r="J262" s="4" t="inlineStr">
        <is>
          <t>B.C. DEPOT CO.,LTD. ( Bang-Na KM.18)</t>
        </is>
      </c>
      <c r="K262" s="4" t="inlineStr">
        <is>
          <t>20261008</t>
        </is>
      </c>
      <c r="L262" s="4" t="inlineStr">
        <is>
          <t>KODAI (THAILAND) CO., LTD.</t>
        </is>
      </c>
      <c r="M262" s="4" t="inlineStr">
        <is>
          <t>MCKEY FOOD SERVICES</t>
        </is>
      </c>
      <c r="N262" s="4" t="inlineStr">
        <is>
          <t>FROZEN CHICKEN</t>
        </is>
      </c>
      <c r="O262" s="4" t="inlineStr">
        <is>
          <t>RF45REx1 (Temp -25.0℃ / Vent Close) Request Thermo King or Carrier containers tare weight not exceeding 4.6 tons GRADE A CONTAINER</t>
        </is>
      </c>
      <c r="P262" s="4" t="inlineStr">
        <is>
          <t>Pickup : 2026-10-08, Return : 2026-10-09 RF45REx1 (Temp -25.0 / Vent Close) 
CLS TIME : 11/10/2026 @05.00 [1ST RTN 07/10/2026 W/O ELECTRIC]</t>
        </is>
      </c>
      <c r="Q262" s="4" t="n">
        <v>0</v>
      </c>
      <c r="R262" s="4" t="n">
        <v>0</v>
      </c>
      <c r="S262" s="4" t="n">
        <v>0</v>
      </c>
      <c r="T262" s="4" t="n">
        <v>0</v>
      </c>
      <c r="U262" s="4" t="n">
        <v>1</v>
      </c>
      <c r="V262" s="4" t="n">
        <v>0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>
        <f>SUM(Q262:Y262)-Z262</f>
        <v/>
      </c>
      <c r="AC262" s="4">
        <f>IF(I262="","",IF(OR(LEFT(I262,3)="BKK",I262="LCH55"),"BKK",IF(LEFT(I262,3)="LCH","LCH","OTHER")))</f>
        <v/>
      </c>
      <c r="AD262" s="4">
        <f>MAX(0,Q262-MAX(0,Z262))</f>
        <v/>
      </c>
      <c r="AE262" s="4">
        <f>MAX(0,R262-MAX(0,Z262-SUM(Q262:Q262)))</f>
        <v/>
      </c>
      <c r="AF262" s="4">
        <f>MAX(0,S262-MAX(0,Z262-SUM(Q262:R262)))</f>
        <v/>
      </c>
      <c r="AG262" s="4">
        <f>MAX(0,T262-MAX(0,Z262-SUM(Q262:S262)))</f>
        <v/>
      </c>
      <c r="AH262" s="4">
        <f>MAX(0,U262-MAX(0,Z262-SUM(Q262:T262)))</f>
        <v/>
      </c>
      <c r="AI262" s="4">
        <f>MAX(0,V262-MAX(0,Z262-SUM(Q262:U262)))</f>
        <v/>
      </c>
      <c r="AJ262" s="4">
        <f>MAX(0,W262-MAX(0,Z262-SUM(Q262:V262)))</f>
        <v/>
      </c>
      <c r="AK262" s="4">
        <f>MAX(0,X262-MAX(0,Z262-SUM(Q262:W262)))</f>
        <v/>
      </c>
      <c r="AL262" s="4">
        <f>MAX(0,Y262-MAX(0,Z262-SUM(Q262:X262)))</f>
        <v/>
      </c>
    </row>
    <row r="263">
      <c r="A263" s="4" t="inlineStr">
        <is>
          <t>HASLS22260902178</t>
        </is>
      </c>
      <c r="B263" s="4" t="inlineStr">
        <is>
          <t>SWAT</t>
        </is>
      </c>
      <c r="C263" s="4" t="inlineStr">
        <is>
          <t>2610N</t>
        </is>
      </c>
      <c r="D263" s="4" t="inlineStr">
        <is>
          <t>202610071700</t>
        </is>
      </c>
      <c r="E263" s="4" t="inlineStr"/>
      <c r="F263" s="4" t="inlineStr">
        <is>
          <t>THBKK</t>
        </is>
      </c>
      <c r="G263" s="4" t="inlineStr">
        <is>
          <t>TWKEL</t>
        </is>
      </c>
      <c r="H263" s="4" t="inlineStr">
        <is>
          <t xml:space="preserve">20'x1 </t>
        </is>
      </c>
      <c r="I263" s="4" t="inlineStr">
        <is>
          <t>BKK27</t>
        </is>
      </c>
      <c r="J263" s="4" t="inlineStr">
        <is>
          <t>B.C. DEPOT CO.,LTD. ( Bang-Na KM.18)</t>
        </is>
      </c>
      <c r="K263" s="4" t="inlineStr">
        <is>
          <t>20261001</t>
        </is>
      </c>
      <c r="L263" s="4" t="inlineStr">
        <is>
          <t>WORLD MEGA LOGISTICS (THAILAND) CO., LTD.</t>
        </is>
      </c>
      <c r="M263" s="4" t="inlineStr">
        <is>
          <t>JB ALL CO., LTD.</t>
        </is>
      </c>
      <c r="N263" s="4" t="inlineStr">
        <is>
          <t>PORCELAIN MOSAIC</t>
        </is>
      </c>
      <c r="O263" s="4" t="inlineStr">
        <is>
          <t>GOOD AND CLEAN CONTAINER</t>
        </is>
      </c>
      <c r="P263" s="4" t="inlineStr">
        <is>
          <t xml:space="preserve">Pickup : 2026-10-01, Return : 2026-10-02  </t>
        </is>
      </c>
      <c r="Q263" s="4" t="n">
        <v>1</v>
      </c>
      <c r="R263" s="4" t="n">
        <v>0</v>
      </c>
      <c r="S263" s="4" t="n">
        <v>0</v>
      </c>
      <c r="T263" s="4" t="n">
        <v>0</v>
      </c>
      <c r="U263" s="4" t="n">
        <v>0</v>
      </c>
      <c r="V263" s="4" t="n">
        <v>0</v>
      </c>
      <c r="W263" s="4" t="n">
        <v>0</v>
      </c>
      <c r="X263" s="4" t="n">
        <v>0</v>
      </c>
      <c r="Y263" s="4" t="n">
        <v>0</v>
      </c>
      <c r="Z263" s="4" t="n">
        <v>0</v>
      </c>
      <c r="AA263" s="4" t="n">
        <v>0</v>
      </c>
      <c r="AB263" s="4">
        <f>SUM(Q263:Y263)-Z263</f>
        <v/>
      </c>
      <c r="AC263" s="4">
        <f>IF(I263="","",IF(OR(LEFT(I263,3)="BKK",I263="LCH55"),"BKK",IF(LEFT(I263,3)="LCH","LCH","OTHER")))</f>
        <v/>
      </c>
      <c r="AD263" s="4">
        <f>MAX(0,Q263-MAX(0,Z263))</f>
        <v/>
      </c>
      <c r="AE263" s="4">
        <f>MAX(0,R263-MAX(0,Z263-SUM(Q263:Q263)))</f>
        <v/>
      </c>
      <c r="AF263" s="4">
        <f>MAX(0,S263-MAX(0,Z263-SUM(Q263:R263)))</f>
        <v/>
      </c>
      <c r="AG263" s="4">
        <f>MAX(0,T263-MAX(0,Z263-SUM(Q263:S263)))</f>
        <v/>
      </c>
      <c r="AH263" s="4">
        <f>MAX(0,U263-MAX(0,Z263-SUM(Q263:T263)))</f>
        <v/>
      </c>
      <c r="AI263" s="4">
        <f>MAX(0,V263-MAX(0,Z263-SUM(Q263:U263)))</f>
        <v/>
      </c>
      <c r="AJ263" s="4">
        <f>MAX(0,W263-MAX(0,Z263-SUM(Q263:V263)))</f>
        <v/>
      </c>
      <c r="AK263" s="4">
        <f>MAX(0,X263-MAX(0,Z263-SUM(Q263:W263)))</f>
        <v/>
      </c>
      <c r="AL263" s="4">
        <f>MAX(0,Y263-MAX(0,Z263-SUM(Q263:X263)))</f>
        <v/>
      </c>
    </row>
    <row r="264">
      <c r="A264" s="4" t="inlineStr">
        <is>
          <t>HASLS22260902179</t>
        </is>
      </c>
      <c r="B264" s="4" t="inlineStr">
        <is>
          <t>SWBT</t>
        </is>
      </c>
      <c r="C264" s="4" t="inlineStr">
        <is>
          <t>2616N</t>
        </is>
      </c>
      <c r="D264" s="4" t="inlineStr">
        <is>
          <t>202610130600</t>
        </is>
      </c>
      <c r="E264" s="4" t="inlineStr"/>
      <c r="F264" s="4" t="inlineStr">
        <is>
          <t>THBKK</t>
        </is>
      </c>
      <c r="G264" s="4" t="inlineStr">
        <is>
          <t>VNSGN</t>
        </is>
      </c>
      <c r="H264" s="4" t="inlineStr">
        <is>
          <t xml:space="preserve">40Hx10 </t>
        </is>
      </c>
      <c r="I264" s="4" t="inlineStr">
        <is>
          <t>BKK27</t>
        </is>
      </c>
      <c r="J264" s="4" t="inlineStr">
        <is>
          <t>B.C. DEPOT CO.,LTD. ( Bang-Na KM.18)</t>
        </is>
      </c>
      <c r="K264" s="4" t="inlineStr">
        <is>
          <t>20260928</t>
        </is>
      </c>
      <c r="L264" s="4" t="inlineStr">
        <is>
          <t>BIRLA CARBON (THAILAND) PUBLIC COMPANY LIMITED</t>
        </is>
      </c>
      <c r="M264" s="4" t="inlineStr">
        <is>
          <t>BIRLA CARBON (THAILAND) PUBLIC COMPANY LIMITED</t>
        </is>
      </c>
      <c r="N264" s="4" t="inlineStr">
        <is>
          <t>CABON BLACK</t>
        </is>
      </c>
      <c r="O264" s="4" t="inlineStr">
        <is>
          <t>**Clean container / No rust / No hole / No sharp surface inside areas in container</t>
        </is>
      </c>
      <c r="P264" s="4" t="inlineStr">
        <is>
          <t>Pickup : 2026-09-28, Return : 2026-09-29 (1ST RTN DD: 08/10/26 WO/RENT)</t>
        </is>
      </c>
      <c r="Q264" s="4" t="n">
        <v>0</v>
      </c>
      <c r="R264" s="4" t="n">
        <v>0</v>
      </c>
      <c r="S264" s="4" t="n">
        <v>10</v>
      </c>
      <c r="T264" s="4" t="n">
        <v>0</v>
      </c>
      <c r="U264" s="4" t="n">
        <v>0</v>
      </c>
      <c r="V264" s="4" t="n">
        <v>0</v>
      </c>
      <c r="W264" s="4" t="n">
        <v>0</v>
      </c>
      <c r="X264" s="4" t="n">
        <v>0</v>
      </c>
      <c r="Y264" s="4" t="n">
        <v>0</v>
      </c>
      <c r="Z264" s="4" t="n">
        <v>0</v>
      </c>
      <c r="AA264" s="4" t="n">
        <v>0</v>
      </c>
      <c r="AB264" s="4">
        <f>SUM(Q264:Y264)-Z264</f>
        <v/>
      </c>
      <c r="AC264" s="4">
        <f>IF(I264="","",IF(OR(LEFT(I264,3)="BKK",I264="LCH55"),"BKK",IF(LEFT(I264,3)="LCH","LCH","OTHER")))</f>
        <v/>
      </c>
      <c r="AD264" s="4">
        <f>MAX(0,Q264-MAX(0,Z264))</f>
        <v/>
      </c>
      <c r="AE264" s="4">
        <f>MAX(0,R264-MAX(0,Z264-SUM(Q264:Q264)))</f>
        <v/>
      </c>
      <c r="AF264" s="4">
        <f>MAX(0,S264-MAX(0,Z264-SUM(Q264:R264)))</f>
        <v/>
      </c>
      <c r="AG264" s="4">
        <f>MAX(0,T264-MAX(0,Z264-SUM(Q264:S264)))</f>
        <v/>
      </c>
      <c r="AH264" s="4">
        <f>MAX(0,U264-MAX(0,Z264-SUM(Q264:T264)))</f>
        <v/>
      </c>
      <c r="AI264" s="4">
        <f>MAX(0,V264-MAX(0,Z264-SUM(Q264:U264)))</f>
        <v/>
      </c>
      <c r="AJ264" s="4">
        <f>MAX(0,W264-MAX(0,Z264-SUM(Q264:V264)))</f>
        <v/>
      </c>
      <c r="AK264" s="4">
        <f>MAX(0,X264-MAX(0,Z264-SUM(Q264:W264)))</f>
        <v/>
      </c>
      <c r="AL264" s="4">
        <f>MAX(0,Y264-MAX(0,Z264-SUM(Q264:X264)))</f>
        <v/>
      </c>
    </row>
    <row r="265">
      <c r="A265" s="4" t="inlineStr">
        <is>
          <t>HASLS22260902181</t>
        </is>
      </c>
      <c r="B265" s="4" t="inlineStr">
        <is>
          <t>SWBT</t>
        </is>
      </c>
      <c r="C265" s="4" t="inlineStr">
        <is>
          <t>2616N</t>
        </is>
      </c>
      <c r="D265" s="4" t="inlineStr">
        <is>
          <t>202610130600</t>
        </is>
      </c>
      <c r="E265" s="4" t="inlineStr"/>
      <c r="F265" s="4" t="inlineStr">
        <is>
          <t>THBKK</t>
        </is>
      </c>
      <c r="G265" s="4" t="inlineStr">
        <is>
          <t>VNSGN</t>
        </is>
      </c>
      <c r="H265" s="4" t="inlineStr">
        <is>
          <t xml:space="preserve">40Hx10 </t>
        </is>
      </c>
      <c r="I265" s="4" t="inlineStr">
        <is>
          <t>BKK27</t>
        </is>
      </c>
      <c r="J265" s="4" t="inlineStr">
        <is>
          <t>B.C. DEPOT CO.,LTD. ( Bang-Na KM.18)</t>
        </is>
      </c>
      <c r="K265" s="4" t="inlineStr">
        <is>
          <t>20260929</t>
        </is>
      </c>
      <c r="L265" s="4" t="inlineStr">
        <is>
          <t>BIRLA CARBON (THAILAND) PUBLIC COMPANY LIMITED</t>
        </is>
      </c>
      <c r="M265" s="4" t="inlineStr">
        <is>
          <t>BIRLA CARBON (THAILAND) PUBLIC COMPANY LIMITED</t>
        </is>
      </c>
      <c r="N265" s="4" t="inlineStr">
        <is>
          <t>CABON BLACK</t>
        </is>
      </c>
      <c r="O265" s="4" t="inlineStr">
        <is>
          <t>/ No rust / No hole / No sharp surface inside areas in container</t>
        </is>
      </c>
      <c r="P265" s="4" t="inlineStr">
        <is>
          <t>Pickup : 2026-09-29, Return : 2026-09-29 (1ST RTN DD: 08/10/26 WO/RENT)</t>
        </is>
      </c>
      <c r="Q265" s="4" t="n">
        <v>0</v>
      </c>
      <c r="R265" s="4" t="n">
        <v>0</v>
      </c>
      <c r="S265" s="4" t="n">
        <v>10</v>
      </c>
      <c r="T265" s="4" t="n">
        <v>0</v>
      </c>
      <c r="U265" s="4" t="n">
        <v>0</v>
      </c>
      <c r="V265" s="4" t="n">
        <v>0</v>
      </c>
      <c r="W265" s="4" t="n">
        <v>0</v>
      </c>
      <c r="X265" s="4" t="n">
        <v>0</v>
      </c>
      <c r="Y265" s="4" t="n">
        <v>0</v>
      </c>
      <c r="Z265" s="4" t="n">
        <v>0</v>
      </c>
      <c r="AA265" s="4" t="n">
        <v>0</v>
      </c>
      <c r="AB265" s="4">
        <f>SUM(Q265:Y265)-Z265</f>
        <v/>
      </c>
      <c r="AC265" s="4">
        <f>IF(I265="","",IF(OR(LEFT(I265,3)="BKK",I265="LCH55"),"BKK",IF(LEFT(I265,3)="LCH","LCH","OTHER")))</f>
        <v/>
      </c>
      <c r="AD265" s="4">
        <f>MAX(0,Q265-MAX(0,Z265))</f>
        <v/>
      </c>
      <c r="AE265" s="4">
        <f>MAX(0,R265-MAX(0,Z265-SUM(Q265:Q265)))</f>
        <v/>
      </c>
      <c r="AF265" s="4">
        <f>MAX(0,S265-MAX(0,Z265-SUM(Q265:R265)))</f>
        <v/>
      </c>
      <c r="AG265" s="4">
        <f>MAX(0,T265-MAX(0,Z265-SUM(Q265:S265)))</f>
        <v/>
      </c>
      <c r="AH265" s="4">
        <f>MAX(0,U265-MAX(0,Z265-SUM(Q265:T265)))</f>
        <v/>
      </c>
      <c r="AI265" s="4">
        <f>MAX(0,V265-MAX(0,Z265-SUM(Q265:U265)))</f>
        <v/>
      </c>
      <c r="AJ265" s="4">
        <f>MAX(0,W265-MAX(0,Z265-SUM(Q265:V265)))</f>
        <v/>
      </c>
      <c r="AK265" s="4">
        <f>MAX(0,X265-MAX(0,Z265-SUM(Q265:W265)))</f>
        <v/>
      </c>
      <c r="AL265" s="4">
        <f>MAX(0,Y265-MAX(0,Z265-SUM(Q265:X265)))</f>
        <v/>
      </c>
    </row>
    <row r="266">
      <c r="A266" s="4" t="inlineStr">
        <is>
          <t>HASLS22260902182</t>
        </is>
      </c>
      <c r="B266" s="4" t="inlineStr">
        <is>
          <t>SWIC</t>
        </is>
      </c>
      <c r="C266" s="4" t="inlineStr">
        <is>
          <t>2611N</t>
        </is>
      </c>
      <c r="D266" s="4" t="inlineStr">
        <is>
          <t>202610130700</t>
        </is>
      </c>
      <c r="E266" s="4" t="inlineStr"/>
      <c r="F266" s="4" t="inlineStr">
        <is>
          <t>THBKK</t>
        </is>
      </c>
      <c r="G266" s="4" t="inlineStr">
        <is>
          <t>VNSGN</t>
        </is>
      </c>
      <c r="H266" s="4" t="inlineStr">
        <is>
          <t xml:space="preserve">40Hx10 </t>
        </is>
      </c>
      <c r="I266" s="4" t="inlineStr">
        <is>
          <t>BKK27</t>
        </is>
      </c>
      <c r="J266" s="4" t="inlineStr">
        <is>
          <t>B.C. DEPOT CO.,LTD. ( Bang-Na KM.18)</t>
        </is>
      </c>
      <c r="K266" s="4" t="inlineStr">
        <is>
          <t>20260929</t>
        </is>
      </c>
      <c r="L266" s="4" t="inlineStr">
        <is>
          <t>BIRLA CARBON (THAILAND) PUBLIC COMPANY LIMITED</t>
        </is>
      </c>
      <c r="M266" s="4" t="inlineStr">
        <is>
          <t>BIRLA CARBON (THAILAND) PUBLIC COMPANY LIMITED</t>
        </is>
      </c>
      <c r="N266" s="4" t="inlineStr">
        <is>
          <t>CABON BLACK</t>
        </is>
      </c>
      <c r="O266" s="4" t="inlineStr">
        <is>
          <t>GOOD AND CLEAN CONTAINER</t>
        </is>
      </c>
      <c r="P266" s="4" t="inlineStr">
        <is>
          <t>Pickup : 2026-09-29, Return : 2026-09-29 (1ST RTN DD: 08/10/26 WO/RENT)</t>
        </is>
      </c>
      <c r="Q266" s="4" t="n">
        <v>0</v>
      </c>
      <c r="R266" s="4" t="n">
        <v>0</v>
      </c>
      <c r="S266" s="4" t="n">
        <v>10</v>
      </c>
      <c r="T266" s="4" t="n">
        <v>0</v>
      </c>
      <c r="U266" s="4" t="n">
        <v>0</v>
      </c>
      <c r="V266" s="4" t="n">
        <v>0</v>
      </c>
      <c r="W266" s="4" t="n">
        <v>0</v>
      </c>
      <c r="X266" s="4" t="n">
        <v>0</v>
      </c>
      <c r="Y266" s="4" t="n">
        <v>0</v>
      </c>
      <c r="Z266" s="4" t="n">
        <v>0</v>
      </c>
      <c r="AA266" s="4" t="n">
        <v>0</v>
      </c>
      <c r="AB266" s="4">
        <f>SUM(Q266:Y266)-Z266</f>
        <v/>
      </c>
      <c r="AC266" s="4">
        <f>IF(I266="","",IF(OR(LEFT(I266,3)="BKK",I266="LCH55"),"BKK",IF(LEFT(I266,3)="LCH","LCH","OTHER")))</f>
        <v/>
      </c>
      <c r="AD266" s="4">
        <f>MAX(0,Q266-MAX(0,Z266))</f>
        <v/>
      </c>
      <c r="AE266" s="4">
        <f>MAX(0,R266-MAX(0,Z266-SUM(Q266:Q266)))</f>
        <v/>
      </c>
      <c r="AF266" s="4">
        <f>MAX(0,S266-MAX(0,Z266-SUM(Q266:R266)))</f>
        <v/>
      </c>
      <c r="AG266" s="4">
        <f>MAX(0,T266-MAX(0,Z266-SUM(Q266:S266)))</f>
        <v/>
      </c>
      <c r="AH266" s="4">
        <f>MAX(0,U266-MAX(0,Z266-SUM(Q266:T266)))</f>
        <v/>
      </c>
      <c r="AI266" s="4">
        <f>MAX(0,V266-MAX(0,Z266-SUM(Q266:U266)))</f>
        <v/>
      </c>
      <c r="AJ266" s="4">
        <f>MAX(0,W266-MAX(0,Z266-SUM(Q266:V266)))</f>
        <v/>
      </c>
      <c r="AK266" s="4">
        <f>MAX(0,X266-MAX(0,Z266-SUM(Q266:W266)))</f>
        <v/>
      </c>
      <c r="AL266" s="4">
        <f>MAX(0,Y266-MAX(0,Z266-SUM(Q266:X266)))</f>
        <v/>
      </c>
    </row>
    <row r="267">
      <c r="A267" s="4" t="inlineStr">
        <is>
          <t>HASLS22260902184</t>
        </is>
      </c>
      <c r="B267" s="4" t="inlineStr">
        <is>
          <t>SWIC</t>
        </is>
      </c>
      <c r="C267" s="4" t="inlineStr">
        <is>
          <t>2611N</t>
        </is>
      </c>
      <c r="D267" s="4" t="inlineStr">
        <is>
          <t>202610130700</t>
        </is>
      </c>
      <c r="E267" s="4" t="inlineStr"/>
      <c r="F267" s="4" t="inlineStr">
        <is>
          <t>THBKK</t>
        </is>
      </c>
      <c r="G267" s="4" t="inlineStr">
        <is>
          <t>JPUKB</t>
        </is>
      </c>
      <c r="H267" s="4" t="inlineStr">
        <is>
          <t xml:space="preserve">20'x4 </t>
        </is>
      </c>
      <c r="I267" s="4" t="inlineStr">
        <is>
          <t>BKK27</t>
        </is>
      </c>
      <c r="J267" s="4" t="inlineStr">
        <is>
          <t>B.C. DEPOT CO.,LTD. ( Bang-Na KM.18)</t>
        </is>
      </c>
      <c r="K267" s="4" t="inlineStr">
        <is>
          <t>20261007</t>
        </is>
      </c>
      <c r="L267" s="4" t="inlineStr">
        <is>
          <t>BIRLA CARBON (THAILAND) PUBLIC COMPANY LIMITED</t>
        </is>
      </c>
      <c r="M267" s="4" t="inlineStr">
        <is>
          <t>BIRLA CARBON (THAILAND) PUBLIC COMPANY LIMITED</t>
        </is>
      </c>
      <c r="N267" s="4" t="inlineStr">
        <is>
          <t>CABON BLACK</t>
        </is>
      </c>
      <c r="O267" s="4" t="inlineStr">
        <is>
          <t>Remark : **Clean container / No rust / No hole / No sharp surface inside areas in container ( GRADE A FOR BULK LINER)
CARBON BLACK (NON DG)</t>
        </is>
      </c>
      <c r="P267" s="4" t="inlineStr">
        <is>
          <t>Pickup : 2026-10-07, Return : 2026-10-08</t>
        </is>
      </c>
      <c r="Q267" s="4" t="n">
        <v>4</v>
      </c>
      <c r="R267" s="4" t="n">
        <v>0</v>
      </c>
      <c r="S267" s="4" t="n">
        <v>0</v>
      </c>
      <c r="T267" s="4" t="n">
        <v>0</v>
      </c>
      <c r="U267" s="4" t="n">
        <v>0</v>
      </c>
      <c r="V267" s="4" t="n">
        <v>0</v>
      </c>
      <c r="W267" s="4" t="n">
        <v>0</v>
      </c>
      <c r="X267" s="4" t="n">
        <v>0</v>
      </c>
      <c r="Y267" s="4" t="n">
        <v>0</v>
      </c>
      <c r="Z267" s="4" t="n">
        <v>0</v>
      </c>
      <c r="AA267" s="4" t="n">
        <v>0</v>
      </c>
      <c r="AB267" s="4">
        <f>SUM(Q267:Y267)-Z267</f>
        <v/>
      </c>
      <c r="AC267" s="4">
        <f>IF(I267="","",IF(OR(LEFT(I267,3)="BKK",I267="LCH55"),"BKK",IF(LEFT(I267,3)="LCH","LCH","OTHER")))</f>
        <v/>
      </c>
      <c r="AD267" s="4">
        <f>MAX(0,Q267-MAX(0,Z267))</f>
        <v/>
      </c>
      <c r="AE267" s="4">
        <f>MAX(0,R267-MAX(0,Z267-SUM(Q267:Q267)))</f>
        <v/>
      </c>
      <c r="AF267" s="4">
        <f>MAX(0,S267-MAX(0,Z267-SUM(Q267:R267)))</f>
        <v/>
      </c>
      <c r="AG267" s="4">
        <f>MAX(0,T267-MAX(0,Z267-SUM(Q267:S267)))</f>
        <v/>
      </c>
      <c r="AH267" s="4">
        <f>MAX(0,U267-MAX(0,Z267-SUM(Q267:T267)))</f>
        <v/>
      </c>
      <c r="AI267" s="4">
        <f>MAX(0,V267-MAX(0,Z267-SUM(Q267:U267)))</f>
        <v/>
      </c>
      <c r="AJ267" s="4">
        <f>MAX(0,W267-MAX(0,Z267-SUM(Q267:V267)))</f>
        <v/>
      </c>
      <c r="AK267" s="4">
        <f>MAX(0,X267-MAX(0,Z267-SUM(Q267:W267)))</f>
        <v/>
      </c>
      <c r="AL267" s="4">
        <f>MAX(0,Y267-MAX(0,Z267-SUM(Q267:X267)))</f>
        <v/>
      </c>
    </row>
    <row r="268">
      <c r="A268" s="4" t="inlineStr">
        <is>
          <t>HASLS22260902189</t>
        </is>
      </c>
      <c r="B268" s="4" t="inlineStr">
        <is>
          <t>HAHM</t>
        </is>
      </c>
      <c r="C268" s="4" t="inlineStr">
        <is>
          <t>2612N</t>
        </is>
      </c>
      <c r="D268" s="4" t="inlineStr">
        <is>
          <t>202610211800</t>
        </is>
      </c>
      <c r="E268" s="4" t="inlineStr"/>
      <c r="F268" s="4" t="inlineStr">
        <is>
          <t>THBKK</t>
        </is>
      </c>
      <c r="G268" s="4" t="inlineStr">
        <is>
          <t>JPMOJ</t>
        </is>
      </c>
      <c r="H268" s="4" t="inlineStr">
        <is>
          <t xml:space="preserve">40Hx3 </t>
        </is>
      </c>
      <c r="I268" s="4" t="inlineStr">
        <is>
          <t>BKK27</t>
        </is>
      </c>
      <c r="J268" s="4" t="inlineStr">
        <is>
          <t>B.C. DEPOT CO.,LTD. ( Bang-Na KM.18)</t>
        </is>
      </c>
      <c r="K268" s="4" t="inlineStr">
        <is>
          <t>20261016</t>
        </is>
      </c>
      <c r="L268" s="4" t="inlineStr">
        <is>
          <t>BIRLA CARBON (THAILAND) PUBLIC COMPANY LIMITED</t>
        </is>
      </c>
      <c r="M268" s="4" t="inlineStr">
        <is>
          <t>BIRLA CARBON (THAILAND) PUBLIC COMPANY LIMITED</t>
        </is>
      </c>
      <c r="N268" s="4" t="inlineStr">
        <is>
          <t>CABON BLACK</t>
        </is>
      </c>
      <c r="O268" s="4" t="inlineStr">
        <is>
          <t>**Clean container / No rust / No hole / No sharp surface inside areas in container</t>
        </is>
      </c>
      <c r="P268" s="4" t="inlineStr">
        <is>
          <t>Pickup : 2026-10-16, Return : 2026-10-17</t>
        </is>
      </c>
      <c r="Q268" s="4" t="n">
        <v>0</v>
      </c>
      <c r="R268" s="4" t="n">
        <v>0</v>
      </c>
      <c r="S268" s="4" t="n">
        <v>3</v>
      </c>
      <c r="T268" s="4" t="n">
        <v>0</v>
      </c>
      <c r="U268" s="4" t="n">
        <v>0</v>
      </c>
      <c r="V268" s="4" t="n">
        <v>0</v>
      </c>
      <c r="W268" s="4" t="n">
        <v>0</v>
      </c>
      <c r="X268" s="4" t="n">
        <v>0</v>
      </c>
      <c r="Y268" s="4" t="n">
        <v>0</v>
      </c>
      <c r="Z268" s="4" t="n">
        <v>0</v>
      </c>
      <c r="AA268" s="4" t="n">
        <v>0</v>
      </c>
      <c r="AB268" s="4">
        <f>SUM(Q268:Y268)-Z268</f>
        <v/>
      </c>
      <c r="AC268" s="4">
        <f>IF(I268="","",IF(OR(LEFT(I268,3)="BKK",I268="LCH55"),"BKK",IF(LEFT(I268,3)="LCH","LCH","OTHER")))</f>
        <v/>
      </c>
      <c r="AD268" s="4">
        <f>MAX(0,Q268-MAX(0,Z268))</f>
        <v/>
      </c>
      <c r="AE268" s="4">
        <f>MAX(0,R268-MAX(0,Z268-SUM(Q268:Q268)))</f>
        <v/>
      </c>
      <c r="AF268" s="4">
        <f>MAX(0,S268-MAX(0,Z268-SUM(Q268:R268)))</f>
        <v/>
      </c>
      <c r="AG268" s="4">
        <f>MAX(0,T268-MAX(0,Z268-SUM(Q268:S268)))</f>
        <v/>
      </c>
      <c r="AH268" s="4">
        <f>MAX(0,U268-MAX(0,Z268-SUM(Q268:T268)))</f>
        <v/>
      </c>
      <c r="AI268" s="4">
        <f>MAX(0,V268-MAX(0,Z268-SUM(Q268:U268)))</f>
        <v/>
      </c>
      <c r="AJ268" s="4">
        <f>MAX(0,W268-MAX(0,Z268-SUM(Q268:V268)))</f>
        <v/>
      </c>
      <c r="AK268" s="4">
        <f>MAX(0,X268-MAX(0,Z268-SUM(Q268:W268)))</f>
        <v/>
      </c>
      <c r="AL268" s="4">
        <f>MAX(0,Y268-MAX(0,Z268-SUM(Q268:X268)))</f>
        <v/>
      </c>
    </row>
    <row r="269">
      <c r="A269" s="4" t="inlineStr">
        <is>
          <t>HASLS22260902194</t>
        </is>
      </c>
      <c r="B269" s="4" t="inlineStr">
        <is>
          <t>PGPO</t>
        </is>
      </c>
      <c r="C269" s="4" t="inlineStr">
        <is>
          <t>2612N</t>
        </is>
      </c>
      <c r="D269" s="4" t="inlineStr">
        <is>
          <t>202610141800</t>
        </is>
      </c>
      <c r="E269" s="4" t="inlineStr"/>
      <c r="F269" s="4" t="inlineStr">
        <is>
          <t>THBKK</t>
        </is>
      </c>
      <c r="G269" s="4" t="inlineStr">
        <is>
          <t>VNSGN</t>
        </is>
      </c>
      <c r="H269" s="4" t="inlineStr">
        <is>
          <t xml:space="preserve">40Hx30 </t>
        </is>
      </c>
      <c r="I269" s="4" t="inlineStr">
        <is>
          <t>BKK27</t>
        </is>
      </c>
      <c r="J269" s="4" t="inlineStr">
        <is>
          <t>B.C. DEPOT CO.,LTD. ( Bang-Na KM.18)</t>
        </is>
      </c>
      <c r="K269" s="4" t="inlineStr">
        <is>
          <t>20261008</t>
        </is>
      </c>
      <c r="L269" s="4" t="inlineStr">
        <is>
          <t>METRO PARTICLE CO., LTD.</t>
        </is>
      </c>
      <c r="M269" s="4" t="inlineStr">
        <is>
          <t>METRO PARTICLE CO., LTD.</t>
        </is>
      </c>
      <c r="N269" s="4" t="inlineStr">
        <is>
          <t>PARTICLE BOARD</t>
        </is>
      </c>
      <c r="O269" s="4" t="inlineStr">
        <is>
          <t>RQST CNTR UPGRADE 32.50 TONS</t>
        </is>
      </c>
      <c r="P269" s="4" t="inlineStr">
        <is>
          <t>CY -RTN DD.08/10 -09/10/2026  RQST CNTR UPGRADE 32.50 TONS</t>
        </is>
      </c>
      <c r="Q269" s="4" t="n">
        <v>0</v>
      </c>
      <c r="R269" s="4" t="n">
        <v>0</v>
      </c>
      <c r="S269" s="4" t="n">
        <v>30</v>
      </c>
      <c r="T269" s="4" t="n">
        <v>0</v>
      </c>
      <c r="U269" s="4" t="n">
        <v>0</v>
      </c>
      <c r="V269" s="4" t="n">
        <v>0</v>
      </c>
      <c r="W269" s="4" t="n">
        <v>0</v>
      </c>
      <c r="X269" s="4" t="n">
        <v>0</v>
      </c>
      <c r="Y269" s="4" t="n">
        <v>0</v>
      </c>
      <c r="Z269" s="4" t="n">
        <v>0</v>
      </c>
      <c r="AA269" s="4" t="n">
        <v>0</v>
      </c>
      <c r="AB269" s="4">
        <f>SUM(Q269:Y269)-Z269</f>
        <v/>
      </c>
      <c r="AC269" s="4">
        <f>IF(I269="","",IF(OR(LEFT(I269,3)="BKK",I269="LCH55"),"BKK",IF(LEFT(I269,3)="LCH","LCH","OTHER")))</f>
        <v/>
      </c>
      <c r="AD269" s="4">
        <f>MAX(0,Q269-MAX(0,Z269))</f>
        <v/>
      </c>
      <c r="AE269" s="4">
        <f>MAX(0,R269-MAX(0,Z269-SUM(Q269:Q269)))</f>
        <v/>
      </c>
      <c r="AF269" s="4">
        <f>MAX(0,S269-MAX(0,Z269-SUM(Q269:R269)))</f>
        <v/>
      </c>
      <c r="AG269" s="4">
        <f>MAX(0,T269-MAX(0,Z269-SUM(Q269:S269)))</f>
        <v/>
      </c>
      <c r="AH269" s="4">
        <f>MAX(0,U269-MAX(0,Z269-SUM(Q269:T269)))</f>
        <v/>
      </c>
      <c r="AI269" s="4">
        <f>MAX(0,V269-MAX(0,Z269-SUM(Q269:U269)))</f>
        <v/>
      </c>
      <c r="AJ269" s="4">
        <f>MAX(0,W269-MAX(0,Z269-SUM(Q269:V269)))</f>
        <v/>
      </c>
      <c r="AK269" s="4">
        <f>MAX(0,X269-MAX(0,Z269-SUM(Q269:W269)))</f>
        <v/>
      </c>
      <c r="AL269" s="4">
        <f>MAX(0,Y269-MAX(0,Z269-SUM(Q269:X269)))</f>
        <v/>
      </c>
    </row>
    <row r="270">
      <c r="A270" s="4" t="inlineStr">
        <is>
          <t>HASLS22260902196</t>
        </is>
      </c>
      <c r="B270" s="4" t="inlineStr">
        <is>
          <t>SWIC</t>
        </is>
      </c>
      <c r="C270" s="4" t="inlineStr">
        <is>
          <t>2611N</t>
        </is>
      </c>
      <c r="D270" s="4" t="inlineStr">
        <is>
          <t>202610130700</t>
        </is>
      </c>
      <c r="E270" s="4" t="inlineStr"/>
      <c r="F270" s="4" t="inlineStr">
        <is>
          <t>THBKK</t>
        </is>
      </c>
      <c r="G270" s="4" t="inlineStr">
        <is>
          <t>VNSGN</t>
        </is>
      </c>
      <c r="H270" s="4" t="inlineStr">
        <is>
          <t xml:space="preserve">40Hx2 </t>
        </is>
      </c>
      <c r="I270" s="4" t="inlineStr">
        <is>
          <t>BKK27</t>
        </is>
      </c>
      <c r="J270" s="4" t="inlineStr">
        <is>
          <t>B.C. DEPOT CO.,LTD. ( Bang-Na KM.18)</t>
        </is>
      </c>
      <c r="K270" s="4" t="inlineStr">
        <is>
          <t>20261008</t>
        </is>
      </c>
      <c r="L270" s="4" t="inlineStr">
        <is>
          <t>PRIME LOGISTICS INTERNATIONAL CO., LTD.</t>
        </is>
      </c>
      <c r="M270" s="4" t="inlineStr">
        <is>
          <t>ASIAN GLOBAL HOLDING CO.,LTD</t>
        </is>
      </c>
      <c r="N270" s="4" t="inlineStr">
        <is>
          <t>EMPTY CAN</t>
        </is>
      </c>
      <c r="O270" s="4" t="inlineStr">
        <is>
          <t>REQ FOOD GRADE CONTAINER***</t>
        </is>
      </c>
      <c r="P270" s="4" t="inlineStr">
        <is>
          <t>Pickup : 2026-10-08, Return : 2026-09-09</t>
        </is>
      </c>
      <c r="Q270" s="4" t="n">
        <v>0</v>
      </c>
      <c r="R270" s="4" t="n">
        <v>0</v>
      </c>
      <c r="S270" s="4" t="n">
        <v>2</v>
      </c>
      <c r="T270" s="4" t="n">
        <v>0</v>
      </c>
      <c r="U270" s="4" t="n">
        <v>0</v>
      </c>
      <c r="V270" s="4" t="n">
        <v>0</v>
      </c>
      <c r="W270" s="4" t="n">
        <v>0</v>
      </c>
      <c r="X270" s="4" t="n">
        <v>0</v>
      </c>
      <c r="Y270" s="4" t="n">
        <v>0</v>
      </c>
      <c r="Z270" s="4" t="n">
        <v>0</v>
      </c>
      <c r="AA270" s="4" t="n">
        <v>0</v>
      </c>
      <c r="AB270" s="4">
        <f>SUM(Q270:Y270)-Z270</f>
        <v/>
      </c>
      <c r="AC270" s="4">
        <f>IF(I270="","",IF(OR(LEFT(I270,3)="BKK",I270="LCH55"),"BKK",IF(LEFT(I270,3)="LCH","LCH","OTHER")))</f>
        <v/>
      </c>
      <c r="AD270" s="4">
        <f>MAX(0,Q270-MAX(0,Z270))</f>
        <v/>
      </c>
      <c r="AE270" s="4">
        <f>MAX(0,R270-MAX(0,Z270-SUM(Q270:Q270)))</f>
        <v/>
      </c>
      <c r="AF270" s="4">
        <f>MAX(0,S270-MAX(0,Z270-SUM(Q270:R270)))</f>
        <v/>
      </c>
      <c r="AG270" s="4">
        <f>MAX(0,T270-MAX(0,Z270-SUM(Q270:S270)))</f>
        <v/>
      </c>
      <c r="AH270" s="4">
        <f>MAX(0,U270-MAX(0,Z270-SUM(Q270:T270)))</f>
        <v/>
      </c>
      <c r="AI270" s="4">
        <f>MAX(0,V270-MAX(0,Z270-SUM(Q270:U270)))</f>
        <v/>
      </c>
      <c r="AJ270" s="4">
        <f>MAX(0,W270-MAX(0,Z270-SUM(Q270:V270)))</f>
        <v/>
      </c>
      <c r="AK270" s="4">
        <f>MAX(0,X270-MAX(0,Z270-SUM(Q270:W270)))</f>
        <v/>
      </c>
      <c r="AL270" s="4">
        <f>MAX(0,Y270-MAX(0,Z270-SUM(Q270:X270)))</f>
        <v/>
      </c>
    </row>
    <row r="271">
      <c r="A271" s="4" t="inlineStr">
        <is>
          <t>HASLS22260902202</t>
        </is>
      </c>
      <c r="B271" s="4" t="inlineStr">
        <is>
          <t>SWMM</t>
        </is>
      </c>
      <c r="C271" s="4" t="inlineStr">
        <is>
          <t>2610N</t>
        </is>
      </c>
      <c r="D271" s="4" t="inlineStr">
        <is>
          <t>202610210400</t>
        </is>
      </c>
      <c r="E271" s="4" t="inlineStr"/>
      <c r="F271" s="4" t="inlineStr">
        <is>
          <t>THBKK</t>
        </is>
      </c>
      <c r="G271" s="4" t="inlineStr">
        <is>
          <t>VNSGN</t>
        </is>
      </c>
      <c r="H271" s="4" t="inlineStr">
        <is>
          <t xml:space="preserve">20'x1 </t>
        </is>
      </c>
      <c r="I271" s="4" t="inlineStr">
        <is>
          <t>BKK27</t>
        </is>
      </c>
      <c r="J271" s="4" t="inlineStr">
        <is>
          <t>B.C. DEPOT CO.,LTD. ( Bang-Na KM.18)</t>
        </is>
      </c>
      <c r="K271" s="4" t="inlineStr">
        <is>
          <t>20261014</t>
        </is>
      </c>
      <c r="L271" s="4" t="inlineStr">
        <is>
          <t>SEA &amp; AERO LOGISTICS CO., LTD.</t>
        </is>
      </c>
      <c r="M271" s="4" t="inlineStr">
        <is>
          <t>ELEPHANT HARDWARE CO., LTD.</t>
        </is>
      </c>
      <c r="N271" s="4" t="inlineStr">
        <is>
          <t>WEATHERSTRIP</t>
        </is>
      </c>
      <c r="O271" s="4" t="inlineStr">
        <is>
          <t>CLEAN AND GOOD CONTAINER</t>
        </is>
      </c>
      <c r="P271" s="4" t="inlineStr">
        <is>
          <t>Pickup : 2026-10-14, Return : 2026-10-15</t>
        </is>
      </c>
      <c r="Q271" s="4" t="n">
        <v>1</v>
      </c>
      <c r="R271" s="4" t="n">
        <v>0</v>
      </c>
      <c r="S271" s="4" t="n">
        <v>0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>
        <f>SUM(Q271:Y271)-Z271</f>
        <v/>
      </c>
      <c r="AC271" s="4">
        <f>IF(I271="","",IF(OR(LEFT(I271,3)="BKK",I271="LCH55"),"BKK",IF(LEFT(I271,3)="LCH","LCH","OTHER")))</f>
        <v/>
      </c>
      <c r="AD271" s="4">
        <f>MAX(0,Q271-MAX(0,Z271))</f>
        <v/>
      </c>
      <c r="AE271" s="4">
        <f>MAX(0,R271-MAX(0,Z271-SUM(Q271:Q271)))</f>
        <v/>
      </c>
      <c r="AF271" s="4">
        <f>MAX(0,S271-MAX(0,Z271-SUM(Q271:R271)))</f>
        <v/>
      </c>
      <c r="AG271" s="4">
        <f>MAX(0,T271-MAX(0,Z271-SUM(Q271:S271)))</f>
        <v/>
      </c>
      <c r="AH271" s="4">
        <f>MAX(0,U271-MAX(0,Z271-SUM(Q271:T271)))</f>
        <v/>
      </c>
      <c r="AI271" s="4">
        <f>MAX(0,V271-MAX(0,Z271-SUM(Q271:U271)))</f>
        <v/>
      </c>
      <c r="AJ271" s="4">
        <f>MAX(0,W271-MAX(0,Z271-SUM(Q271:V271)))</f>
        <v/>
      </c>
      <c r="AK271" s="4">
        <f>MAX(0,X271-MAX(0,Z271-SUM(Q271:W271)))</f>
        <v/>
      </c>
      <c r="AL271" s="4">
        <f>MAX(0,Y271-MAX(0,Z271-SUM(Q271:X271)))</f>
        <v/>
      </c>
    </row>
    <row r="272">
      <c r="A272" s="4" t="inlineStr">
        <is>
          <t>HASLS22260902203</t>
        </is>
      </c>
      <c r="B272" s="4" t="inlineStr">
        <is>
          <t>KMBK</t>
        </is>
      </c>
      <c r="C272" s="4" t="inlineStr">
        <is>
          <t>2611N</t>
        </is>
      </c>
      <c r="D272" s="4" t="inlineStr">
        <is>
          <t>202610030900</t>
        </is>
      </c>
      <c r="E272" s="4" t="inlineStr"/>
      <c r="F272" s="4" t="inlineStr">
        <is>
          <t>THBKK</t>
        </is>
      </c>
      <c r="G272" s="4" t="inlineStr">
        <is>
          <t>VNSGN</t>
        </is>
      </c>
      <c r="H272" s="4" t="inlineStr">
        <is>
          <t xml:space="preserve">R40Hx1 </t>
        </is>
      </c>
      <c r="I272" s="4" t="inlineStr">
        <is>
          <t>BKK27</t>
        </is>
      </c>
      <c r="J272" s="4" t="inlineStr">
        <is>
          <t>B.C. DEPOT CO.,LTD. ( Bang-Na KM.18)</t>
        </is>
      </c>
      <c r="K272" s="4" t="inlineStr">
        <is>
          <t>20261001</t>
        </is>
      </c>
      <c r="L272" s="4" t="inlineStr">
        <is>
          <t>PACIFIC STAR ALLIANCE CO., LTD.</t>
        </is>
      </c>
      <c r="M272" s="4" t="inlineStr">
        <is>
          <t>WIN CHANCE INDUSTRIES CO.,LTD.</t>
        </is>
      </c>
      <c r="N272" s="4" t="inlineStr">
        <is>
          <t>SAUCE</t>
        </is>
      </c>
      <c r="O272" s="4" t="inlineStr">
        <is>
          <t>*PRECOOL* (Temp -18.0℃ / Vent Close)</t>
        </is>
      </c>
      <c r="P272" s="4" t="inlineStr">
        <is>
          <t xml:space="preserve">Pickup : 2026-10-01, Return : 2026-10-01 (Temp -18.0 / Vent Close) *PER-COOL*
 COST PRECOOL = 1,000 BAHT // CLS TIME 01/10 @23.59 </t>
        </is>
      </c>
      <c r="Q272" s="4" t="n">
        <v>0</v>
      </c>
      <c r="R272" s="4" t="n">
        <v>0</v>
      </c>
      <c r="S272" s="4" t="n">
        <v>0</v>
      </c>
      <c r="T272" s="4" t="n">
        <v>0</v>
      </c>
      <c r="U272" s="4" t="n">
        <v>1</v>
      </c>
      <c r="V272" s="4" t="n">
        <v>0</v>
      </c>
      <c r="W272" s="4" t="n">
        <v>0</v>
      </c>
      <c r="X272" s="4" t="n">
        <v>0</v>
      </c>
      <c r="Y272" s="4" t="n">
        <v>0</v>
      </c>
      <c r="Z272" s="4" t="n">
        <v>0</v>
      </c>
      <c r="AA272" s="4" t="n">
        <v>0</v>
      </c>
      <c r="AB272" s="4">
        <f>SUM(Q272:Y272)-Z272</f>
        <v/>
      </c>
      <c r="AC272" s="4">
        <f>IF(I272="","",IF(OR(LEFT(I272,3)="BKK",I272="LCH55"),"BKK",IF(LEFT(I272,3)="LCH","LCH","OTHER")))</f>
        <v/>
      </c>
      <c r="AD272" s="4">
        <f>MAX(0,Q272-MAX(0,Z272))</f>
        <v/>
      </c>
      <c r="AE272" s="4">
        <f>MAX(0,R272-MAX(0,Z272-SUM(Q272:Q272)))</f>
        <v/>
      </c>
      <c r="AF272" s="4">
        <f>MAX(0,S272-MAX(0,Z272-SUM(Q272:R272)))</f>
        <v/>
      </c>
      <c r="AG272" s="4">
        <f>MAX(0,T272-MAX(0,Z272-SUM(Q272:S272)))</f>
        <v/>
      </c>
      <c r="AH272" s="4">
        <f>MAX(0,U272-MAX(0,Z272-SUM(Q272:T272)))</f>
        <v/>
      </c>
      <c r="AI272" s="4">
        <f>MAX(0,V272-MAX(0,Z272-SUM(Q272:U272)))</f>
        <v/>
      </c>
      <c r="AJ272" s="4">
        <f>MAX(0,W272-MAX(0,Z272-SUM(Q272:V272)))</f>
        <v/>
      </c>
      <c r="AK272" s="4">
        <f>MAX(0,X272-MAX(0,Z272-SUM(Q272:W272)))</f>
        <v/>
      </c>
      <c r="AL272" s="4">
        <f>MAX(0,Y272-MAX(0,Z272-SUM(Q272:X272)))</f>
        <v/>
      </c>
    </row>
    <row r="273">
      <c r="A273" s="4" t="inlineStr">
        <is>
          <t>HASLS22260902207</t>
        </is>
      </c>
      <c r="B273" s="4" t="inlineStr">
        <is>
          <t>SWMM</t>
        </is>
      </c>
      <c r="C273" s="4" t="inlineStr">
        <is>
          <t>2610N</t>
        </is>
      </c>
      <c r="D273" s="4" t="inlineStr">
        <is>
          <t>202610210400</t>
        </is>
      </c>
      <c r="E273" s="4" t="inlineStr"/>
      <c r="F273" s="4" t="inlineStr">
        <is>
          <t>THBKK</t>
        </is>
      </c>
      <c r="G273" s="4" t="inlineStr">
        <is>
          <t>JPKSM</t>
        </is>
      </c>
      <c r="H273" s="4" t="inlineStr">
        <is>
          <t xml:space="preserve">20'x6 </t>
        </is>
      </c>
      <c r="I273" s="4" t="inlineStr">
        <is>
          <t>BKK27</t>
        </is>
      </c>
      <c r="J273" s="4" t="inlineStr">
        <is>
          <t>B.C. DEPOT CO.,LTD. ( Bang-Na KM.18)</t>
        </is>
      </c>
      <c r="K273" s="4" t="inlineStr">
        <is>
          <t>20261009</t>
        </is>
      </c>
      <c r="L273" s="4" t="inlineStr">
        <is>
          <t>UNITED MARINE LOGISTIC CO., LTD.</t>
        </is>
      </c>
      <c r="M273" s="4" t="inlineStr">
        <is>
          <t>GENERAL MILLS CORPORATION LIMITED</t>
        </is>
      </c>
      <c r="N273" s="4" t="inlineStr">
        <is>
          <t xml:space="preserve">TAPIOCA HARD PELLETS </t>
        </is>
      </c>
      <c r="O273" s="4" t="inlineStr">
        <is>
          <t>GOOD AND CLEAN CONTAINER</t>
        </is>
      </c>
      <c r="P273" s="4" t="inlineStr">
        <is>
          <t>Pickup : 2026-10-09, Return : 2026-10-17</t>
        </is>
      </c>
      <c r="Q273" s="4" t="n">
        <v>6</v>
      </c>
      <c r="R273" s="4" t="n">
        <v>0</v>
      </c>
      <c r="S273" s="4" t="n">
        <v>0</v>
      </c>
      <c r="T273" s="4" t="n">
        <v>0</v>
      </c>
      <c r="U273" s="4" t="n">
        <v>0</v>
      </c>
      <c r="V273" s="4" t="n">
        <v>0</v>
      </c>
      <c r="W273" s="4" t="n">
        <v>0</v>
      </c>
      <c r="X273" s="4" t="n">
        <v>0</v>
      </c>
      <c r="Y273" s="4" t="n">
        <v>0</v>
      </c>
      <c r="Z273" s="4" t="n">
        <v>0</v>
      </c>
      <c r="AA273" s="4" t="n">
        <v>0</v>
      </c>
      <c r="AB273" s="4">
        <f>SUM(Q273:Y273)-Z273</f>
        <v/>
      </c>
      <c r="AC273" s="4">
        <f>IF(I273="","",IF(OR(LEFT(I273,3)="BKK",I273="LCH55"),"BKK",IF(LEFT(I273,3)="LCH","LCH","OTHER")))</f>
        <v/>
      </c>
      <c r="AD273" s="4">
        <f>MAX(0,Q273-MAX(0,Z273))</f>
        <v/>
      </c>
      <c r="AE273" s="4">
        <f>MAX(0,R273-MAX(0,Z273-SUM(Q273:Q273)))</f>
        <v/>
      </c>
      <c r="AF273" s="4">
        <f>MAX(0,S273-MAX(0,Z273-SUM(Q273:R273)))</f>
        <v/>
      </c>
      <c r="AG273" s="4">
        <f>MAX(0,T273-MAX(0,Z273-SUM(Q273:S273)))</f>
        <v/>
      </c>
      <c r="AH273" s="4">
        <f>MAX(0,U273-MAX(0,Z273-SUM(Q273:T273)))</f>
        <v/>
      </c>
      <c r="AI273" s="4">
        <f>MAX(0,V273-MAX(0,Z273-SUM(Q273:U273)))</f>
        <v/>
      </c>
      <c r="AJ273" s="4">
        <f>MAX(0,W273-MAX(0,Z273-SUM(Q273:V273)))</f>
        <v/>
      </c>
      <c r="AK273" s="4">
        <f>MAX(0,X273-MAX(0,Z273-SUM(Q273:W273)))</f>
        <v/>
      </c>
      <c r="AL273" s="4">
        <f>MAX(0,Y273-MAX(0,Z273-SUM(Q273:X273)))</f>
        <v/>
      </c>
    </row>
    <row r="274">
      <c r="A274" s="4" t="inlineStr">
        <is>
          <t>HASLS22260902209</t>
        </is>
      </c>
      <c r="B274" s="4" t="inlineStr">
        <is>
          <t>SWAT</t>
        </is>
      </c>
      <c r="C274" s="4" t="inlineStr">
        <is>
          <t>2610N</t>
        </is>
      </c>
      <c r="D274" s="4" t="inlineStr">
        <is>
          <t>202610071700</t>
        </is>
      </c>
      <c r="E274" s="4" t="inlineStr"/>
      <c r="F274" s="4" t="inlineStr">
        <is>
          <t>THBKK</t>
        </is>
      </c>
      <c r="G274" s="4" t="inlineStr">
        <is>
          <t>KRPUS</t>
        </is>
      </c>
      <c r="H274" s="4" t="inlineStr">
        <is>
          <t xml:space="preserve">20'x1 </t>
        </is>
      </c>
      <c r="I274" s="4" t="inlineStr">
        <is>
          <t>BKK27</t>
        </is>
      </c>
      <c r="J274" s="4" t="inlineStr">
        <is>
          <t>B.C. DEPOT CO.,LTD. ( Bang-Na KM.18)</t>
        </is>
      </c>
      <c r="K274" s="4" t="inlineStr">
        <is>
          <t>20261001</t>
        </is>
      </c>
      <c r="L274" s="4" t="inlineStr">
        <is>
          <t>SUNFLOWER AGRO CO LTD</t>
        </is>
      </c>
      <c r="M274" s="4" t="inlineStr">
        <is>
          <t>SUNFLOWER AGRO CO LTD</t>
        </is>
      </c>
      <c r="N274" s="4" t="inlineStr">
        <is>
          <t>THAI WHITE RICE</t>
        </is>
      </c>
      <c r="O274" s="4" t="inlineStr">
        <is>
          <t>GOOD AND CLEAN CNTR</t>
        </is>
      </c>
      <c r="P274" s="4" t="inlineStr">
        <is>
          <t>Pickup : 2026-10-01, Return : 2026-10-02</t>
        </is>
      </c>
      <c r="Q274" s="4" t="n">
        <v>1</v>
      </c>
      <c r="R274" s="4" t="n">
        <v>0</v>
      </c>
      <c r="S274" s="4" t="n">
        <v>0</v>
      </c>
      <c r="T274" s="4" t="n">
        <v>0</v>
      </c>
      <c r="U274" s="4" t="n">
        <v>0</v>
      </c>
      <c r="V274" s="4" t="n">
        <v>0</v>
      </c>
      <c r="W274" s="4" t="n">
        <v>0</v>
      </c>
      <c r="X274" s="4" t="n">
        <v>0</v>
      </c>
      <c r="Y274" s="4" t="n">
        <v>0</v>
      </c>
      <c r="Z274" s="4" t="n">
        <v>0</v>
      </c>
      <c r="AA274" s="4" t="n">
        <v>0</v>
      </c>
      <c r="AB274" s="4">
        <f>SUM(Q274:Y274)-Z274</f>
        <v/>
      </c>
      <c r="AC274" s="4">
        <f>IF(I274="","",IF(OR(LEFT(I274,3)="BKK",I274="LCH55"),"BKK",IF(LEFT(I274,3)="LCH","LCH","OTHER")))</f>
        <v/>
      </c>
      <c r="AD274" s="4">
        <f>MAX(0,Q274-MAX(0,Z274))</f>
        <v/>
      </c>
      <c r="AE274" s="4">
        <f>MAX(0,R274-MAX(0,Z274-SUM(Q274:Q274)))</f>
        <v/>
      </c>
      <c r="AF274" s="4">
        <f>MAX(0,S274-MAX(0,Z274-SUM(Q274:R274)))</f>
        <v/>
      </c>
      <c r="AG274" s="4">
        <f>MAX(0,T274-MAX(0,Z274-SUM(Q274:S274)))</f>
        <v/>
      </c>
      <c r="AH274" s="4">
        <f>MAX(0,U274-MAX(0,Z274-SUM(Q274:T274)))</f>
        <v/>
      </c>
      <c r="AI274" s="4">
        <f>MAX(0,V274-MAX(0,Z274-SUM(Q274:U274)))</f>
        <v/>
      </c>
      <c r="AJ274" s="4">
        <f>MAX(0,W274-MAX(0,Z274-SUM(Q274:V274)))</f>
        <v/>
      </c>
      <c r="AK274" s="4">
        <f>MAX(0,X274-MAX(0,Z274-SUM(Q274:W274)))</f>
        <v/>
      </c>
      <c r="AL274" s="4">
        <f>MAX(0,Y274-MAX(0,Z274-SUM(Q274:X274)))</f>
        <v/>
      </c>
    </row>
    <row r="275">
      <c r="A275" s="4" t="inlineStr">
        <is>
          <t>HASLS22260902210</t>
        </is>
      </c>
      <c r="B275" s="4" t="inlineStr">
        <is>
          <t>SWSP</t>
        </is>
      </c>
      <c r="C275" s="4" t="inlineStr">
        <is>
          <t>2609N</t>
        </is>
      </c>
      <c r="D275" s="4" t="inlineStr">
        <is>
          <t>202610071530</t>
        </is>
      </c>
      <c r="E275" s="4" t="inlineStr"/>
      <c r="F275" s="4" t="inlineStr">
        <is>
          <t>THBKK</t>
        </is>
      </c>
      <c r="G275" s="4" t="inlineStr">
        <is>
          <t>VNSGN</t>
        </is>
      </c>
      <c r="H275" s="4" t="inlineStr">
        <is>
          <t xml:space="preserve">40Hx5 </t>
        </is>
      </c>
      <c r="I275" s="4" t="inlineStr">
        <is>
          <t>BKK27</t>
        </is>
      </c>
      <c r="J275" s="4" t="inlineStr">
        <is>
          <t>B.C. DEPOT CO.,LTD. ( Bang-Na KM.18)</t>
        </is>
      </c>
      <c r="K275" s="4" t="inlineStr">
        <is>
          <t>20261001</t>
        </is>
      </c>
      <c r="L275" s="4" t="inlineStr">
        <is>
          <t>CAPRICORN LOGISTICS CO., LTD.</t>
        </is>
      </c>
      <c r="M275" s="4" t="inlineStr">
        <is>
          <t>SWAN INDUSTRIES (THAILAND) LTD.</t>
        </is>
      </c>
      <c r="N275" s="4" t="inlineStr">
        <is>
          <t>EMPTY CAN (FOOD CAN)</t>
        </is>
      </c>
      <c r="O275" s="4" t="inlineStr">
        <is>
          <t>need clean &amp; no smell new container for food grade sine our product is food packaging.(Container FOOD GRADE)</t>
        </is>
      </c>
      <c r="P275" s="4" t="inlineStr">
        <is>
          <t>Pickup : 2026-10-01, Return : 2026-10-02 (EXTEND CLOSING 03/10/26 @16.00)</t>
        </is>
      </c>
      <c r="Q275" s="4" t="n">
        <v>0</v>
      </c>
      <c r="R275" s="4" t="n">
        <v>0</v>
      </c>
      <c r="S275" s="4" t="n">
        <v>5</v>
      </c>
      <c r="T275" s="4" t="n">
        <v>0</v>
      </c>
      <c r="U275" s="4" t="n">
        <v>0</v>
      </c>
      <c r="V275" s="4" t="n">
        <v>0</v>
      </c>
      <c r="W275" s="4" t="n">
        <v>0</v>
      </c>
      <c r="X275" s="4" t="n">
        <v>0</v>
      </c>
      <c r="Y275" s="4" t="n">
        <v>0</v>
      </c>
      <c r="Z275" s="4" t="n">
        <v>0</v>
      </c>
      <c r="AA275" s="4" t="n">
        <v>0</v>
      </c>
      <c r="AB275" s="4">
        <f>SUM(Q275:Y275)-Z275</f>
        <v/>
      </c>
      <c r="AC275" s="4">
        <f>IF(I275="","",IF(OR(LEFT(I275,3)="BKK",I275="LCH55"),"BKK",IF(LEFT(I275,3)="LCH","LCH","OTHER")))</f>
        <v/>
      </c>
      <c r="AD275" s="4">
        <f>MAX(0,Q275-MAX(0,Z275))</f>
        <v/>
      </c>
      <c r="AE275" s="4">
        <f>MAX(0,R275-MAX(0,Z275-SUM(Q275:Q275)))</f>
        <v/>
      </c>
      <c r="AF275" s="4">
        <f>MAX(0,S275-MAX(0,Z275-SUM(Q275:R275)))</f>
        <v/>
      </c>
      <c r="AG275" s="4">
        <f>MAX(0,T275-MAX(0,Z275-SUM(Q275:S275)))</f>
        <v/>
      </c>
      <c r="AH275" s="4">
        <f>MAX(0,U275-MAX(0,Z275-SUM(Q275:T275)))</f>
        <v/>
      </c>
      <c r="AI275" s="4">
        <f>MAX(0,V275-MAX(0,Z275-SUM(Q275:U275)))</f>
        <v/>
      </c>
      <c r="AJ275" s="4">
        <f>MAX(0,W275-MAX(0,Z275-SUM(Q275:V275)))</f>
        <v/>
      </c>
      <c r="AK275" s="4">
        <f>MAX(0,X275-MAX(0,Z275-SUM(Q275:W275)))</f>
        <v/>
      </c>
      <c r="AL275" s="4">
        <f>MAX(0,Y275-MAX(0,Z275-SUM(Q275:X275)))</f>
        <v/>
      </c>
    </row>
    <row r="276">
      <c r="A276" s="4" t="inlineStr">
        <is>
          <t>HASLS22260902212</t>
        </is>
      </c>
      <c r="B276" s="4" t="inlineStr">
        <is>
          <t>SWSP</t>
        </is>
      </c>
      <c r="C276" s="4" t="inlineStr">
        <is>
          <t>2609N</t>
        </is>
      </c>
      <c r="D276" s="4" t="inlineStr">
        <is>
          <t>202610071530</t>
        </is>
      </c>
      <c r="E276" s="4" t="inlineStr"/>
      <c r="F276" s="4" t="inlineStr">
        <is>
          <t>THBKK</t>
        </is>
      </c>
      <c r="G276" s="4" t="inlineStr">
        <is>
          <t>VNSGN</t>
        </is>
      </c>
      <c r="H276" s="4" t="inlineStr">
        <is>
          <t xml:space="preserve">40Hx1 </t>
        </is>
      </c>
      <c r="I276" s="4" t="inlineStr">
        <is>
          <t>BKK27</t>
        </is>
      </c>
      <c r="J276" s="4" t="inlineStr">
        <is>
          <t>B.C. DEPOT CO.,LTD. ( Bang-Na KM.18)</t>
        </is>
      </c>
      <c r="K276" s="4" t="inlineStr">
        <is>
          <t>20261001</t>
        </is>
      </c>
      <c r="L276" s="4" t="inlineStr">
        <is>
          <t>EUROFREIGHT INTERNATIONAL CO.,LTD.</t>
        </is>
      </c>
      <c r="M276" s="4" t="inlineStr">
        <is>
          <t>EUROFREIGHT INTERNATIONAL CO.,LTD.</t>
        </is>
      </c>
      <c r="N276" s="4" t="inlineStr">
        <is>
          <t>Steel</t>
        </is>
      </c>
      <c r="O276" s="4" t="inlineStr">
        <is>
          <t>GOOD AND CLEAN CONTAINER</t>
        </is>
      </c>
      <c r="P276" s="4" t="inlineStr">
        <is>
          <t>Pickup : 2026-10-01, Return : 2026-10-02</t>
        </is>
      </c>
      <c r="Q276" s="4" t="n">
        <v>0</v>
      </c>
      <c r="R276" s="4" t="n">
        <v>0</v>
      </c>
      <c r="S276" s="4" t="n">
        <v>1</v>
      </c>
      <c r="T276" s="4" t="n">
        <v>0</v>
      </c>
      <c r="U276" s="4" t="n">
        <v>0</v>
      </c>
      <c r="V276" s="4" t="n">
        <v>0</v>
      </c>
      <c r="W276" s="4" t="n">
        <v>0</v>
      </c>
      <c r="X276" s="4" t="n">
        <v>0</v>
      </c>
      <c r="Y276" s="4" t="n">
        <v>0</v>
      </c>
      <c r="Z276" s="4" t="n">
        <v>0</v>
      </c>
      <c r="AA276" s="4" t="n">
        <v>0</v>
      </c>
      <c r="AB276" s="4">
        <f>SUM(Q276:Y276)-Z276</f>
        <v/>
      </c>
      <c r="AC276" s="4">
        <f>IF(I276="","",IF(OR(LEFT(I276,3)="BKK",I276="LCH55"),"BKK",IF(LEFT(I276,3)="LCH","LCH","OTHER")))</f>
        <v/>
      </c>
      <c r="AD276" s="4">
        <f>MAX(0,Q276-MAX(0,Z276))</f>
        <v/>
      </c>
      <c r="AE276" s="4">
        <f>MAX(0,R276-MAX(0,Z276-SUM(Q276:Q276)))</f>
        <v/>
      </c>
      <c r="AF276" s="4">
        <f>MAX(0,S276-MAX(0,Z276-SUM(Q276:R276)))</f>
        <v/>
      </c>
      <c r="AG276" s="4">
        <f>MAX(0,T276-MAX(0,Z276-SUM(Q276:S276)))</f>
        <v/>
      </c>
      <c r="AH276" s="4">
        <f>MAX(0,U276-MAX(0,Z276-SUM(Q276:T276)))</f>
        <v/>
      </c>
      <c r="AI276" s="4">
        <f>MAX(0,V276-MAX(0,Z276-SUM(Q276:U276)))</f>
        <v/>
      </c>
      <c r="AJ276" s="4">
        <f>MAX(0,W276-MAX(0,Z276-SUM(Q276:V276)))</f>
        <v/>
      </c>
      <c r="AK276" s="4">
        <f>MAX(0,X276-MAX(0,Z276-SUM(Q276:W276)))</f>
        <v/>
      </c>
      <c r="AL276" s="4">
        <f>MAX(0,Y276-MAX(0,Z276-SUM(Q276:X276)))</f>
        <v/>
      </c>
    </row>
    <row r="277">
      <c r="A277" s="4" t="inlineStr">
        <is>
          <t>HASLS22260902214</t>
        </is>
      </c>
      <c r="B277" s="4" t="inlineStr">
        <is>
          <t>KMGY</t>
        </is>
      </c>
      <c r="C277" s="4" t="inlineStr">
        <is>
          <t>2611N</t>
        </is>
      </c>
      <c r="D277" s="4" t="inlineStr">
        <is>
          <t>202610201000</t>
        </is>
      </c>
      <c r="E277" s="4" t="inlineStr"/>
      <c r="F277" s="4" t="inlineStr">
        <is>
          <t>THBKK</t>
        </is>
      </c>
      <c r="G277" s="4" t="inlineStr">
        <is>
          <t>HKHKG</t>
        </is>
      </c>
      <c r="H277" s="4" t="inlineStr">
        <is>
          <t xml:space="preserve">20'x2 </t>
        </is>
      </c>
      <c r="I277" s="4" t="inlineStr">
        <is>
          <t>BKK27</t>
        </is>
      </c>
      <c r="J277" s="4" t="inlineStr">
        <is>
          <t>B.C. DEPOT CO.,LTD. ( Bang-Na KM.18)</t>
        </is>
      </c>
      <c r="K277" s="4" t="inlineStr">
        <is>
          <t>20261014</t>
        </is>
      </c>
      <c r="L277" s="4" t="inlineStr">
        <is>
          <t>KUEHNE + NAGEL LIMITED</t>
        </is>
      </c>
      <c r="M277" s="4" t="inlineStr">
        <is>
          <t>SINGHA WORLDWIDE INTERNATIONAL CO., LTD.</t>
        </is>
      </c>
      <c r="N277" s="4" t="inlineStr">
        <is>
          <t>SODA WATER</t>
        </is>
      </c>
      <c r="O277" s="4" t="inlineStr">
        <is>
          <t>REQ Underdesk cargo, food grade cont, no rust and smell</t>
        </is>
      </c>
      <c r="P277" s="4" t="inlineStr">
        <is>
          <t>Pickup : 2026-10-14, Return : 2026-10-15</t>
        </is>
      </c>
      <c r="Q277" s="4" t="n">
        <v>2</v>
      </c>
      <c r="R277" s="4" t="n">
        <v>0</v>
      </c>
      <c r="S277" s="4" t="n">
        <v>0</v>
      </c>
      <c r="T277" s="4" t="n">
        <v>0</v>
      </c>
      <c r="U277" s="4" t="n">
        <v>0</v>
      </c>
      <c r="V277" s="4" t="n">
        <v>0</v>
      </c>
      <c r="W277" s="4" t="n">
        <v>0</v>
      </c>
      <c r="X277" s="4" t="n">
        <v>0</v>
      </c>
      <c r="Y277" s="4" t="n">
        <v>0</v>
      </c>
      <c r="Z277" s="4" t="n">
        <v>0</v>
      </c>
      <c r="AA277" s="4" t="n">
        <v>0</v>
      </c>
      <c r="AB277" s="4">
        <f>SUM(Q277:Y277)-Z277</f>
        <v/>
      </c>
      <c r="AC277" s="4">
        <f>IF(I277="","",IF(OR(LEFT(I277,3)="BKK",I277="LCH55"),"BKK",IF(LEFT(I277,3)="LCH","LCH","OTHER")))</f>
        <v/>
      </c>
      <c r="AD277" s="4">
        <f>MAX(0,Q277-MAX(0,Z277))</f>
        <v/>
      </c>
      <c r="AE277" s="4">
        <f>MAX(0,R277-MAX(0,Z277-SUM(Q277:Q277)))</f>
        <v/>
      </c>
      <c r="AF277" s="4">
        <f>MAX(0,S277-MAX(0,Z277-SUM(Q277:R277)))</f>
        <v/>
      </c>
      <c r="AG277" s="4">
        <f>MAX(0,T277-MAX(0,Z277-SUM(Q277:S277)))</f>
        <v/>
      </c>
      <c r="AH277" s="4">
        <f>MAX(0,U277-MAX(0,Z277-SUM(Q277:T277)))</f>
        <v/>
      </c>
      <c r="AI277" s="4">
        <f>MAX(0,V277-MAX(0,Z277-SUM(Q277:U277)))</f>
        <v/>
      </c>
      <c r="AJ277" s="4">
        <f>MAX(0,W277-MAX(0,Z277-SUM(Q277:V277)))</f>
        <v/>
      </c>
      <c r="AK277" s="4">
        <f>MAX(0,X277-MAX(0,Z277-SUM(Q277:W277)))</f>
        <v/>
      </c>
      <c r="AL277" s="4">
        <f>MAX(0,Y277-MAX(0,Z277-SUM(Q277:X277)))</f>
        <v/>
      </c>
    </row>
    <row r="278">
      <c r="A278" s="4" t="inlineStr">
        <is>
          <t>HASLS22260902215</t>
        </is>
      </c>
      <c r="B278" s="4" t="inlineStr">
        <is>
          <t>SWAT</t>
        </is>
      </c>
      <c r="C278" s="4" t="inlineStr">
        <is>
          <t>2610N</t>
        </is>
      </c>
      <c r="D278" s="4" t="inlineStr">
        <is>
          <t>202610071700</t>
        </is>
      </c>
      <c r="E278" s="4" t="inlineStr"/>
      <c r="F278" s="4" t="inlineStr">
        <is>
          <t>THBKK</t>
        </is>
      </c>
      <c r="G278" s="4" t="inlineStr">
        <is>
          <t>TWKEL</t>
        </is>
      </c>
      <c r="H278" s="4" t="inlineStr">
        <is>
          <t xml:space="preserve">20'x1 </t>
        </is>
      </c>
      <c r="I278" s="4" t="inlineStr">
        <is>
          <t>BKK27</t>
        </is>
      </c>
      <c r="J278" s="4" t="inlineStr">
        <is>
          <t>B.C. DEPOT CO.,LTD. ( Bang-Na KM.18)</t>
        </is>
      </c>
      <c r="K278" s="4" t="inlineStr">
        <is>
          <t>20260930</t>
        </is>
      </c>
      <c r="L278" s="4" t="inlineStr">
        <is>
          <t>MORRISON EXPRESS CORP (THAILAND)LTD.</t>
        </is>
      </c>
      <c r="M278" s="4" t="inlineStr">
        <is>
          <t>YUTO-COSMO (THAILAND) CO.,LTD</t>
        </is>
      </c>
      <c r="N278" s="4" t="inlineStr">
        <is>
          <t>PAPER</t>
        </is>
      </c>
      <c r="O278" s="4" t="inlineStr">
        <is>
          <t>REQ : GOOD AND CLEAN CONTAINER</t>
        </is>
      </c>
      <c r="P278" s="4" t="inlineStr">
        <is>
          <t xml:space="preserve">Pickup : 2026-09-30, Return : 2026-10-02 </t>
        </is>
      </c>
      <c r="Q278" s="4" t="n">
        <v>1</v>
      </c>
      <c r="R278" s="4" t="n">
        <v>0</v>
      </c>
      <c r="S278" s="4" t="n">
        <v>0</v>
      </c>
      <c r="T278" s="4" t="n">
        <v>0</v>
      </c>
      <c r="U278" s="4" t="n">
        <v>0</v>
      </c>
      <c r="V278" s="4" t="n">
        <v>0</v>
      </c>
      <c r="W278" s="4" t="n">
        <v>0</v>
      </c>
      <c r="X278" s="4" t="n">
        <v>0</v>
      </c>
      <c r="Y278" s="4" t="n">
        <v>0</v>
      </c>
      <c r="Z278" s="4" t="n">
        <v>0</v>
      </c>
      <c r="AA278" s="4" t="n">
        <v>0</v>
      </c>
      <c r="AB278" s="4">
        <f>SUM(Q278:Y278)-Z278</f>
        <v/>
      </c>
      <c r="AC278" s="4">
        <f>IF(I278="","",IF(OR(LEFT(I278,3)="BKK",I278="LCH55"),"BKK",IF(LEFT(I278,3)="LCH","LCH","OTHER")))</f>
        <v/>
      </c>
      <c r="AD278" s="4">
        <f>MAX(0,Q278-MAX(0,Z278))</f>
        <v/>
      </c>
      <c r="AE278" s="4">
        <f>MAX(0,R278-MAX(0,Z278-SUM(Q278:Q278)))</f>
        <v/>
      </c>
      <c r="AF278" s="4">
        <f>MAX(0,S278-MAX(0,Z278-SUM(Q278:R278)))</f>
        <v/>
      </c>
      <c r="AG278" s="4">
        <f>MAX(0,T278-MAX(0,Z278-SUM(Q278:S278)))</f>
        <v/>
      </c>
      <c r="AH278" s="4">
        <f>MAX(0,U278-MAX(0,Z278-SUM(Q278:T278)))</f>
        <v/>
      </c>
      <c r="AI278" s="4">
        <f>MAX(0,V278-MAX(0,Z278-SUM(Q278:U278)))</f>
        <v/>
      </c>
      <c r="AJ278" s="4">
        <f>MAX(0,W278-MAX(0,Z278-SUM(Q278:V278)))</f>
        <v/>
      </c>
      <c r="AK278" s="4">
        <f>MAX(0,X278-MAX(0,Z278-SUM(Q278:W278)))</f>
        <v/>
      </c>
      <c r="AL278" s="4">
        <f>MAX(0,Y278-MAX(0,Z278-SUM(Q278:X278)))</f>
        <v/>
      </c>
    </row>
    <row r="279">
      <c r="A279" s="4" t="inlineStr">
        <is>
          <t>HASLS22260902221</t>
        </is>
      </c>
      <c r="B279" s="4" t="inlineStr">
        <is>
          <t>DJCF</t>
        </is>
      </c>
      <c r="C279" s="4" t="inlineStr">
        <is>
          <t>0152N</t>
        </is>
      </c>
      <c r="D279" s="4" t="inlineStr">
        <is>
          <t>202610111000</t>
        </is>
      </c>
      <c r="E279" s="4" t="inlineStr"/>
      <c r="F279" s="4" t="inlineStr">
        <is>
          <t>THBKK</t>
        </is>
      </c>
      <c r="G279" s="4" t="inlineStr">
        <is>
          <t>VNSGN</t>
        </is>
      </c>
      <c r="H279" s="4" t="inlineStr">
        <is>
          <t xml:space="preserve">40Hx5 </t>
        </is>
      </c>
      <c r="I279" s="4" t="inlineStr">
        <is>
          <t>BKK27</t>
        </is>
      </c>
      <c r="J279" s="4" t="inlineStr">
        <is>
          <t>B.C. DEPOT CO.,LTD. ( Bang-Na KM.18)</t>
        </is>
      </c>
      <c r="K279" s="4" t="inlineStr">
        <is>
          <t>20261006</t>
        </is>
      </c>
      <c r="L279" s="4" t="inlineStr">
        <is>
          <t>CAPRICORN LOGISTICS CO., LTD.</t>
        </is>
      </c>
      <c r="M279" s="4" t="inlineStr">
        <is>
          <t>SWAN INDUSTRIES (THAILAND) LTD.</t>
        </is>
      </c>
      <c r="N279" s="4" t="inlineStr">
        <is>
          <t>EMPTY CAN (FOOD CAN)</t>
        </is>
      </c>
      <c r="O279" s="4" t="inlineStr">
        <is>
          <t>need clean &amp; no smell new container for food grade sine our product is food packaging.(Container FOOD GRADE)</t>
        </is>
      </c>
      <c r="P279" s="4" t="inlineStr">
        <is>
          <t xml:space="preserve">Pickup : 2026-10-06, Return : 2026-10-07 
 </t>
        </is>
      </c>
      <c r="Q279" s="4" t="n">
        <v>0</v>
      </c>
      <c r="R279" s="4" t="n">
        <v>0</v>
      </c>
      <c r="S279" s="4" t="n">
        <v>5</v>
      </c>
      <c r="T279" s="4" t="n">
        <v>0</v>
      </c>
      <c r="U279" s="4" t="n">
        <v>0</v>
      </c>
      <c r="V279" s="4" t="n">
        <v>0</v>
      </c>
      <c r="W279" s="4" t="n">
        <v>0</v>
      </c>
      <c r="X279" s="4" t="n">
        <v>0</v>
      </c>
      <c r="Y279" s="4" t="n">
        <v>0</v>
      </c>
      <c r="Z279" s="4" t="n">
        <v>0</v>
      </c>
      <c r="AA279" s="4" t="n">
        <v>0</v>
      </c>
      <c r="AB279" s="4">
        <f>SUM(Q279:Y279)-Z279</f>
        <v/>
      </c>
      <c r="AC279" s="4">
        <f>IF(I279="","",IF(OR(LEFT(I279,3)="BKK",I279="LCH55"),"BKK",IF(LEFT(I279,3)="LCH","LCH","OTHER")))</f>
        <v/>
      </c>
      <c r="AD279" s="4">
        <f>MAX(0,Q279-MAX(0,Z279))</f>
        <v/>
      </c>
      <c r="AE279" s="4">
        <f>MAX(0,R279-MAX(0,Z279-SUM(Q279:Q279)))</f>
        <v/>
      </c>
      <c r="AF279" s="4">
        <f>MAX(0,S279-MAX(0,Z279-SUM(Q279:R279)))</f>
        <v/>
      </c>
      <c r="AG279" s="4">
        <f>MAX(0,T279-MAX(0,Z279-SUM(Q279:S279)))</f>
        <v/>
      </c>
      <c r="AH279" s="4">
        <f>MAX(0,U279-MAX(0,Z279-SUM(Q279:T279)))</f>
        <v/>
      </c>
      <c r="AI279" s="4">
        <f>MAX(0,V279-MAX(0,Z279-SUM(Q279:U279)))</f>
        <v/>
      </c>
      <c r="AJ279" s="4">
        <f>MAX(0,W279-MAX(0,Z279-SUM(Q279:V279)))</f>
        <v/>
      </c>
      <c r="AK279" s="4">
        <f>MAX(0,X279-MAX(0,Z279-SUM(Q279:W279)))</f>
        <v/>
      </c>
      <c r="AL279" s="4">
        <f>MAX(0,Y279-MAX(0,Z279-SUM(Q279:X279)))</f>
        <v/>
      </c>
    </row>
    <row r="280">
      <c r="A280" s="4" t="inlineStr">
        <is>
          <t>HASLS22260902222</t>
        </is>
      </c>
      <c r="B280" s="4" t="inlineStr">
        <is>
          <t>SWIC</t>
        </is>
      </c>
      <c r="C280" s="4" t="inlineStr">
        <is>
          <t>2611N</t>
        </is>
      </c>
      <c r="D280" s="4" t="inlineStr">
        <is>
          <t>202610130700</t>
        </is>
      </c>
      <c r="E280" s="4" t="inlineStr"/>
      <c r="F280" s="4" t="inlineStr">
        <is>
          <t>THBKK</t>
        </is>
      </c>
      <c r="G280" s="4" t="inlineStr">
        <is>
          <t>VNSGN</t>
        </is>
      </c>
      <c r="H280" s="4" t="inlineStr">
        <is>
          <t xml:space="preserve">40Hx5 </t>
        </is>
      </c>
      <c r="I280" s="4" t="inlineStr">
        <is>
          <t>BKK27</t>
        </is>
      </c>
      <c r="J280" s="4" t="inlineStr">
        <is>
          <t>B.C. DEPOT CO.,LTD. ( Bang-Na KM.18)</t>
        </is>
      </c>
      <c r="K280" s="4" t="inlineStr">
        <is>
          <t>20261007</t>
        </is>
      </c>
      <c r="L280" s="4" t="inlineStr">
        <is>
          <t>CAPRICORN LOGISTICS CO., LTD.</t>
        </is>
      </c>
      <c r="M280" s="4" t="inlineStr">
        <is>
          <t>SWAN INDUSTRIES (THAILAND) LTD.</t>
        </is>
      </c>
      <c r="N280" s="4" t="inlineStr">
        <is>
          <t>EMPTY CAN (FOOD CAN)</t>
        </is>
      </c>
      <c r="O280" s="4" t="inlineStr">
        <is>
          <t>need clean &amp; no smell new container for food grade sine our product is food packaging.(Container FOOD GRADE)</t>
        </is>
      </c>
      <c r="P280" s="4" t="inlineStr">
        <is>
          <t xml:space="preserve">Pickup : 2026-10-07, Return : 2026-10-08 </t>
        </is>
      </c>
      <c r="Q280" s="4" t="n">
        <v>0</v>
      </c>
      <c r="R280" s="4" t="n">
        <v>0</v>
      </c>
      <c r="S280" s="4" t="n">
        <v>5</v>
      </c>
      <c r="T280" s="4" t="n">
        <v>0</v>
      </c>
      <c r="U280" s="4" t="n">
        <v>0</v>
      </c>
      <c r="V280" s="4" t="n">
        <v>0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>
        <f>SUM(Q280:Y280)-Z280</f>
        <v/>
      </c>
      <c r="AC280" s="4">
        <f>IF(I280="","",IF(OR(LEFT(I280,3)="BKK",I280="LCH55"),"BKK",IF(LEFT(I280,3)="LCH","LCH","OTHER")))</f>
        <v/>
      </c>
      <c r="AD280" s="4">
        <f>MAX(0,Q280-MAX(0,Z280))</f>
        <v/>
      </c>
      <c r="AE280" s="4">
        <f>MAX(0,R280-MAX(0,Z280-SUM(Q280:Q280)))</f>
        <v/>
      </c>
      <c r="AF280" s="4">
        <f>MAX(0,S280-MAX(0,Z280-SUM(Q280:R280)))</f>
        <v/>
      </c>
      <c r="AG280" s="4">
        <f>MAX(0,T280-MAX(0,Z280-SUM(Q280:S280)))</f>
        <v/>
      </c>
      <c r="AH280" s="4">
        <f>MAX(0,U280-MAX(0,Z280-SUM(Q280:T280)))</f>
        <v/>
      </c>
      <c r="AI280" s="4">
        <f>MAX(0,V280-MAX(0,Z280-SUM(Q280:U280)))</f>
        <v/>
      </c>
      <c r="AJ280" s="4">
        <f>MAX(0,W280-MAX(0,Z280-SUM(Q280:V280)))</f>
        <v/>
      </c>
      <c r="AK280" s="4">
        <f>MAX(0,X280-MAX(0,Z280-SUM(Q280:W280)))</f>
        <v/>
      </c>
      <c r="AL280" s="4">
        <f>MAX(0,Y280-MAX(0,Z280-SUM(Q280:X280)))</f>
        <v/>
      </c>
    </row>
    <row r="281">
      <c r="A281" s="4" t="inlineStr">
        <is>
          <t>HASLS22260902223</t>
        </is>
      </c>
      <c r="B281" s="4" t="inlineStr">
        <is>
          <t>SWIC</t>
        </is>
      </c>
      <c r="C281" s="4" t="inlineStr">
        <is>
          <t>2611N</t>
        </is>
      </c>
      <c r="D281" s="4" t="inlineStr">
        <is>
          <t>202610130700</t>
        </is>
      </c>
      <c r="E281" s="4" t="inlineStr"/>
      <c r="F281" s="4" t="inlineStr">
        <is>
          <t>THBKK</t>
        </is>
      </c>
      <c r="G281" s="4" t="inlineStr">
        <is>
          <t>VNSGN</t>
        </is>
      </c>
      <c r="H281" s="4" t="inlineStr">
        <is>
          <t xml:space="preserve">40Hx5 </t>
        </is>
      </c>
      <c r="I281" s="4" t="inlineStr">
        <is>
          <t>BKK27</t>
        </is>
      </c>
      <c r="J281" s="4" t="inlineStr">
        <is>
          <t>B.C. DEPOT CO.,LTD. ( Bang-Na KM.18)</t>
        </is>
      </c>
      <c r="K281" s="4" t="inlineStr">
        <is>
          <t>20261007</t>
        </is>
      </c>
      <c r="L281" s="4" t="inlineStr">
        <is>
          <t>CAPRICORN LOGISTICS CO., LTD.</t>
        </is>
      </c>
      <c r="M281" s="4" t="inlineStr">
        <is>
          <t>SWAN INDUSTRIES (THAILAND) LTD.</t>
        </is>
      </c>
      <c r="N281" s="4" t="inlineStr">
        <is>
          <t>EMPTY CAN (FOOD CAN)</t>
        </is>
      </c>
      <c r="O281" s="4" t="inlineStr">
        <is>
          <t>need clean &amp; no smell new container for food grade sine our product is food packaging.(Container FOOD GRADE)</t>
        </is>
      </c>
      <c r="P281" s="4" t="inlineStr">
        <is>
          <t xml:space="preserve">Pickup : 2026-10-07, Return : 2026-10-08 </t>
        </is>
      </c>
      <c r="Q281" s="4" t="n">
        <v>0</v>
      </c>
      <c r="R281" s="4" t="n">
        <v>0</v>
      </c>
      <c r="S281" s="4" t="n">
        <v>5</v>
      </c>
      <c r="T281" s="4" t="n">
        <v>0</v>
      </c>
      <c r="U281" s="4" t="n">
        <v>0</v>
      </c>
      <c r="V281" s="4" t="n">
        <v>0</v>
      </c>
      <c r="W281" s="4" t="n">
        <v>0</v>
      </c>
      <c r="X281" s="4" t="n">
        <v>0</v>
      </c>
      <c r="Y281" s="4" t="n">
        <v>0</v>
      </c>
      <c r="Z281" s="4" t="n">
        <v>0</v>
      </c>
      <c r="AA281" s="4" t="n">
        <v>0</v>
      </c>
      <c r="AB281" s="4">
        <f>SUM(Q281:Y281)-Z281</f>
        <v/>
      </c>
      <c r="AC281" s="4">
        <f>IF(I281="","",IF(OR(LEFT(I281,3)="BKK",I281="LCH55"),"BKK",IF(LEFT(I281,3)="LCH","LCH","OTHER")))</f>
        <v/>
      </c>
      <c r="AD281" s="4">
        <f>MAX(0,Q281-MAX(0,Z281))</f>
        <v/>
      </c>
      <c r="AE281" s="4">
        <f>MAX(0,R281-MAX(0,Z281-SUM(Q281:Q281)))</f>
        <v/>
      </c>
      <c r="AF281" s="4">
        <f>MAX(0,S281-MAX(0,Z281-SUM(Q281:R281)))</f>
        <v/>
      </c>
      <c r="AG281" s="4">
        <f>MAX(0,T281-MAX(0,Z281-SUM(Q281:S281)))</f>
        <v/>
      </c>
      <c r="AH281" s="4">
        <f>MAX(0,U281-MAX(0,Z281-SUM(Q281:T281)))</f>
        <v/>
      </c>
      <c r="AI281" s="4">
        <f>MAX(0,V281-MAX(0,Z281-SUM(Q281:U281)))</f>
        <v/>
      </c>
      <c r="AJ281" s="4">
        <f>MAX(0,W281-MAX(0,Z281-SUM(Q281:V281)))</f>
        <v/>
      </c>
      <c r="AK281" s="4">
        <f>MAX(0,X281-MAX(0,Z281-SUM(Q281:W281)))</f>
        <v/>
      </c>
      <c r="AL281" s="4">
        <f>MAX(0,Y281-MAX(0,Z281-SUM(Q281:X281)))</f>
        <v/>
      </c>
    </row>
    <row r="282">
      <c r="A282" s="4" t="inlineStr">
        <is>
          <t>HASLS22260902227</t>
        </is>
      </c>
      <c r="B282" s="4" t="inlineStr">
        <is>
          <t>KJT</t>
        </is>
      </c>
      <c r="C282" s="4" t="inlineStr">
        <is>
          <t>2611N</t>
        </is>
      </c>
      <c r="D282" s="4" t="inlineStr">
        <is>
          <t>202610141800</t>
        </is>
      </c>
      <c r="E282" s="4" t="inlineStr"/>
      <c r="F282" s="4" t="inlineStr">
        <is>
          <t>THBKK</t>
        </is>
      </c>
      <c r="G282" s="4" t="inlineStr">
        <is>
          <t>HKHKG</t>
        </is>
      </c>
      <c r="H282" s="4" t="inlineStr">
        <is>
          <t xml:space="preserve">40Hx1 </t>
        </is>
      </c>
      <c r="I282" s="4" t="inlineStr">
        <is>
          <t>BKK27</t>
        </is>
      </c>
      <c r="J282" s="4" t="inlineStr">
        <is>
          <t>B.C. DEPOT CO.,LTD. ( Bang-Na KM.18)</t>
        </is>
      </c>
      <c r="K282" s="4" t="inlineStr">
        <is>
          <t>20261009</t>
        </is>
      </c>
      <c r="L282" s="4" t="inlineStr">
        <is>
          <t>ELITE INTERNATIONAL LOGISTICS (THAILAND) CO., LTD.</t>
        </is>
      </c>
      <c r="M282" s="4" t="inlineStr">
        <is>
          <t>AIP INTERTRADE 2003 LTD.PART</t>
        </is>
      </c>
      <c r="N282" s="4" t="inlineStr">
        <is>
          <t>MOLASSES</t>
        </is>
      </c>
      <c r="O282" s="4" t="inlineStr">
        <is>
          <t>GOOD AND CLEAN CONTAINER</t>
        </is>
      </c>
      <c r="P282" s="4" t="inlineStr">
        <is>
          <t xml:space="preserve">Pickup : 2026-10-09, Return : 2026-10-10 </t>
        </is>
      </c>
      <c r="Q282" s="4" t="n">
        <v>0</v>
      </c>
      <c r="R282" s="4" t="n">
        <v>0</v>
      </c>
      <c r="S282" s="4" t="n">
        <v>1</v>
      </c>
      <c r="T282" s="4" t="n">
        <v>0</v>
      </c>
      <c r="U282" s="4" t="n">
        <v>0</v>
      </c>
      <c r="V282" s="4" t="n">
        <v>0</v>
      </c>
      <c r="W282" s="4" t="n">
        <v>0</v>
      </c>
      <c r="X282" s="4" t="n">
        <v>0</v>
      </c>
      <c r="Y282" s="4" t="n">
        <v>0</v>
      </c>
      <c r="Z282" s="4" t="n">
        <v>0</v>
      </c>
      <c r="AA282" s="4" t="n">
        <v>0</v>
      </c>
      <c r="AB282" s="4">
        <f>SUM(Q282:Y282)-Z282</f>
        <v/>
      </c>
      <c r="AC282" s="4">
        <f>IF(I282="","",IF(OR(LEFT(I282,3)="BKK",I282="LCH55"),"BKK",IF(LEFT(I282,3)="LCH","LCH","OTHER")))</f>
        <v/>
      </c>
      <c r="AD282" s="4">
        <f>MAX(0,Q282-MAX(0,Z282))</f>
        <v/>
      </c>
      <c r="AE282" s="4">
        <f>MAX(0,R282-MAX(0,Z282-SUM(Q282:Q282)))</f>
        <v/>
      </c>
      <c r="AF282" s="4">
        <f>MAX(0,S282-MAX(0,Z282-SUM(Q282:R282)))</f>
        <v/>
      </c>
      <c r="AG282" s="4">
        <f>MAX(0,T282-MAX(0,Z282-SUM(Q282:S282)))</f>
        <v/>
      </c>
      <c r="AH282" s="4">
        <f>MAX(0,U282-MAX(0,Z282-SUM(Q282:T282)))</f>
        <v/>
      </c>
      <c r="AI282" s="4">
        <f>MAX(0,V282-MAX(0,Z282-SUM(Q282:U282)))</f>
        <v/>
      </c>
      <c r="AJ282" s="4">
        <f>MAX(0,W282-MAX(0,Z282-SUM(Q282:V282)))</f>
        <v/>
      </c>
      <c r="AK282" s="4">
        <f>MAX(0,X282-MAX(0,Z282-SUM(Q282:W282)))</f>
        <v/>
      </c>
      <c r="AL282" s="4">
        <f>MAX(0,Y282-MAX(0,Z282-SUM(Q282:X282)))</f>
        <v/>
      </c>
    </row>
    <row r="283">
      <c r="A283" s="4" t="inlineStr">
        <is>
          <t>HASLS22260902233</t>
        </is>
      </c>
      <c r="B283" s="4" t="inlineStr">
        <is>
          <t>KMGY</t>
        </is>
      </c>
      <c r="C283" s="4" t="inlineStr">
        <is>
          <t>2611N</t>
        </is>
      </c>
      <c r="D283" s="4" t="inlineStr">
        <is>
          <t>202610201000</t>
        </is>
      </c>
      <c r="E283" s="4" t="inlineStr"/>
      <c r="F283" s="4" t="inlineStr">
        <is>
          <t>THBKK</t>
        </is>
      </c>
      <c r="G283" s="4" t="inlineStr">
        <is>
          <t>HKHKG</t>
        </is>
      </c>
      <c r="H283" s="4" t="inlineStr">
        <is>
          <t xml:space="preserve">40Hx1 20'x1 </t>
        </is>
      </c>
      <c r="I283" s="4" t="inlineStr">
        <is>
          <t>BKK27</t>
        </is>
      </c>
      <c r="J283" s="4" t="inlineStr">
        <is>
          <t>B.C. DEPOT CO.,LTD. ( Bang-Na KM.18)</t>
        </is>
      </c>
      <c r="K283" s="4" t="inlineStr">
        <is>
          <t>20261014</t>
        </is>
      </c>
      <c r="L283" s="4" t="inlineStr">
        <is>
          <t>NIPPON EXPRESS LOGISTICS (THAILAND) CO., LTD.</t>
        </is>
      </c>
      <c r="M283" s="4" t="inlineStr">
        <is>
          <t>ASPAL ELECTRONICS (THAILAND) CO., LTD.</t>
        </is>
      </c>
      <c r="N283" s="4" t="inlineStr">
        <is>
          <t>TRANSFORMER</t>
        </is>
      </c>
      <c r="O283" s="4" t="inlineStr">
        <is>
          <t>**Container Grade A**</t>
        </is>
      </c>
      <c r="P283" s="4" t="inlineStr">
        <is>
          <t xml:space="preserve">Pickup : 2026-10-14, Return : 2026-10-15 
 </t>
        </is>
      </c>
      <c r="Q283" s="4" t="n">
        <v>1</v>
      </c>
      <c r="R283" s="4" t="n">
        <v>0</v>
      </c>
      <c r="S283" s="4" t="n">
        <v>1</v>
      </c>
      <c r="T283" s="4" t="n">
        <v>0</v>
      </c>
      <c r="U283" s="4" t="n">
        <v>0</v>
      </c>
      <c r="V283" s="4" t="n">
        <v>0</v>
      </c>
      <c r="W283" s="4" t="n">
        <v>0</v>
      </c>
      <c r="X283" s="4" t="n">
        <v>0</v>
      </c>
      <c r="Y283" s="4" t="n">
        <v>0</v>
      </c>
      <c r="Z283" s="4" t="n">
        <v>0</v>
      </c>
      <c r="AA283" s="4" t="n">
        <v>0</v>
      </c>
      <c r="AB283" s="4">
        <f>SUM(Q283:Y283)-Z283</f>
        <v/>
      </c>
      <c r="AC283" s="4">
        <f>IF(I283="","",IF(OR(LEFT(I283,3)="BKK",I283="LCH55"),"BKK",IF(LEFT(I283,3)="LCH","LCH","OTHER")))</f>
        <v/>
      </c>
      <c r="AD283" s="4">
        <f>MAX(0,Q283-MAX(0,Z283))</f>
        <v/>
      </c>
      <c r="AE283" s="4">
        <f>MAX(0,R283-MAX(0,Z283-SUM(Q283:Q283)))</f>
        <v/>
      </c>
      <c r="AF283" s="4">
        <f>MAX(0,S283-MAX(0,Z283-SUM(Q283:R283)))</f>
        <v/>
      </c>
      <c r="AG283" s="4">
        <f>MAX(0,T283-MAX(0,Z283-SUM(Q283:S283)))</f>
        <v/>
      </c>
      <c r="AH283" s="4">
        <f>MAX(0,U283-MAX(0,Z283-SUM(Q283:T283)))</f>
        <v/>
      </c>
      <c r="AI283" s="4">
        <f>MAX(0,V283-MAX(0,Z283-SUM(Q283:U283)))</f>
        <v/>
      </c>
      <c r="AJ283" s="4">
        <f>MAX(0,W283-MAX(0,Z283-SUM(Q283:V283)))</f>
        <v/>
      </c>
      <c r="AK283" s="4">
        <f>MAX(0,X283-MAX(0,Z283-SUM(Q283:W283)))</f>
        <v/>
      </c>
      <c r="AL283" s="4">
        <f>MAX(0,Y283-MAX(0,Z283-SUM(Q283:X283)))</f>
        <v/>
      </c>
    </row>
    <row r="284">
      <c r="A284" s="4" t="inlineStr">
        <is>
          <t>HASLS22260902235</t>
        </is>
      </c>
      <c r="B284" s="4" t="inlineStr">
        <is>
          <t>SWRG</t>
        </is>
      </c>
      <c r="C284" s="4" t="inlineStr">
        <is>
          <t>2609N</t>
        </is>
      </c>
      <c r="D284" s="4" t="inlineStr">
        <is>
          <t>202610131130</t>
        </is>
      </c>
      <c r="E284" s="4" t="inlineStr">
        <is>
          <t>THSRP</t>
        </is>
      </c>
      <c r="F284" s="4" t="inlineStr">
        <is>
          <t>THLCH</t>
        </is>
      </c>
      <c r="G284" s="4" t="inlineStr">
        <is>
          <t>CNSHA</t>
        </is>
      </c>
      <c r="H284" s="4" t="inlineStr">
        <is>
          <t xml:space="preserve">40Hx1 </t>
        </is>
      </c>
      <c r="I284" s="4" t="inlineStr">
        <is>
          <t>BKK27</t>
        </is>
      </c>
      <c r="J284" s="4" t="inlineStr">
        <is>
          <t>B.C. DEPOT CO.,LTD. ( Bang-Na KM.18)</t>
        </is>
      </c>
      <c r="K284" s="4" t="inlineStr">
        <is>
          <t>20261007</t>
        </is>
      </c>
      <c r="L284" s="4" t="inlineStr">
        <is>
          <t>GRAND INTERNATIONAL LOGISTICS  CO.,LTD.</t>
        </is>
      </c>
      <c r="M284" s="4" t="inlineStr">
        <is>
          <t>TOYOX ASIA (THAILAND) CO., LTD.</t>
        </is>
      </c>
      <c r="N284" s="4" t="inlineStr">
        <is>
          <t>TOYOX PRESSURE HOSES</t>
        </is>
      </c>
      <c r="O284" s="4" t="inlineStr">
        <is>
          <t>GOOD AND CLEAN CNTR</t>
        </is>
      </c>
      <c r="P284" s="4" t="inlineStr">
        <is>
          <t xml:space="preserve">Pickup : 2026-10-07, Return : 2026-10-08 [PAPERLESS CODE : 2829] 
 CLS TIME @SRP : 08/10 @06.00 
 </t>
        </is>
      </c>
      <c r="Q284" s="4" t="n">
        <v>0</v>
      </c>
      <c r="R284" s="4" t="n">
        <v>0</v>
      </c>
      <c r="S284" s="4" t="n">
        <v>1</v>
      </c>
      <c r="T284" s="4" t="n">
        <v>0</v>
      </c>
      <c r="U284" s="4" t="n">
        <v>0</v>
      </c>
      <c r="V284" s="4" t="n">
        <v>0</v>
      </c>
      <c r="W284" s="4" t="n">
        <v>0</v>
      </c>
      <c r="X284" s="4" t="n">
        <v>0</v>
      </c>
      <c r="Y284" s="4" t="n">
        <v>0</v>
      </c>
      <c r="Z284" s="4" t="n">
        <v>0</v>
      </c>
      <c r="AA284" s="4" t="n">
        <v>0</v>
      </c>
      <c r="AB284" s="4">
        <f>SUM(Q284:Y284)-Z284</f>
        <v/>
      </c>
      <c r="AC284" s="4">
        <f>IF(I284="","",IF(OR(LEFT(I284,3)="BKK",I284="LCH55"),"BKK",IF(LEFT(I284,3)="LCH","LCH","OTHER")))</f>
        <v/>
      </c>
      <c r="AD284" s="4">
        <f>MAX(0,Q284-MAX(0,Z284))</f>
        <v/>
      </c>
      <c r="AE284" s="4">
        <f>MAX(0,R284-MAX(0,Z284-SUM(Q284:Q284)))</f>
        <v/>
      </c>
      <c r="AF284" s="4">
        <f>MAX(0,S284-MAX(0,Z284-SUM(Q284:R284)))</f>
        <v/>
      </c>
      <c r="AG284" s="4">
        <f>MAX(0,T284-MAX(0,Z284-SUM(Q284:S284)))</f>
        <v/>
      </c>
      <c r="AH284" s="4">
        <f>MAX(0,U284-MAX(0,Z284-SUM(Q284:T284)))</f>
        <v/>
      </c>
      <c r="AI284" s="4">
        <f>MAX(0,V284-MAX(0,Z284-SUM(Q284:U284)))</f>
        <v/>
      </c>
      <c r="AJ284" s="4">
        <f>MAX(0,W284-MAX(0,Z284-SUM(Q284:V284)))</f>
        <v/>
      </c>
      <c r="AK284" s="4">
        <f>MAX(0,X284-MAX(0,Z284-SUM(Q284:W284)))</f>
        <v/>
      </c>
      <c r="AL284" s="4">
        <f>MAX(0,Y284-MAX(0,Z284-SUM(Q284:X284)))</f>
        <v/>
      </c>
    </row>
    <row r="285">
      <c r="A285" s="4" t="inlineStr">
        <is>
          <t>HASLS22260902247</t>
        </is>
      </c>
      <c r="B285" s="4" t="inlineStr">
        <is>
          <t>PGPO</t>
        </is>
      </c>
      <c r="C285" s="4" t="inlineStr">
        <is>
          <t>2612N</t>
        </is>
      </c>
      <c r="D285" s="4" t="inlineStr">
        <is>
          <t>202610141800</t>
        </is>
      </c>
      <c r="E285" s="4" t="inlineStr"/>
      <c r="F285" s="4" t="inlineStr">
        <is>
          <t>THBKK</t>
        </is>
      </c>
      <c r="G285" s="4" t="inlineStr">
        <is>
          <t>VNSGN</t>
        </is>
      </c>
      <c r="H285" s="4" t="inlineStr">
        <is>
          <t xml:space="preserve">20'x1 </t>
        </is>
      </c>
      <c r="I285" s="4" t="inlineStr">
        <is>
          <t>BKK27</t>
        </is>
      </c>
      <c r="J285" s="4" t="inlineStr">
        <is>
          <t>B.C. DEPOT CO.,LTD. ( Bang-Na KM.18)</t>
        </is>
      </c>
      <c r="K285" s="4" t="inlineStr">
        <is>
          <t>20261009</t>
        </is>
      </c>
      <c r="L285" s="4" t="inlineStr">
        <is>
          <t>CAPRICORN LOGISTICS CO., LTD.</t>
        </is>
      </c>
      <c r="M285" s="4" t="inlineStr">
        <is>
          <t>K.P.FOODS CO., LTD.</t>
        </is>
      </c>
      <c r="N285" s="4" t="inlineStr">
        <is>
          <t xml:space="preserve"> BISCUIT</t>
        </is>
      </c>
      <c r="O285" s="4" t="inlineStr">
        <is>
          <t>REQUEST CONTAINER GOOD AND FOOD GRADE</t>
        </is>
      </c>
      <c r="P285" s="4" t="inlineStr">
        <is>
          <t xml:space="preserve">Pickup : 2026-10-09, Return : 2026-10-10 </t>
        </is>
      </c>
      <c r="Q285" s="4" t="n">
        <v>1</v>
      </c>
      <c r="R285" s="4" t="n">
        <v>0</v>
      </c>
      <c r="S285" s="4" t="n">
        <v>0</v>
      </c>
      <c r="T285" s="4" t="n">
        <v>0</v>
      </c>
      <c r="U285" s="4" t="n">
        <v>0</v>
      </c>
      <c r="V285" s="4" t="n">
        <v>0</v>
      </c>
      <c r="W285" s="4" t="n">
        <v>0</v>
      </c>
      <c r="X285" s="4" t="n">
        <v>0</v>
      </c>
      <c r="Y285" s="4" t="n">
        <v>0</v>
      </c>
      <c r="Z285" s="4" t="n">
        <v>0</v>
      </c>
      <c r="AA285" s="4" t="n">
        <v>0</v>
      </c>
      <c r="AB285" s="4">
        <f>SUM(Q285:Y285)-Z285</f>
        <v/>
      </c>
      <c r="AC285" s="4">
        <f>IF(I285="","",IF(OR(LEFT(I285,3)="BKK",I285="LCH55"),"BKK",IF(LEFT(I285,3)="LCH","LCH","OTHER")))</f>
        <v/>
      </c>
      <c r="AD285" s="4">
        <f>MAX(0,Q285-MAX(0,Z285))</f>
        <v/>
      </c>
      <c r="AE285" s="4">
        <f>MAX(0,R285-MAX(0,Z285-SUM(Q285:Q285)))</f>
        <v/>
      </c>
      <c r="AF285" s="4">
        <f>MAX(0,S285-MAX(0,Z285-SUM(Q285:R285)))</f>
        <v/>
      </c>
      <c r="AG285" s="4">
        <f>MAX(0,T285-MAX(0,Z285-SUM(Q285:S285)))</f>
        <v/>
      </c>
      <c r="AH285" s="4">
        <f>MAX(0,U285-MAX(0,Z285-SUM(Q285:T285)))</f>
        <v/>
      </c>
      <c r="AI285" s="4">
        <f>MAX(0,V285-MAX(0,Z285-SUM(Q285:U285)))</f>
        <v/>
      </c>
      <c r="AJ285" s="4">
        <f>MAX(0,W285-MAX(0,Z285-SUM(Q285:V285)))</f>
        <v/>
      </c>
      <c r="AK285" s="4">
        <f>MAX(0,X285-MAX(0,Z285-SUM(Q285:W285)))</f>
        <v/>
      </c>
      <c r="AL285" s="4">
        <f>MAX(0,Y285-MAX(0,Z285-SUM(Q285:X285)))</f>
        <v/>
      </c>
    </row>
    <row r="286">
      <c r="A286" s="4" t="inlineStr">
        <is>
          <t>HASLS22260902254</t>
        </is>
      </c>
      <c r="B286" s="4" t="inlineStr">
        <is>
          <t>SWIC</t>
        </is>
      </c>
      <c r="C286" s="4" t="inlineStr">
        <is>
          <t>2611N</t>
        </is>
      </c>
      <c r="D286" s="4" t="inlineStr">
        <is>
          <t>202610130700</t>
        </is>
      </c>
      <c r="E286" s="4" t="inlineStr"/>
      <c r="F286" s="4" t="inlineStr">
        <is>
          <t>THBKK</t>
        </is>
      </c>
      <c r="G286" s="4" t="inlineStr">
        <is>
          <t>KRPUS</t>
        </is>
      </c>
      <c r="H286" s="4" t="inlineStr">
        <is>
          <t xml:space="preserve">40Hx1 </t>
        </is>
      </c>
      <c r="I286" s="4" t="inlineStr">
        <is>
          <t>BKK27</t>
        </is>
      </c>
      <c r="J286" s="4" t="inlineStr">
        <is>
          <t>B.C. DEPOT CO.,LTD. ( Bang-Na KM.18)</t>
        </is>
      </c>
      <c r="K286" s="4" t="inlineStr">
        <is>
          <t>20261009</t>
        </is>
      </c>
      <c r="L286" s="4" t="inlineStr">
        <is>
          <t>H &amp; FRIENDS GTL (THAILAND) CO., LTD.</t>
        </is>
      </c>
      <c r="M286" s="4" t="inlineStr">
        <is>
          <t>AUTOLIV (THAILAND) LIMITED</t>
        </is>
      </c>
      <c r="N286" s="4" t="inlineStr">
        <is>
          <t>SEAT BELT</t>
        </is>
      </c>
      <c r="O286" s="4" t="inlineStr">
        <is>
          <t>**DO NOT RELEASE CNTR WAIT APPROVE**  DG45GPx1 (CLS 9 / UN 3268)  REQUEST CONTAINER CLEAN &amp; NO SMEL</t>
        </is>
      </c>
      <c r="P286" s="4" t="inlineStr">
        <is>
          <t>**DO NOT RELEASE CNTR WAIT APPROVE**  DG45GPx1 (CLS 9 / UN 3268) 
Pickup : 2026-10-09, Return : 2026-10-09 (CLS TIME 10/10/26 @23.59 , 1ST RTN DG 10/10/26 WO/RENT)</t>
        </is>
      </c>
      <c r="Q286" s="4" t="n">
        <v>0</v>
      </c>
      <c r="R286" s="4" t="n">
        <v>0</v>
      </c>
      <c r="S286" s="4" t="n">
        <v>1</v>
      </c>
      <c r="T286" s="4" t="n">
        <v>0</v>
      </c>
      <c r="U286" s="4" t="n">
        <v>0</v>
      </c>
      <c r="V286" s="4" t="n">
        <v>0</v>
      </c>
      <c r="W286" s="4" t="n">
        <v>0</v>
      </c>
      <c r="X286" s="4" t="n">
        <v>0</v>
      </c>
      <c r="Y286" s="4" t="n">
        <v>0</v>
      </c>
      <c r="Z286" s="4" t="n">
        <v>0</v>
      </c>
      <c r="AA286" s="4" t="n">
        <v>0</v>
      </c>
      <c r="AB286" s="4">
        <f>SUM(Q286:Y286)-Z286</f>
        <v/>
      </c>
      <c r="AC286" s="4">
        <f>IF(I286="","",IF(OR(LEFT(I286,3)="BKK",I286="LCH55"),"BKK",IF(LEFT(I286,3)="LCH","LCH","OTHER")))</f>
        <v/>
      </c>
      <c r="AD286" s="4">
        <f>MAX(0,Q286-MAX(0,Z286))</f>
        <v/>
      </c>
      <c r="AE286" s="4">
        <f>MAX(0,R286-MAX(0,Z286-SUM(Q286:Q286)))</f>
        <v/>
      </c>
      <c r="AF286" s="4">
        <f>MAX(0,S286-MAX(0,Z286-SUM(Q286:R286)))</f>
        <v/>
      </c>
      <c r="AG286" s="4">
        <f>MAX(0,T286-MAX(0,Z286-SUM(Q286:S286)))</f>
        <v/>
      </c>
      <c r="AH286" s="4">
        <f>MAX(0,U286-MAX(0,Z286-SUM(Q286:T286)))</f>
        <v/>
      </c>
      <c r="AI286" s="4">
        <f>MAX(0,V286-MAX(0,Z286-SUM(Q286:U286)))</f>
        <v/>
      </c>
      <c r="AJ286" s="4">
        <f>MAX(0,W286-MAX(0,Z286-SUM(Q286:V286)))</f>
        <v/>
      </c>
      <c r="AK286" s="4">
        <f>MAX(0,X286-MAX(0,Z286-SUM(Q286:W286)))</f>
        <v/>
      </c>
      <c r="AL286" s="4">
        <f>MAX(0,Y286-MAX(0,Z286-SUM(Q286:X286)))</f>
        <v/>
      </c>
    </row>
    <row r="287">
      <c r="A287" s="4" t="inlineStr">
        <is>
          <t>HASLS22260902260</t>
        </is>
      </c>
      <c r="B287" s="4" t="inlineStr">
        <is>
          <t>SWSP</t>
        </is>
      </c>
      <c r="C287" s="4" t="inlineStr">
        <is>
          <t>2609N</t>
        </is>
      </c>
      <c r="D287" s="4" t="inlineStr">
        <is>
          <t>202610071530</t>
        </is>
      </c>
      <c r="E287" s="4" t="inlineStr"/>
      <c r="F287" s="4" t="inlineStr">
        <is>
          <t>THBKK</t>
        </is>
      </c>
      <c r="G287" s="4" t="inlineStr">
        <is>
          <t>VNSGN</t>
        </is>
      </c>
      <c r="H287" s="4" t="inlineStr">
        <is>
          <t xml:space="preserve">40Hx11 </t>
        </is>
      </c>
      <c r="I287" s="4" t="inlineStr">
        <is>
          <t>BKK27</t>
        </is>
      </c>
      <c r="J287" s="4" t="inlineStr">
        <is>
          <t>B.C. DEPOT CO.,LTD. ( Bang-Na KM.18)</t>
        </is>
      </c>
      <c r="K287" s="4" t="inlineStr">
        <is>
          <t>20260929</t>
        </is>
      </c>
      <c r="L287" s="4" t="inlineStr">
        <is>
          <t>CAPRICORN LOGISTICS CO., LTD.</t>
        </is>
      </c>
      <c r="M287" s="4" t="inlineStr">
        <is>
          <t>MITSUBISHI HEAVY INDUSTRIES-MAHAJAK AIR CONDITIONERS CO.,LTD.</t>
        </is>
      </c>
      <c r="N287" s="4" t="inlineStr">
        <is>
          <t>AIR CONDITIONER</t>
        </is>
      </c>
      <c r="O287" s="4" t="inlineStr">
        <is>
          <t>RQST CNTR GOOD GRADE</t>
        </is>
      </c>
      <c r="P287" s="4" t="inlineStr">
        <is>
          <t xml:space="preserve">Pickup : 2026-09-29, Return : 2026-10-01 </t>
        </is>
      </c>
      <c r="Q287" s="4" t="n">
        <v>0</v>
      </c>
      <c r="R287" s="4" t="n">
        <v>0</v>
      </c>
      <c r="S287" s="4" t="n">
        <v>11</v>
      </c>
      <c r="T287" s="4" t="n">
        <v>0</v>
      </c>
      <c r="U287" s="4" t="n">
        <v>0</v>
      </c>
      <c r="V287" s="4" t="n">
        <v>0</v>
      </c>
      <c r="W287" s="4" t="n">
        <v>0</v>
      </c>
      <c r="X287" s="4" t="n">
        <v>0</v>
      </c>
      <c r="Y287" s="4" t="n">
        <v>0</v>
      </c>
      <c r="Z287" s="4" t="n">
        <v>0</v>
      </c>
      <c r="AA287" s="4" t="n">
        <v>0</v>
      </c>
      <c r="AB287" s="4">
        <f>SUM(Q287:Y287)-Z287</f>
        <v/>
      </c>
      <c r="AC287" s="4">
        <f>IF(I287="","",IF(OR(LEFT(I287,3)="BKK",I287="LCH55"),"BKK",IF(LEFT(I287,3)="LCH","LCH","OTHER")))</f>
        <v/>
      </c>
      <c r="AD287" s="4">
        <f>MAX(0,Q287-MAX(0,Z287))</f>
        <v/>
      </c>
      <c r="AE287" s="4">
        <f>MAX(0,R287-MAX(0,Z287-SUM(Q287:Q287)))</f>
        <v/>
      </c>
      <c r="AF287" s="4">
        <f>MAX(0,S287-MAX(0,Z287-SUM(Q287:R287)))</f>
        <v/>
      </c>
      <c r="AG287" s="4">
        <f>MAX(0,T287-MAX(0,Z287-SUM(Q287:S287)))</f>
        <v/>
      </c>
      <c r="AH287" s="4">
        <f>MAX(0,U287-MAX(0,Z287-SUM(Q287:T287)))</f>
        <v/>
      </c>
      <c r="AI287" s="4">
        <f>MAX(0,V287-MAX(0,Z287-SUM(Q287:U287)))</f>
        <v/>
      </c>
      <c r="AJ287" s="4">
        <f>MAX(0,W287-MAX(0,Z287-SUM(Q287:V287)))</f>
        <v/>
      </c>
      <c r="AK287" s="4">
        <f>MAX(0,X287-MAX(0,Z287-SUM(Q287:W287)))</f>
        <v/>
      </c>
      <c r="AL287" s="4">
        <f>MAX(0,Y287-MAX(0,Z287-SUM(Q287:X287)))</f>
        <v/>
      </c>
    </row>
    <row r="288">
      <c r="A288" s="4" t="inlineStr">
        <is>
          <t>HASLS22260902262</t>
        </is>
      </c>
      <c r="B288" s="4" t="inlineStr">
        <is>
          <t>SWIC</t>
        </is>
      </c>
      <c r="C288" s="4" t="inlineStr">
        <is>
          <t>2611N</t>
        </is>
      </c>
      <c r="D288" s="4" t="inlineStr">
        <is>
          <t>202610130700</t>
        </is>
      </c>
      <c r="E288" s="4" t="inlineStr"/>
      <c r="F288" s="4" t="inlineStr">
        <is>
          <t>THBKK</t>
        </is>
      </c>
      <c r="G288" s="4" t="inlineStr">
        <is>
          <t>JPSMZ</t>
        </is>
      </c>
      <c r="H288" s="4" t="inlineStr">
        <is>
          <t xml:space="preserve">20'x1 </t>
        </is>
      </c>
      <c r="I288" s="4" t="inlineStr">
        <is>
          <t>BKK27</t>
        </is>
      </c>
      <c r="J288" s="4" t="inlineStr">
        <is>
          <t>B.C. DEPOT CO.,LTD. ( Bang-Na KM.18)</t>
        </is>
      </c>
      <c r="K288" s="4" t="inlineStr">
        <is>
          <t>20261008</t>
        </is>
      </c>
      <c r="L288" s="4" t="inlineStr">
        <is>
          <t>SCAN GLOBAL LOGISTICS CO., LTD.</t>
        </is>
      </c>
      <c r="M288" s="4" t="inlineStr">
        <is>
          <t>ASIA STAINLESS STEEL CO.,LTD.</t>
        </is>
      </c>
      <c r="N288" s="4" t="inlineStr">
        <is>
          <t xml:space="preserve"> COFFEE MAKER</t>
        </is>
      </c>
      <c r="O288" s="4" t="inlineStr">
        <is>
          <t>GOOD AND CLEAN CONTAINER</t>
        </is>
      </c>
      <c r="P288" s="4" t="inlineStr">
        <is>
          <t>Pickup : 2026-10-08, Return : 2026-10-09</t>
        </is>
      </c>
      <c r="Q288" s="4" t="n">
        <v>1</v>
      </c>
      <c r="R288" s="4" t="n">
        <v>0</v>
      </c>
      <c r="S288" s="4" t="n">
        <v>0</v>
      </c>
      <c r="T288" s="4" t="n">
        <v>0</v>
      </c>
      <c r="U288" s="4" t="n">
        <v>0</v>
      </c>
      <c r="V288" s="4" t="n">
        <v>0</v>
      </c>
      <c r="W288" s="4" t="n">
        <v>0</v>
      </c>
      <c r="X288" s="4" t="n">
        <v>0</v>
      </c>
      <c r="Y288" s="4" t="n">
        <v>0</v>
      </c>
      <c r="Z288" s="4" t="n">
        <v>0</v>
      </c>
      <c r="AA288" s="4" t="n">
        <v>0</v>
      </c>
      <c r="AB288" s="4">
        <f>SUM(Q288:Y288)-Z288</f>
        <v/>
      </c>
      <c r="AC288" s="4">
        <f>IF(I288="","",IF(OR(LEFT(I288,3)="BKK",I288="LCH55"),"BKK",IF(LEFT(I288,3)="LCH","LCH","OTHER")))</f>
        <v/>
      </c>
      <c r="AD288" s="4">
        <f>MAX(0,Q288-MAX(0,Z288))</f>
        <v/>
      </c>
      <c r="AE288" s="4">
        <f>MAX(0,R288-MAX(0,Z288-SUM(Q288:Q288)))</f>
        <v/>
      </c>
      <c r="AF288" s="4">
        <f>MAX(0,S288-MAX(0,Z288-SUM(Q288:R288)))</f>
        <v/>
      </c>
      <c r="AG288" s="4">
        <f>MAX(0,T288-MAX(0,Z288-SUM(Q288:S288)))</f>
        <v/>
      </c>
      <c r="AH288" s="4">
        <f>MAX(0,U288-MAX(0,Z288-SUM(Q288:T288)))</f>
        <v/>
      </c>
      <c r="AI288" s="4">
        <f>MAX(0,V288-MAX(0,Z288-SUM(Q288:U288)))</f>
        <v/>
      </c>
      <c r="AJ288" s="4">
        <f>MAX(0,W288-MAX(0,Z288-SUM(Q288:V288)))</f>
        <v/>
      </c>
      <c r="AK288" s="4">
        <f>MAX(0,X288-MAX(0,Z288-SUM(Q288:W288)))</f>
        <v/>
      </c>
      <c r="AL288" s="4">
        <f>MAX(0,Y288-MAX(0,Z288-SUM(Q288:X288)))</f>
        <v/>
      </c>
    </row>
    <row r="289">
      <c r="A289" s="4" t="inlineStr">
        <is>
          <t>HASLS22260902267</t>
        </is>
      </c>
      <c r="B289" s="4" t="inlineStr">
        <is>
          <t>SWAT</t>
        </is>
      </c>
      <c r="C289" s="4" t="inlineStr">
        <is>
          <t>2610N</t>
        </is>
      </c>
      <c r="D289" s="4" t="inlineStr">
        <is>
          <t>202610071700</t>
        </is>
      </c>
      <c r="E289" s="4" t="inlineStr"/>
      <c r="F289" s="4" t="inlineStr">
        <is>
          <t>THBKK</t>
        </is>
      </c>
      <c r="G289" s="4" t="inlineStr">
        <is>
          <t>TWKEL</t>
        </is>
      </c>
      <c r="H289" s="4" t="inlineStr">
        <is>
          <t xml:space="preserve">40Hx1 </t>
        </is>
      </c>
      <c r="I289" s="4" t="inlineStr">
        <is>
          <t>BKK27</t>
        </is>
      </c>
      <c r="J289" s="4" t="inlineStr">
        <is>
          <t>B.C. DEPOT CO.,LTD. ( Bang-Na KM.18)</t>
        </is>
      </c>
      <c r="K289" s="4" t="inlineStr">
        <is>
          <t>20261001</t>
        </is>
      </c>
      <c r="L289" s="4" t="inlineStr">
        <is>
          <t>CMS LOGISTICS GROUP (THAILAND) CO., LTD.</t>
        </is>
      </c>
      <c r="M289" s="4" t="inlineStr">
        <is>
          <t>THAI TOSHIBA ELECTRIC INDUSTRIES CO., LTD.</t>
        </is>
      </c>
      <c r="N289" s="4" t="inlineStr">
        <is>
          <t>REFREGERATOR</t>
        </is>
      </c>
      <c r="O289" s="4" t="inlineStr">
        <is>
          <t>GOOD AND CLEAN CONTAINER</t>
        </is>
      </c>
      <c r="P289" s="4" t="inlineStr">
        <is>
          <t>Pickup : 2026-10-01, Return : 2026-10-02</t>
        </is>
      </c>
      <c r="Q289" s="4" t="n">
        <v>0</v>
      </c>
      <c r="R289" s="4" t="n">
        <v>0</v>
      </c>
      <c r="S289" s="4" t="n">
        <v>1</v>
      </c>
      <c r="T289" s="4" t="n">
        <v>0</v>
      </c>
      <c r="U289" s="4" t="n">
        <v>0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>
        <f>SUM(Q289:Y289)-Z289</f>
        <v/>
      </c>
      <c r="AC289" s="4">
        <f>IF(I289="","",IF(OR(LEFT(I289,3)="BKK",I289="LCH55"),"BKK",IF(LEFT(I289,3)="LCH","LCH","OTHER")))</f>
        <v/>
      </c>
      <c r="AD289" s="4">
        <f>MAX(0,Q289-MAX(0,Z289))</f>
        <v/>
      </c>
      <c r="AE289" s="4">
        <f>MAX(0,R289-MAX(0,Z289-SUM(Q289:Q289)))</f>
        <v/>
      </c>
      <c r="AF289" s="4">
        <f>MAX(0,S289-MAX(0,Z289-SUM(Q289:R289)))</f>
        <v/>
      </c>
      <c r="AG289" s="4">
        <f>MAX(0,T289-MAX(0,Z289-SUM(Q289:S289)))</f>
        <v/>
      </c>
      <c r="AH289" s="4">
        <f>MAX(0,U289-MAX(0,Z289-SUM(Q289:T289)))</f>
        <v/>
      </c>
      <c r="AI289" s="4">
        <f>MAX(0,V289-MAX(0,Z289-SUM(Q289:U289)))</f>
        <v/>
      </c>
      <c r="AJ289" s="4">
        <f>MAX(0,W289-MAX(0,Z289-SUM(Q289:V289)))</f>
        <v/>
      </c>
      <c r="AK289" s="4">
        <f>MAX(0,X289-MAX(0,Z289-SUM(Q289:W289)))</f>
        <v/>
      </c>
      <c r="AL289" s="4">
        <f>MAX(0,Y289-MAX(0,Z289-SUM(Q289:X289)))</f>
        <v/>
      </c>
    </row>
    <row r="290">
      <c r="A290" s="4" t="inlineStr">
        <is>
          <t>HASLS22260902275</t>
        </is>
      </c>
      <c r="B290" s="4" t="inlineStr">
        <is>
          <t>SWDN</t>
        </is>
      </c>
      <c r="C290" s="4" t="inlineStr">
        <is>
          <t>2610N</t>
        </is>
      </c>
      <c r="D290" s="4" t="inlineStr">
        <is>
          <t>202610060900</t>
        </is>
      </c>
      <c r="E290" s="4" t="inlineStr"/>
      <c r="F290" s="4" t="inlineStr">
        <is>
          <t>THBKK</t>
        </is>
      </c>
      <c r="G290" s="4" t="inlineStr">
        <is>
          <t>HKHKG</t>
        </is>
      </c>
      <c r="H290" s="4" t="inlineStr">
        <is>
          <t xml:space="preserve">40Hx1 </t>
        </is>
      </c>
      <c r="I290" s="4" t="inlineStr">
        <is>
          <t>BKK27</t>
        </is>
      </c>
      <c r="J290" s="4" t="inlineStr">
        <is>
          <t>B.C. DEPOT CO.,LTD. ( Bang-Na KM.18)</t>
        </is>
      </c>
      <c r="K290" s="4" t="inlineStr">
        <is>
          <t>20260928</t>
        </is>
      </c>
      <c r="L290" s="4" t="inlineStr">
        <is>
          <t>CTI LOGISTICS CO., LTD.</t>
        </is>
      </c>
      <c r="M290" s="4" t="inlineStr">
        <is>
          <t>KING POWER CORPORATION CO., LTD. (HEAD OFFICE)</t>
        </is>
      </c>
      <c r="N290" s="4" t="inlineStr">
        <is>
          <t>: COSMETIC HS CODE: 3304.10, 3304.30</t>
        </is>
      </c>
      <c r="O290" s="4" t="inlineStr">
        <is>
          <t>REQUEST CLEAN CONTAINER</t>
        </is>
      </c>
      <c r="P290" s="4" t="inlineStr">
        <is>
          <t xml:space="preserve">Pickup : 2026-09-28, Return : 2026-09-29  </t>
        </is>
      </c>
      <c r="Q290" s="4" t="n">
        <v>0</v>
      </c>
      <c r="R290" s="4" t="n">
        <v>0</v>
      </c>
      <c r="S290" s="4" t="n">
        <v>1</v>
      </c>
      <c r="T290" s="4" t="n">
        <v>0</v>
      </c>
      <c r="U290" s="4" t="n">
        <v>0</v>
      </c>
      <c r="V290" s="4" t="n">
        <v>0</v>
      </c>
      <c r="W290" s="4" t="n">
        <v>0</v>
      </c>
      <c r="X290" s="4" t="n">
        <v>0</v>
      </c>
      <c r="Y290" s="4" t="n">
        <v>0</v>
      </c>
      <c r="Z290" s="4" t="n">
        <v>0</v>
      </c>
      <c r="AA290" s="4" t="n">
        <v>0</v>
      </c>
      <c r="AB290" s="4">
        <f>SUM(Q290:Y290)-Z290</f>
        <v/>
      </c>
      <c r="AC290" s="4">
        <f>IF(I290="","",IF(OR(LEFT(I290,3)="BKK",I290="LCH55"),"BKK",IF(LEFT(I290,3)="LCH","LCH","OTHER")))</f>
        <v/>
      </c>
      <c r="AD290" s="4">
        <f>MAX(0,Q290-MAX(0,Z290))</f>
        <v/>
      </c>
      <c r="AE290" s="4">
        <f>MAX(0,R290-MAX(0,Z290-SUM(Q290:Q290)))</f>
        <v/>
      </c>
      <c r="AF290" s="4">
        <f>MAX(0,S290-MAX(0,Z290-SUM(Q290:R290)))</f>
        <v/>
      </c>
      <c r="AG290" s="4">
        <f>MAX(0,T290-MAX(0,Z290-SUM(Q290:S290)))</f>
        <v/>
      </c>
      <c r="AH290" s="4">
        <f>MAX(0,U290-MAX(0,Z290-SUM(Q290:T290)))</f>
        <v/>
      </c>
      <c r="AI290" s="4">
        <f>MAX(0,V290-MAX(0,Z290-SUM(Q290:U290)))</f>
        <v/>
      </c>
      <c r="AJ290" s="4">
        <f>MAX(0,W290-MAX(0,Z290-SUM(Q290:V290)))</f>
        <v/>
      </c>
      <c r="AK290" s="4">
        <f>MAX(0,X290-MAX(0,Z290-SUM(Q290:W290)))</f>
        <v/>
      </c>
      <c r="AL290" s="4">
        <f>MAX(0,Y290-MAX(0,Z290-SUM(Q290:X290)))</f>
        <v/>
      </c>
    </row>
    <row r="291">
      <c r="A291" s="4" t="inlineStr">
        <is>
          <t>HASLS22260902280</t>
        </is>
      </c>
      <c r="B291" s="4" t="inlineStr">
        <is>
          <t>SWMM</t>
        </is>
      </c>
      <c r="C291" s="4" t="inlineStr">
        <is>
          <t>2610N</t>
        </is>
      </c>
      <c r="D291" s="4" t="inlineStr">
        <is>
          <t>202610210400</t>
        </is>
      </c>
      <c r="E291" s="4" t="inlineStr"/>
      <c r="F291" s="4" t="inlineStr">
        <is>
          <t>THBKK</t>
        </is>
      </c>
      <c r="G291" s="4" t="inlineStr">
        <is>
          <t>VNSGN</t>
        </is>
      </c>
      <c r="H291" s="4" t="inlineStr">
        <is>
          <t xml:space="preserve">40Hx1 </t>
        </is>
      </c>
      <c r="I291" s="4" t="inlineStr">
        <is>
          <t>BKK27</t>
        </is>
      </c>
      <c r="J291" s="4" t="inlineStr">
        <is>
          <t>B.C. DEPOT CO.,LTD. ( Bang-Na KM.18)</t>
        </is>
      </c>
      <c r="K291" s="4" t="inlineStr">
        <is>
          <t>20261014</t>
        </is>
      </c>
      <c r="L291" s="4" t="inlineStr">
        <is>
          <t>DIGITAL TRANSPORT SYSTEM CO., LTD.</t>
        </is>
      </c>
      <c r="M291" s="4" t="inlineStr">
        <is>
          <t>BIG C SUPERCENTER PUBLIC CO., LTD.</t>
        </is>
      </c>
      <c r="N291" s="4" t="inlineStr">
        <is>
          <t>HOUSEHOLD WARE</t>
        </is>
      </c>
      <c r="O291" s="4" t="inlineStr">
        <is>
          <t>REQUEST CLEAN AND GOOD CONTAINER</t>
        </is>
      </c>
      <c r="P291" s="4" t="inlineStr">
        <is>
          <t xml:space="preserve">Pickup : 2026-10-14, Return : 2026-10-15 </t>
        </is>
      </c>
      <c r="Q291" s="4" t="n">
        <v>0</v>
      </c>
      <c r="R291" s="4" t="n">
        <v>0</v>
      </c>
      <c r="S291" s="4" t="n">
        <v>1</v>
      </c>
      <c r="T291" s="4" t="n">
        <v>0</v>
      </c>
      <c r="U291" s="4" t="n">
        <v>0</v>
      </c>
      <c r="V291" s="4" t="n">
        <v>0</v>
      </c>
      <c r="W291" s="4" t="n">
        <v>0</v>
      </c>
      <c r="X291" s="4" t="n">
        <v>0</v>
      </c>
      <c r="Y291" s="4" t="n">
        <v>0</v>
      </c>
      <c r="Z291" s="4" t="n">
        <v>0</v>
      </c>
      <c r="AA291" s="4" t="n">
        <v>0</v>
      </c>
      <c r="AB291" s="4">
        <f>SUM(Q291:Y291)-Z291</f>
        <v/>
      </c>
      <c r="AC291" s="4">
        <f>IF(I291="","",IF(OR(LEFT(I291,3)="BKK",I291="LCH55"),"BKK",IF(LEFT(I291,3)="LCH","LCH","OTHER")))</f>
        <v/>
      </c>
      <c r="AD291" s="4">
        <f>MAX(0,Q291-MAX(0,Z291))</f>
        <v/>
      </c>
      <c r="AE291" s="4">
        <f>MAX(0,R291-MAX(0,Z291-SUM(Q291:Q291)))</f>
        <v/>
      </c>
      <c r="AF291" s="4">
        <f>MAX(0,S291-MAX(0,Z291-SUM(Q291:R291)))</f>
        <v/>
      </c>
      <c r="AG291" s="4">
        <f>MAX(0,T291-MAX(0,Z291-SUM(Q291:S291)))</f>
        <v/>
      </c>
      <c r="AH291" s="4">
        <f>MAX(0,U291-MAX(0,Z291-SUM(Q291:T291)))</f>
        <v/>
      </c>
      <c r="AI291" s="4">
        <f>MAX(0,V291-MAX(0,Z291-SUM(Q291:U291)))</f>
        <v/>
      </c>
      <c r="AJ291" s="4">
        <f>MAX(0,W291-MAX(0,Z291-SUM(Q291:V291)))</f>
        <v/>
      </c>
      <c r="AK291" s="4">
        <f>MAX(0,X291-MAX(0,Z291-SUM(Q291:W291)))</f>
        <v/>
      </c>
      <c r="AL291" s="4">
        <f>MAX(0,Y291-MAX(0,Z291-SUM(Q291:X291)))</f>
        <v/>
      </c>
    </row>
    <row r="292">
      <c r="A292" s="4" t="inlineStr">
        <is>
          <t>HASLS22260902296</t>
        </is>
      </c>
      <c r="B292" s="4" t="inlineStr">
        <is>
          <t>KMTP</t>
        </is>
      </c>
      <c r="C292" s="4" t="inlineStr">
        <is>
          <t>2612N</t>
        </is>
      </c>
      <c r="D292" s="4" t="inlineStr">
        <is>
          <t>202610120800</t>
        </is>
      </c>
      <c r="E292" s="4" t="inlineStr"/>
      <c r="F292" s="4" t="inlineStr">
        <is>
          <t>THBKK</t>
        </is>
      </c>
      <c r="G292" s="4" t="inlineStr">
        <is>
          <t>CNXMN</t>
        </is>
      </c>
      <c r="H292" s="4" t="inlineStr">
        <is>
          <t xml:space="preserve">20'x1 </t>
        </is>
      </c>
      <c r="I292" s="4" t="inlineStr">
        <is>
          <t>BKK27</t>
        </is>
      </c>
      <c r="J292" s="4" t="inlineStr">
        <is>
          <t>B.C. DEPOT CO.,LTD. ( Bang-Na KM.18)</t>
        </is>
      </c>
      <c r="K292" s="4" t="inlineStr">
        <is>
          <t>20261006</t>
        </is>
      </c>
      <c r="L292" s="4" t="inlineStr">
        <is>
          <t>CARGOBOY CO., LTD.</t>
        </is>
      </c>
      <c r="M292" s="4" t="inlineStr">
        <is>
          <t>SAHA PRACHINBURI FOODS INDUSTRY LTD.</t>
        </is>
      </c>
      <c r="N292" s="4" t="inlineStr">
        <is>
          <t xml:space="preserve">CANNED LONGAN IN LIGHT SYRUP </t>
        </is>
      </c>
      <c r="O292" s="4" t="inlineStr">
        <is>
          <t>GOOD AND CLEAN CONTAINER</t>
        </is>
      </c>
      <c r="P292" s="4" t="inlineStr">
        <is>
          <t xml:space="preserve">Pickup : 2026-10-06, Return : 2026-10-08 </t>
        </is>
      </c>
      <c r="Q292" s="4" t="n">
        <v>1</v>
      </c>
      <c r="R292" s="4" t="n">
        <v>0</v>
      </c>
      <c r="S292" s="4" t="n">
        <v>0</v>
      </c>
      <c r="T292" s="4" t="n">
        <v>0</v>
      </c>
      <c r="U292" s="4" t="n">
        <v>0</v>
      </c>
      <c r="V292" s="4" t="n">
        <v>0</v>
      </c>
      <c r="W292" s="4" t="n">
        <v>0</v>
      </c>
      <c r="X292" s="4" t="n">
        <v>0</v>
      </c>
      <c r="Y292" s="4" t="n">
        <v>0</v>
      </c>
      <c r="Z292" s="4" t="n">
        <v>0</v>
      </c>
      <c r="AA292" s="4" t="n">
        <v>0</v>
      </c>
      <c r="AB292" s="4">
        <f>SUM(Q292:Y292)-Z292</f>
        <v/>
      </c>
      <c r="AC292" s="4">
        <f>IF(I292="","",IF(OR(LEFT(I292,3)="BKK",I292="LCH55"),"BKK",IF(LEFT(I292,3)="LCH","LCH","OTHER")))</f>
        <v/>
      </c>
      <c r="AD292" s="4">
        <f>MAX(0,Q292-MAX(0,Z292))</f>
        <v/>
      </c>
      <c r="AE292" s="4">
        <f>MAX(0,R292-MAX(0,Z292-SUM(Q292:Q292)))</f>
        <v/>
      </c>
      <c r="AF292" s="4">
        <f>MAX(0,S292-MAX(0,Z292-SUM(Q292:R292)))</f>
        <v/>
      </c>
      <c r="AG292" s="4">
        <f>MAX(0,T292-MAX(0,Z292-SUM(Q292:S292)))</f>
        <v/>
      </c>
      <c r="AH292" s="4">
        <f>MAX(0,U292-MAX(0,Z292-SUM(Q292:T292)))</f>
        <v/>
      </c>
      <c r="AI292" s="4">
        <f>MAX(0,V292-MAX(0,Z292-SUM(Q292:U292)))</f>
        <v/>
      </c>
      <c r="AJ292" s="4">
        <f>MAX(0,W292-MAX(0,Z292-SUM(Q292:V292)))</f>
        <v/>
      </c>
      <c r="AK292" s="4">
        <f>MAX(0,X292-MAX(0,Z292-SUM(Q292:W292)))</f>
        <v/>
      </c>
      <c r="AL292" s="4">
        <f>MAX(0,Y292-MAX(0,Z292-SUM(Q292:X292)))</f>
        <v/>
      </c>
    </row>
    <row r="293">
      <c r="A293" s="4" t="inlineStr">
        <is>
          <t>HASLS22260902307</t>
        </is>
      </c>
      <c r="B293" s="4" t="inlineStr">
        <is>
          <t>CMA</t>
        </is>
      </c>
      <c r="C293" s="4" t="inlineStr">
        <is>
          <t>2615N</t>
        </is>
      </c>
      <c r="D293" s="4" t="inlineStr">
        <is>
          <t>202610172300</t>
        </is>
      </c>
      <c r="E293" s="4" t="inlineStr"/>
      <c r="F293" s="4" t="inlineStr">
        <is>
          <t>THBKK</t>
        </is>
      </c>
      <c r="G293" s="4" t="inlineStr">
        <is>
          <t>CNSHK</t>
        </is>
      </c>
      <c r="H293" s="4" t="inlineStr">
        <is>
          <t xml:space="preserve">40Hx1 </t>
        </is>
      </c>
      <c r="I293" s="4" t="inlineStr">
        <is>
          <t>BKK27</t>
        </is>
      </c>
      <c r="J293" s="4" t="inlineStr">
        <is>
          <t>B.C. DEPOT CO.,LTD. ( Bang-Na KM.18)</t>
        </is>
      </c>
      <c r="K293" s="4" t="inlineStr">
        <is>
          <t>20261014</t>
        </is>
      </c>
      <c r="L293" s="4" t="inlineStr">
        <is>
          <t>CTI LOGISTICS CO., LTD.</t>
        </is>
      </c>
      <c r="M293" s="4" t="inlineStr">
        <is>
          <t>NMB-MINEBEA THAI LTD.</t>
        </is>
      </c>
      <c r="N293" s="4" t="inlineStr">
        <is>
          <t>BALL BEARING</t>
        </is>
      </c>
      <c r="O293" s="4" t="inlineStr">
        <is>
          <t>REQUEST CLEAN CONTAIENR</t>
        </is>
      </c>
      <c r="P293" s="4" t="inlineStr">
        <is>
          <t xml:space="preserve">Pickup : 2026-10-14, Return : 2026-10-14 </t>
        </is>
      </c>
      <c r="Q293" s="4" t="n">
        <v>0</v>
      </c>
      <c r="R293" s="4" t="n">
        <v>0</v>
      </c>
      <c r="S293" s="4" t="n">
        <v>1</v>
      </c>
      <c r="T293" s="4" t="n">
        <v>0</v>
      </c>
      <c r="U293" s="4" t="n">
        <v>0</v>
      </c>
      <c r="V293" s="4" t="n">
        <v>0</v>
      </c>
      <c r="W293" s="4" t="n">
        <v>0</v>
      </c>
      <c r="X293" s="4" t="n">
        <v>0</v>
      </c>
      <c r="Y293" s="4" t="n">
        <v>0</v>
      </c>
      <c r="Z293" s="4" t="n">
        <v>0</v>
      </c>
      <c r="AA293" s="4" t="n">
        <v>0</v>
      </c>
      <c r="AB293" s="4">
        <f>SUM(Q293:Y293)-Z293</f>
        <v/>
      </c>
      <c r="AC293" s="4">
        <f>IF(I293="","",IF(OR(LEFT(I293,3)="BKK",I293="LCH55"),"BKK",IF(LEFT(I293,3)="LCH","LCH","OTHER")))</f>
        <v/>
      </c>
      <c r="AD293" s="4">
        <f>MAX(0,Q293-MAX(0,Z293))</f>
        <v/>
      </c>
      <c r="AE293" s="4">
        <f>MAX(0,R293-MAX(0,Z293-SUM(Q293:Q293)))</f>
        <v/>
      </c>
      <c r="AF293" s="4">
        <f>MAX(0,S293-MAX(0,Z293-SUM(Q293:R293)))</f>
        <v/>
      </c>
      <c r="AG293" s="4">
        <f>MAX(0,T293-MAX(0,Z293-SUM(Q293:S293)))</f>
        <v/>
      </c>
      <c r="AH293" s="4">
        <f>MAX(0,U293-MAX(0,Z293-SUM(Q293:T293)))</f>
        <v/>
      </c>
      <c r="AI293" s="4">
        <f>MAX(0,V293-MAX(0,Z293-SUM(Q293:U293)))</f>
        <v/>
      </c>
      <c r="AJ293" s="4">
        <f>MAX(0,W293-MAX(0,Z293-SUM(Q293:V293)))</f>
        <v/>
      </c>
      <c r="AK293" s="4">
        <f>MAX(0,X293-MAX(0,Z293-SUM(Q293:W293)))</f>
        <v/>
      </c>
      <c r="AL293" s="4">
        <f>MAX(0,Y293-MAX(0,Z293-SUM(Q293:X293)))</f>
        <v/>
      </c>
    </row>
    <row r="294">
      <c r="A294" s="4" t="inlineStr">
        <is>
          <t>HASLS22260902308</t>
        </is>
      </c>
      <c r="B294" s="4" t="inlineStr">
        <is>
          <t>KJT</t>
        </is>
      </c>
      <c r="C294" s="4" t="inlineStr">
        <is>
          <t>2611N</t>
        </is>
      </c>
      <c r="D294" s="4" t="inlineStr">
        <is>
          <t>202610141800</t>
        </is>
      </c>
      <c r="E294" s="4" t="inlineStr"/>
      <c r="F294" s="4" t="inlineStr">
        <is>
          <t>THBKK</t>
        </is>
      </c>
      <c r="G294" s="4" t="inlineStr">
        <is>
          <t>HKHKG</t>
        </is>
      </c>
      <c r="H294" s="4" t="inlineStr">
        <is>
          <t xml:space="preserve">40Hx1 </t>
        </is>
      </c>
      <c r="I294" s="4" t="inlineStr">
        <is>
          <t>BKK27</t>
        </is>
      </c>
      <c r="J294" s="4" t="inlineStr">
        <is>
          <t>B.C. DEPOT CO.,LTD. ( Bang-Na KM.18)</t>
        </is>
      </c>
      <c r="K294" s="4" t="inlineStr">
        <is>
          <t>20261010</t>
        </is>
      </c>
      <c r="L294" s="4" t="inlineStr">
        <is>
          <t>EAST-WEST LOGISTICS CO., LTD.</t>
        </is>
      </c>
      <c r="M294" s="4" t="inlineStr">
        <is>
          <t>FSK (THAILAND) CO., LTD</t>
        </is>
      </c>
      <c r="N294" s="4" t="inlineStr">
        <is>
          <t>VOICE COIL</t>
        </is>
      </c>
      <c r="O294" s="4" t="inlineStr">
        <is>
          <t>CLEAN AND DRY CNTR</t>
        </is>
      </c>
      <c r="P294" s="4" t="inlineStr">
        <is>
          <t>Pickup : 2026-10-10, Return : 2026-10-10</t>
        </is>
      </c>
      <c r="Q294" s="4" t="n">
        <v>0</v>
      </c>
      <c r="R294" s="4" t="n">
        <v>0</v>
      </c>
      <c r="S294" s="4" t="n">
        <v>1</v>
      </c>
      <c r="T294" s="4" t="n">
        <v>0</v>
      </c>
      <c r="U294" s="4" t="n">
        <v>0</v>
      </c>
      <c r="V294" s="4" t="n">
        <v>0</v>
      </c>
      <c r="W294" s="4" t="n">
        <v>0</v>
      </c>
      <c r="X294" s="4" t="n">
        <v>0</v>
      </c>
      <c r="Y294" s="4" t="n">
        <v>0</v>
      </c>
      <c r="Z294" s="4" t="n">
        <v>0</v>
      </c>
      <c r="AA294" s="4" t="n">
        <v>0</v>
      </c>
      <c r="AB294" s="4">
        <f>SUM(Q294:Y294)-Z294</f>
        <v/>
      </c>
      <c r="AC294" s="4">
        <f>IF(I294="","",IF(OR(LEFT(I294,3)="BKK",I294="LCH55"),"BKK",IF(LEFT(I294,3)="LCH","LCH","OTHER")))</f>
        <v/>
      </c>
      <c r="AD294" s="4">
        <f>MAX(0,Q294-MAX(0,Z294))</f>
        <v/>
      </c>
      <c r="AE294" s="4">
        <f>MAX(0,R294-MAX(0,Z294-SUM(Q294:Q294)))</f>
        <v/>
      </c>
      <c r="AF294" s="4">
        <f>MAX(0,S294-MAX(0,Z294-SUM(Q294:R294)))</f>
        <v/>
      </c>
      <c r="AG294" s="4">
        <f>MAX(0,T294-MAX(0,Z294-SUM(Q294:S294)))</f>
        <v/>
      </c>
      <c r="AH294" s="4">
        <f>MAX(0,U294-MAX(0,Z294-SUM(Q294:T294)))</f>
        <v/>
      </c>
      <c r="AI294" s="4">
        <f>MAX(0,V294-MAX(0,Z294-SUM(Q294:U294)))</f>
        <v/>
      </c>
      <c r="AJ294" s="4">
        <f>MAX(0,W294-MAX(0,Z294-SUM(Q294:V294)))</f>
        <v/>
      </c>
      <c r="AK294" s="4">
        <f>MAX(0,X294-MAX(0,Z294-SUM(Q294:W294)))</f>
        <v/>
      </c>
      <c r="AL294" s="4">
        <f>MAX(0,Y294-MAX(0,Z294-SUM(Q294:X294)))</f>
        <v/>
      </c>
    </row>
    <row r="295">
      <c r="A295" s="4" t="inlineStr">
        <is>
          <t>HASLS22260902309</t>
        </is>
      </c>
      <c r="B295" s="4" t="inlineStr">
        <is>
          <t>KMGY</t>
        </is>
      </c>
      <c r="C295" s="4" t="inlineStr">
        <is>
          <t>2611N</t>
        </is>
      </c>
      <c r="D295" s="4" t="inlineStr">
        <is>
          <t>202610201000</t>
        </is>
      </c>
      <c r="E295" s="4" t="inlineStr"/>
      <c r="F295" s="4" t="inlineStr">
        <is>
          <t>THBKK</t>
        </is>
      </c>
      <c r="G295" s="4" t="inlineStr">
        <is>
          <t>HKHKG</t>
        </is>
      </c>
      <c r="H295" s="4" t="inlineStr">
        <is>
          <t xml:space="preserve">40Hx1 </t>
        </is>
      </c>
      <c r="I295" s="4" t="inlineStr">
        <is>
          <t>BKK27</t>
        </is>
      </c>
      <c r="J295" s="4" t="inlineStr">
        <is>
          <t>B.C. DEPOT CO.,LTD. ( Bang-Na KM.18)</t>
        </is>
      </c>
      <c r="K295" s="4" t="inlineStr">
        <is>
          <t>20261016</t>
        </is>
      </c>
      <c r="L295" s="4" t="inlineStr">
        <is>
          <t>EAST-WEST LOGISTICS CO., LTD.</t>
        </is>
      </c>
      <c r="M295" s="4" t="inlineStr">
        <is>
          <t>FSK (THAILAND) CO., LTD</t>
        </is>
      </c>
      <c r="N295" s="4" t="inlineStr">
        <is>
          <t>VOICE COIL</t>
        </is>
      </c>
      <c r="O295" s="4" t="inlineStr">
        <is>
          <t>CLEAN AND DRY CNTR</t>
        </is>
      </c>
      <c r="P295" s="4" t="inlineStr">
        <is>
          <t>Pickup : 2026-10-16, Return : 2026-10-16</t>
        </is>
      </c>
      <c r="Q295" s="4" t="n">
        <v>0</v>
      </c>
      <c r="R295" s="4" t="n">
        <v>0</v>
      </c>
      <c r="S295" s="4" t="n">
        <v>1</v>
      </c>
      <c r="T295" s="4" t="n">
        <v>0</v>
      </c>
      <c r="U295" s="4" t="n">
        <v>0</v>
      </c>
      <c r="V295" s="4" t="n">
        <v>0</v>
      </c>
      <c r="W295" s="4" t="n">
        <v>0</v>
      </c>
      <c r="X295" s="4" t="n">
        <v>0</v>
      </c>
      <c r="Y295" s="4" t="n">
        <v>0</v>
      </c>
      <c r="Z295" s="4" t="n">
        <v>0</v>
      </c>
      <c r="AA295" s="4" t="n">
        <v>0</v>
      </c>
      <c r="AB295" s="4">
        <f>SUM(Q295:Y295)-Z295</f>
        <v/>
      </c>
      <c r="AC295" s="4">
        <f>IF(I295="","",IF(OR(LEFT(I295,3)="BKK",I295="LCH55"),"BKK",IF(LEFT(I295,3)="LCH","LCH","OTHER")))</f>
        <v/>
      </c>
      <c r="AD295" s="4">
        <f>MAX(0,Q295-MAX(0,Z295))</f>
        <v/>
      </c>
      <c r="AE295" s="4">
        <f>MAX(0,R295-MAX(0,Z295-SUM(Q295:Q295)))</f>
        <v/>
      </c>
      <c r="AF295" s="4">
        <f>MAX(0,S295-MAX(0,Z295-SUM(Q295:R295)))</f>
        <v/>
      </c>
      <c r="AG295" s="4">
        <f>MAX(0,T295-MAX(0,Z295-SUM(Q295:S295)))</f>
        <v/>
      </c>
      <c r="AH295" s="4">
        <f>MAX(0,U295-MAX(0,Z295-SUM(Q295:T295)))</f>
        <v/>
      </c>
      <c r="AI295" s="4">
        <f>MAX(0,V295-MAX(0,Z295-SUM(Q295:U295)))</f>
        <v/>
      </c>
      <c r="AJ295" s="4">
        <f>MAX(0,W295-MAX(0,Z295-SUM(Q295:V295)))</f>
        <v/>
      </c>
      <c r="AK295" s="4">
        <f>MAX(0,X295-MAX(0,Z295-SUM(Q295:W295)))</f>
        <v/>
      </c>
      <c r="AL295" s="4">
        <f>MAX(0,Y295-MAX(0,Z295-SUM(Q295:X295)))</f>
        <v/>
      </c>
    </row>
    <row r="296">
      <c r="A296" s="4" t="inlineStr">
        <is>
          <t>HASLS22260902311</t>
        </is>
      </c>
      <c r="B296" s="4" t="inlineStr">
        <is>
          <t>HMVY</t>
        </is>
      </c>
      <c r="C296" s="4" t="inlineStr">
        <is>
          <t>2609N</t>
        </is>
      </c>
      <c r="D296" s="4" t="inlineStr">
        <is>
          <t>202610200330</t>
        </is>
      </c>
      <c r="E296" s="4" t="inlineStr">
        <is>
          <t>THSRP</t>
        </is>
      </c>
      <c r="F296" s="4" t="inlineStr">
        <is>
          <t>THLCH</t>
        </is>
      </c>
      <c r="G296" s="4" t="inlineStr">
        <is>
          <t>CNSHA</t>
        </is>
      </c>
      <c r="H296" s="4" t="inlineStr">
        <is>
          <t xml:space="preserve">20'x1 </t>
        </is>
      </c>
      <c r="I296" s="4" t="inlineStr">
        <is>
          <t>BKK27</t>
        </is>
      </c>
      <c r="J296" s="4" t="inlineStr">
        <is>
          <t>B.C. DEPOT CO.,LTD. ( Bang-Na KM.18)</t>
        </is>
      </c>
      <c r="K296" s="4" t="inlineStr">
        <is>
          <t>20261014</t>
        </is>
      </c>
      <c r="L296" s="4" t="inlineStr">
        <is>
          <t>YUSEN LOGISTICS (THAILAND) CO., LTD.</t>
        </is>
      </c>
      <c r="M296" s="4" t="inlineStr">
        <is>
          <t>URGO HEALTHCARE PRODUCTS CO.,LTD.</t>
        </is>
      </c>
      <c r="N296" s="4" t="inlineStr">
        <is>
          <t>PLASTIC BOX, LABEL</t>
        </is>
      </c>
      <c r="O296" s="4" t="inlineStr">
        <is>
          <t>GOOD DRY AND CLEAN CONTAINER</t>
        </is>
      </c>
      <c r="P296" s="4" t="inlineStr">
        <is>
          <t xml:space="preserve">Pickup : 2026-10-14, Return : 2026-10-14 [PAPERLESS CODE : 2829] 
 CLS TIME 15/10 @10.00 </t>
        </is>
      </c>
      <c r="Q296" s="4" t="n">
        <v>1</v>
      </c>
      <c r="R296" s="4" t="n">
        <v>0</v>
      </c>
      <c r="S296" s="4" t="n">
        <v>0</v>
      </c>
      <c r="T296" s="4" t="n">
        <v>0</v>
      </c>
      <c r="U296" s="4" t="n">
        <v>0</v>
      </c>
      <c r="V296" s="4" t="n">
        <v>0</v>
      </c>
      <c r="W296" s="4" t="n">
        <v>0</v>
      </c>
      <c r="X296" s="4" t="n">
        <v>0</v>
      </c>
      <c r="Y296" s="4" t="n">
        <v>0</v>
      </c>
      <c r="Z296" s="4" t="n">
        <v>0</v>
      </c>
      <c r="AA296" s="4" t="n">
        <v>0</v>
      </c>
      <c r="AB296" s="4">
        <f>SUM(Q296:Y296)-Z296</f>
        <v/>
      </c>
      <c r="AC296" s="4">
        <f>IF(I296="","",IF(OR(LEFT(I296,3)="BKK",I296="LCH55"),"BKK",IF(LEFT(I296,3)="LCH","LCH","OTHER")))</f>
        <v/>
      </c>
      <c r="AD296" s="4">
        <f>MAX(0,Q296-MAX(0,Z296))</f>
        <v/>
      </c>
      <c r="AE296" s="4">
        <f>MAX(0,R296-MAX(0,Z296-SUM(Q296:Q296)))</f>
        <v/>
      </c>
      <c r="AF296" s="4">
        <f>MAX(0,S296-MAX(0,Z296-SUM(Q296:R296)))</f>
        <v/>
      </c>
      <c r="AG296" s="4">
        <f>MAX(0,T296-MAX(0,Z296-SUM(Q296:S296)))</f>
        <v/>
      </c>
      <c r="AH296" s="4">
        <f>MAX(0,U296-MAX(0,Z296-SUM(Q296:T296)))</f>
        <v/>
      </c>
      <c r="AI296" s="4">
        <f>MAX(0,V296-MAX(0,Z296-SUM(Q296:U296)))</f>
        <v/>
      </c>
      <c r="AJ296" s="4">
        <f>MAX(0,W296-MAX(0,Z296-SUM(Q296:V296)))</f>
        <v/>
      </c>
      <c r="AK296" s="4">
        <f>MAX(0,X296-MAX(0,Z296-SUM(Q296:W296)))</f>
        <v/>
      </c>
      <c r="AL296" s="4">
        <f>MAX(0,Y296-MAX(0,Z296-SUM(Q296:X296)))</f>
        <v/>
      </c>
    </row>
    <row r="297">
      <c r="A297" s="4" t="inlineStr">
        <is>
          <t>HASLS22260902320</t>
        </is>
      </c>
      <c r="B297" s="4" t="inlineStr">
        <is>
          <t>SKOR</t>
        </is>
      </c>
      <c r="C297" s="4" t="inlineStr">
        <is>
          <t>2612N</t>
        </is>
      </c>
      <c r="D297" s="4" t="inlineStr">
        <is>
          <t>202610181700</t>
        </is>
      </c>
      <c r="E297" s="4" t="inlineStr"/>
      <c r="F297" s="4" t="inlineStr">
        <is>
          <t>THBKK</t>
        </is>
      </c>
      <c r="G297" s="4" t="inlineStr">
        <is>
          <t>HKHKG</t>
        </is>
      </c>
      <c r="H297" s="4" t="inlineStr">
        <is>
          <t xml:space="preserve">20'x1 </t>
        </is>
      </c>
      <c r="I297" s="4" t="inlineStr">
        <is>
          <t>BKK27</t>
        </is>
      </c>
      <c r="J297" s="4" t="inlineStr">
        <is>
          <t>B.C. DEPOT CO.,LTD. ( Bang-Na KM.18)</t>
        </is>
      </c>
      <c r="K297" s="4" t="inlineStr">
        <is>
          <t>20261012</t>
        </is>
      </c>
      <c r="L297" s="4" t="inlineStr">
        <is>
          <t>LAEMTHONG CORPORATION LTD.</t>
        </is>
      </c>
      <c r="M297" s="4" t="inlineStr">
        <is>
          <t>LAEMTHONG CORPORATION LTD.</t>
        </is>
      </c>
      <c r="N297" s="4" t="inlineStr">
        <is>
          <t>WHEAT FLOUR</t>
        </is>
      </c>
      <c r="O297" s="4" t="inlineStr">
        <is>
          <t>DRY CONTAINER (GRADE A)</t>
        </is>
      </c>
      <c r="P297" s="4" t="inlineStr">
        <is>
          <t>Pickup : 2026-10-12, Return : 2026-10-12 [1ST RTN 13/10/2026 W/O RENT]</t>
        </is>
      </c>
      <c r="Q297" s="4" t="n">
        <v>1</v>
      </c>
      <c r="R297" s="4" t="n">
        <v>0</v>
      </c>
      <c r="S297" s="4" t="n">
        <v>0</v>
      </c>
      <c r="T297" s="4" t="n">
        <v>0</v>
      </c>
      <c r="U297" s="4" t="n">
        <v>0</v>
      </c>
      <c r="V297" s="4" t="n">
        <v>0</v>
      </c>
      <c r="W297" s="4" t="n">
        <v>0</v>
      </c>
      <c r="X297" s="4" t="n">
        <v>0</v>
      </c>
      <c r="Y297" s="4" t="n">
        <v>0</v>
      </c>
      <c r="Z297" s="4" t="n">
        <v>0</v>
      </c>
      <c r="AA297" s="4" t="n">
        <v>0</v>
      </c>
      <c r="AB297" s="4">
        <f>SUM(Q297:Y297)-Z297</f>
        <v/>
      </c>
      <c r="AC297" s="4">
        <f>IF(I297="","",IF(OR(LEFT(I297,3)="BKK",I297="LCH55"),"BKK",IF(LEFT(I297,3)="LCH","LCH","OTHER")))</f>
        <v/>
      </c>
      <c r="AD297" s="4">
        <f>MAX(0,Q297-MAX(0,Z297))</f>
        <v/>
      </c>
      <c r="AE297" s="4">
        <f>MAX(0,R297-MAX(0,Z297-SUM(Q297:Q297)))</f>
        <v/>
      </c>
      <c r="AF297" s="4">
        <f>MAX(0,S297-MAX(0,Z297-SUM(Q297:R297)))</f>
        <v/>
      </c>
      <c r="AG297" s="4">
        <f>MAX(0,T297-MAX(0,Z297-SUM(Q297:S297)))</f>
        <v/>
      </c>
      <c r="AH297" s="4">
        <f>MAX(0,U297-MAX(0,Z297-SUM(Q297:T297)))</f>
        <v/>
      </c>
      <c r="AI297" s="4">
        <f>MAX(0,V297-MAX(0,Z297-SUM(Q297:U297)))</f>
        <v/>
      </c>
      <c r="AJ297" s="4">
        <f>MAX(0,W297-MAX(0,Z297-SUM(Q297:V297)))</f>
        <v/>
      </c>
      <c r="AK297" s="4">
        <f>MAX(0,X297-MAX(0,Z297-SUM(Q297:W297)))</f>
        <v/>
      </c>
      <c r="AL297" s="4">
        <f>MAX(0,Y297-MAX(0,Z297-SUM(Q297:X297)))</f>
        <v/>
      </c>
    </row>
    <row r="298">
      <c r="A298" s="4" t="inlineStr">
        <is>
          <t>HASLS22260902322</t>
        </is>
      </c>
      <c r="B298" s="4" t="inlineStr">
        <is>
          <t>SWVG</t>
        </is>
      </c>
      <c r="C298" s="4" t="inlineStr">
        <is>
          <t>2612N</t>
        </is>
      </c>
      <c r="D298" s="4" t="inlineStr">
        <is>
          <t>202610070330</t>
        </is>
      </c>
      <c r="E298" s="4" t="inlineStr">
        <is>
          <t>THSRP</t>
        </is>
      </c>
      <c r="F298" s="4" t="inlineStr">
        <is>
          <t>THLCH</t>
        </is>
      </c>
      <c r="G298" s="4" t="inlineStr">
        <is>
          <t>CNSHA</t>
        </is>
      </c>
      <c r="H298" s="4" t="inlineStr">
        <is>
          <t xml:space="preserve">40Hx1 </t>
        </is>
      </c>
      <c r="I298" s="4" t="inlineStr">
        <is>
          <t>BKK27</t>
        </is>
      </c>
      <c r="J298" s="4" t="inlineStr">
        <is>
          <t>B.C. DEPOT CO.,LTD. ( Bang-Na KM.18)</t>
        </is>
      </c>
      <c r="K298" s="4" t="inlineStr">
        <is>
          <t>20261001</t>
        </is>
      </c>
      <c r="L298" s="4" t="inlineStr">
        <is>
          <t>SCAN GLOBAL LOGISTICS CO., LTD.</t>
        </is>
      </c>
      <c r="M298" s="4" t="inlineStr">
        <is>
          <t>ESPRESSO PERFECT</t>
        </is>
      </c>
      <c r="N298" s="4" t="inlineStr">
        <is>
          <t>COFFEE MACHINE</t>
        </is>
      </c>
      <c r="O298" s="4" t="inlineStr">
        <is>
          <t>GOOD AND CLEAN CONTAINER</t>
        </is>
      </c>
      <c r="P298" s="4" t="inlineStr">
        <is>
          <t xml:space="preserve">Pickup : 2026-10-01, Return @SRP : 2026-10-02  (PAPERLESS CODE : 2829)
CLS TIME @SRP : 05/10/2026 @09.00   </t>
        </is>
      </c>
      <c r="Q298" s="4" t="n">
        <v>0</v>
      </c>
      <c r="R298" s="4" t="n">
        <v>0</v>
      </c>
      <c r="S298" s="4" t="n">
        <v>1</v>
      </c>
      <c r="T298" s="4" t="n">
        <v>0</v>
      </c>
      <c r="U298" s="4" t="n">
        <v>0</v>
      </c>
      <c r="V298" s="4" t="n">
        <v>0</v>
      </c>
      <c r="W298" s="4" t="n">
        <v>0</v>
      </c>
      <c r="X298" s="4" t="n">
        <v>0</v>
      </c>
      <c r="Y298" s="4" t="n">
        <v>0</v>
      </c>
      <c r="Z298" s="4" t="n">
        <v>0</v>
      </c>
      <c r="AA298" s="4" t="n">
        <v>0</v>
      </c>
      <c r="AB298" s="4">
        <f>SUM(Q298:Y298)-Z298</f>
        <v/>
      </c>
      <c r="AC298" s="4">
        <f>IF(I298="","",IF(OR(LEFT(I298,3)="BKK",I298="LCH55"),"BKK",IF(LEFT(I298,3)="LCH","LCH","OTHER")))</f>
        <v/>
      </c>
      <c r="AD298" s="4">
        <f>MAX(0,Q298-MAX(0,Z298))</f>
        <v/>
      </c>
      <c r="AE298" s="4">
        <f>MAX(0,R298-MAX(0,Z298-SUM(Q298:Q298)))</f>
        <v/>
      </c>
      <c r="AF298" s="4">
        <f>MAX(0,S298-MAX(0,Z298-SUM(Q298:R298)))</f>
        <v/>
      </c>
      <c r="AG298" s="4">
        <f>MAX(0,T298-MAX(0,Z298-SUM(Q298:S298)))</f>
        <v/>
      </c>
      <c r="AH298" s="4">
        <f>MAX(0,U298-MAX(0,Z298-SUM(Q298:T298)))</f>
        <v/>
      </c>
      <c r="AI298" s="4">
        <f>MAX(0,V298-MAX(0,Z298-SUM(Q298:U298)))</f>
        <v/>
      </c>
      <c r="AJ298" s="4">
        <f>MAX(0,W298-MAX(0,Z298-SUM(Q298:V298)))</f>
        <v/>
      </c>
      <c r="AK298" s="4">
        <f>MAX(0,X298-MAX(0,Z298-SUM(Q298:W298)))</f>
        <v/>
      </c>
      <c r="AL298" s="4">
        <f>MAX(0,Y298-MAX(0,Z298-SUM(Q298:X298)))</f>
        <v/>
      </c>
    </row>
    <row r="299">
      <c r="A299" s="4" t="inlineStr">
        <is>
          <t>HASLS22260902325</t>
        </is>
      </c>
      <c r="B299" s="4" t="inlineStr">
        <is>
          <t>KUS</t>
        </is>
      </c>
      <c r="C299" s="4" t="inlineStr">
        <is>
          <t>2616N</t>
        </is>
      </c>
      <c r="D299" s="4" t="inlineStr">
        <is>
          <t>202610141100</t>
        </is>
      </c>
      <c r="E299" s="4" t="inlineStr"/>
      <c r="F299" s="4" t="inlineStr">
        <is>
          <t>THBKK</t>
        </is>
      </c>
      <c r="G299" s="4" t="inlineStr">
        <is>
          <t>KRINC</t>
        </is>
      </c>
      <c r="H299" s="4" t="inlineStr">
        <is>
          <t xml:space="preserve">40Hx1 </t>
        </is>
      </c>
      <c r="I299" s="4" t="inlineStr">
        <is>
          <t>BKK27</t>
        </is>
      </c>
      <c r="J299" s="4" t="inlineStr">
        <is>
          <t>B.C. DEPOT CO.,LTD. ( Bang-Na KM.18)</t>
        </is>
      </c>
      <c r="K299" s="4" t="inlineStr">
        <is>
          <t>20261010</t>
        </is>
      </c>
      <c r="L299" s="4" t="inlineStr">
        <is>
          <t>MTK GLOBAL LOGISTICS CO., LTD.</t>
        </is>
      </c>
      <c r="M299" s="4" t="inlineStr">
        <is>
          <t>ANDAMAN JELLYFISH CO.,LTD.</t>
        </is>
      </c>
      <c r="N299" s="4" t="inlineStr">
        <is>
          <t>SALTED JELLYFISH</t>
        </is>
      </c>
      <c r="O299" s="4" t="inlineStr">
        <is>
          <t>GOOD AND CLEAN CONTAINER</t>
        </is>
      </c>
      <c r="P299" s="4" t="inlineStr">
        <is>
          <t>Pickup : 2026-10-10, Return : 2026-10-11</t>
        </is>
      </c>
      <c r="Q299" s="4" t="n">
        <v>0</v>
      </c>
      <c r="R299" s="4" t="n">
        <v>0</v>
      </c>
      <c r="S299" s="4" t="n">
        <v>1</v>
      </c>
      <c r="T299" s="4" t="n">
        <v>0</v>
      </c>
      <c r="U299" s="4" t="n">
        <v>0</v>
      </c>
      <c r="V299" s="4" t="n">
        <v>0</v>
      </c>
      <c r="W299" s="4" t="n">
        <v>0</v>
      </c>
      <c r="X299" s="4" t="n">
        <v>0</v>
      </c>
      <c r="Y299" s="4" t="n">
        <v>0</v>
      </c>
      <c r="Z299" s="4" t="n">
        <v>0</v>
      </c>
      <c r="AA299" s="4" t="n">
        <v>0</v>
      </c>
      <c r="AB299" s="4">
        <f>SUM(Q299:Y299)-Z299</f>
        <v/>
      </c>
      <c r="AC299" s="4">
        <f>IF(I299="","",IF(OR(LEFT(I299,3)="BKK",I299="LCH55"),"BKK",IF(LEFT(I299,3)="LCH","LCH","OTHER")))</f>
        <v/>
      </c>
      <c r="AD299" s="4">
        <f>MAX(0,Q299-MAX(0,Z299))</f>
        <v/>
      </c>
      <c r="AE299" s="4">
        <f>MAX(0,R299-MAX(0,Z299-SUM(Q299:Q299)))</f>
        <v/>
      </c>
      <c r="AF299" s="4">
        <f>MAX(0,S299-MAX(0,Z299-SUM(Q299:R299)))</f>
        <v/>
      </c>
      <c r="AG299" s="4">
        <f>MAX(0,T299-MAX(0,Z299-SUM(Q299:S299)))</f>
        <v/>
      </c>
      <c r="AH299" s="4">
        <f>MAX(0,U299-MAX(0,Z299-SUM(Q299:T299)))</f>
        <v/>
      </c>
      <c r="AI299" s="4">
        <f>MAX(0,V299-MAX(0,Z299-SUM(Q299:U299)))</f>
        <v/>
      </c>
      <c r="AJ299" s="4">
        <f>MAX(0,W299-MAX(0,Z299-SUM(Q299:V299)))</f>
        <v/>
      </c>
      <c r="AK299" s="4">
        <f>MAX(0,X299-MAX(0,Z299-SUM(Q299:W299)))</f>
        <v/>
      </c>
      <c r="AL299" s="4">
        <f>MAX(0,Y299-MAX(0,Z299-SUM(Q299:X299)))</f>
        <v/>
      </c>
    </row>
    <row r="300">
      <c r="A300" s="4" t="inlineStr">
        <is>
          <t>HASLS22260902326</t>
        </is>
      </c>
      <c r="B300" s="4" t="inlineStr">
        <is>
          <t>KUS</t>
        </is>
      </c>
      <c r="C300" s="4" t="inlineStr">
        <is>
          <t>2616N</t>
        </is>
      </c>
      <c r="D300" s="4" t="inlineStr">
        <is>
          <t>202610141100</t>
        </is>
      </c>
      <c r="E300" s="4" t="inlineStr"/>
      <c r="F300" s="4" t="inlineStr">
        <is>
          <t>THBKK</t>
        </is>
      </c>
      <c r="G300" s="4" t="inlineStr">
        <is>
          <t>KRINC</t>
        </is>
      </c>
      <c r="H300" s="4" t="inlineStr">
        <is>
          <t xml:space="preserve">40Hx1 </t>
        </is>
      </c>
      <c r="I300" s="4" t="inlineStr">
        <is>
          <t>BKK27</t>
        </is>
      </c>
      <c r="J300" s="4" t="inlineStr">
        <is>
          <t>B.C. DEPOT CO.,LTD. ( Bang-Na KM.18)</t>
        </is>
      </c>
      <c r="K300" s="4" t="inlineStr">
        <is>
          <t>20261010</t>
        </is>
      </c>
      <c r="L300" s="4" t="inlineStr">
        <is>
          <t>MTK GLOBAL LOGISTICS CO., LTD.</t>
        </is>
      </c>
      <c r="M300" s="4" t="inlineStr">
        <is>
          <t>ANDAMAN JELLYFISH CO.,LTD.</t>
        </is>
      </c>
      <c r="N300" s="4" t="inlineStr">
        <is>
          <t>SALTED JELLYFISH</t>
        </is>
      </c>
      <c r="O300" s="4" t="inlineStr">
        <is>
          <t>GOOD AND CLEAN CONTAINER</t>
        </is>
      </c>
      <c r="P300" s="4" t="inlineStr">
        <is>
          <t>Pickup : 2026-10-10, Return : 2026-10-11</t>
        </is>
      </c>
      <c r="Q300" s="4" t="n">
        <v>0</v>
      </c>
      <c r="R300" s="4" t="n">
        <v>0</v>
      </c>
      <c r="S300" s="4" t="n">
        <v>1</v>
      </c>
      <c r="T300" s="4" t="n">
        <v>0</v>
      </c>
      <c r="U300" s="4" t="n">
        <v>0</v>
      </c>
      <c r="V300" s="4" t="n">
        <v>0</v>
      </c>
      <c r="W300" s="4" t="n">
        <v>0</v>
      </c>
      <c r="X300" s="4" t="n">
        <v>0</v>
      </c>
      <c r="Y300" s="4" t="n">
        <v>0</v>
      </c>
      <c r="Z300" s="4" t="n">
        <v>0</v>
      </c>
      <c r="AA300" s="4" t="n">
        <v>0</v>
      </c>
      <c r="AB300" s="4">
        <f>SUM(Q300:Y300)-Z300</f>
        <v/>
      </c>
      <c r="AC300" s="4">
        <f>IF(I300="","",IF(OR(LEFT(I300,3)="BKK",I300="LCH55"),"BKK",IF(LEFT(I300,3)="LCH","LCH","OTHER")))</f>
        <v/>
      </c>
      <c r="AD300" s="4">
        <f>MAX(0,Q300-MAX(0,Z300))</f>
        <v/>
      </c>
      <c r="AE300" s="4">
        <f>MAX(0,R300-MAX(0,Z300-SUM(Q300:Q300)))</f>
        <v/>
      </c>
      <c r="AF300" s="4">
        <f>MAX(0,S300-MAX(0,Z300-SUM(Q300:R300)))</f>
        <v/>
      </c>
      <c r="AG300" s="4">
        <f>MAX(0,T300-MAX(0,Z300-SUM(Q300:S300)))</f>
        <v/>
      </c>
      <c r="AH300" s="4">
        <f>MAX(0,U300-MAX(0,Z300-SUM(Q300:T300)))</f>
        <v/>
      </c>
      <c r="AI300" s="4">
        <f>MAX(0,V300-MAX(0,Z300-SUM(Q300:U300)))</f>
        <v/>
      </c>
      <c r="AJ300" s="4">
        <f>MAX(0,W300-MAX(0,Z300-SUM(Q300:V300)))</f>
        <v/>
      </c>
      <c r="AK300" s="4">
        <f>MAX(0,X300-MAX(0,Z300-SUM(Q300:W300)))</f>
        <v/>
      </c>
      <c r="AL300" s="4">
        <f>MAX(0,Y300-MAX(0,Z300-SUM(Q300:X300)))</f>
        <v/>
      </c>
    </row>
    <row r="301">
      <c r="A301" s="4" t="inlineStr">
        <is>
          <t>HASLS22260902329</t>
        </is>
      </c>
      <c r="B301" s="4" t="inlineStr">
        <is>
          <t>TSXM</t>
        </is>
      </c>
      <c r="C301" s="4" t="inlineStr">
        <is>
          <t>2618N</t>
        </is>
      </c>
      <c r="D301" s="4" t="inlineStr">
        <is>
          <t>202610192100</t>
        </is>
      </c>
      <c r="E301" s="4" t="inlineStr"/>
      <c r="F301" s="4" t="inlineStr">
        <is>
          <t>THBKK</t>
        </is>
      </c>
      <c r="G301" s="4" t="inlineStr">
        <is>
          <t>KRINC</t>
        </is>
      </c>
      <c r="H301" s="4" t="inlineStr">
        <is>
          <t xml:space="preserve">40Hx1 </t>
        </is>
      </c>
      <c r="I301" s="4" t="inlineStr">
        <is>
          <t>BKK27</t>
        </is>
      </c>
      <c r="J301" s="4" t="inlineStr">
        <is>
          <t>B.C. DEPOT CO.,LTD. ( Bang-Na KM.18)</t>
        </is>
      </c>
      <c r="K301" s="4" t="inlineStr">
        <is>
          <t>20261016</t>
        </is>
      </c>
      <c r="L301" s="4" t="inlineStr">
        <is>
          <t>MTK GLOBAL LOGISTICS CO., LTD.</t>
        </is>
      </c>
      <c r="M301" s="4" t="inlineStr">
        <is>
          <t>ANDAMAN JELLYFISH CO.,LTD.</t>
        </is>
      </c>
      <c r="N301" s="4" t="inlineStr">
        <is>
          <t>SALTED JELLYFISH</t>
        </is>
      </c>
      <c r="O301" s="4" t="inlineStr">
        <is>
          <t>UNDER DECK</t>
        </is>
      </c>
      <c r="P301" s="4" t="inlineStr">
        <is>
          <t xml:space="preserve">Pickup : 2026-10-16, Return : 2026-10-17 </t>
        </is>
      </c>
      <c r="Q301" s="4" t="n">
        <v>0</v>
      </c>
      <c r="R301" s="4" t="n">
        <v>0</v>
      </c>
      <c r="S301" s="4" t="n">
        <v>1</v>
      </c>
      <c r="T301" s="4" t="n">
        <v>0</v>
      </c>
      <c r="U301" s="4" t="n">
        <v>0</v>
      </c>
      <c r="V301" s="4" t="n">
        <v>0</v>
      </c>
      <c r="W301" s="4" t="n">
        <v>0</v>
      </c>
      <c r="X301" s="4" t="n">
        <v>0</v>
      </c>
      <c r="Y301" s="4" t="n">
        <v>0</v>
      </c>
      <c r="Z301" s="4" t="n">
        <v>0</v>
      </c>
      <c r="AA301" s="4" t="n">
        <v>0</v>
      </c>
      <c r="AB301" s="4">
        <f>SUM(Q301:Y301)-Z301</f>
        <v/>
      </c>
      <c r="AC301" s="4">
        <f>IF(I301="","",IF(OR(LEFT(I301,3)="BKK",I301="LCH55"),"BKK",IF(LEFT(I301,3)="LCH","LCH","OTHER")))</f>
        <v/>
      </c>
      <c r="AD301" s="4">
        <f>MAX(0,Q301-MAX(0,Z301))</f>
        <v/>
      </c>
      <c r="AE301" s="4">
        <f>MAX(0,R301-MAX(0,Z301-SUM(Q301:Q301)))</f>
        <v/>
      </c>
      <c r="AF301" s="4">
        <f>MAX(0,S301-MAX(0,Z301-SUM(Q301:R301)))</f>
        <v/>
      </c>
      <c r="AG301" s="4">
        <f>MAX(0,T301-MAX(0,Z301-SUM(Q301:S301)))</f>
        <v/>
      </c>
      <c r="AH301" s="4">
        <f>MAX(0,U301-MAX(0,Z301-SUM(Q301:T301)))</f>
        <v/>
      </c>
      <c r="AI301" s="4">
        <f>MAX(0,V301-MAX(0,Z301-SUM(Q301:U301)))</f>
        <v/>
      </c>
      <c r="AJ301" s="4">
        <f>MAX(0,W301-MAX(0,Z301-SUM(Q301:V301)))</f>
        <v/>
      </c>
      <c r="AK301" s="4">
        <f>MAX(0,X301-MAX(0,Z301-SUM(Q301:W301)))</f>
        <v/>
      </c>
      <c r="AL301" s="4">
        <f>MAX(0,Y301-MAX(0,Z301-SUM(Q301:X301)))</f>
        <v/>
      </c>
    </row>
    <row r="302">
      <c r="A302" s="4" t="inlineStr">
        <is>
          <t>HASLS22260902330</t>
        </is>
      </c>
      <c r="B302" s="4" t="inlineStr">
        <is>
          <t>TSXM</t>
        </is>
      </c>
      <c r="C302" s="4" t="inlineStr">
        <is>
          <t>2618N</t>
        </is>
      </c>
      <c r="D302" s="4" t="inlineStr">
        <is>
          <t>202610192100</t>
        </is>
      </c>
      <c r="E302" s="4" t="inlineStr"/>
      <c r="F302" s="4" t="inlineStr">
        <is>
          <t>THBKK</t>
        </is>
      </c>
      <c r="G302" s="4" t="inlineStr">
        <is>
          <t>KRINC</t>
        </is>
      </c>
      <c r="H302" s="4" t="inlineStr">
        <is>
          <t xml:space="preserve">40Hx1 </t>
        </is>
      </c>
      <c r="I302" s="4" t="inlineStr">
        <is>
          <t>BKK27</t>
        </is>
      </c>
      <c r="J302" s="4" t="inlineStr">
        <is>
          <t>B.C. DEPOT CO.,LTD. ( Bang-Na KM.18)</t>
        </is>
      </c>
      <c r="K302" s="4" t="inlineStr">
        <is>
          <t>20261016</t>
        </is>
      </c>
      <c r="L302" s="4" t="inlineStr">
        <is>
          <t>MTK GLOBAL LOGISTICS CO., LTD.</t>
        </is>
      </c>
      <c r="M302" s="4" t="inlineStr">
        <is>
          <t>ANDAMAN JELLYFISH CO.,LTD.</t>
        </is>
      </c>
      <c r="N302" s="4" t="inlineStr">
        <is>
          <t>SALTED JELLYFISH</t>
        </is>
      </c>
      <c r="O302" s="4" t="inlineStr">
        <is>
          <t>UNDER DECK</t>
        </is>
      </c>
      <c r="P302" s="4" t="inlineStr">
        <is>
          <t>Pickup : 2026-10-16, Return : 2026-10-17</t>
        </is>
      </c>
      <c r="Q302" s="4" t="n">
        <v>0</v>
      </c>
      <c r="R302" s="4" t="n">
        <v>0</v>
      </c>
      <c r="S302" s="4" t="n">
        <v>1</v>
      </c>
      <c r="T302" s="4" t="n">
        <v>0</v>
      </c>
      <c r="U302" s="4" t="n">
        <v>0</v>
      </c>
      <c r="V302" s="4" t="n">
        <v>0</v>
      </c>
      <c r="W302" s="4" t="n">
        <v>0</v>
      </c>
      <c r="X302" s="4" t="n">
        <v>0</v>
      </c>
      <c r="Y302" s="4" t="n">
        <v>0</v>
      </c>
      <c r="Z302" s="4" t="n">
        <v>0</v>
      </c>
      <c r="AA302" s="4" t="n">
        <v>0</v>
      </c>
      <c r="AB302" s="4">
        <f>SUM(Q302:Y302)-Z302</f>
        <v/>
      </c>
      <c r="AC302" s="4">
        <f>IF(I302="","",IF(OR(LEFT(I302,3)="BKK",I302="LCH55"),"BKK",IF(LEFT(I302,3)="LCH","LCH","OTHER")))</f>
        <v/>
      </c>
      <c r="AD302" s="4">
        <f>MAX(0,Q302-MAX(0,Z302))</f>
        <v/>
      </c>
      <c r="AE302" s="4">
        <f>MAX(0,R302-MAX(0,Z302-SUM(Q302:Q302)))</f>
        <v/>
      </c>
      <c r="AF302" s="4">
        <f>MAX(0,S302-MAX(0,Z302-SUM(Q302:R302)))</f>
        <v/>
      </c>
      <c r="AG302" s="4">
        <f>MAX(0,T302-MAX(0,Z302-SUM(Q302:S302)))</f>
        <v/>
      </c>
      <c r="AH302" s="4">
        <f>MAX(0,U302-MAX(0,Z302-SUM(Q302:T302)))</f>
        <v/>
      </c>
      <c r="AI302" s="4">
        <f>MAX(0,V302-MAX(0,Z302-SUM(Q302:U302)))</f>
        <v/>
      </c>
      <c r="AJ302" s="4">
        <f>MAX(0,W302-MAX(0,Z302-SUM(Q302:V302)))</f>
        <v/>
      </c>
      <c r="AK302" s="4">
        <f>MAX(0,X302-MAX(0,Z302-SUM(Q302:W302)))</f>
        <v/>
      </c>
      <c r="AL302" s="4">
        <f>MAX(0,Y302-MAX(0,Z302-SUM(Q302:X302)))</f>
        <v/>
      </c>
    </row>
    <row r="303">
      <c r="A303" s="4" t="inlineStr">
        <is>
          <t>HASLS22260902335</t>
        </is>
      </c>
      <c r="B303" s="4" t="inlineStr">
        <is>
          <t>SWMM</t>
        </is>
      </c>
      <c r="C303" s="4" t="inlineStr">
        <is>
          <t>2610N</t>
        </is>
      </c>
      <c r="D303" s="4" t="inlineStr">
        <is>
          <t>202610210400</t>
        </is>
      </c>
      <c r="E303" s="4" t="inlineStr"/>
      <c r="F303" s="4" t="inlineStr">
        <is>
          <t>THBKK</t>
        </is>
      </c>
      <c r="G303" s="4" t="inlineStr">
        <is>
          <t>VNSGN</t>
        </is>
      </c>
      <c r="H303" s="4" t="inlineStr">
        <is>
          <t xml:space="preserve">20'x8 </t>
        </is>
      </c>
      <c r="I303" s="4" t="inlineStr">
        <is>
          <t>BKK27</t>
        </is>
      </c>
      <c r="J303" s="4" t="inlineStr">
        <is>
          <t>B.C. DEPOT CO.,LTD. ( Bang-Na KM.18)</t>
        </is>
      </c>
      <c r="K303" s="4" t="inlineStr">
        <is>
          <t>20261014</t>
        </is>
      </c>
      <c r="L303" s="4" t="inlineStr">
        <is>
          <t>SEA FLEXI LOGISTICS CO.,LTD.</t>
        </is>
      </c>
      <c r="M303" s="4" t="inlineStr">
        <is>
          <t>THANAKORN VEGETABLE OIL PRODUCTS CO., LTD.</t>
        </is>
      </c>
      <c r="N303" s="4" t="inlineStr">
        <is>
          <t>SOYBEAN OIL</t>
        </is>
      </c>
      <c r="O303" s="4" t="inlineStr">
        <is>
          <t>**APPROVAL BY hwkang2DD: 28/09/26**  *FLEXIBAG ONDECK*
Survey : 2026-10-12, Pickup : 2026-10-14  REQUEST STRONG, CLEAN, FOOD GRADE CONTAINER</t>
        </is>
      </c>
      <c r="P303" s="4" t="inlineStr">
        <is>
          <t>**APPROVAL BY hwkang2DD: 28/09/26** *FLEXIBAG ONDECK*
Survey : 2026-10-12, Pickup : 2026-10-14, Return : 2026-10-15</t>
        </is>
      </c>
      <c r="Q303" s="4" t="n">
        <v>8</v>
      </c>
      <c r="R303" s="4" t="n">
        <v>0</v>
      </c>
      <c r="S303" s="4" t="n">
        <v>0</v>
      </c>
      <c r="T303" s="4" t="n">
        <v>0</v>
      </c>
      <c r="U303" s="4" t="n">
        <v>0</v>
      </c>
      <c r="V303" s="4" t="n">
        <v>0</v>
      </c>
      <c r="W303" s="4" t="n">
        <v>0</v>
      </c>
      <c r="X303" s="4" t="n">
        <v>0</v>
      </c>
      <c r="Y303" s="4" t="n">
        <v>0</v>
      </c>
      <c r="Z303" s="4" t="n">
        <v>0</v>
      </c>
      <c r="AA303" s="4" t="n">
        <v>0</v>
      </c>
      <c r="AB303" s="4">
        <f>SUM(Q303:Y303)-Z303</f>
        <v/>
      </c>
      <c r="AC303" s="4">
        <f>IF(I303="","",IF(OR(LEFT(I303,3)="BKK",I303="LCH55"),"BKK",IF(LEFT(I303,3)="LCH","LCH","OTHER")))</f>
        <v/>
      </c>
      <c r="AD303" s="4">
        <f>MAX(0,Q303-MAX(0,Z303))</f>
        <v/>
      </c>
      <c r="AE303" s="4">
        <f>MAX(0,R303-MAX(0,Z303-SUM(Q303:Q303)))</f>
        <v/>
      </c>
      <c r="AF303" s="4">
        <f>MAX(0,S303-MAX(0,Z303-SUM(Q303:R303)))</f>
        <v/>
      </c>
      <c r="AG303" s="4">
        <f>MAX(0,T303-MAX(0,Z303-SUM(Q303:S303)))</f>
        <v/>
      </c>
      <c r="AH303" s="4">
        <f>MAX(0,U303-MAX(0,Z303-SUM(Q303:T303)))</f>
        <v/>
      </c>
      <c r="AI303" s="4">
        <f>MAX(0,V303-MAX(0,Z303-SUM(Q303:U303)))</f>
        <v/>
      </c>
      <c r="AJ303" s="4">
        <f>MAX(0,W303-MAX(0,Z303-SUM(Q303:V303)))</f>
        <v/>
      </c>
      <c r="AK303" s="4">
        <f>MAX(0,X303-MAX(0,Z303-SUM(Q303:W303)))</f>
        <v/>
      </c>
      <c r="AL303" s="4">
        <f>MAX(0,Y303-MAX(0,Z303-SUM(Q303:X303)))</f>
        <v/>
      </c>
    </row>
    <row r="304">
      <c r="A304" s="4" t="inlineStr">
        <is>
          <t>HASLS22260902340</t>
        </is>
      </c>
      <c r="B304" s="4" t="inlineStr">
        <is>
          <t>SKOR</t>
        </is>
      </c>
      <c r="C304" s="4" t="inlineStr">
        <is>
          <t>2612N</t>
        </is>
      </c>
      <c r="D304" s="4" t="inlineStr">
        <is>
          <t>202610181700</t>
        </is>
      </c>
      <c r="E304" s="4" t="inlineStr"/>
      <c r="F304" s="4" t="inlineStr">
        <is>
          <t>THBKK</t>
        </is>
      </c>
      <c r="G304" s="4" t="inlineStr">
        <is>
          <t>HKHKG</t>
        </is>
      </c>
      <c r="H304" s="4" t="inlineStr">
        <is>
          <t xml:space="preserve">20'x2 </t>
        </is>
      </c>
      <c r="I304" s="4" t="inlineStr">
        <is>
          <t>BKK27</t>
        </is>
      </c>
      <c r="J304" s="4" t="inlineStr">
        <is>
          <t>B.C. DEPOT CO.,LTD. ( Bang-Na KM.18)</t>
        </is>
      </c>
      <c r="K304" s="4" t="inlineStr">
        <is>
          <t>20261014</t>
        </is>
      </c>
      <c r="L304" s="4" t="inlineStr">
        <is>
          <t>ELIO LOGISTICS (THAILAND) CO., LTD</t>
        </is>
      </c>
      <c r="M304" s="4" t="inlineStr">
        <is>
          <t>CHAITIP CO., LTD.</t>
        </is>
      </c>
      <c r="N304" s="4" t="inlineStr">
        <is>
          <t>RICE IN BAG</t>
        </is>
      </c>
      <c r="O304" s="4" t="inlineStr">
        <is>
          <t>GOOD AND CLEAN CONTAINER</t>
        </is>
      </c>
      <c r="P304" s="4" t="inlineStr">
        <is>
          <t>Pickup : 2026-10-14, Return : 2026-10-15</t>
        </is>
      </c>
      <c r="Q304" s="4" t="n">
        <v>2</v>
      </c>
      <c r="R304" s="4" t="n">
        <v>0</v>
      </c>
      <c r="S304" s="4" t="n">
        <v>0</v>
      </c>
      <c r="T304" s="4" t="n">
        <v>0</v>
      </c>
      <c r="U304" s="4" t="n">
        <v>0</v>
      </c>
      <c r="V304" s="4" t="n">
        <v>0</v>
      </c>
      <c r="W304" s="4" t="n">
        <v>0</v>
      </c>
      <c r="X304" s="4" t="n">
        <v>0</v>
      </c>
      <c r="Y304" s="4" t="n">
        <v>0</v>
      </c>
      <c r="Z304" s="4" t="n">
        <v>0</v>
      </c>
      <c r="AA304" s="4" t="n">
        <v>0</v>
      </c>
      <c r="AB304" s="4">
        <f>SUM(Q304:Y304)-Z304</f>
        <v/>
      </c>
      <c r="AC304" s="4">
        <f>IF(I304="","",IF(OR(LEFT(I304,3)="BKK",I304="LCH55"),"BKK",IF(LEFT(I304,3)="LCH","LCH","OTHER")))</f>
        <v/>
      </c>
      <c r="AD304" s="4">
        <f>MAX(0,Q304-MAX(0,Z304))</f>
        <v/>
      </c>
      <c r="AE304" s="4">
        <f>MAX(0,R304-MAX(0,Z304-SUM(Q304:Q304)))</f>
        <v/>
      </c>
      <c r="AF304" s="4">
        <f>MAX(0,S304-MAX(0,Z304-SUM(Q304:R304)))</f>
        <v/>
      </c>
      <c r="AG304" s="4">
        <f>MAX(0,T304-MAX(0,Z304-SUM(Q304:S304)))</f>
        <v/>
      </c>
      <c r="AH304" s="4">
        <f>MAX(0,U304-MAX(0,Z304-SUM(Q304:T304)))</f>
        <v/>
      </c>
      <c r="AI304" s="4">
        <f>MAX(0,V304-MAX(0,Z304-SUM(Q304:U304)))</f>
        <v/>
      </c>
      <c r="AJ304" s="4">
        <f>MAX(0,W304-MAX(0,Z304-SUM(Q304:V304)))</f>
        <v/>
      </c>
      <c r="AK304" s="4">
        <f>MAX(0,X304-MAX(0,Z304-SUM(Q304:W304)))</f>
        <v/>
      </c>
      <c r="AL304" s="4">
        <f>MAX(0,Y304-MAX(0,Z304-SUM(Q304:X304)))</f>
        <v/>
      </c>
    </row>
    <row r="305">
      <c r="A305" s="4" t="inlineStr">
        <is>
          <t>HASLS22260902345</t>
        </is>
      </c>
      <c r="B305" s="4" t="inlineStr">
        <is>
          <t>SWIC</t>
        </is>
      </c>
      <c r="C305" s="4" t="inlineStr">
        <is>
          <t>2611N</t>
        </is>
      </c>
      <c r="D305" s="4" t="inlineStr">
        <is>
          <t>202610130700</t>
        </is>
      </c>
      <c r="E305" s="4" t="inlineStr"/>
      <c r="F305" s="4" t="inlineStr">
        <is>
          <t>THBKK</t>
        </is>
      </c>
      <c r="G305" s="4" t="inlineStr">
        <is>
          <t>VNSGN</t>
        </is>
      </c>
      <c r="H305" s="4" t="inlineStr">
        <is>
          <t xml:space="preserve">40Hx2 </t>
        </is>
      </c>
      <c r="I305" s="4" t="inlineStr">
        <is>
          <t>BKK27</t>
        </is>
      </c>
      <c r="J305" s="4" t="inlineStr">
        <is>
          <t>B.C. DEPOT CO.,LTD. ( Bang-Na KM.18)</t>
        </is>
      </c>
      <c r="K305" s="4" t="inlineStr">
        <is>
          <t>20261009</t>
        </is>
      </c>
      <c r="L305" s="4" t="inlineStr">
        <is>
          <t>DIMERCO EXPRESS (THAILAND) CO., LTD.</t>
        </is>
      </c>
      <c r="M305" s="4" t="inlineStr">
        <is>
          <t>EVEREST TEXTILE (THAILAND) CO., LTD.</t>
        </is>
      </c>
      <c r="N305" s="4" t="inlineStr">
        <is>
          <t>FABRIC</t>
        </is>
      </c>
      <c r="O305" s="4" t="inlineStr">
        <is>
          <t>Reuest clean container</t>
        </is>
      </c>
      <c r="P305" s="4" t="inlineStr">
        <is>
          <t>Pickup : 2026-10-09, Return : 2026-10-09</t>
        </is>
      </c>
      <c r="Q305" s="4" t="n">
        <v>0</v>
      </c>
      <c r="R305" s="4" t="n">
        <v>0</v>
      </c>
      <c r="S305" s="4" t="n">
        <v>2</v>
      </c>
      <c r="T305" s="4" t="n">
        <v>0</v>
      </c>
      <c r="U305" s="4" t="n">
        <v>0</v>
      </c>
      <c r="V305" s="4" t="n">
        <v>0</v>
      </c>
      <c r="W305" s="4" t="n">
        <v>0</v>
      </c>
      <c r="X305" s="4" t="n">
        <v>0</v>
      </c>
      <c r="Y305" s="4" t="n">
        <v>0</v>
      </c>
      <c r="Z305" s="4" t="n">
        <v>0</v>
      </c>
      <c r="AA305" s="4" t="n">
        <v>0</v>
      </c>
      <c r="AB305" s="4">
        <f>SUM(Q305:Y305)-Z305</f>
        <v/>
      </c>
      <c r="AC305" s="4">
        <f>IF(I305="","",IF(OR(LEFT(I305,3)="BKK",I305="LCH55"),"BKK",IF(LEFT(I305,3)="LCH","LCH","OTHER")))</f>
        <v/>
      </c>
      <c r="AD305" s="4">
        <f>MAX(0,Q305-MAX(0,Z305))</f>
        <v/>
      </c>
      <c r="AE305" s="4">
        <f>MAX(0,R305-MAX(0,Z305-SUM(Q305:Q305)))</f>
        <v/>
      </c>
      <c r="AF305" s="4">
        <f>MAX(0,S305-MAX(0,Z305-SUM(Q305:R305)))</f>
        <v/>
      </c>
      <c r="AG305" s="4">
        <f>MAX(0,T305-MAX(0,Z305-SUM(Q305:S305)))</f>
        <v/>
      </c>
      <c r="AH305" s="4">
        <f>MAX(0,U305-MAX(0,Z305-SUM(Q305:T305)))</f>
        <v/>
      </c>
      <c r="AI305" s="4">
        <f>MAX(0,V305-MAX(0,Z305-SUM(Q305:U305)))</f>
        <v/>
      </c>
      <c r="AJ305" s="4">
        <f>MAX(0,W305-MAX(0,Z305-SUM(Q305:V305)))</f>
        <v/>
      </c>
      <c r="AK305" s="4">
        <f>MAX(0,X305-MAX(0,Z305-SUM(Q305:W305)))</f>
        <v/>
      </c>
      <c r="AL305" s="4">
        <f>MAX(0,Y305-MAX(0,Z305-SUM(Q305:X305)))</f>
        <v/>
      </c>
    </row>
    <row r="306">
      <c r="A306" s="4" t="inlineStr">
        <is>
          <t>HASLS22260902346</t>
        </is>
      </c>
      <c r="B306" s="4" t="inlineStr">
        <is>
          <t>SWIC</t>
        </is>
      </c>
      <c r="C306" s="4" t="inlineStr">
        <is>
          <t>2611N</t>
        </is>
      </c>
      <c r="D306" s="4" t="inlineStr">
        <is>
          <t>202610130700</t>
        </is>
      </c>
      <c r="E306" s="4" t="inlineStr"/>
      <c r="F306" s="4" t="inlineStr">
        <is>
          <t>THBKK</t>
        </is>
      </c>
      <c r="G306" s="4" t="inlineStr">
        <is>
          <t>VNSGN</t>
        </is>
      </c>
      <c r="H306" s="4" t="inlineStr">
        <is>
          <t xml:space="preserve">40Hx1 </t>
        </is>
      </c>
      <c r="I306" s="4" t="inlineStr">
        <is>
          <t>BKK27</t>
        </is>
      </c>
      <c r="J306" s="4" t="inlineStr">
        <is>
          <t>B.C. DEPOT CO.,LTD. ( Bang-Na KM.18)</t>
        </is>
      </c>
      <c r="K306" s="4" t="inlineStr">
        <is>
          <t>20261009</t>
        </is>
      </c>
      <c r="L306" s="4" t="inlineStr">
        <is>
          <t>DIMERCO EXPRESS (THAILAND) CO., LTD.</t>
        </is>
      </c>
      <c r="M306" s="4" t="inlineStr">
        <is>
          <t>Y.R.C. TEXTILE CO., LTD.</t>
        </is>
      </c>
      <c r="N306" s="4" t="inlineStr">
        <is>
          <t>FABRIC</t>
        </is>
      </c>
      <c r="O306" s="4" t="inlineStr">
        <is>
          <t>Request clean container</t>
        </is>
      </c>
      <c r="P306" s="4" t="inlineStr">
        <is>
          <t xml:space="preserve">Pickup : 2026-10-09, Return : 2026-10-09 </t>
        </is>
      </c>
      <c r="Q306" s="4" t="n">
        <v>0</v>
      </c>
      <c r="R306" s="4" t="n">
        <v>0</v>
      </c>
      <c r="S306" s="4" t="n">
        <v>1</v>
      </c>
      <c r="T306" s="4" t="n">
        <v>0</v>
      </c>
      <c r="U306" s="4" t="n">
        <v>0</v>
      </c>
      <c r="V306" s="4" t="n">
        <v>0</v>
      </c>
      <c r="W306" s="4" t="n">
        <v>0</v>
      </c>
      <c r="X306" s="4" t="n">
        <v>0</v>
      </c>
      <c r="Y306" s="4" t="n">
        <v>0</v>
      </c>
      <c r="Z306" s="4" t="n">
        <v>0</v>
      </c>
      <c r="AA306" s="4" t="n">
        <v>0</v>
      </c>
      <c r="AB306" s="4">
        <f>SUM(Q306:Y306)-Z306</f>
        <v/>
      </c>
      <c r="AC306" s="4">
        <f>IF(I306="","",IF(OR(LEFT(I306,3)="BKK",I306="LCH55"),"BKK",IF(LEFT(I306,3)="LCH","LCH","OTHER")))</f>
        <v/>
      </c>
      <c r="AD306" s="4">
        <f>MAX(0,Q306-MAX(0,Z306))</f>
        <v/>
      </c>
      <c r="AE306" s="4">
        <f>MAX(0,R306-MAX(0,Z306-SUM(Q306:Q306)))</f>
        <v/>
      </c>
      <c r="AF306" s="4">
        <f>MAX(0,S306-MAX(0,Z306-SUM(Q306:R306)))</f>
        <v/>
      </c>
      <c r="AG306" s="4">
        <f>MAX(0,T306-MAX(0,Z306-SUM(Q306:S306)))</f>
        <v/>
      </c>
      <c r="AH306" s="4">
        <f>MAX(0,U306-MAX(0,Z306-SUM(Q306:T306)))</f>
        <v/>
      </c>
      <c r="AI306" s="4">
        <f>MAX(0,V306-MAX(0,Z306-SUM(Q306:U306)))</f>
        <v/>
      </c>
      <c r="AJ306" s="4">
        <f>MAX(0,W306-MAX(0,Z306-SUM(Q306:V306)))</f>
        <v/>
      </c>
      <c r="AK306" s="4">
        <f>MAX(0,X306-MAX(0,Z306-SUM(Q306:W306)))</f>
        <v/>
      </c>
      <c r="AL306" s="4">
        <f>MAX(0,Y306-MAX(0,Z306-SUM(Q306:X306)))</f>
        <v/>
      </c>
    </row>
    <row r="307">
      <c r="A307" s="4" t="inlineStr">
        <is>
          <t>HASLS22260902347</t>
        </is>
      </c>
      <c r="B307" s="4" t="inlineStr">
        <is>
          <t>SWMM</t>
        </is>
      </c>
      <c r="C307" s="4" t="inlineStr">
        <is>
          <t>2610N</t>
        </is>
      </c>
      <c r="D307" s="4" t="inlineStr">
        <is>
          <t>202610210400</t>
        </is>
      </c>
      <c r="E307" s="4" t="inlineStr"/>
      <c r="F307" s="4" t="inlineStr">
        <is>
          <t>THBKK</t>
        </is>
      </c>
      <c r="G307" s="4" t="inlineStr">
        <is>
          <t>VNSGN</t>
        </is>
      </c>
      <c r="H307" s="4" t="inlineStr">
        <is>
          <t xml:space="preserve">40Hx2 </t>
        </is>
      </c>
      <c r="I307" s="4" t="inlineStr">
        <is>
          <t>BKK27</t>
        </is>
      </c>
      <c r="J307" s="4" t="inlineStr">
        <is>
          <t>B.C. DEPOT CO.,LTD. ( Bang-Na KM.18)</t>
        </is>
      </c>
      <c r="K307" s="4" t="inlineStr">
        <is>
          <t>20261015</t>
        </is>
      </c>
      <c r="L307" s="4" t="inlineStr">
        <is>
          <t>DIMERCO EXPRESS (THAILAND) CO., LTD.</t>
        </is>
      </c>
      <c r="M307" s="4" t="inlineStr">
        <is>
          <t>EVEREST TEXTILE (THAILAND) CO., LTD.</t>
        </is>
      </c>
      <c r="N307" s="4" t="inlineStr">
        <is>
          <t>FABRIC</t>
        </is>
      </c>
      <c r="O307" s="4" t="inlineStr">
        <is>
          <t>Request clean container</t>
        </is>
      </c>
      <c r="P307" s="4" t="inlineStr">
        <is>
          <t xml:space="preserve">Pickup : 2026-10-15, Return : 2026-10-16 </t>
        </is>
      </c>
      <c r="Q307" s="4" t="n">
        <v>0</v>
      </c>
      <c r="R307" s="4" t="n">
        <v>0</v>
      </c>
      <c r="S307" s="4" t="n">
        <v>2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>
        <f>SUM(Q307:Y307)-Z307</f>
        <v/>
      </c>
      <c r="AC307" s="4">
        <f>IF(I307="","",IF(OR(LEFT(I307,3)="BKK",I307="LCH55"),"BKK",IF(LEFT(I307,3)="LCH","LCH","OTHER")))</f>
        <v/>
      </c>
      <c r="AD307" s="4">
        <f>MAX(0,Q307-MAX(0,Z307))</f>
        <v/>
      </c>
      <c r="AE307" s="4">
        <f>MAX(0,R307-MAX(0,Z307-SUM(Q307:Q307)))</f>
        <v/>
      </c>
      <c r="AF307" s="4">
        <f>MAX(0,S307-MAX(0,Z307-SUM(Q307:R307)))</f>
        <v/>
      </c>
      <c r="AG307" s="4">
        <f>MAX(0,T307-MAX(0,Z307-SUM(Q307:S307)))</f>
        <v/>
      </c>
      <c r="AH307" s="4">
        <f>MAX(0,U307-MAX(0,Z307-SUM(Q307:T307)))</f>
        <v/>
      </c>
      <c r="AI307" s="4">
        <f>MAX(0,V307-MAX(0,Z307-SUM(Q307:U307)))</f>
        <v/>
      </c>
      <c r="AJ307" s="4">
        <f>MAX(0,W307-MAX(0,Z307-SUM(Q307:V307)))</f>
        <v/>
      </c>
      <c r="AK307" s="4">
        <f>MAX(0,X307-MAX(0,Z307-SUM(Q307:W307)))</f>
        <v/>
      </c>
      <c r="AL307" s="4">
        <f>MAX(0,Y307-MAX(0,Z307-SUM(Q307:X307)))</f>
        <v/>
      </c>
    </row>
    <row r="308">
      <c r="A308" s="4" t="inlineStr">
        <is>
          <t>HASLS22260902348</t>
        </is>
      </c>
      <c r="B308" s="4" t="inlineStr">
        <is>
          <t>SWMM</t>
        </is>
      </c>
      <c r="C308" s="4" t="inlineStr">
        <is>
          <t>2610N</t>
        </is>
      </c>
      <c r="D308" s="4" t="inlineStr">
        <is>
          <t>202610210400</t>
        </is>
      </c>
      <c r="E308" s="4" t="inlineStr"/>
      <c r="F308" s="4" t="inlineStr">
        <is>
          <t>THBKK</t>
        </is>
      </c>
      <c r="G308" s="4" t="inlineStr">
        <is>
          <t>VNSGN</t>
        </is>
      </c>
      <c r="H308" s="4" t="inlineStr">
        <is>
          <t xml:space="preserve">40Hx1 </t>
        </is>
      </c>
      <c r="I308" s="4" t="inlineStr">
        <is>
          <t>BKK27</t>
        </is>
      </c>
      <c r="J308" s="4" t="inlineStr">
        <is>
          <t>B.C. DEPOT CO.,LTD. ( Bang-Na KM.18)</t>
        </is>
      </c>
      <c r="K308" s="4" t="inlineStr">
        <is>
          <t>20261016</t>
        </is>
      </c>
      <c r="L308" s="4" t="inlineStr">
        <is>
          <t>DIMERCO EXPRESS (THAILAND) CO., LTD.</t>
        </is>
      </c>
      <c r="M308" s="4" t="inlineStr">
        <is>
          <t>Y.R.C. TEXTILE CO., LTD.</t>
        </is>
      </c>
      <c r="N308" s="4" t="inlineStr">
        <is>
          <t>FABRIC</t>
        </is>
      </c>
      <c r="O308" s="4" t="inlineStr">
        <is>
          <t>Request clean container</t>
        </is>
      </c>
      <c r="P308" s="4" t="inlineStr">
        <is>
          <t xml:space="preserve">Pickup : 2026-10-16, Return : 2026-10-16 </t>
        </is>
      </c>
      <c r="Q308" s="4" t="n">
        <v>0</v>
      </c>
      <c r="R308" s="4" t="n">
        <v>0</v>
      </c>
      <c r="S308" s="4" t="n">
        <v>1</v>
      </c>
      <c r="T308" s="4" t="n">
        <v>0</v>
      </c>
      <c r="U308" s="4" t="n">
        <v>0</v>
      </c>
      <c r="V308" s="4" t="n">
        <v>0</v>
      </c>
      <c r="W308" s="4" t="n">
        <v>0</v>
      </c>
      <c r="X308" s="4" t="n">
        <v>0</v>
      </c>
      <c r="Y308" s="4" t="n">
        <v>0</v>
      </c>
      <c r="Z308" s="4" t="n">
        <v>0</v>
      </c>
      <c r="AA308" s="4" t="n">
        <v>0</v>
      </c>
      <c r="AB308" s="4">
        <f>SUM(Q308:Y308)-Z308</f>
        <v/>
      </c>
      <c r="AC308" s="4">
        <f>IF(I308="","",IF(OR(LEFT(I308,3)="BKK",I308="LCH55"),"BKK",IF(LEFT(I308,3)="LCH","LCH","OTHER")))</f>
        <v/>
      </c>
      <c r="AD308" s="4">
        <f>MAX(0,Q308-MAX(0,Z308))</f>
        <v/>
      </c>
      <c r="AE308" s="4">
        <f>MAX(0,R308-MAX(0,Z308-SUM(Q308:Q308)))</f>
        <v/>
      </c>
      <c r="AF308" s="4">
        <f>MAX(0,S308-MAX(0,Z308-SUM(Q308:R308)))</f>
        <v/>
      </c>
      <c r="AG308" s="4">
        <f>MAX(0,T308-MAX(0,Z308-SUM(Q308:S308)))</f>
        <v/>
      </c>
      <c r="AH308" s="4">
        <f>MAX(0,U308-MAX(0,Z308-SUM(Q308:T308)))</f>
        <v/>
      </c>
      <c r="AI308" s="4">
        <f>MAX(0,V308-MAX(0,Z308-SUM(Q308:U308)))</f>
        <v/>
      </c>
      <c r="AJ308" s="4">
        <f>MAX(0,W308-MAX(0,Z308-SUM(Q308:V308)))</f>
        <v/>
      </c>
      <c r="AK308" s="4">
        <f>MAX(0,X308-MAX(0,Z308-SUM(Q308:W308)))</f>
        <v/>
      </c>
      <c r="AL308" s="4">
        <f>MAX(0,Y308-MAX(0,Z308-SUM(Q308:X308)))</f>
        <v/>
      </c>
    </row>
    <row r="309">
      <c r="A309" s="4" t="inlineStr">
        <is>
          <t>HASLS22260902356</t>
        </is>
      </c>
      <c r="B309" s="4" t="inlineStr">
        <is>
          <t>CMA</t>
        </is>
      </c>
      <c r="C309" s="4" t="inlineStr">
        <is>
          <t>2615N</t>
        </is>
      </c>
      <c r="D309" s="4" t="inlineStr">
        <is>
          <t>202610172300</t>
        </is>
      </c>
      <c r="E309" s="4" t="inlineStr"/>
      <c r="F309" s="4" t="inlineStr">
        <is>
          <t>THBKK</t>
        </is>
      </c>
      <c r="G309" s="4" t="inlineStr">
        <is>
          <t>CNSHK</t>
        </is>
      </c>
      <c r="H309" s="4" t="inlineStr">
        <is>
          <t xml:space="preserve">40Hx2 </t>
        </is>
      </c>
      <c r="I309" s="4" t="inlineStr">
        <is>
          <t>BKK27</t>
        </is>
      </c>
      <c r="J309" s="4" t="inlineStr">
        <is>
          <t>B.C. DEPOT CO.,LTD. ( Bang-Na KM.18)</t>
        </is>
      </c>
      <c r="K309" s="4" t="inlineStr">
        <is>
          <t>20261002</t>
        </is>
      </c>
      <c r="L309" s="4" t="inlineStr">
        <is>
          <t>DIMERCO EXPRESS (THAILAND) CO., LTD.</t>
        </is>
      </c>
      <c r="M309" s="4" t="inlineStr">
        <is>
          <t>THAIMAN INDUSTRIES CO., LTD.</t>
        </is>
      </c>
      <c r="N309" s="4" t="inlineStr">
        <is>
          <t>POLYAMIDE 66 TEXTURED YARN</t>
        </is>
      </c>
      <c r="O309" s="4" t="inlineStr">
        <is>
          <t>GOOD AND CLEAN CONTAINER</t>
        </is>
      </c>
      <c r="P309" s="4" t="inlineStr">
        <is>
          <t>Pickup : 2026-10-02, Return : 2026-10-02 [1ST RTN 13/10/2026 W/O RENT]</t>
        </is>
      </c>
      <c r="Q309" s="4" t="n">
        <v>0</v>
      </c>
      <c r="R309" s="4" t="n">
        <v>0</v>
      </c>
      <c r="S309" s="4" t="n">
        <v>2</v>
      </c>
      <c r="T309" s="4" t="n">
        <v>0</v>
      </c>
      <c r="U309" s="4" t="n">
        <v>0</v>
      </c>
      <c r="V309" s="4" t="n">
        <v>0</v>
      </c>
      <c r="W309" s="4" t="n">
        <v>0</v>
      </c>
      <c r="X309" s="4" t="n">
        <v>0</v>
      </c>
      <c r="Y309" s="4" t="n">
        <v>0</v>
      </c>
      <c r="Z309" s="4" t="n">
        <v>0</v>
      </c>
      <c r="AA309" s="4" t="n">
        <v>0</v>
      </c>
      <c r="AB309" s="4">
        <f>SUM(Q309:Y309)-Z309</f>
        <v/>
      </c>
      <c r="AC309" s="4">
        <f>IF(I309="","",IF(OR(LEFT(I309,3)="BKK",I309="LCH55"),"BKK",IF(LEFT(I309,3)="LCH","LCH","OTHER")))</f>
        <v/>
      </c>
      <c r="AD309" s="4">
        <f>MAX(0,Q309-MAX(0,Z309))</f>
        <v/>
      </c>
      <c r="AE309" s="4">
        <f>MAX(0,R309-MAX(0,Z309-SUM(Q309:Q309)))</f>
        <v/>
      </c>
      <c r="AF309" s="4">
        <f>MAX(0,S309-MAX(0,Z309-SUM(Q309:R309)))</f>
        <v/>
      </c>
      <c r="AG309" s="4">
        <f>MAX(0,T309-MAX(0,Z309-SUM(Q309:S309)))</f>
        <v/>
      </c>
      <c r="AH309" s="4">
        <f>MAX(0,U309-MAX(0,Z309-SUM(Q309:T309)))</f>
        <v/>
      </c>
      <c r="AI309" s="4">
        <f>MAX(0,V309-MAX(0,Z309-SUM(Q309:U309)))</f>
        <v/>
      </c>
      <c r="AJ309" s="4">
        <f>MAX(0,W309-MAX(0,Z309-SUM(Q309:V309)))</f>
        <v/>
      </c>
      <c r="AK309" s="4">
        <f>MAX(0,X309-MAX(0,Z309-SUM(Q309:W309)))</f>
        <v/>
      </c>
      <c r="AL309" s="4">
        <f>MAX(0,Y309-MAX(0,Z309-SUM(Q309:X309)))</f>
        <v/>
      </c>
    </row>
    <row r="310">
      <c r="A310" s="4" t="inlineStr">
        <is>
          <t>HASLS22260902364</t>
        </is>
      </c>
      <c r="B310" s="4" t="inlineStr">
        <is>
          <t>KMBK</t>
        </is>
      </c>
      <c r="C310" s="4" t="inlineStr">
        <is>
          <t>2611N</t>
        </is>
      </c>
      <c r="D310" s="4" t="inlineStr">
        <is>
          <t>202610030900</t>
        </is>
      </c>
      <c r="E310" s="4" t="inlineStr"/>
      <c r="F310" s="4" t="inlineStr">
        <is>
          <t>THBKK</t>
        </is>
      </c>
      <c r="G310" s="4" t="inlineStr">
        <is>
          <t>RUVVO</t>
        </is>
      </c>
      <c r="H310" s="4" t="inlineStr">
        <is>
          <t xml:space="preserve">R40Hx1 </t>
        </is>
      </c>
      <c r="I310" s="4" t="inlineStr">
        <is>
          <t>BKK27</t>
        </is>
      </c>
      <c r="J310" s="4" t="inlineStr">
        <is>
          <t>B.C. DEPOT CO.,LTD. ( Bang-Na KM.18)</t>
        </is>
      </c>
      <c r="K310" s="4" t="inlineStr">
        <is>
          <t>20260929</t>
        </is>
      </c>
      <c r="L310" s="4" t="inlineStr">
        <is>
          <t>THAI AGRI FOODS PUBLIC COMPANY LIMITED</t>
        </is>
      </c>
      <c r="M310" s="4" t="inlineStr">
        <is>
          <t>THAI AGRI FOODS PUBLIC COMPANY LIMITED</t>
        </is>
      </c>
      <c r="N310" s="4" t="inlineStr">
        <is>
          <t>TOM YUM PASTE</t>
        </is>
      </c>
      <c r="O310" s="4" t="inlineStr">
        <is>
          <t>(Temp +10.0℃ / Vent Close)</t>
        </is>
      </c>
      <c r="P310" s="4" t="inlineStr">
        <is>
          <t>[FIX]Pickup : 2026-09-29, Return : 2026-09-30  (Temp +10.0 / Vent Close) 
CLS TIME 01/10/26 @23.59</t>
        </is>
      </c>
      <c r="Q310" s="4" t="n">
        <v>0</v>
      </c>
      <c r="R310" s="4" t="n">
        <v>0</v>
      </c>
      <c r="S310" s="4" t="n">
        <v>0</v>
      </c>
      <c r="T310" s="4" t="n">
        <v>0</v>
      </c>
      <c r="U310" s="4" t="n">
        <v>1</v>
      </c>
      <c r="V310" s="4" t="n">
        <v>0</v>
      </c>
      <c r="W310" s="4" t="n">
        <v>0</v>
      </c>
      <c r="X310" s="4" t="n">
        <v>0</v>
      </c>
      <c r="Y310" s="4" t="n">
        <v>0</v>
      </c>
      <c r="Z310" s="4" t="n">
        <v>0</v>
      </c>
      <c r="AA310" s="4" t="n">
        <v>0</v>
      </c>
      <c r="AB310" s="4">
        <f>SUM(Q310:Y310)-Z310</f>
        <v/>
      </c>
      <c r="AC310" s="4">
        <f>IF(I310="","",IF(OR(LEFT(I310,3)="BKK",I310="LCH55"),"BKK",IF(LEFT(I310,3)="LCH","LCH","OTHER")))</f>
        <v/>
      </c>
      <c r="AD310" s="4">
        <f>MAX(0,Q310-MAX(0,Z310))</f>
        <v/>
      </c>
      <c r="AE310" s="4">
        <f>MAX(0,R310-MAX(0,Z310-SUM(Q310:Q310)))</f>
        <v/>
      </c>
      <c r="AF310" s="4">
        <f>MAX(0,S310-MAX(0,Z310-SUM(Q310:R310)))</f>
        <v/>
      </c>
      <c r="AG310" s="4">
        <f>MAX(0,T310-MAX(0,Z310-SUM(Q310:S310)))</f>
        <v/>
      </c>
      <c r="AH310" s="4">
        <f>MAX(0,U310-MAX(0,Z310-SUM(Q310:T310)))</f>
        <v/>
      </c>
      <c r="AI310" s="4">
        <f>MAX(0,V310-MAX(0,Z310-SUM(Q310:U310)))</f>
        <v/>
      </c>
      <c r="AJ310" s="4">
        <f>MAX(0,W310-MAX(0,Z310-SUM(Q310:V310)))</f>
        <v/>
      </c>
      <c r="AK310" s="4">
        <f>MAX(0,X310-MAX(0,Z310-SUM(Q310:W310)))</f>
        <v/>
      </c>
      <c r="AL310" s="4">
        <f>MAX(0,Y310-MAX(0,Z310-SUM(Q310:X310)))</f>
        <v/>
      </c>
    </row>
    <row r="311">
      <c r="A311" s="4" t="inlineStr">
        <is>
          <t>HASLS22260902365</t>
        </is>
      </c>
      <c r="B311" s="4" t="inlineStr">
        <is>
          <t>SWIC</t>
        </is>
      </c>
      <c r="C311" s="4" t="inlineStr">
        <is>
          <t>2611N</t>
        </is>
      </c>
      <c r="D311" s="4" t="inlineStr">
        <is>
          <t>202610130700</t>
        </is>
      </c>
      <c r="E311" s="4" t="inlineStr"/>
      <c r="F311" s="4" t="inlineStr">
        <is>
          <t>THBKK</t>
        </is>
      </c>
      <c r="G311" s="4" t="inlineStr">
        <is>
          <t>RUVVO</t>
        </is>
      </c>
      <c r="H311" s="4" t="inlineStr">
        <is>
          <t xml:space="preserve">R40Hx1 </t>
        </is>
      </c>
      <c r="I311" s="4" t="inlineStr">
        <is>
          <t>BKK27</t>
        </is>
      </c>
      <c r="J311" s="4" t="inlineStr">
        <is>
          <t>B.C. DEPOT CO.,LTD. ( Bang-Na KM.18)</t>
        </is>
      </c>
      <c r="K311" s="4" t="inlineStr">
        <is>
          <t>20261008</t>
        </is>
      </c>
      <c r="L311" s="4" t="inlineStr">
        <is>
          <t>THAI AGRI FOODS PUBLIC COMPANY LIMITED</t>
        </is>
      </c>
      <c r="M311" s="4" t="inlineStr">
        <is>
          <t>THAI AGRI FOODS PUBLIC COMPANY LIMITED</t>
        </is>
      </c>
      <c r="N311" s="4" t="inlineStr">
        <is>
          <t>CURRY PASTE</t>
        </is>
      </c>
      <c r="O311" s="4" t="inlineStr">
        <is>
          <t>(Temp +10.0℃ / Vent Close)</t>
        </is>
      </c>
      <c r="P311" s="4" t="inlineStr">
        <is>
          <t>Pickup : 2026-10-08, Return : 2026-10-09 (Temp +10.0 / Vent Close) 
CLS TIME 10/10/26 @23.59</t>
        </is>
      </c>
      <c r="Q311" s="4" t="n">
        <v>0</v>
      </c>
      <c r="R311" s="4" t="n">
        <v>0</v>
      </c>
      <c r="S311" s="4" t="n">
        <v>0</v>
      </c>
      <c r="T311" s="4" t="n">
        <v>0</v>
      </c>
      <c r="U311" s="4" t="n">
        <v>1</v>
      </c>
      <c r="V311" s="4" t="n">
        <v>0</v>
      </c>
      <c r="W311" s="4" t="n">
        <v>0</v>
      </c>
      <c r="X311" s="4" t="n">
        <v>0</v>
      </c>
      <c r="Y311" s="4" t="n">
        <v>0</v>
      </c>
      <c r="Z311" s="4" t="n">
        <v>0</v>
      </c>
      <c r="AA311" s="4" t="n">
        <v>0</v>
      </c>
      <c r="AB311" s="4">
        <f>SUM(Q311:Y311)-Z311</f>
        <v/>
      </c>
      <c r="AC311" s="4">
        <f>IF(I311="","",IF(OR(LEFT(I311,3)="BKK",I311="LCH55"),"BKK",IF(LEFT(I311,3)="LCH","LCH","OTHER")))</f>
        <v/>
      </c>
      <c r="AD311" s="4">
        <f>MAX(0,Q311-MAX(0,Z311))</f>
        <v/>
      </c>
      <c r="AE311" s="4">
        <f>MAX(0,R311-MAX(0,Z311-SUM(Q311:Q311)))</f>
        <v/>
      </c>
      <c r="AF311" s="4">
        <f>MAX(0,S311-MAX(0,Z311-SUM(Q311:R311)))</f>
        <v/>
      </c>
      <c r="AG311" s="4">
        <f>MAX(0,T311-MAX(0,Z311-SUM(Q311:S311)))</f>
        <v/>
      </c>
      <c r="AH311" s="4">
        <f>MAX(0,U311-MAX(0,Z311-SUM(Q311:T311)))</f>
        <v/>
      </c>
      <c r="AI311" s="4">
        <f>MAX(0,V311-MAX(0,Z311-SUM(Q311:U311)))</f>
        <v/>
      </c>
      <c r="AJ311" s="4">
        <f>MAX(0,W311-MAX(0,Z311-SUM(Q311:V311)))</f>
        <v/>
      </c>
      <c r="AK311" s="4">
        <f>MAX(0,X311-MAX(0,Z311-SUM(Q311:W311)))</f>
        <v/>
      </c>
      <c r="AL311" s="4">
        <f>MAX(0,Y311-MAX(0,Z311-SUM(Q311:X311)))</f>
        <v/>
      </c>
    </row>
    <row r="312">
      <c r="A312" s="4" t="inlineStr">
        <is>
          <t>HASLS22260902367</t>
        </is>
      </c>
      <c r="B312" s="4" t="inlineStr">
        <is>
          <t>SWIC</t>
        </is>
      </c>
      <c r="C312" s="4" t="inlineStr">
        <is>
          <t>2611N</t>
        </is>
      </c>
      <c r="D312" s="4" t="inlineStr">
        <is>
          <t>202610130700</t>
        </is>
      </c>
      <c r="E312" s="4" t="inlineStr"/>
      <c r="F312" s="4" t="inlineStr">
        <is>
          <t>THBKK</t>
        </is>
      </c>
      <c r="G312" s="4" t="inlineStr">
        <is>
          <t>VNSGN</t>
        </is>
      </c>
      <c r="H312" s="4" t="inlineStr">
        <is>
          <t xml:space="preserve">20'x1 </t>
        </is>
      </c>
      <c r="I312" s="4" t="inlineStr">
        <is>
          <t>BKK27</t>
        </is>
      </c>
      <c r="J312" s="4" t="inlineStr">
        <is>
          <t>B.C. DEPOT CO.,LTD. ( Bang-Na KM.18)</t>
        </is>
      </c>
      <c r="K312" s="4" t="inlineStr">
        <is>
          <t>20261007</t>
        </is>
      </c>
      <c r="L312" s="4" t="inlineStr">
        <is>
          <t>PK INTERFREIGHT CO., LTD.</t>
        </is>
      </c>
      <c r="M312" s="4" t="inlineStr">
        <is>
          <t>HERITAGE SNACKS &amp; FOOD CO., LTD.</t>
        </is>
      </c>
      <c r="N312" s="4" t="inlineStr">
        <is>
          <t>ALMOND MILK</t>
        </is>
      </c>
      <c r="O312" s="4" t="inlineStr">
        <is>
          <t>Request clean and good condition container</t>
        </is>
      </c>
      <c r="P312" s="4" t="inlineStr">
        <is>
          <t xml:space="preserve">Pickup : 2026-10-07, Return : 2026-10-08 </t>
        </is>
      </c>
      <c r="Q312" s="4" t="n">
        <v>1</v>
      </c>
      <c r="R312" s="4" t="n">
        <v>0</v>
      </c>
      <c r="S312" s="4" t="n">
        <v>0</v>
      </c>
      <c r="T312" s="4" t="n">
        <v>0</v>
      </c>
      <c r="U312" s="4" t="n">
        <v>0</v>
      </c>
      <c r="V312" s="4" t="n">
        <v>0</v>
      </c>
      <c r="W312" s="4" t="n">
        <v>0</v>
      </c>
      <c r="X312" s="4" t="n">
        <v>0</v>
      </c>
      <c r="Y312" s="4" t="n">
        <v>0</v>
      </c>
      <c r="Z312" s="4" t="n">
        <v>0</v>
      </c>
      <c r="AA312" s="4" t="n">
        <v>0</v>
      </c>
      <c r="AB312" s="4">
        <f>SUM(Q312:Y312)-Z312</f>
        <v/>
      </c>
      <c r="AC312" s="4">
        <f>IF(I312="","",IF(OR(LEFT(I312,3)="BKK",I312="LCH55"),"BKK",IF(LEFT(I312,3)="LCH","LCH","OTHER")))</f>
        <v/>
      </c>
      <c r="AD312" s="4">
        <f>MAX(0,Q312-MAX(0,Z312))</f>
        <v/>
      </c>
      <c r="AE312" s="4">
        <f>MAX(0,R312-MAX(0,Z312-SUM(Q312:Q312)))</f>
        <v/>
      </c>
      <c r="AF312" s="4">
        <f>MAX(0,S312-MAX(0,Z312-SUM(Q312:R312)))</f>
        <v/>
      </c>
      <c r="AG312" s="4">
        <f>MAX(0,T312-MAX(0,Z312-SUM(Q312:S312)))</f>
        <v/>
      </c>
      <c r="AH312" s="4">
        <f>MAX(0,U312-MAX(0,Z312-SUM(Q312:T312)))</f>
        <v/>
      </c>
      <c r="AI312" s="4">
        <f>MAX(0,V312-MAX(0,Z312-SUM(Q312:U312)))</f>
        <v/>
      </c>
      <c r="AJ312" s="4">
        <f>MAX(0,W312-MAX(0,Z312-SUM(Q312:V312)))</f>
        <v/>
      </c>
      <c r="AK312" s="4">
        <f>MAX(0,X312-MAX(0,Z312-SUM(Q312:W312)))</f>
        <v/>
      </c>
      <c r="AL312" s="4">
        <f>MAX(0,Y312-MAX(0,Z312-SUM(Q312:X312)))</f>
        <v/>
      </c>
    </row>
    <row r="313">
      <c r="A313" s="4" t="inlineStr">
        <is>
          <t>HASLS22260902368</t>
        </is>
      </c>
      <c r="B313" s="4" t="inlineStr">
        <is>
          <t>SWIC</t>
        </is>
      </c>
      <c r="C313" s="4" t="inlineStr">
        <is>
          <t>2611N</t>
        </is>
      </c>
      <c r="D313" s="4" t="inlineStr">
        <is>
          <t>202610130700</t>
        </is>
      </c>
      <c r="E313" s="4" t="inlineStr"/>
      <c r="F313" s="4" t="inlineStr">
        <is>
          <t>THBKK</t>
        </is>
      </c>
      <c r="G313" s="4" t="inlineStr">
        <is>
          <t>RUVVO</t>
        </is>
      </c>
      <c r="H313" s="4" t="inlineStr">
        <is>
          <t xml:space="preserve">R40Hx1 </t>
        </is>
      </c>
      <c r="I313" s="4" t="inlineStr">
        <is>
          <t>BKK27</t>
        </is>
      </c>
      <c r="J313" s="4" t="inlineStr">
        <is>
          <t>B.C. DEPOT CO.,LTD. ( Bang-Na KM.18)</t>
        </is>
      </c>
      <c r="K313" s="4" t="inlineStr">
        <is>
          <t>20261008</t>
        </is>
      </c>
      <c r="L313" s="4" t="inlineStr">
        <is>
          <t>THAI AGRI FOODS PUBLIC COMPANY LIMITED</t>
        </is>
      </c>
      <c r="M313" s="4" t="inlineStr">
        <is>
          <t>THAI AGRI FOODS PUBLIC COMPANY LIMITED</t>
        </is>
      </c>
      <c r="N313" s="4" t="inlineStr">
        <is>
          <t xml:space="preserve">SRIRACHA HOT CHILLI SAUCE </t>
        </is>
      </c>
      <c r="O313" s="4" t="inlineStr">
        <is>
          <t>(Temp 10.0℃ / Vent Close)</t>
        </is>
      </c>
      <c r="P313" s="4" t="inlineStr">
        <is>
          <t>Pickup : 2026-10-08, Return : 2026-10-09 (Temp +10.0 / Vent Close) 
CLS TIME 10/10/26 @23.59</t>
        </is>
      </c>
      <c r="Q313" s="4" t="n">
        <v>0</v>
      </c>
      <c r="R313" s="4" t="n">
        <v>0</v>
      </c>
      <c r="S313" s="4" t="n">
        <v>0</v>
      </c>
      <c r="T313" s="4" t="n">
        <v>0</v>
      </c>
      <c r="U313" s="4" t="n">
        <v>1</v>
      </c>
      <c r="V313" s="4" t="n">
        <v>0</v>
      </c>
      <c r="W313" s="4" t="n">
        <v>0</v>
      </c>
      <c r="X313" s="4" t="n">
        <v>0</v>
      </c>
      <c r="Y313" s="4" t="n">
        <v>0</v>
      </c>
      <c r="Z313" s="4" t="n">
        <v>0</v>
      </c>
      <c r="AA313" s="4" t="n">
        <v>0</v>
      </c>
      <c r="AB313" s="4">
        <f>SUM(Q313:Y313)-Z313</f>
        <v/>
      </c>
      <c r="AC313" s="4">
        <f>IF(I313="","",IF(OR(LEFT(I313,3)="BKK",I313="LCH55"),"BKK",IF(LEFT(I313,3)="LCH","LCH","OTHER")))</f>
        <v/>
      </c>
      <c r="AD313" s="4">
        <f>MAX(0,Q313-MAX(0,Z313))</f>
        <v/>
      </c>
      <c r="AE313" s="4">
        <f>MAX(0,R313-MAX(0,Z313-SUM(Q313:Q313)))</f>
        <v/>
      </c>
      <c r="AF313" s="4">
        <f>MAX(0,S313-MAX(0,Z313-SUM(Q313:R313)))</f>
        <v/>
      </c>
      <c r="AG313" s="4">
        <f>MAX(0,T313-MAX(0,Z313-SUM(Q313:S313)))</f>
        <v/>
      </c>
      <c r="AH313" s="4">
        <f>MAX(0,U313-MAX(0,Z313-SUM(Q313:T313)))</f>
        <v/>
      </c>
      <c r="AI313" s="4">
        <f>MAX(0,V313-MAX(0,Z313-SUM(Q313:U313)))</f>
        <v/>
      </c>
      <c r="AJ313" s="4">
        <f>MAX(0,W313-MAX(0,Z313-SUM(Q313:V313)))</f>
        <v/>
      </c>
      <c r="AK313" s="4">
        <f>MAX(0,X313-MAX(0,Z313-SUM(Q313:W313)))</f>
        <v/>
      </c>
      <c r="AL313" s="4">
        <f>MAX(0,Y313-MAX(0,Z313-SUM(Q313:X313)))</f>
        <v/>
      </c>
    </row>
    <row r="314">
      <c r="A314" s="4" t="inlineStr">
        <is>
          <t>HASLS22260902378</t>
        </is>
      </c>
      <c r="B314" s="4" t="inlineStr">
        <is>
          <t>KMGY</t>
        </is>
      </c>
      <c r="C314" s="4" t="inlineStr">
        <is>
          <t>2611N</t>
        </is>
      </c>
      <c r="D314" s="4" t="inlineStr">
        <is>
          <t>202610201000</t>
        </is>
      </c>
      <c r="E314" s="4" t="inlineStr"/>
      <c r="F314" s="4" t="inlineStr">
        <is>
          <t>THBKK</t>
        </is>
      </c>
      <c r="G314" s="4" t="inlineStr">
        <is>
          <t>HKHKG</t>
        </is>
      </c>
      <c r="H314" s="4" t="inlineStr">
        <is>
          <t xml:space="preserve">20'x2 </t>
        </is>
      </c>
      <c r="I314" s="4" t="inlineStr">
        <is>
          <t>BKK27</t>
        </is>
      </c>
      <c r="J314" s="4" t="inlineStr">
        <is>
          <t>B.C. DEPOT CO.,LTD. ( Bang-Na KM.18)</t>
        </is>
      </c>
      <c r="K314" s="4" t="inlineStr">
        <is>
          <t>20261015</t>
        </is>
      </c>
      <c r="L314" s="4" t="inlineStr">
        <is>
          <t>GEODIS THAI LTD.</t>
        </is>
      </c>
      <c r="M314" s="4" t="inlineStr">
        <is>
          <t>UNICORD PUBLIC COMPANY LIMITED</t>
        </is>
      </c>
      <c r="N314" s="4" t="inlineStr">
        <is>
          <t>CANNED CAT FOOD</t>
        </is>
      </c>
      <c r="O314" s="4" t="inlineStr">
        <is>
          <t>GOOD AND CLEAN CONTAINER</t>
        </is>
      </c>
      <c r="P314" s="4" t="inlineStr">
        <is>
          <t>Pickup : 2026-10-15, Return : 2026-10-16</t>
        </is>
      </c>
      <c r="Q314" s="4" t="n">
        <v>2</v>
      </c>
      <c r="R314" s="4" t="n">
        <v>0</v>
      </c>
      <c r="S314" s="4" t="n">
        <v>0</v>
      </c>
      <c r="T314" s="4" t="n">
        <v>0</v>
      </c>
      <c r="U314" s="4" t="n">
        <v>0</v>
      </c>
      <c r="V314" s="4" t="n">
        <v>0</v>
      </c>
      <c r="W314" s="4" t="n">
        <v>0</v>
      </c>
      <c r="X314" s="4" t="n">
        <v>0</v>
      </c>
      <c r="Y314" s="4" t="n">
        <v>0</v>
      </c>
      <c r="Z314" s="4" t="n">
        <v>0</v>
      </c>
      <c r="AA314" s="4" t="n">
        <v>0</v>
      </c>
      <c r="AB314" s="4">
        <f>SUM(Q314:Y314)-Z314</f>
        <v/>
      </c>
      <c r="AC314" s="4">
        <f>IF(I314="","",IF(OR(LEFT(I314,3)="BKK",I314="LCH55"),"BKK",IF(LEFT(I314,3)="LCH","LCH","OTHER")))</f>
        <v/>
      </c>
      <c r="AD314" s="4">
        <f>MAX(0,Q314-MAX(0,Z314))</f>
        <v/>
      </c>
      <c r="AE314" s="4">
        <f>MAX(0,R314-MAX(0,Z314-SUM(Q314:Q314)))</f>
        <v/>
      </c>
      <c r="AF314" s="4">
        <f>MAX(0,S314-MAX(0,Z314-SUM(Q314:R314)))</f>
        <v/>
      </c>
      <c r="AG314" s="4">
        <f>MAX(0,T314-MAX(0,Z314-SUM(Q314:S314)))</f>
        <v/>
      </c>
      <c r="AH314" s="4">
        <f>MAX(0,U314-MAX(0,Z314-SUM(Q314:T314)))</f>
        <v/>
      </c>
      <c r="AI314" s="4">
        <f>MAX(0,V314-MAX(0,Z314-SUM(Q314:U314)))</f>
        <v/>
      </c>
      <c r="AJ314" s="4">
        <f>MAX(0,W314-MAX(0,Z314-SUM(Q314:V314)))</f>
        <v/>
      </c>
      <c r="AK314" s="4">
        <f>MAX(0,X314-MAX(0,Z314-SUM(Q314:W314)))</f>
        <v/>
      </c>
      <c r="AL314" s="4">
        <f>MAX(0,Y314-MAX(0,Z314-SUM(Q314:X314)))</f>
        <v/>
      </c>
    </row>
    <row r="315">
      <c r="A315" s="4" t="inlineStr">
        <is>
          <t>HASLS22260902379</t>
        </is>
      </c>
      <c r="B315" s="4" t="inlineStr">
        <is>
          <t>DJCF</t>
        </is>
      </c>
      <c r="C315" s="4" t="inlineStr">
        <is>
          <t>0152N</t>
        </is>
      </c>
      <c r="D315" s="4" t="inlineStr">
        <is>
          <t>202610111000</t>
        </is>
      </c>
      <c r="E315" s="4" t="inlineStr"/>
      <c r="F315" s="4" t="inlineStr">
        <is>
          <t>THBKK</t>
        </is>
      </c>
      <c r="G315" s="4" t="inlineStr">
        <is>
          <t>VNSGN</t>
        </is>
      </c>
      <c r="H315" s="4" t="inlineStr">
        <is>
          <t xml:space="preserve">40Hx3 </t>
        </is>
      </c>
      <c r="I315" s="4" t="inlineStr">
        <is>
          <t>BKK27</t>
        </is>
      </c>
      <c r="J315" s="4" t="inlineStr">
        <is>
          <t>B.C. DEPOT CO.,LTD. ( Bang-Na KM.18)</t>
        </is>
      </c>
      <c r="K315" s="4" t="inlineStr">
        <is>
          <t>20261007</t>
        </is>
      </c>
      <c r="L315" s="4" t="inlineStr">
        <is>
          <t>ACCORD PILOT LOGISTICS (THAILAND) CO., LTD.</t>
        </is>
      </c>
      <c r="M315" s="4" t="inlineStr">
        <is>
          <t>ASIAN-PACIFIC CAN CO., LTD.</t>
        </is>
      </c>
      <c r="N315" s="4" t="inlineStr">
        <is>
          <t>EMPTY CAN</t>
        </is>
      </c>
      <c r="O315" s="4" t="inlineStr">
        <is>
          <t>GOOD AND CLEAN CONTAINER</t>
        </is>
      </c>
      <c r="P315" s="4" t="inlineStr">
        <is>
          <t>Pickup : 2026-10-07, Return : 2026-10-08</t>
        </is>
      </c>
      <c r="Q315" s="4" t="n">
        <v>0</v>
      </c>
      <c r="R315" s="4" t="n">
        <v>0</v>
      </c>
      <c r="S315" s="4" t="n">
        <v>3</v>
      </c>
      <c r="T315" s="4" t="n">
        <v>0</v>
      </c>
      <c r="U315" s="4" t="n">
        <v>0</v>
      </c>
      <c r="V315" s="4" t="n">
        <v>0</v>
      </c>
      <c r="W315" s="4" t="n">
        <v>0</v>
      </c>
      <c r="X315" s="4" t="n">
        <v>0</v>
      </c>
      <c r="Y315" s="4" t="n">
        <v>0</v>
      </c>
      <c r="Z315" s="4" t="n">
        <v>0</v>
      </c>
      <c r="AA315" s="4" t="n">
        <v>0</v>
      </c>
      <c r="AB315" s="4">
        <f>SUM(Q315:Y315)-Z315</f>
        <v/>
      </c>
      <c r="AC315" s="4">
        <f>IF(I315="","",IF(OR(LEFT(I315,3)="BKK",I315="LCH55"),"BKK",IF(LEFT(I315,3)="LCH","LCH","OTHER")))</f>
        <v/>
      </c>
      <c r="AD315" s="4">
        <f>MAX(0,Q315-MAX(0,Z315))</f>
        <v/>
      </c>
      <c r="AE315" s="4">
        <f>MAX(0,R315-MAX(0,Z315-SUM(Q315:Q315)))</f>
        <v/>
      </c>
      <c r="AF315" s="4">
        <f>MAX(0,S315-MAX(0,Z315-SUM(Q315:R315)))</f>
        <v/>
      </c>
      <c r="AG315" s="4">
        <f>MAX(0,T315-MAX(0,Z315-SUM(Q315:S315)))</f>
        <v/>
      </c>
      <c r="AH315" s="4">
        <f>MAX(0,U315-MAX(0,Z315-SUM(Q315:T315)))</f>
        <v/>
      </c>
      <c r="AI315" s="4">
        <f>MAX(0,V315-MAX(0,Z315-SUM(Q315:U315)))</f>
        <v/>
      </c>
      <c r="AJ315" s="4">
        <f>MAX(0,W315-MAX(0,Z315-SUM(Q315:V315)))</f>
        <v/>
      </c>
      <c r="AK315" s="4">
        <f>MAX(0,X315-MAX(0,Z315-SUM(Q315:W315)))</f>
        <v/>
      </c>
      <c r="AL315" s="4">
        <f>MAX(0,Y315-MAX(0,Z315-SUM(Q315:X315)))</f>
        <v/>
      </c>
    </row>
    <row r="316">
      <c r="A316" s="4" t="inlineStr">
        <is>
          <t>HASLS22260902382</t>
        </is>
      </c>
      <c r="B316" s="4" t="inlineStr">
        <is>
          <t>SWIC</t>
        </is>
      </c>
      <c r="C316" s="4" t="inlineStr">
        <is>
          <t>2611N</t>
        </is>
      </c>
      <c r="D316" s="4" t="inlineStr">
        <is>
          <t>202610130700</t>
        </is>
      </c>
      <c r="E316" s="4" t="inlineStr"/>
      <c r="F316" s="4" t="inlineStr">
        <is>
          <t>THBKK</t>
        </is>
      </c>
      <c r="G316" s="4" t="inlineStr">
        <is>
          <t>VNSGN</t>
        </is>
      </c>
      <c r="H316" s="4" t="inlineStr">
        <is>
          <t xml:space="preserve">20'x1 </t>
        </is>
      </c>
      <c r="I316" s="4" t="inlineStr">
        <is>
          <t>BKK27</t>
        </is>
      </c>
      <c r="J316" s="4" t="inlineStr">
        <is>
          <t>B.C. DEPOT CO.,LTD. ( Bang-Na KM.18)</t>
        </is>
      </c>
      <c r="K316" s="4" t="inlineStr">
        <is>
          <t>20261007</t>
        </is>
      </c>
      <c r="L316" s="4" t="inlineStr">
        <is>
          <t>MITSUBISHI LOGISTICS (THAILAND) CO., LTD.</t>
        </is>
      </c>
      <c r="M316" s="4" t="inlineStr">
        <is>
          <t>THAI KOBELCO WELDING CO., LTD.</t>
        </is>
      </c>
      <c r="N316" s="4" t="inlineStr">
        <is>
          <t>WELDING WIRE</t>
        </is>
      </c>
      <c r="O316" s="4" t="inlineStr">
        <is>
          <t>Upgrade cntr 30 Tons / Request good condition container due to customer lashing cargo inside no bulge NOT WET</t>
        </is>
      </c>
      <c r="P316" s="4" t="inlineStr">
        <is>
          <t>Pickup : 2026-10-07, Return : 2026-10-07 [1ST RTN 08/10/2026 W/O RENT]</t>
        </is>
      </c>
      <c r="Q316" s="4" t="n">
        <v>1</v>
      </c>
      <c r="R316" s="4" t="n">
        <v>0</v>
      </c>
      <c r="S316" s="4" t="n">
        <v>0</v>
      </c>
      <c r="T316" s="4" t="n">
        <v>0</v>
      </c>
      <c r="U316" s="4" t="n">
        <v>0</v>
      </c>
      <c r="V316" s="4" t="n">
        <v>0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>
        <f>SUM(Q316:Y316)-Z316</f>
        <v/>
      </c>
      <c r="AC316" s="4">
        <f>IF(I316="","",IF(OR(LEFT(I316,3)="BKK",I316="LCH55"),"BKK",IF(LEFT(I316,3)="LCH","LCH","OTHER")))</f>
        <v/>
      </c>
      <c r="AD316" s="4">
        <f>MAX(0,Q316-MAX(0,Z316))</f>
        <v/>
      </c>
      <c r="AE316" s="4">
        <f>MAX(0,R316-MAX(0,Z316-SUM(Q316:Q316)))</f>
        <v/>
      </c>
      <c r="AF316" s="4">
        <f>MAX(0,S316-MAX(0,Z316-SUM(Q316:R316)))</f>
        <v/>
      </c>
      <c r="AG316" s="4">
        <f>MAX(0,T316-MAX(0,Z316-SUM(Q316:S316)))</f>
        <v/>
      </c>
      <c r="AH316" s="4">
        <f>MAX(0,U316-MAX(0,Z316-SUM(Q316:T316)))</f>
        <v/>
      </c>
      <c r="AI316" s="4">
        <f>MAX(0,V316-MAX(0,Z316-SUM(Q316:U316)))</f>
        <v/>
      </c>
      <c r="AJ316" s="4">
        <f>MAX(0,W316-MAX(0,Z316-SUM(Q316:V316)))</f>
        <v/>
      </c>
      <c r="AK316" s="4">
        <f>MAX(0,X316-MAX(0,Z316-SUM(Q316:W316)))</f>
        <v/>
      </c>
      <c r="AL316" s="4">
        <f>MAX(0,Y316-MAX(0,Z316-SUM(Q316:X316)))</f>
        <v/>
      </c>
    </row>
    <row r="317">
      <c r="A317" s="4" t="inlineStr">
        <is>
          <t>HASLS22260902383</t>
        </is>
      </c>
      <c r="B317" s="4" t="inlineStr">
        <is>
          <t>SWIC</t>
        </is>
      </c>
      <c r="C317" s="4" t="inlineStr">
        <is>
          <t>2611N</t>
        </is>
      </c>
      <c r="D317" s="4" t="inlineStr">
        <is>
          <t>202610130700</t>
        </is>
      </c>
      <c r="E317" s="4" t="inlineStr"/>
      <c r="F317" s="4" t="inlineStr">
        <is>
          <t>THBKK</t>
        </is>
      </c>
      <c r="G317" s="4" t="inlineStr">
        <is>
          <t>VNSGN</t>
        </is>
      </c>
      <c r="H317" s="4" t="inlineStr">
        <is>
          <t xml:space="preserve">40Hx1 </t>
        </is>
      </c>
      <c r="I317" s="4" t="inlineStr">
        <is>
          <t>BKK27</t>
        </is>
      </c>
      <c r="J317" s="4" t="inlineStr">
        <is>
          <t>B.C. DEPOT CO.,LTD. ( Bang-Na KM.18)</t>
        </is>
      </c>
      <c r="K317" s="4" t="inlineStr">
        <is>
          <t>20261007</t>
        </is>
      </c>
      <c r="L317" s="4" t="inlineStr">
        <is>
          <t>MARINE EXPRESS CO., LTD.</t>
        </is>
      </c>
      <c r="M317" s="4" t="inlineStr">
        <is>
          <t>R.J. LONDON CHEMICAL INDUSTRIES CO., LTD.</t>
        </is>
      </c>
      <c r="N317" s="4" t="inlineStr">
        <is>
          <t>AUTO ACCESSORIES</t>
        </is>
      </c>
      <c r="O317" s="4" t="inlineStr">
        <is>
          <t>REQUEST GOOD CONTAINER NO.LEAK,NO RUST,NO SCRATCHES,NO OIL, BECAUSE PRODUCT IN CARTON NO PALLET.</t>
        </is>
      </c>
      <c r="P317" s="4" t="inlineStr">
        <is>
          <t>Pickup : 2026-10-07, Return : 2026-10-08</t>
        </is>
      </c>
      <c r="Q317" s="4" t="n">
        <v>0</v>
      </c>
      <c r="R317" s="4" t="n">
        <v>0</v>
      </c>
      <c r="S317" s="4" t="n">
        <v>1</v>
      </c>
      <c r="T317" s="4" t="n">
        <v>0</v>
      </c>
      <c r="U317" s="4" t="n">
        <v>0</v>
      </c>
      <c r="V317" s="4" t="n">
        <v>0</v>
      </c>
      <c r="W317" s="4" t="n">
        <v>0</v>
      </c>
      <c r="X317" s="4" t="n">
        <v>0</v>
      </c>
      <c r="Y317" s="4" t="n">
        <v>0</v>
      </c>
      <c r="Z317" s="4" t="n">
        <v>0</v>
      </c>
      <c r="AA317" s="4" t="n">
        <v>0</v>
      </c>
      <c r="AB317" s="4">
        <f>SUM(Q317:Y317)-Z317</f>
        <v/>
      </c>
      <c r="AC317" s="4">
        <f>IF(I317="","",IF(OR(LEFT(I317,3)="BKK",I317="LCH55"),"BKK",IF(LEFT(I317,3)="LCH","LCH","OTHER")))</f>
        <v/>
      </c>
      <c r="AD317" s="4">
        <f>MAX(0,Q317-MAX(0,Z317))</f>
        <v/>
      </c>
      <c r="AE317" s="4">
        <f>MAX(0,R317-MAX(0,Z317-SUM(Q317:Q317)))</f>
        <v/>
      </c>
      <c r="AF317" s="4">
        <f>MAX(0,S317-MAX(0,Z317-SUM(Q317:R317)))</f>
        <v/>
      </c>
      <c r="AG317" s="4">
        <f>MAX(0,T317-MAX(0,Z317-SUM(Q317:S317)))</f>
        <v/>
      </c>
      <c r="AH317" s="4">
        <f>MAX(0,U317-MAX(0,Z317-SUM(Q317:T317)))</f>
        <v/>
      </c>
      <c r="AI317" s="4">
        <f>MAX(0,V317-MAX(0,Z317-SUM(Q317:U317)))</f>
        <v/>
      </c>
      <c r="AJ317" s="4">
        <f>MAX(0,W317-MAX(0,Z317-SUM(Q317:V317)))</f>
        <v/>
      </c>
      <c r="AK317" s="4">
        <f>MAX(0,X317-MAX(0,Z317-SUM(Q317:W317)))</f>
        <v/>
      </c>
      <c r="AL317" s="4">
        <f>MAX(0,Y317-MAX(0,Z317-SUM(Q317:X317)))</f>
        <v/>
      </c>
    </row>
    <row r="318">
      <c r="A318" s="4" t="inlineStr">
        <is>
          <t>HASLS22260902388</t>
        </is>
      </c>
      <c r="B318" s="4" t="inlineStr">
        <is>
          <t>SWSR</t>
        </is>
      </c>
      <c r="C318" s="4" t="inlineStr">
        <is>
          <t>2611N</t>
        </is>
      </c>
      <c r="D318" s="4" t="inlineStr">
        <is>
          <t>202610110900</t>
        </is>
      </c>
      <c r="E318" s="4" t="inlineStr"/>
      <c r="F318" s="4" t="inlineStr">
        <is>
          <t>THBKK</t>
        </is>
      </c>
      <c r="G318" s="4" t="inlineStr">
        <is>
          <t>HKHKG</t>
        </is>
      </c>
      <c r="H318" s="4" t="inlineStr">
        <is>
          <t xml:space="preserve">40Hx1 </t>
        </is>
      </c>
      <c r="I318" s="4" t="inlineStr">
        <is>
          <t>BKK27</t>
        </is>
      </c>
      <c r="J318" s="4" t="inlineStr">
        <is>
          <t>B.C. DEPOT CO.,LTD. ( Bang-Na KM.18)</t>
        </is>
      </c>
      <c r="K318" s="4" t="inlineStr">
        <is>
          <t>20261007</t>
        </is>
      </c>
      <c r="L318" s="4" t="inlineStr">
        <is>
          <t>VICTOR RICHER TRANS CO., LTD.</t>
        </is>
      </c>
      <c r="M318" s="4" t="inlineStr">
        <is>
          <t>PROMPT PLUS  CO.,LTD.</t>
        </is>
      </c>
      <c r="N318" s="4" t="inlineStr">
        <is>
          <t>PRINTER</t>
        </is>
      </c>
      <c r="O318" s="4" t="inlineStr">
        <is>
          <t>GOOD AND CLEAN CONTAINER</t>
        </is>
      </c>
      <c r="P318" s="4" t="inlineStr">
        <is>
          <t>Pickup : 2026-10-07, Return : 2026-10-07</t>
        </is>
      </c>
      <c r="Q318" s="4" t="n">
        <v>0</v>
      </c>
      <c r="R318" s="4" t="n">
        <v>0</v>
      </c>
      <c r="S318" s="4" t="n">
        <v>1</v>
      </c>
      <c r="T318" s="4" t="n">
        <v>0</v>
      </c>
      <c r="U318" s="4" t="n">
        <v>0</v>
      </c>
      <c r="V318" s="4" t="n">
        <v>0</v>
      </c>
      <c r="W318" s="4" t="n">
        <v>0</v>
      </c>
      <c r="X318" s="4" t="n">
        <v>0</v>
      </c>
      <c r="Y318" s="4" t="n">
        <v>0</v>
      </c>
      <c r="Z318" s="4" t="n">
        <v>0</v>
      </c>
      <c r="AA318" s="4" t="n">
        <v>0</v>
      </c>
      <c r="AB318" s="4">
        <f>SUM(Q318:Y318)-Z318</f>
        <v/>
      </c>
      <c r="AC318" s="4">
        <f>IF(I318="","",IF(OR(LEFT(I318,3)="BKK",I318="LCH55"),"BKK",IF(LEFT(I318,3)="LCH","LCH","OTHER")))</f>
        <v/>
      </c>
      <c r="AD318" s="4">
        <f>MAX(0,Q318-MAX(0,Z318))</f>
        <v/>
      </c>
      <c r="AE318" s="4">
        <f>MAX(0,R318-MAX(0,Z318-SUM(Q318:Q318)))</f>
        <v/>
      </c>
      <c r="AF318" s="4">
        <f>MAX(0,S318-MAX(0,Z318-SUM(Q318:R318)))</f>
        <v/>
      </c>
      <c r="AG318" s="4">
        <f>MAX(0,T318-MAX(0,Z318-SUM(Q318:S318)))</f>
        <v/>
      </c>
      <c r="AH318" s="4">
        <f>MAX(0,U318-MAX(0,Z318-SUM(Q318:T318)))</f>
        <v/>
      </c>
      <c r="AI318" s="4">
        <f>MAX(0,V318-MAX(0,Z318-SUM(Q318:U318)))</f>
        <v/>
      </c>
      <c r="AJ318" s="4">
        <f>MAX(0,W318-MAX(0,Z318-SUM(Q318:V318)))</f>
        <v/>
      </c>
      <c r="AK318" s="4">
        <f>MAX(0,X318-MAX(0,Z318-SUM(Q318:W318)))</f>
        <v/>
      </c>
      <c r="AL318" s="4">
        <f>MAX(0,Y318-MAX(0,Z318-SUM(Q318:X318)))</f>
        <v/>
      </c>
    </row>
    <row r="319">
      <c r="A319" s="4" t="inlineStr">
        <is>
          <t>HASLS22260902389</t>
        </is>
      </c>
      <c r="B319" s="4" t="inlineStr">
        <is>
          <t>SWVG</t>
        </is>
      </c>
      <c r="C319" s="4" t="inlineStr">
        <is>
          <t>2612N</t>
        </is>
      </c>
      <c r="D319" s="4" t="inlineStr">
        <is>
          <t>202610070330</t>
        </is>
      </c>
      <c r="E319" s="4" t="inlineStr">
        <is>
          <t>THSRP</t>
        </is>
      </c>
      <c r="F319" s="4" t="inlineStr">
        <is>
          <t>THLCH</t>
        </is>
      </c>
      <c r="G319" s="4" t="inlineStr">
        <is>
          <t>CNSHA</t>
        </is>
      </c>
      <c r="H319" s="4" t="inlineStr">
        <is>
          <t xml:space="preserve">20'x1 </t>
        </is>
      </c>
      <c r="I319" s="4" t="inlineStr">
        <is>
          <t>BKK27</t>
        </is>
      </c>
      <c r="J319" s="4" t="inlineStr">
        <is>
          <t>B.C. DEPOT CO.,LTD. ( Bang-Na KM.18)</t>
        </is>
      </c>
      <c r="K319" s="4" t="inlineStr">
        <is>
          <t>20261002</t>
        </is>
      </c>
      <c r="L319" s="4" t="inlineStr">
        <is>
          <t>ONE WORLD LOGISTICS AND FREIGHT CO., LTD.</t>
        </is>
      </c>
      <c r="M319" s="4" t="inlineStr">
        <is>
          <t>EXECUTIVE INTERNATIONAL MOVERS ( EIM ) CO., LTD.</t>
        </is>
      </c>
      <c r="N319" s="4" t="inlineStr">
        <is>
          <t>USE HOUSEHOLD GOODS (HS CODE 990500)</t>
        </is>
      </c>
      <c r="O319" s="4" t="inlineStr">
        <is>
          <t>GOOD AND CLEAN CONTAINER /</t>
        </is>
      </c>
      <c r="P319" s="4" t="inlineStr">
        <is>
          <t>Pickup : 2026-10-02, Return SRP : 2026-10-03 [PAPERLESS CODE 2829]
CLS TIME 04/10/26 @23.59</t>
        </is>
      </c>
      <c r="Q319" s="4" t="n">
        <v>1</v>
      </c>
      <c r="R319" s="4" t="n">
        <v>0</v>
      </c>
      <c r="S319" s="4" t="n">
        <v>0</v>
      </c>
      <c r="T319" s="4" t="n">
        <v>0</v>
      </c>
      <c r="U319" s="4" t="n">
        <v>0</v>
      </c>
      <c r="V319" s="4" t="n">
        <v>0</v>
      </c>
      <c r="W319" s="4" t="n">
        <v>0</v>
      </c>
      <c r="X319" s="4" t="n">
        <v>0</v>
      </c>
      <c r="Y319" s="4" t="n">
        <v>0</v>
      </c>
      <c r="Z319" s="4" t="n">
        <v>0</v>
      </c>
      <c r="AA319" s="4" t="n">
        <v>0</v>
      </c>
      <c r="AB319" s="4">
        <f>SUM(Q319:Y319)-Z319</f>
        <v/>
      </c>
      <c r="AC319" s="4">
        <f>IF(I319="","",IF(OR(LEFT(I319,3)="BKK",I319="LCH55"),"BKK",IF(LEFT(I319,3)="LCH","LCH","OTHER")))</f>
        <v/>
      </c>
      <c r="AD319" s="4">
        <f>MAX(0,Q319-MAX(0,Z319))</f>
        <v/>
      </c>
      <c r="AE319" s="4">
        <f>MAX(0,R319-MAX(0,Z319-SUM(Q319:Q319)))</f>
        <v/>
      </c>
      <c r="AF319" s="4">
        <f>MAX(0,S319-MAX(0,Z319-SUM(Q319:R319)))</f>
        <v/>
      </c>
      <c r="AG319" s="4">
        <f>MAX(0,T319-MAX(0,Z319-SUM(Q319:S319)))</f>
        <v/>
      </c>
      <c r="AH319" s="4">
        <f>MAX(0,U319-MAX(0,Z319-SUM(Q319:T319)))</f>
        <v/>
      </c>
      <c r="AI319" s="4">
        <f>MAX(0,V319-MAX(0,Z319-SUM(Q319:U319)))</f>
        <v/>
      </c>
      <c r="AJ319" s="4">
        <f>MAX(0,W319-MAX(0,Z319-SUM(Q319:V319)))</f>
        <v/>
      </c>
      <c r="AK319" s="4">
        <f>MAX(0,X319-MAX(0,Z319-SUM(Q319:W319)))</f>
        <v/>
      </c>
      <c r="AL319" s="4">
        <f>MAX(0,Y319-MAX(0,Z319-SUM(Q319:X319)))</f>
        <v/>
      </c>
    </row>
    <row r="320">
      <c r="A320" s="4" t="inlineStr">
        <is>
          <t>HASLS22260902397</t>
        </is>
      </c>
      <c r="B320" s="4" t="inlineStr">
        <is>
          <t>KUS</t>
        </is>
      </c>
      <c r="C320" s="4" t="inlineStr">
        <is>
          <t>2616N</t>
        </is>
      </c>
      <c r="D320" s="4" t="inlineStr">
        <is>
          <t>202610141100</t>
        </is>
      </c>
      <c r="E320" s="4" t="inlineStr"/>
      <c r="F320" s="4" t="inlineStr">
        <is>
          <t>THBKK</t>
        </is>
      </c>
      <c r="G320" s="4" t="inlineStr">
        <is>
          <t>KRINC</t>
        </is>
      </c>
      <c r="H320" s="4" t="inlineStr">
        <is>
          <t xml:space="preserve">R40Hx1 </t>
        </is>
      </c>
      <c r="I320" s="4" t="inlineStr">
        <is>
          <t>BKK27</t>
        </is>
      </c>
      <c r="J320" s="4" t="inlineStr">
        <is>
          <t>B.C. DEPOT CO.,LTD. ( Bang-Na KM.18)</t>
        </is>
      </c>
      <c r="K320" s="4" t="inlineStr">
        <is>
          <t>20261010</t>
        </is>
      </c>
      <c r="L320" s="4" t="inlineStr">
        <is>
          <t>ITL SERVICES AND LOGISTICS CO., LTD.</t>
        </is>
      </c>
      <c r="M320" s="4" t="inlineStr">
        <is>
          <t>YUNE INTERTRADE CO.,LTD.</t>
        </is>
      </c>
      <c r="N320" s="4" t="inlineStr">
        <is>
          <t>PINEAPPLE ICE</t>
        </is>
      </c>
      <c r="O320" s="4" t="inlineStr">
        <is>
          <t>(Temp -25.0℃ / Vent Close) REQ. FOOD GRADE CONTAINER</t>
        </is>
      </c>
      <c r="P320" s="4" t="inlineStr">
        <is>
          <t>Pickup : 2026-10-10, Return : 2026-10-10 (Temp -25.0 / Vent Close) 
CLS TIME 11/10/26 @23.59</t>
        </is>
      </c>
      <c r="Q320" s="4" t="n">
        <v>0</v>
      </c>
      <c r="R320" s="4" t="n">
        <v>0</v>
      </c>
      <c r="S320" s="4" t="n">
        <v>0</v>
      </c>
      <c r="T320" s="4" t="n">
        <v>0</v>
      </c>
      <c r="U320" s="4" t="n">
        <v>1</v>
      </c>
      <c r="V320" s="4" t="n">
        <v>0</v>
      </c>
      <c r="W320" s="4" t="n">
        <v>0</v>
      </c>
      <c r="X320" s="4" t="n">
        <v>0</v>
      </c>
      <c r="Y320" s="4" t="n">
        <v>0</v>
      </c>
      <c r="Z320" s="4" t="n">
        <v>0</v>
      </c>
      <c r="AA320" s="4" t="n">
        <v>0</v>
      </c>
      <c r="AB320" s="4">
        <f>SUM(Q320:Y320)-Z320</f>
        <v/>
      </c>
      <c r="AC320" s="4">
        <f>IF(I320="","",IF(OR(LEFT(I320,3)="BKK",I320="LCH55"),"BKK",IF(LEFT(I320,3)="LCH","LCH","OTHER")))</f>
        <v/>
      </c>
      <c r="AD320" s="4">
        <f>MAX(0,Q320-MAX(0,Z320))</f>
        <v/>
      </c>
      <c r="AE320" s="4">
        <f>MAX(0,R320-MAX(0,Z320-SUM(Q320:Q320)))</f>
        <v/>
      </c>
      <c r="AF320" s="4">
        <f>MAX(0,S320-MAX(0,Z320-SUM(Q320:R320)))</f>
        <v/>
      </c>
      <c r="AG320" s="4">
        <f>MAX(0,T320-MAX(0,Z320-SUM(Q320:S320)))</f>
        <v/>
      </c>
      <c r="AH320" s="4">
        <f>MAX(0,U320-MAX(0,Z320-SUM(Q320:T320)))</f>
        <v/>
      </c>
      <c r="AI320" s="4">
        <f>MAX(0,V320-MAX(0,Z320-SUM(Q320:U320)))</f>
        <v/>
      </c>
      <c r="AJ320" s="4">
        <f>MAX(0,W320-MAX(0,Z320-SUM(Q320:V320)))</f>
        <v/>
      </c>
      <c r="AK320" s="4">
        <f>MAX(0,X320-MAX(0,Z320-SUM(Q320:W320)))</f>
        <v/>
      </c>
      <c r="AL320" s="4">
        <f>MAX(0,Y320-MAX(0,Z320-SUM(Q320:X320)))</f>
        <v/>
      </c>
    </row>
    <row r="321">
      <c r="A321" s="4" t="inlineStr">
        <is>
          <t>HASLS22260902405</t>
        </is>
      </c>
      <c r="B321" s="4" t="inlineStr">
        <is>
          <t>SWVG</t>
        </is>
      </c>
      <c r="C321" s="4" t="inlineStr">
        <is>
          <t>2612N</t>
        </is>
      </c>
      <c r="D321" s="4" t="inlineStr">
        <is>
          <t>202610070330</t>
        </is>
      </c>
      <c r="E321" s="4" t="inlineStr">
        <is>
          <t>THSRP</t>
        </is>
      </c>
      <c r="F321" s="4" t="inlineStr">
        <is>
          <t>THLCH</t>
        </is>
      </c>
      <c r="G321" s="4" t="inlineStr">
        <is>
          <t>CNSHA</t>
        </is>
      </c>
      <c r="H321" s="4" t="inlineStr">
        <is>
          <t xml:space="preserve">20'x1 </t>
        </is>
      </c>
      <c r="I321" s="4" t="inlineStr">
        <is>
          <t>BKK27</t>
        </is>
      </c>
      <c r="J321" s="4" t="inlineStr">
        <is>
          <t>B.C. DEPOT CO.,LTD. ( Bang-Na KM.18)</t>
        </is>
      </c>
      <c r="K321" s="4" t="inlineStr">
        <is>
          <t>20261001</t>
        </is>
      </c>
      <c r="L321" s="4" t="inlineStr">
        <is>
          <t>BILLION LOGISTICS CO., LTD.</t>
        </is>
      </c>
      <c r="M321" s="4" t="inlineStr">
        <is>
          <t>TARGET MAXX CO., LTD.</t>
        </is>
      </c>
      <c r="N321" s="4" t="inlineStr">
        <is>
          <t>PP RESIN</t>
        </is>
      </c>
      <c r="O321" s="4" t="inlineStr">
        <is>
          <t>GOOD AND CLEAN CONTAINER</t>
        </is>
      </c>
      <c r="P321" s="4" t="inlineStr">
        <is>
          <t>Pickup : 2026-10-01, Return SRP : 2026-10-02 [PAPERLESS CODE 2829]
CLS TIME 05/10/26 @09.00</t>
        </is>
      </c>
      <c r="Q321" s="4" t="n">
        <v>1</v>
      </c>
      <c r="R321" s="4" t="n">
        <v>0</v>
      </c>
      <c r="S321" s="4" t="n">
        <v>0</v>
      </c>
      <c r="T321" s="4" t="n">
        <v>0</v>
      </c>
      <c r="U321" s="4" t="n">
        <v>0</v>
      </c>
      <c r="V321" s="4" t="n">
        <v>0</v>
      </c>
      <c r="W321" s="4" t="n">
        <v>0</v>
      </c>
      <c r="X321" s="4" t="n">
        <v>0</v>
      </c>
      <c r="Y321" s="4" t="n">
        <v>0</v>
      </c>
      <c r="Z321" s="4" t="n">
        <v>0</v>
      </c>
      <c r="AA321" s="4" t="n">
        <v>0</v>
      </c>
      <c r="AB321" s="4">
        <f>SUM(Q321:Y321)-Z321</f>
        <v/>
      </c>
      <c r="AC321" s="4">
        <f>IF(I321="","",IF(OR(LEFT(I321,3)="BKK",I321="LCH55"),"BKK",IF(LEFT(I321,3)="LCH","LCH","OTHER")))</f>
        <v/>
      </c>
      <c r="AD321" s="4">
        <f>MAX(0,Q321-MAX(0,Z321))</f>
        <v/>
      </c>
      <c r="AE321" s="4">
        <f>MAX(0,R321-MAX(0,Z321-SUM(Q321:Q321)))</f>
        <v/>
      </c>
      <c r="AF321" s="4">
        <f>MAX(0,S321-MAX(0,Z321-SUM(Q321:R321)))</f>
        <v/>
      </c>
      <c r="AG321" s="4">
        <f>MAX(0,T321-MAX(0,Z321-SUM(Q321:S321)))</f>
        <v/>
      </c>
      <c r="AH321" s="4">
        <f>MAX(0,U321-MAX(0,Z321-SUM(Q321:T321)))</f>
        <v/>
      </c>
      <c r="AI321" s="4">
        <f>MAX(0,V321-MAX(0,Z321-SUM(Q321:U321)))</f>
        <v/>
      </c>
      <c r="AJ321" s="4">
        <f>MAX(0,W321-MAX(0,Z321-SUM(Q321:V321)))</f>
        <v/>
      </c>
      <c r="AK321" s="4">
        <f>MAX(0,X321-MAX(0,Z321-SUM(Q321:W321)))</f>
        <v/>
      </c>
      <c r="AL321" s="4">
        <f>MAX(0,Y321-MAX(0,Z321-SUM(Q321:X321)))</f>
        <v/>
      </c>
    </row>
    <row r="322">
      <c r="A322" s="4" t="inlineStr">
        <is>
          <t>HASLS22260902406</t>
        </is>
      </c>
      <c r="B322" s="4" t="inlineStr">
        <is>
          <t>SWSR</t>
        </is>
      </c>
      <c r="C322" s="4" t="inlineStr">
        <is>
          <t>2611N</t>
        </is>
      </c>
      <c r="D322" s="4" t="inlineStr">
        <is>
          <t>202610110900</t>
        </is>
      </c>
      <c r="E322" s="4" t="inlineStr"/>
      <c r="F322" s="4" t="inlineStr">
        <is>
          <t>THBKK</t>
        </is>
      </c>
      <c r="G322" s="4" t="inlineStr">
        <is>
          <t>KRPUS</t>
        </is>
      </c>
      <c r="H322" s="4" t="inlineStr">
        <is>
          <t xml:space="preserve">R40Hx1 </t>
        </is>
      </c>
      <c r="I322" s="4" t="inlineStr">
        <is>
          <t>BKK27</t>
        </is>
      </c>
      <c r="J322" s="4" t="inlineStr">
        <is>
          <t>B.C. DEPOT CO.,LTD. ( Bang-Na KM.18)</t>
        </is>
      </c>
      <c r="K322" s="4" t="inlineStr">
        <is>
          <t>20261006</t>
        </is>
      </c>
      <c r="L322" s="4" t="inlineStr">
        <is>
          <t>SEA EXCELLENT LOGISTICS CO., LTD.</t>
        </is>
      </c>
      <c r="M322" s="4" t="inlineStr">
        <is>
          <t>INTER SIAM GROUP CO.,LTD.</t>
        </is>
      </c>
      <c r="N322" s="4" t="inlineStr">
        <is>
          <t>FROZEN SEAFOOD</t>
        </is>
      </c>
      <c r="O322" s="4" t="inlineStr">
        <is>
          <t>RF45REx1 (Temp -20.0℃ / Vent Close) 
REQ GOOD &amp; CLEAN CONTAINER</t>
        </is>
      </c>
      <c r="P322" s="4" t="inlineStr">
        <is>
          <t xml:space="preserve">Pickup : 2026-10-06, Return : 2026-10-08 (Temp -20.0 / Vent Close)
 CLS TIME 09/10 @15.00 </t>
        </is>
      </c>
      <c r="Q322" s="4" t="n">
        <v>0</v>
      </c>
      <c r="R322" s="4" t="n">
        <v>0</v>
      </c>
      <c r="S322" s="4" t="n">
        <v>0</v>
      </c>
      <c r="T322" s="4" t="n">
        <v>0</v>
      </c>
      <c r="U322" s="4" t="n">
        <v>1</v>
      </c>
      <c r="V322" s="4" t="n">
        <v>0</v>
      </c>
      <c r="W322" s="4" t="n">
        <v>0</v>
      </c>
      <c r="X322" s="4" t="n">
        <v>0</v>
      </c>
      <c r="Y322" s="4" t="n">
        <v>0</v>
      </c>
      <c r="Z322" s="4" t="n">
        <v>0</v>
      </c>
      <c r="AA322" s="4" t="n">
        <v>0</v>
      </c>
      <c r="AB322" s="4">
        <f>SUM(Q322:Y322)-Z322</f>
        <v/>
      </c>
      <c r="AC322" s="4">
        <f>IF(I322="","",IF(OR(LEFT(I322,3)="BKK",I322="LCH55"),"BKK",IF(LEFT(I322,3)="LCH","LCH","OTHER")))</f>
        <v/>
      </c>
      <c r="AD322" s="4">
        <f>MAX(0,Q322-MAX(0,Z322))</f>
        <v/>
      </c>
      <c r="AE322" s="4">
        <f>MAX(0,R322-MAX(0,Z322-SUM(Q322:Q322)))</f>
        <v/>
      </c>
      <c r="AF322" s="4">
        <f>MAX(0,S322-MAX(0,Z322-SUM(Q322:R322)))</f>
        <v/>
      </c>
      <c r="AG322" s="4">
        <f>MAX(0,T322-MAX(0,Z322-SUM(Q322:S322)))</f>
        <v/>
      </c>
      <c r="AH322" s="4">
        <f>MAX(0,U322-MAX(0,Z322-SUM(Q322:T322)))</f>
        <v/>
      </c>
      <c r="AI322" s="4">
        <f>MAX(0,V322-MAX(0,Z322-SUM(Q322:U322)))</f>
        <v/>
      </c>
      <c r="AJ322" s="4">
        <f>MAX(0,W322-MAX(0,Z322-SUM(Q322:V322)))</f>
        <v/>
      </c>
      <c r="AK322" s="4">
        <f>MAX(0,X322-MAX(0,Z322-SUM(Q322:W322)))</f>
        <v/>
      </c>
      <c r="AL322" s="4">
        <f>MAX(0,Y322-MAX(0,Z322-SUM(Q322:X322)))</f>
        <v/>
      </c>
    </row>
    <row r="323">
      <c r="A323" s="4" t="inlineStr">
        <is>
          <t>HASLS22260902408</t>
        </is>
      </c>
      <c r="B323" s="4" t="inlineStr">
        <is>
          <t>SWIC</t>
        </is>
      </c>
      <c r="C323" s="4" t="inlineStr">
        <is>
          <t>2611N</t>
        </is>
      </c>
      <c r="D323" s="4" t="inlineStr">
        <is>
          <t>202610130700</t>
        </is>
      </c>
      <c r="E323" s="4" t="inlineStr"/>
      <c r="F323" s="4" t="inlineStr">
        <is>
          <t>THBKK</t>
        </is>
      </c>
      <c r="G323" s="4" t="inlineStr">
        <is>
          <t>KRPUS</t>
        </is>
      </c>
      <c r="H323" s="4" t="inlineStr">
        <is>
          <t xml:space="preserve">R40Hx1 </t>
        </is>
      </c>
      <c r="I323" s="4" t="inlineStr">
        <is>
          <t>BKK27</t>
        </is>
      </c>
      <c r="J323" s="4" t="inlineStr">
        <is>
          <t>B.C. DEPOT CO.,LTD. ( Bang-Na KM.18)</t>
        </is>
      </c>
      <c r="K323" s="4" t="inlineStr">
        <is>
          <t>20261008</t>
        </is>
      </c>
      <c r="L323" s="4" t="inlineStr">
        <is>
          <t>SEA EXCELLENT LOGISTICS CO., LTD.</t>
        </is>
      </c>
      <c r="M323" s="4" t="inlineStr">
        <is>
          <t>BEST DEAL SEAFOOD PRODUCT CO.,LTD</t>
        </is>
      </c>
      <c r="N323" s="4" t="inlineStr">
        <is>
          <t xml:space="preserve"> FROZEN SEAFOOD</t>
        </is>
      </c>
      <c r="O323" s="4" t="inlineStr">
        <is>
          <t>RF45REx1 (Temp -20.0℃ / Vent Close) 
REQ GOOD &amp; CLEAN CONTAINER</t>
        </is>
      </c>
      <c r="P323" s="4" t="inlineStr">
        <is>
          <t xml:space="preserve">Pickup : 2026-10-08, Return : 2026-10-10 (Temp -20.0 / Vent Close)
 CLS TIME 11/10 @14.00 </t>
        </is>
      </c>
      <c r="Q323" s="4" t="n">
        <v>0</v>
      </c>
      <c r="R323" s="4" t="n">
        <v>0</v>
      </c>
      <c r="S323" s="4" t="n">
        <v>0</v>
      </c>
      <c r="T323" s="4" t="n">
        <v>0</v>
      </c>
      <c r="U323" s="4" t="n">
        <v>1</v>
      </c>
      <c r="V323" s="4" t="n">
        <v>0</v>
      </c>
      <c r="W323" s="4" t="n">
        <v>0</v>
      </c>
      <c r="X323" s="4" t="n">
        <v>0</v>
      </c>
      <c r="Y323" s="4" t="n">
        <v>0</v>
      </c>
      <c r="Z323" s="4" t="n">
        <v>0</v>
      </c>
      <c r="AA323" s="4" t="n">
        <v>0</v>
      </c>
      <c r="AB323" s="4">
        <f>SUM(Q323:Y323)-Z323</f>
        <v/>
      </c>
      <c r="AC323" s="4">
        <f>IF(I323="","",IF(OR(LEFT(I323,3)="BKK",I323="LCH55"),"BKK",IF(LEFT(I323,3)="LCH","LCH","OTHER")))</f>
        <v/>
      </c>
      <c r="AD323" s="4">
        <f>MAX(0,Q323-MAX(0,Z323))</f>
        <v/>
      </c>
      <c r="AE323" s="4">
        <f>MAX(0,R323-MAX(0,Z323-SUM(Q323:Q323)))</f>
        <v/>
      </c>
      <c r="AF323" s="4">
        <f>MAX(0,S323-MAX(0,Z323-SUM(Q323:R323)))</f>
        <v/>
      </c>
      <c r="AG323" s="4">
        <f>MAX(0,T323-MAX(0,Z323-SUM(Q323:S323)))</f>
        <v/>
      </c>
      <c r="AH323" s="4">
        <f>MAX(0,U323-MAX(0,Z323-SUM(Q323:T323)))</f>
        <v/>
      </c>
      <c r="AI323" s="4">
        <f>MAX(0,V323-MAX(0,Z323-SUM(Q323:U323)))</f>
        <v/>
      </c>
      <c r="AJ323" s="4">
        <f>MAX(0,W323-MAX(0,Z323-SUM(Q323:V323)))</f>
        <v/>
      </c>
      <c r="AK323" s="4">
        <f>MAX(0,X323-MAX(0,Z323-SUM(Q323:W323)))</f>
        <v/>
      </c>
      <c r="AL323" s="4">
        <f>MAX(0,Y323-MAX(0,Z323-SUM(Q323:X323)))</f>
        <v/>
      </c>
    </row>
    <row r="324">
      <c r="A324" s="4" t="inlineStr">
        <is>
          <t>HASLS22260902417</t>
        </is>
      </c>
      <c r="B324" s="4" t="inlineStr">
        <is>
          <t>SWMM</t>
        </is>
      </c>
      <c r="C324" s="4" t="inlineStr">
        <is>
          <t>2610N</t>
        </is>
      </c>
      <c r="D324" s="4" t="inlineStr">
        <is>
          <t>202610210400</t>
        </is>
      </c>
      <c r="E324" s="4" t="inlineStr"/>
      <c r="F324" s="4" t="inlineStr">
        <is>
          <t>THBKK</t>
        </is>
      </c>
      <c r="G324" s="4" t="inlineStr">
        <is>
          <t>VNSGN</t>
        </is>
      </c>
      <c r="H324" s="4" t="inlineStr">
        <is>
          <t xml:space="preserve">20'x2 </t>
        </is>
      </c>
      <c r="I324" s="4" t="inlineStr">
        <is>
          <t>BKK27</t>
        </is>
      </c>
      <c r="J324" s="4" t="inlineStr">
        <is>
          <t>B.C. DEPOT CO.,LTD. ( Bang-Na KM.18)</t>
        </is>
      </c>
      <c r="K324" s="4" t="inlineStr">
        <is>
          <t>20261012</t>
        </is>
      </c>
      <c r="L324" s="4" t="inlineStr">
        <is>
          <t>CLEARANCE SUPPORT CO., LTD.</t>
        </is>
      </c>
      <c r="M324" s="4" t="inlineStr">
        <is>
          <t>GTC-PLUS CO., LTD.</t>
        </is>
      </c>
      <c r="N324" s="4" t="inlineStr">
        <is>
          <t>GLUFOSINATE-AMMONIUM 95% TECH</t>
        </is>
      </c>
      <c r="O324" s="4" t="inlineStr">
        <is>
          <t>GOOD AND CLEAN CONTAINER</t>
        </is>
      </c>
      <c r="P324" s="4" t="inlineStr">
        <is>
          <t>Pickup : 2026-10-12, Return : 2026-10-15</t>
        </is>
      </c>
      <c r="Q324" s="4" t="n">
        <v>2</v>
      </c>
      <c r="R324" s="4" t="n">
        <v>0</v>
      </c>
      <c r="S324" s="4" t="n">
        <v>0</v>
      </c>
      <c r="T324" s="4" t="n">
        <v>0</v>
      </c>
      <c r="U324" s="4" t="n">
        <v>0</v>
      </c>
      <c r="V324" s="4" t="n">
        <v>0</v>
      </c>
      <c r="W324" s="4" t="n">
        <v>0</v>
      </c>
      <c r="X324" s="4" t="n">
        <v>0</v>
      </c>
      <c r="Y324" s="4" t="n">
        <v>0</v>
      </c>
      <c r="Z324" s="4" t="n">
        <v>0</v>
      </c>
      <c r="AA324" s="4" t="n">
        <v>0</v>
      </c>
      <c r="AB324" s="4">
        <f>SUM(Q324:Y324)-Z324</f>
        <v/>
      </c>
      <c r="AC324" s="4">
        <f>IF(I324="","",IF(OR(LEFT(I324,3)="BKK",I324="LCH55"),"BKK",IF(LEFT(I324,3)="LCH","LCH","OTHER")))</f>
        <v/>
      </c>
      <c r="AD324" s="4">
        <f>MAX(0,Q324-MAX(0,Z324))</f>
        <v/>
      </c>
      <c r="AE324" s="4">
        <f>MAX(0,R324-MAX(0,Z324-SUM(Q324:Q324)))</f>
        <v/>
      </c>
      <c r="AF324" s="4">
        <f>MAX(0,S324-MAX(0,Z324-SUM(Q324:R324)))</f>
        <v/>
      </c>
      <c r="AG324" s="4">
        <f>MAX(0,T324-MAX(0,Z324-SUM(Q324:S324)))</f>
        <v/>
      </c>
      <c r="AH324" s="4">
        <f>MAX(0,U324-MAX(0,Z324-SUM(Q324:T324)))</f>
        <v/>
      </c>
      <c r="AI324" s="4">
        <f>MAX(0,V324-MAX(0,Z324-SUM(Q324:U324)))</f>
        <v/>
      </c>
      <c r="AJ324" s="4">
        <f>MAX(0,W324-MAX(0,Z324-SUM(Q324:V324)))</f>
        <v/>
      </c>
      <c r="AK324" s="4">
        <f>MAX(0,X324-MAX(0,Z324-SUM(Q324:W324)))</f>
        <v/>
      </c>
      <c r="AL324" s="4">
        <f>MAX(0,Y324-MAX(0,Z324-SUM(Q324:X324)))</f>
        <v/>
      </c>
    </row>
    <row r="325">
      <c r="A325" s="4" t="inlineStr">
        <is>
          <t>HASLS22260902418</t>
        </is>
      </c>
      <c r="B325" s="4" t="inlineStr">
        <is>
          <t>SWBT</t>
        </is>
      </c>
      <c r="C325" s="4" t="inlineStr">
        <is>
          <t>2616N</t>
        </is>
      </c>
      <c r="D325" s="4" t="inlineStr">
        <is>
          <t>202610130600</t>
        </is>
      </c>
      <c r="E325" s="4" t="inlineStr"/>
      <c r="F325" s="4" t="inlineStr">
        <is>
          <t>THBKK</t>
        </is>
      </c>
      <c r="G325" s="4" t="inlineStr">
        <is>
          <t>VNSGN</t>
        </is>
      </c>
      <c r="H325" s="4" t="inlineStr">
        <is>
          <t xml:space="preserve">40Hx3 </t>
        </is>
      </c>
      <c r="I325" s="4" t="inlineStr">
        <is>
          <t>BKK27</t>
        </is>
      </c>
      <c r="J325" s="4" t="inlineStr">
        <is>
          <t>B.C. DEPOT CO.,LTD. ( Bang-Na KM.18)</t>
        </is>
      </c>
      <c r="K325" s="4" t="inlineStr">
        <is>
          <t>20261008</t>
        </is>
      </c>
      <c r="L325" s="4" t="inlineStr">
        <is>
          <t>BEE LOGISTICS (THAILAND) CO., LTD.</t>
        </is>
      </c>
      <c r="M325" s="4" t="inlineStr">
        <is>
          <t>DANONE SPECIALIZED NUTRITION (THAILAND) CO., LTD.</t>
        </is>
      </c>
      <c r="N325" s="4" t="inlineStr">
        <is>
          <t>APTAMIL KID UHT</t>
        </is>
      </c>
      <c r="O325" s="4" t="inlineStr">
        <is>
          <t>GOOD AND CLEAN CONTAINER</t>
        </is>
      </c>
      <c r="P325" s="4" t="inlineStr">
        <is>
          <t xml:space="preserve">Pickup : 2026-10-08, Return : 2026-10-10 
 </t>
        </is>
      </c>
      <c r="Q325" s="4" t="n">
        <v>0</v>
      </c>
      <c r="R325" s="4" t="n">
        <v>0</v>
      </c>
      <c r="S325" s="4" t="n">
        <v>3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>
        <f>SUM(Q325:Y325)-Z325</f>
        <v/>
      </c>
      <c r="AC325" s="4">
        <f>IF(I325="","",IF(OR(LEFT(I325,3)="BKK",I325="LCH55"),"BKK",IF(LEFT(I325,3)="LCH","LCH","OTHER")))</f>
        <v/>
      </c>
      <c r="AD325" s="4">
        <f>MAX(0,Q325-MAX(0,Z325))</f>
        <v/>
      </c>
      <c r="AE325" s="4">
        <f>MAX(0,R325-MAX(0,Z325-SUM(Q325:Q325)))</f>
        <v/>
      </c>
      <c r="AF325" s="4">
        <f>MAX(0,S325-MAX(0,Z325-SUM(Q325:R325)))</f>
        <v/>
      </c>
      <c r="AG325" s="4">
        <f>MAX(0,T325-MAX(0,Z325-SUM(Q325:S325)))</f>
        <v/>
      </c>
      <c r="AH325" s="4">
        <f>MAX(0,U325-MAX(0,Z325-SUM(Q325:T325)))</f>
        <v/>
      </c>
      <c r="AI325" s="4">
        <f>MAX(0,V325-MAX(0,Z325-SUM(Q325:U325)))</f>
        <v/>
      </c>
      <c r="AJ325" s="4">
        <f>MAX(0,W325-MAX(0,Z325-SUM(Q325:V325)))</f>
        <v/>
      </c>
      <c r="AK325" s="4">
        <f>MAX(0,X325-MAX(0,Z325-SUM(Q325:W325)))</f>
        <v/>
      </c>
      <c r="AL325" s="4">
        <f>MAX(0,Y325-MAX(0,Z325-SUM(Q325:X325)))</f>
        <v/>
      </c>
    </row>
    <row r="326">
      <c r="A326" s="4" t="inlineStr">
        <is>
          <t>HASLS22260902422</t>
        </is>
      </c>
      <c r="B326" s="4" t="inlineStr">
        <is>
          <t>KMGY</t>
        </is>
      </c>
      <c r="C326" s="4" t="inlineStr">
        <is>
          <t>2611N</t>
        </is>
      </c>
      <c r="D326" s="4" t="inlineStr">
        <is>
          <t>202610201000</t>
        </is>
      </c>
      <c r="E326" s="4" t="inlineStr"/>
      <c r="F326" s="4" t="inlineStr">
        <is>
          <t>THBKK</t>
        </is>
      </c>
      <c r="G326" s="4" t="inlineStr">
        <is>
          <t>CNXMN</t>
        </is>
      </c>
      <c r="H326" s="4" t="inlineStr">
        <is>
          <t xml:space="preserve">40Hx3 </t>
        </is>
      </c>
      <c r="I326" s="4" t="inlineStr">
        <is>
          <t>BKK27</t>
        </is>
      </c>
      <c r="J326" s="4" t="inlineStr">
        <is>
          <t>B.C. DEPOT CO.,LTD. ( Bang-Na KM.18)</t>
        </is>
      </c>
      <c r="K326" s="4" t="inlineStr">
        <is>
          <t>20261016</t>
        </is>
      </c>
      <c r="L326" s="4" t="inlineStr">
        <is>
          <t>ACCORD PILOT LOGISTICS (THAILAND) CO., LTD.</t>
        </is>
      </c>
      <c r="M326" s="4" t="inlineStr">
        <is>
          <t>LONGTEX RUBBER INDUSTRY CO., LTD.</t>
        </is>
      </c>
      <c r="N326" s="4" t="inlineStr">
        <is>
          <t>RUBBER THREAD</t>
        </is>
      </c>
      <c r="O326" s="4" t="inlineStr">
        <is>
          <t>GOOD AND CLEAN CONTAINER</t>
        </is>
      </c>
      <c r="P326" s="4" t="inlineStr">
        <is>
          <t xml:space="preserve">Pickup : 2026-10-16, Return : 2026-10-16 </t>
        </is>
      </c>
      <c r="Q326" s="4" t="n">
        <v>0</v>
      </c>
      <c r="R326" s="4" t="n">
        <v>0</v>
      </c>
      <c r="S326" s="4" t="n">
        <v>3</v>
      </c>
      <c r="T326" s="4" t="n">
        <v>0</v>
      </c>
      <c r="U326" s="4" t="n">
        <v>0</v>
      </c>
      <c r="V326" s="4" t="n">
        <v>0</v>
      </c>
      <c r="W326" s="4" t="n">
        <v>0</v>
      </c>
      <c r="X326" s="4" t="n">
        <v>0</v>
      </c>
      <c r="Y326" s="4" t="n">
        <v>0</v>
      </c>
      <c r="Z326" s="4" t="n">
        <v>0</v>
      </c>
      <c r="AA326" s="4" t="n">
        <v>0</v>
      </c>
      <c r="AB326" s="4">
        <f>SUM(Q326:Y326)-Z326</f>
        <v/>
      </c>
      <c r="AC326" s="4">
        <f>IF(I326="","",IF(OR(LEFT(I326,3)="BKK",I326="LCH55"),"BKK",IF(LEFT(I326,3)="LCH","LCH","OTHER")))</f>
        <v/>
      </c>
      <c r="AD326" s="4">
        <f>MAX(0,Q326-MAX(0,Z326))</f>
        <v/>
      </c>
      <c r="AE326" s="4">
        <f>MAX(0,R326-MAX(0,Z326-SUM(Q326:Q326)))</f>
        <v/>
      </c>
      <c r="AF326" s="4">
        <f>MAX(0,S326-MAX(0,Z326-SUM(Q326:R326)))</f>
        <v/>
      </c>
      <c r="AG326" s="4">
        <f>MAX(0,T326-MAX(0,Z326-SUM(Q326:S326)))</f>
        <v/>
      </c>
      <c r="AH326" s="4">
        <f>MAX(0,U326-MAX(0,Z326-SUM(Q326:T326)))</f>
        <v/>
      </c>
      <c r="AI326" s="4">
        <f>MAX(0,V326-MAX(0,Z326-SUM(Q326:U326)))</f>
        <v/>
      </c>
      <c r="AJ326" s="4">
        <f>MAX(0,W326-MAX(0,Z326-SUM(Q326:V326)))</f>
        <v/>
      </c>
      <c r="AK326" s="4">
        <f>MAX(0,X326-MAX(0,Z326-SUM(Q326:W326)))</f>
        <v/>
      </c>
      <c r="AL326" s="4">
        <f>MAX(0,Y326-MAX(0,Z326-SUM(Q326:X326)))</f>
        <v/>
      </c>
    </row>
    <row r="327">
      <c r="A327" s="4" t="inlineStr">
        <is>
          <t>HASLS22260902423</t>
        </is>
      </c>
      <c r="B327" s="4" t="inlineStr">
        <is>
          <t>SKOR</t>
        </is>
      </c>
      <c r="C327" s="4" t="inlineStr">
        <is>
          <t>2612N</t>
        </is>
      </c>
      <c r="D327" s="4" t="inlineStr">
        <is>
          <t>202610181700</t>
        </is>
      </c>
      <c r="E327" s="4" t="inlineStr"/>
      <c r="F327" s="4" t="inlineStr">
        <is>
          <t>THBKK</t>
        </is>
      </c>
      <c r="G327" s="4" t="inlineStr">
        <is>
          <t>CNXMN</t>
        </is>
      </c>
      <c r="H327" s="4" t="inlineStr">
        <is>
          <t xml:space="preserve">40Hx3 </t>
        </is>
      </c>
      <c r="I327" s="4" t="inlineStr">
        <is>
          <t>BKK27</t>
        </is>
      </c>
      <c r="J327" s="4" t="inlineStr">
        <is>
          <t>B.C. DEPOT CO.,LTD. ( Bang-Na KM.18)</t>
        </is>
      </c>
      <c r="K327" s="4" t="inlineStr">
        <is>
          <t>20261015</t>
        </is>
      </c>
      <c r="L327" s="4" t="inlineStr">
        <is>
          <t>ACCORD PILOT LOGISTICS (THAILAND) CO., LTD.</t>
        </is>
      </c>
      <c r="M327" s="4" t="inlineStr">
        <is>
          <t>LONGTEX RUBBER INDUSTRY CO., LTD.</t>
        </is>
      </c>
      <c r="N327" s="4" t="inlineStr">
        <is>
          <t>RUBBER THREAD</t>
        </is>
      </c>
      <c r="O327" s="4" t="inlineStr">
        <is>
          <t>GOOD AND CLEAN CONTAINER</t>
        </is>
      </c>
      <c r="P327" s="4" t="inlineStr">
        <is>
          <t xml:space="preserve">Pickup : 2026-10-15, Return : 2026-10-15 </t>
        </is>
      </c>
      <c r="Q327" s="4" t="n">
        <v>0</v>
      </c>
      <c r="R327" s="4" t="n">
        <v>0</v>
      </c>
      <c r="S327" s="4" t="n">
        <v>3</v>
      </c>
      <c r="T327" s="4" t="n">
        <v>0</v>
      </c>
      <c r="U327" s="4" t="n">
        <v>0</v>
      </c>
      <c r="V327" s="4" t="n">
        <v>0</v>
      </c>
      <c r="W327" s="4" t="n">
        <v>0</v>
      </c>
      <c r="X327" s="4" t="n">
        <v>0</v>
      </c>
      <c r="Y327" s="4" t="n">
        <v>0</v>
      </c>
      <c r="Z327" s="4" t="n">
        <v>0</v>
      </c>
      <c r="AA327" s="4" t="n">
        <v>0</v>
      </c>
      <c r="AB327" s="4">
        <f>SUM(Q327:Y327)-Z327</f>
        <v/>
      </c>
      <c r="AC327" s="4">
        <f>IF(I327="","",IF(OR(LEFT(I327,3)="BKK",I327="LCH55"),"BKK",IF(LEFT(I327,3)="LCH","LCH","OTHER")))</f>
        <v/>
      </c>
      <c r="AD327" s="4">
        <f>MAX(0,Q327-MAX(0,Z327))</f>
        <v/>
      </c>
      <c r="AE327" s="4">
        <f>MAX(0,R327-MAX(0,Z327-SUM(Q327:Q327)))</f>
        <v/>
      </c>
      <c r="AF327" s="4">
        <f>MAX(0,S327-MAX(0,Z327-SUM(Q327:R327)))</f>
        <v/>
      </c>
      <c r="AG327" s="4">
        <f>MAX(0,T327-MAX(0,Z327-SUM(Q327:S327)))</f>
        <v/>
      </c>
      <c r="AH327" s="4">
        <f>MAX(0,U327-MAX(0,Z327-SUM(Q327:T327)))</f>
        <v/>
      </c>
      <c r="AI327" s="4">
        <f>MAX(0,V327-MAX(0,Z327-SUM(Q327:U327)))</f>
        <v/>
      </c>
      <c r="AJ327" s="4">
        <f>MAX(0,W327-MAX(0,Z327-SUM(Q327:V327)))</f>
        <v/>
      </c>
      <c r="AK327" s="4">
        <f>MAX(0,X327-MAX(0,Z327-SUM(Q327:W327)))</f>
        <v/>
      </c>
      <c r="AL327" s="4">
        <f>MAX(0,Y327-MAX(0,Z327-SUM(Q327:X327)))</f>
        <v/>
      </c>
    </row>
    <row r="328">
      <c r="A328" s="4" t="inlineStr">
        <is>
          <t>HASLS22260902429</t>
        </is>
      </c>
      <c r="B328" s="4" t="inlineStr">
        <is>
          <t>SWVG</t>
        </is>
      </c>
      <c r="C328" s="4" t="inlineStr">
        <is>
          <t>2612N</t>
        </is>
      </c>
      <c r="D328" s="4" t="inlineStr">
        <is>
          <t>202610070330</t>
        </is>
      </c>
      <c r="E328" s="4" t="inlineStr">
        <is>
          <t>THSRP</t>
        </is>
      </c>
      <c r="F328" s="4" t="inlineStr">
        <is>
          <t>THLCH</t>
        </is>
      </c>
      <c r="G328" s="4" t="inlineStr">
        <is>
          <t>CNSHA</t>
        </is>
      </c>
      <c r="H328" s="4" t="inlineStr">
        <is>
          <t xml:space="preserve">40Hx1 </t>
        </is>
      </c>
      <c r="I328" s="4" t="inlineStr">
        <is>
          <t>BKK27</t>
        </is>
      </c>
      <c r="J328" s="4" t="inlineStr">
        <is>
          <t>B.C. DEPOT CO.,LTD. ( Bang-Na KM.18)</t>
        </is>
      </c>
      <c r="K328" s="4" t="inlineStr">
        <is>
          <t>20260930</t>
        </is>
      </c>
      <c r="L328" s="4" t="inlineStr">
        <is>
          <t>DIMERCO EXPRESS (THAILAND) CO., LTD.</t>
        </is>
      </c>
      <c r="M328" s="4" t="inlineStr">
        <is>
          <t>YAMAHA ROBOTICS MANUFACTURING ASIA CO.,LTD</t>
        </is>
      </c>
      <c r="N328" s="4" t="inlineStr">
        <is>
          <t>WIRE BONDER MODEL</t>
        </is>
      </c>
      <c r="O328" s="4" t="inlineStr">
        <is>
          <t>GOOD AND CLEAN CONTAINER</t>
        </is>
      </c>
      <c r="P328" s="4" t="inlineStr">
        <is>
          <t>Pickup : 2026-09-30, Return SRP : 2026-10-01 [PAPERLESS CODE 2829]
CLS TIME 05/10/26 @09.00 (1ST RTN DD: 02/10/26 WO/RENT)</t>
        </is>
      </c>
      <c r="Q328" s="4" t="n">
        <v>0</v>
      </c>
      <c r="R328" s="4" t="n">
        <v>0</v>
      </c>
      <c r="S328" s="4" t="n">
        <v>1</v>
      </c>
      <c r="T328" s="4" t="n">
        <v>0</v>
      </c>
      <c r="U328" s="4" t="n">
        <v>0</v>
      </c>
      <c r="V328" s="4" t="n">
        <v>0</v>
      </c>
      <c r="W328" s="4" t="n">
        <v>0</v>
      </c>
      <c r="X328" s="4" t="n">
        <v>0</v>
      </c>
      <c r="Y328" s="4" t="n">
        <v>0</v>
      </c>
      <c r="Z328" s="4" t="n">
        <v>0</v>
      </c>
      <c r="AA328" s="4" t="n">
        <v>0</v>
      </c>
      <c r="AB328" s="4">
        <f>SUM(Q328:Y328)-Z328</f>
        <v/>
      </c>
      <c r="AC328" s="4">
        <f>IF(I328="","",IF(OR(LEFT(I328,3)="BKK",I328="LCH55"),"BKK",IF(LEFT(I328,3)="LCH","LCH","OTHER")))</f>
        <v/>
      </c>
      <c r="AD328" s="4">
        <f>MAX(0,Q328-MAX(0,Z328))</f>
        <v/>
      </c>
      <c r="AE328" s="4">
        <f>MAX(0,R328-MAX(0,Z328-SUM(Q328:Q328)))</f>
        <v/>
      </c>
      <c r="AF328" s="4">
        <f>MAX(0,S328-MAX(0,Z328-SUM(Q328:R328)))</f>
        <v/>
      </c>
      <c r="AG328" s="4">
        <f>MAX(0,T328-MAX(0,Z328-SUM(Q328:S328)))</f>
        <v/>
      </c>
      <c r="AH328" s="4">
        <f>MAX(0,U328-MAX(0,Z328-SUM(Q328:T328)))</f>
        <v/>
      </c>
      <c r="AI328" s="4">
        <f>MAX(0,V328-MAX(0,Z328-SUM(Q328:U328)))</f>
        <v/>
      </c>
      <c r="AJ328" s="4">
        <f>MAX(0,W328-MAX(0,Z328-SUM(Q328:V328)))</f>
        <v/>
      </c>
      <c r="AK328" s="4">
        <f>MAX(0,X328-MAX(0,Z328-SUM(Q328:W328)))</f>
        <v/>
      </c>
      <c r="AL328" s="4">
        <f>MAX(0,Y328-MAX(0,Z328-SUM(Q328:X328)))</f>
        <v/>
      </c>
    </row>
    <row r="329">
      <c r="A329" s="4" t="inlineStr">
        <is>
          <t>HASLS22260902436</t>
        </is>
      </c>
      <c r="B329" s="4" t="inlineStr">
        <is>
          <t>KUS</t>
        </is>
      </c>
      <c r="C329" s="4" t="inlineStr">
        <is>
          <t>2616N</t>
        </is>
      </c>
      <c r="D329" s="4" t="inlineStr">
        <is>
          <t>202610141100</t>
        </is>
      </c>
      <c r="E329" s="4" t="inlineStr"/>
      <c r="F329" s="4" t="inlineStr">
        <is>
          <t>THBKK</t>
        </is>
      </c>
      <c r="G329" s="4" t="inlineStr">
        <is>
          <t>VNSGN</t>
        </is>
      </c>
      <c r="H329" s="4" t="inlineStr">
        <is>
          <t xml:space="preserve">20'x1 </t>
        </is>
      </c>
      <c r="I329" s="4" t="inlineStr">
        <is>
          <t>BKK27</t>
        </is>
      </c>
      <c r="J329" s="4" t="inlineStr">
        <is>
          <t>B.C. DEPOT CO.,LTD. ( Bang-Na KM.18)</t>
        </is>
      </c>
      <c r="K329" s="4" t="inlineStr">
        <is>
          <t>20261010</t>
        </is>
      </c>
      <c r="L329" s="4" t="inlineStr">
        <is>
          <t>ACCORD PILOT LOGISTICS (THAILAND) CO., LTD.</t>
        </is>
      </c>
      <c r="M329" s="4" t="inlineStr">
        <is>
          <t>Q PLUS CONCEPT CO.,LTD.</t>
        </is>
      </c>
      <c r="N329" s="4" t="inlineStr">
        <is>
          <t>FOOD ADDITIVE</t>
        </is>
      </c>
      <c r="O329" s="4" t="inlineStr">
        <is>
          <t>''REQUEST CNTRN CLEAN AND NO HAVE LIGHT , NO HAVE SMELL '' THE CARGO IS '' FOOD '</t>
        </is>
      </c>
      <c r="P329" s="4" t="inlineStr">
        <is>
          <t>Pickup : 2026-10-10, Return : 2026-10-12</t>
        </is>
      </c>
      <c r="Q329" s="4" t="n">
        <v>1</v>
      </c>
      <c r="R329" s="4" t="n">
        <v>0</v>
      </c>
      <c r="S329" s="4" t="n">
        <v>0</v>
      </c>
      <c r="T329" s="4" t="n">
        <v>0</v>
      </c>
      <c r="U329" s="4" t="n">
        <v>0</v>
      </c>
      <c r="V329" s="4" t="n">
        <v>0</v>
      </c>
      <c r="W329" s="4" t="n">
        <v>0</v>
      </c>
      <c r="X329" s="4" t="n">
        <v>0</v>
      </c>
      <c r="Y329" s="4" t="n">
        <v>0</v>
      </c>
      <c r="Z329" s="4" t="n">
        <v>0</v>
      </c>
      <c r="AA329" s="4" t="n">
        <v>0</v>
      </c>
      <c r="AB329" s="4">
        <f>SUM(Q329:Y329)-Z329</f>
        <v/>
      </c>
      <c r="AC329" s="4">
        <f>IF(I329="","",IF(OR(LEFT(I329,3)="BKK",I329="LCH55"),"BKK",IF(LEFT(I329,3)="LCH","LCH","OTHER")))</f>
        <v/>
      </c>
      <c r="AD329" s="4">
        <f>MAX(0,Q329-MAX(0,Z329))</f>
        <v/>
      </c>
      <c r="AE329" s="4">
        <f>MAX(0,R329-MAX(0,Z329-SUM(Q329:Q329)))</f>
        <v/>
      </c>
      <c r="AF329" s="4">
        <f>MAX(0,S329-MAX(0,Z329-SUM(Q329:R329)))</f>
        <v/>
      </c>
      <c r="AG329" s="4">
        <f>MAX(0,T329-MAX(0,Z329-SUM(Q329:S329)))</f>
        <v/>
      </c>
      <c r="AH329" s="4">
        <f>MAX(0,U329-MAX(0,Z329-SUM(Q329:T329)))</f>
        <v/>
      </c>
      <c r="AI329" s="4">
        <f>MAX(0,V329-MAX(0,Z329-SUM(Q329:U329)))</f>
        <v/>
      </c>
      <c r="AJ329" s="4">
        <f>MAX(0,W329-MAX(0,Z329-SUM(Q329:V329)))</f>
        <v/>
      </c>
      <c r="AK329" s="4">
        <f>MAX(0,X329-MAX(0,Z329-SUM(Q329:W329)))</f>
        <v/>
      </c>
      <c r="AL329" s="4">
        <f>MAX(0,Y329-MAX(0,Z329-SUM(Q329:X329)))</f>
        <v/>
      </c>
    </row>
    <row r="330">
      <c r="A330" s="4" t="inlineStr">
        <is>
          <t>HASLS22260902439</t>
        </is>
      </c>
      <c r="B330" s="4" t="inlineStr">
        <is>
          <t>SWAL</t>
        </is>
      </c>
      <c r="C330" s="4" t="inlineStr">
        <is>
          <t>2609N</t>
        </is>
      </c>
      <c r="D330" s="4" t="inlineStr">
        <is>
          <t>202610191500</t>
        </is>
      </c>
      <c r="E330" s="4" t="inlineStr"/>
      <c r="F330" s="4" t="inlineStr">
        <is>
          <t>THBKK</t>
        </is>
      </c>
      <c r="G330" s="4" t="inlineStr">
        <is>
          <t>VNSGN</t>
        </is>
      </c>
      <c r="H330" s="4" t="inlineStr">
        <is>
          <t xml:space="preserve">40Hx5 </t>
        </is>
      </c>
      <c r="I330" s="4" t="inlineStr">
        <is>
          <t>BKK27</t>
        </is>
      </c>
      <c r="J330" s="4" t="inlineStr">
        <is>
          <t>B.C. DEPOT CO.,LTD. ( Bang-Na KM.18)</t>
        </is>
      </c>
      <c r="K330" s="4" t="inlineStr">
        <is>
          <t>20261014</t>
        </is>
      </c>
      <c r="L330" s="4" t="inlineStr">
        <is>
          <t>CAPRICORN LOGISTICS CO., LTD.</t>
        </is>
      </c>
      <c r="M330" s="4" t="inlineStr">
        <is>
          <t>SWAN INDUSTRIES (THAILAND) LTD.</t>
        </is>
      </c>
      <c r="N330" s="4" t="inlineStr">
        <is>
          <t>EMPTY CAN (FOOD CAN)</t>
        </is>
      </c>
      <c r="O330" s="4" t="inlineStr">
        <is>
          <t>clean &amp; no smell new container for food grade sine our product is food packaging.(Container FOOD GRADE)</t>
        </is>
      </c>
      <c r="P330" s="4" t="inlineStr">
        <is>
          <t>Pickup : 2026-10-14, Return : 2026-10-15</t>
        </is>
      </c>
      <c r="Q330" s="4" t="n">
        <v>0</v>
      </c>
      <c r="R330" s="4" t="n">
        <v>0</v>
      </c>
      <c r="S330" s="4" t="n">
        <v>5</v>
      </c>
      <c r="T330" s="4" t="n">
        <v>0</v>
      </c>
      <c r="U330" s="4" t="n">
        <v>0</v>
      </c>
      <c r="V330" s="4" t="n">
        <v>0</v>
      </c>
      <c r="W330" s="4" t="n">
        <v>0</v>
      </c>
      <c r="X330" s="4" t="n">
        <v>0</v>
      </c>
      <c r="Y330" s="4" t="n">
        <v>0</v>
      </c>
      <c r="Z330" s="4" t="n">
        <v>0</v>
      </c>
      <c r="AA330" s="4" t="n">
        <v>0</v>
      </c>
      <c r="AB330" s="4">
        <f>SUM(Q330:Y330)-Z330</f>
        <v/>
      </c>
      <c r="AC330" s="4">
        <f>IF(I330="","",IF(OR(LEFT(I330,3)="BKK",I330="LCH55"),"BKK",IF(LEFT(I330,3)="LCH","LCH","OTHER")))</f>
        <v/>
      </c>
      <c r="AD330" s="4">
        <f>MAX(0,Q330-MAX(0,Z330))</f>
        <v/>
      </c>
      <c r="AE330" s="4">
        <f>MAX(0,R330-MAX(0,Z330-SUM(Q330:Q330)))</f>
        <v/>
      </c>
      <c r="AF330" s="4">
        <f>MAX(0,S330-MAX(0,Z330-SUM(Q330:R330)))</f>
        <v/>
      </c>
      <c r="AG330" s="4">
        <f>MAX(0,T330-MAX(0,Z330-SUM(Q330:S330)))</f>
        <v/>
      </c>
      <c r="AH330" s="4">
        <f>MAX(0,U330-MAX(0,Z330-SUM(Q330:T330)))</f>
        <v/>
      </c>
      <c r="AI330" s="4">
        <f>MAX(0,V330-MAX(0,Z330-SUM(Q330:U330)))</f>
        <v/>
      </c>
      <c r="AJ330" s="4">
        <f>MAX(0,W330-MAX(0,Z330-SUM(Q330:V330)))</f>
        <v/>
      </c>
      <c r="AK330" s="4">
        <f>MAX(0,X330-MAX(0,Z330-SUM(Q330:W330)))</f>
        <v/>
      </c>
      <c r="AL330" s="4">
        <f>MAX(0,Y330-MAX(0,Z330-SUM(Q330:X330)))</f>
        <v/>
      </c>
    </row>
    <row r="331">
      <c r="A331" s="4" t="inlineStr">
        <is>
          <t>HASLS22260902444</t>
        </is>
      </c>
      <c r="B331" s="4" t="inlineStr">
        <is>
          <t>SWAL</t>
        </is>
      </c>
      <c r="C331" s="4" t="inlineStr">
        <is>
          <t>2609N</t>
        </is>
      </c>
      <c r="D331" s="4" t="inlineStr">
        <is>
          <t>202610191500</t>
        </is>
      </c>
      <c r="E331" s="4" t="inlineStr"/>
      <c r="F331" s="4" t="inlineStr">
        <is>
          <t>THBKK</t>
        </is>
      </c>
      <c r="G331" s="4" t="inlineStr">
        <is>
          <t>VNSGN</t>
        </is>
      </c>
      <c r="H331" s="4" t="inlineStr">
        <is>
          <t xml:space="preserve">40Hx5 </t>
        </is>
      </c>
      <c r="I331" s="4" t="inlineStr">
        <is>
          <t>BKK27</t>
        </is>
      </c>
      <c r="J331" s="4" t="inlineStr">
        <is>
          <t>B.C. DEPOT CO.,LTD. ( Bang-Na KM.18)</t>
        </is>
      </c>
      <c r="K331" s="4" t="inlineStr">
        <is>
          <t>20261014</t>
        </is>
      </c>
      <c r="L331" s="4" t="inlineStr">
        <is>
          <t>CAPRICORN LOGISTICS CO., LTD.</t>
        </is>
      </c>
      <c r="M331" s="4" t="inlineStr">
        <is>
          <t>SWAN INDUSTRIES (THAILAND) LTD.</t>
        </is>
      </c>
      <c r="N331" s="4" t="inlineStr">
        <is>
          <t>EMPTY CAN (FOOD CAN)</t>
        </is>
      </c>
      <c r="O331" s="4" t="inlineStr">
        <is>
          <t>container for food grade sine our product is food packaging.(Container FOOD GRADE)</t>
        </is>
      </c>
      <c r="P331" s="4" t="inlineStr">
        <is>
          <t xml:space="preserve">Pickup : 2026-10-14, Return : 2026-10-15 </t>
        </is>
      </c>
      <c r="Q331" s="4" t="n">
        <v>0</v>
      </c>
      <c r="R331" s="4" t="n">
        <v>0</v>
      </c>
      <c r="S331" s="4" t="n">
        <v>5</v>
      </c>
      <c r="T331" s="4" t="n">
        <v>0</v>
      </c>
      <c r="U331" s="4" t="n">
        <v>0</v>
      </c>
      <c r="V331" s="4" t="n">
        <v>0</v>
      </c>
      <c r="W331" s="4" t="n">
        <v>0</v>
      </c>
      <c r="X331" s="4" t="n">
        <v>0</v>
      </c>
      <c r="Y331" s="4" t="n">
        <v>0</v>
      </c>
      <c r="Z331" s="4" t="n">
        <v>0</v>
      </c>
      <c r="AA331" s="4" t="n">
        <v>0</v>
      </c>
      <c r="AB331" s="4">
        <f>SUM(Q331:Y331)-Z331</f>
        <v/>
      </c>
      <c r="AC331" s="4">
        <f>IF(I331="","",IF(OR(LEFT(I331,3)="BKK",I331="LCH55"),"BKK",IF(LEFT(I331,3)="LCH","LCH","OTHER")))</f>
        <v/>
      </c>
      <c r="AD331" s="4">
        <f>MAX(0,Q331-MAX(0,Z331))</f>
        <v/>
      </c>
      <c r="AE331" s="4">
        <f>MAX(0,R331-MAX(0,Z331-SUM(Q331:Q331)))</f>
        <v/>
      </c>
      <c r="AF331" s="4">
        <f>MAX(0,S331-MAX(0,Z331-SUM(Q331:R331)))</f>
        <v/>
      </c>
      <c r="AG331" s="4">
        <f>MAX(0,T331-MAX(0,Z331-SUM(Q331:S331)))</f>
        <v/>
      </c>
      <c r="AH331" s="4">
        <f>MAX(0,U331-MAX(0,Z331-SUM(Q331:T331)))</f>
        <v/>
      </c>
      <c r="AI331" s="4">
        <f>MAX(0,V331-MAX(0,Z331-SUM(Q331:U331)))</f>
        <v/>
      </c>
      <c r="AJ331" s="4">
        <f>MAX(0,W331-MAX(0,Z331-SUM(Q331:V331)))</f>
        <v/>
      </c>
      <c r="AK331" s="4">
        <f>MAX(0,X331-MAX(0,Z331-SUM(Q331:W331)))</f>
        <v/>
      </c>
      <c r="AL331" s="4">
        <f>MAX(0,Y331-MAX(0,Z331-SUM(Q331:X331)))</f>
        <v/>
      </c>
    </row>
    <row r="332">
      <c r="A332" s="4" t="inlineStr">
        <is>
          <t>HASLS22260902449</t>
        </is>
      </c>
      <c r="B332" s="4" t="inlineStr">
        <is>
          <t>HMVY</t>
        </is>
      </c>
      <c r="C332" s="4" t="inlineStr">
        <is>
          <t>2609N</t>
        </is>
      </c>
      <c r="D332" s="4" t="inlineStr">
        <is>
          <t>202610200330</t>
        </is>
      </c>
      <c r="E332" s="4" t="inlineStr">
        <is>
          <t>THSRP</t>
        </is>
      </c>
      <c r="F332" s="4" t="inlineStr">
        <is>
          <t>THLCH</t>
        </is>
      </c>
      <c r="G332" s="4" t="inlineStr">
        <is>
          <t>CNSHA</t>
        </is>
      </c>
      <c r="H332" s="4" t="inlineStr">
        <is>
          <t xml:space="preserve">40Hx1 </t>
        </is>
      </c>
      <c r="I332" s="4" t="inlineStr">
        <is>
          <t>BKK27</t>
        </is>
      </c>
      <c r="J332" s="4" t="inlineStr">
        <is>
          <t>B.C. DEPOT CO.,LTD. ( Bang-Na KM.18)</t>
        </is>
      </c>
      <c r="K332" s="4" t="inlineStr">
        <is>
          <t>20261015</t>
        </is>
      </c>
      <c r="L332" s="4" t="inlineStr">
        <is>
          <t>SBS LOGISTICS (THAILAND) CO., LTD.</t>
        </is>
      </c>
      <c r="M332" s="4" t="inlineStr">
        <is>
          <t>MITANI TRADING (THAILAND) CO.,LTD.</t>
        </is>
      </c>
      <c r="N332" s="4" t="inlineStr">
        <is>
          <t>TWO WAY CAP</t>
        </is>
      </c>
      <c r="O332" s="4" t="inlineStr">
        <is>
          <t>GOOD AND CLEAN</t>
        </is>
      </c>
      <c r="P332" s="4" t="inlineStr">
        <is>
          <t xml:space="preserve">Pickup : 2026-10-15, Return : 2026-10-15 [PAPERLESS CODE : 2829] 
 CLS TIME @SRP : 15/10 @15.00 [1ST RTN 12/10 W/O RENT] 
</t>
        </is>
      </c>
      <c r="Q332" s="4" t="n">
        <v>0</v>
      </c>
      <c r="R332" s="4" t="n">
        <v>0</v>
      </c>
      <c r="S332" s="4" t="n">
        <v>1</v>
      </c>
      <c r="T332" s="4" t="n">
        <v>0</v>
      </c>
      <c r="U332" s="4" t="n">
        <v>0</v>
      </c>
      <c r="V332" s="4" t="n">
        <v>0</v>
      </c>
      <c r="W332" s="4" t="n">
        <v>0</v>
      </c>
      <c r="X332" s="4" t="n">
        <v>0</v>
      </c>
      <c r="Y332" s="4" t="n">
        <v>0</v>
      </c>
      <c r="Z332" s="4" t="n">
        <v>0</v>
      </c>
      <c r="AA332" s="4" t="n">
        <v>0</v>
      </c>
      <c r="AB332" s="4">
        <f>SUM(Q332:Y332)-Z332</f>
        <v/>
      </c>
      <c r="AC332" s="4">
        <f>IF(I332="","",IF(OR(LEFT(I332,3)="BKK",I332="LCH55"),"BKK",IF(LEFT(I332,3)="LCH","LCH","OTHER")))</f>
        <v/>
      </c>
      <c r="AD332" s="4">
        <f>MAX(0,Q332-MAX(0,Z332))</f>
        <v/>
      </c>
      <c r="AE332" s="4">
        <f>MAX(0,R332-MAX(0,Z332-SUM(Q332:Q332)))</f>
        <v/>
      </c>
      <c r="AF332" s="4">
        <f>MAX(0,S332-MAX(0,Z332-SUM(Q332:R332)))</f>
        <v/>
      </c>
      <c r="AG332" s="4">
        <f>MAX(0,T332-MAX(0,Z332-SUM(Q332:S332)))</f>
        <v/>
      </c>
      <c r="AH332" s="4">
        <f>MAX(0,U332-MAX(0,Z332-SUM(Q332:T332)))</f>
        <v/>
      </c>
      <c r="AI332" s="4">
        <f>MAX(0,V332-MAX(0,Z332-SUM(Q332:U332)))</f>
        <v/>
      </c>
      <c r="AJ332" s="4">
        <f>MAX(0,W332-MAX(0,Z332-SUM(Q332:V332)))</f>
        <v/>
      </c>
      <c r="AK332" s="4">
        <f>MAX(0,X332-MAX(0,Z332-SUM(Q332:W332)))</f>
        <v/>
      </c>
      <c r="AL332" s="4">
        <f>MAX(0,Y332-MAX(0,Z332-SUM(Q332:X332)))</f>
        <v/>
      </c>
    </row>
    <row r="333">
      <c r="A333" s="4" t="inlineStr">
        <is>
          <t>HASLS22260902452</t>
        </is>
      </c>
      <c r="B333" s="4" t="inlineStr">
        <is>
          <t>SWDN</t>
        </is>
      </c>
      <c r="C333" s="4" t="inlineStr">
        <is>
          <t>2610N</t>
        </is>
      </c>
      <c r="D333" s="4" t="inlineStr">
        <is>
          <t>202610060900</t>
        </is>
      </c>
      <c r="E333" s="4" t="inlineStr"/>
      <c r="F333" s="4" t="inlineStr">
        <is>
          <t>THBKK</t>
        </is>
      </c>
      <c r="G333" s="4" t="inlineStr">
        <is>
          <t>HKHKG</t>
        </is>
      </c>
      <c r="H333" s="4" t="inlineStr">
        <is>
          <t xml:space="preserve">20'x2 </t>
        </is>
      </c>
      <c r="I333" s="4" t="inlineStr">
        <is>
          <t>BKK27</t>
        </is>
      </c>
      <c r="J333" s="4" t="inlineStr">
        <is>
          <t>B.C. DEPOT CO.,LTD. ( Bang-Na KM.18)</t>
        </is>
      </c>
      <c r="K333" s="4" t="inlineStr">
        <is>
          <t>20260925</t>
        </is>
      </c>
      <c r="L333" s="4" t="inlineStr">
        <is>
          <t>SS EXCELLENT NETWORK CO.,LTD</t>
        </is>
      </c>
      <c r="M333" s="4" t="inlineStr">
        <is>
          <t>SS EXCELLENT NETWORK CO.,LTD</t>
        </is>
      </c>
      <c r="N333" s="4" t="inlineStr">
        <is>
          <t>COPPER INGOT</t>
        </is>
      </c>
      <c r="O333" s="4" t="inlineStr">
        <is>
          <t>RQST CONTAINER 30 TONS.</t>
        </is>
      </c>
      <c r="P333" s="4" t="inlineStr">
        <is>
          <t xml:space="preserve">Pickup : 2026-09-25, Return : 2026-09-26 (1ST RETURN 29/09/26)
 </t>
        </is>
      </c>
      <c r="Q333" s="4" t="n">
        <v>2</v>
      </c>
      <c r="R333" s="4" t="n">
        <v>0</v>
      </c>
      <c r="S333" s="4" t="n">
        <v>0</v>
      </c>
      <c r="T333" s="4" t="n">
        <v>0</v>
      </c>
      <c r="U333" s="4" t="n">
        <v>0</v>
      </c>
      <c r="V333" s="4" t="n">
        <v>0</v>
      </c>
      <c r="W333" s="4" t="n">
        <v>0</v>
      </c>
      <c r="X333" s="4" t="n">
        <v>0</v>
      </c>
      <c r="Y333" s="4" t="n">
        <v>0</v>
      </c>
      <c r="Z333" s="4" t="n">
        <v>0</v>
      </c>
      <c r="AA333" s="4" t="n">
        <v>0</v>
      </c>
      <c r="AB333" s="4">
        <f>SUM(Q333:Y333)-Z333</f>
        <v/>
      </c>
      <c r="AC333" s="4">
        <f>IF(I333="","",IF(OR(LEFT(I333,3)="BKK",I333="LCH55"),"BKK",IF(LEFT(I333,3)="LCH","LCH","OTHER")))</f>
        <v/>
      </c>
      <c r="AD333" s="4">
        <f>MAX(0,Q333-MAX(0,Z333))</f>
        <v/>
      </c>
      <c r="AE333" s="4">
        <f>MAX(0,R333-MAX(0,Z333-SUM(Q333:Q333)))</f>
        <v/>
      </c>
      <c r="AF333" s="4">
        <f>MAX(0,S333-MAX(0,Z333-SUM(Q333:R333)))</f>
        <v/>
      </c>
      <c r="AG333" s="4">
        <f>MAX(0,T333-MAX(0,Z333-SUM(Q333:S333)))</f>
        <v/>
      </c>
      <c r="AH333" s="4">
        <f>MAX(0,U333-MAX(0,Z333-SUM(Q333:T333)))</f>
        <v/>
      </c>
      <c r="AI333" s="4">
        <f>MAX(0,V333-MAX(0,Z333-SUM(Q333:U333)))</f>
        <v/>
      </c>
      <c r="AJ333" s="4">
        <f>MAX(0,W333-MAX(0,Z333-SUM(Q333:V333)))</f>
        <v/>
      </c>
      <c r="AK333" s="4">
        <f>MAX(0,X333-MAX(0,Z333-SUM(Q333:W333)))</f>
        <v/>
      </c>
      <c r="AL333" s="4">
        <f>MAX(0,Y333-MAX(0,Z333-SUM(Q333:X333)))</f>
        <v/>
      </c>
    </row>
    <row r="334">
      <c r="A334" s="4" t="inlineStr">
        <is>
          <t>HASLS22260902459</t>
        </is>
      </c>
      <c r="B334" s="4" t="inlineStr">
        <is>
          <t>SWSP</t>
        </is>
      </c>
      <c r="C334" s="4" t="inlineStr">
        <is>
          <t>2609N</t>
        </is>
      </c>
      <c r="D334" s="4" t="inlineStr">
        <is>
          <t>202610071530</t>
        </is>
      </c>
      <c r="E334" s="4" t="inlineStr"/>
      <c r="F334" s="4" t="inlineStr">
        <is>
          <t>THBKK</t>
        </is>
      </c>
      <c r="G334" s="4" t="inlineStr">
        <is>
          <t>RUVVO</t>
        </is>
      </c>
      <c r="H334" s="4" t="inlineStr">
        <is>
          <t xml:space="preserve">R40Hx1 </t>
        </is>
      </c>
      <c r="I334" s="4" t="inlineStr">
        <is>
          <t>BKK27</t>
        </is>
      </c>
      <c r="J334" s="4" t="inlineStr">
        <is>
          <t>B.C. DEPOT CO.,LTD. ( Bang-Na KM.18)</t>
        </is>
      </c>
      <c r="K334" s="4" t="inlineStr">
        <is>
          <t>20260929</t>
        </is>
      </c>
      <c r="L334" s="4" t="inlineStr">
        <is>
          <t>VENTE TRADE CO.,LTD.</t>
        </is>
      </c>
      <c r="M334" s="4" t="inlineStr">
        <is>
          <t>VENTE TRADE CO.,LTD.</t>
        </is>
      </c>
      <c r="N334" s="4" t="inlineStr">
        <is>
          <t>CANNED FRUIT</t>
        </is>
      </c>
      <c r="O334" s="4" t="inlineStr">
        <is>
          <t>(TEMP : +10'C / VENT CLOSE)</t>
        </is>
      </c>
      <c r="P334" s="4" t="inlineStr">
        <is>
          <t>CY-RTN :30-02/10/2026 (TEMP : +10'C / VENT CLOSE)
CLS TIME DD.03/10/2026 @ 23.59 *1ST RETURN CNTR DD.02/10/2026 WITHOUT CHARGE*
ORDER NO: GT-743812</t>
        </is>
      </c>
      <c r="Q334" s="4" t="n">
        <v>0</v>
      </c>
      <c r="R334" s="4" t="n">
        <v>0</v>
      </c>
      <c r="S334" s="4" t="n">
        <v>0</v>
      </c>
      <c r="T334" s="4" t="n">
        <v>0</v>
      </c>
      <c r="U334" s="4" t="n">
        <v>1</v>
      </c>
      <c r="V334" s="4" t="n">
        <v>0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0</v>
      </c>
      <c r="AB334" s="4">
        <f>SUM(Q334:Y334)-Z334</f>
        <v/>
      </c>
      <c r="AC334" s="4">
        <f>IF(I334="","",IF(OR(LEFT(I334,3)="BKK",I334="LCH55"),"BKK",IF(LEFT(I334,3)="LCH","LCH","OTHER")))</f>
        <v/>
      </c>
      <c r="AD334" s="4">
        <f>MAX(0,Q334-MAX(0,Z334))</f>
        <v/>
      </c>
      <c r="AE334" s="4">
        <f>MAX(0,R334-MAX(0,Z334-SUM(Q334:Q334)))</f>
        <v/>
      </c>
      <c r="AF334" s="4">
        <f>MAX(0,S334-MAX(0,Z334-SUM(Q334:R334)))</f>
        <v/>
      </c>
      <c r="AG334" s="4">
        <f>MAX(0,T334-MAX(0,Z334-SUM(Q334:S334)))</f>
        <v/>
      </c>
      <c r="AH334" s="4">
        <f>MAX(0,U334-MAX(0,Z334-SUM(Q334:T334)))</f>
        <v/>
      </c>
      <c r="AI334" s="4">
        <f>MAX(0,V334-MAX(0,Z334-SUM(Q334:U334)))</f>
        <v/>
      </c>
      <c r="AJ334" s="4">
        <f>MAX(0,W334-MAX(0,Z334-SUM(Q334:V334)))</f>
        <v/>
      </c>
      <c r="AK334" s="4">
        <f>MAX(0,X334-MAX(0,Z334-SUM(Q334:W334)))</f>
        <v/>
      </c>
      <c r="AL334" s="4">
        <f>MAX(0,Y334-MAX(0,Z334-SUM(Q334:X334)))</f>
        <v/>
      </c>
    </row>
    <row r="335">
      <c r="A335" s="4" t="inlineStr">
        <is>
          <t>HASLS22260902468</t>
        </is>
      </c>
      <c r="B335" s="4" t="inlineStr">
        <is>
          <t>SWVG</t>
        </is>
      </c>
      <c r="C335" s="4" t="inlineStr">
        <is>
          <t>2612N</t>
        </is>
      </c>
      <c r="D335" s="4" t="inlineStr">
        <is>
          <t>202610070330</t>
        </is>
      </c>
      <c r="E335" s="4" t="inlineStr">
        <is>
          <t>THSRP</t>
        </is>
      </c>
      <c r="F335" s="4" t="inlineStr">
        <is>
          <t>THLCH</t>
        </is>
      </c>
      <c r="G335" s="4" t="inlineStr">
        <is>
          <t>CNSHA</t>
        </is>
      </c>
      <c r="H335" s="4" t="inlineStr">
        <is>
          <t xml:space="preserve">40Hx3 </t>
        </is>
      </c>
      <c r="I335" s="4" t="inlineStr">
        <is>
          <t>BKK27</t>
        </is>
      </c>
      <c r="J335" s="4" t="inlineStr">
        <is>
          <t>B.C. DEPOT CO.,LTD. ( Bang-Na KM.18)</t>
        </is>
      </c>
      <c r="K335" s="4" t="inlineStr">
        <is>
          <t>20261001</t>
        </is>
      </c>
      <c r="L335" s="4" t="inlineStr">
        <is>
          <t>NIPPON EXPRESS LOGISTICS (THAILAND) CO., LTD.</t>
        </is>
      </c>
      <c r="M335" s="4" t="inlineStr">
        <is>
          <t>NMB-MINEBEA THAI LTD.</t>
        </is>
      </c>
      <c r="N335" s="4" t="inlineStr">
        <is>
          <t>BALL BEARING</t>
        </is>
      </c>
      <c r="O335" s="4" t="inlineStr">
        <is>
          <t>REQ: ELECTRONICS GRADE CONTAINER, NO HOLE LEAK STRAIN, RUST, SPLINTER AND HUMIDITY</t>
        </is>
      </c>
      <c r="P335" s="4" t="inlineStr">
        <is>
          <t>Pickup : 2026-10-01, Return SRP : 2026-10-02 [PAPERLESS CODE 2829]
CLS TIME 05/10/26 @12.00</t>
        </is>
      </c>
      <c r="Q335" s="4" t="n">
        <v>0</v>
      </c>
      <c r="R335" s="4" t="n">
        <v>0</v>
      </c>
      <c r="S335" s="4" t="n">
        <v>3</v>
      </c>
      <c r="T335" s="4" t="n">
        <v>0</v>
      </c>
      <c r="U335" s="4" t="n">
        <v>0</v>
      </c>
      <c r="V335" s="4" t="n">
        <v>0</v>
      </c>
      <c r="W335" s="4" t="n">
        <v>0</v>
      </c>
      <c r="X335" s="4" t="n">
        <v>0</v>
      </c>
      <c r="Y335" s="4" t="n">
        <v>0</v>
      </c>
      <c r="Z335" s="4" t="n">
        <v>0</v>
      </c>
      <c r="AA335" s="4" t="n">
        <v>0</v>
      </c>
      <c r="AB335" s="4">
        <f>SUM(Q335:Y335)-Z335</f>
        <v/>
      </c>
      <c r="AC335" s="4">
        <f>IF(I335="","",IF(OR(LEFT(I335,3)="BKK",I335="LCH55"),"BKK",IF(LEFT(I335,3)="LCH","LCH","OTHER")))</f>
        <v/>
      </c>
      <c r="AD335" s="4">
        <f>MAX(0,Q335-MAX(0,Z335))</f>
        <v/>
      </c>
      <c r="AE335" s="4">
        <f>MAX(0,R335-MAX(0,Z335-SUM(Q335:Q335)))</f>
        <v/>
      </c>
      <c r="AF335" s="4">
        <f>MAX(0,S335-MAX(0,Z335-SUM(Q335:R335)))</f>
        <v/>
      </c>
      <c r="AG335" s="4">
        <f>MAX(0,T335-MAX(0,Z335-SUM(Q335:S335)))</f>
        <v/>
      </c>
      <c r="AH335" s="4">
        <f>MAX(0,U335-MAX(0,Z335-SUM(Q335:T335)))</f>
        <v/>
      </c>
      <c r="AI335" s="4">
        <f>MAX(0,V335-MAX(0,Z335-SUM(Q335:U335)))</f>
        <v/>
      </c>
      <c r="AJ335" s="4">
        <f>MAX(0,W335-MAX(0,Z335-SUM(Q335:V335)))</f>
        <v/>
      </c>
      <c r="AK335" s="4">
        <f>MAX(0,X335-MAX(0,Z335-SUM(Q335:W335)))</f>
        <v/>
      </c>
      <c r="AL335" s="4">
        <f>MAX(0,Y335-MAX(0,Z335-SUM(Q335:X335)))</f>
        <v/>
      </c>
    </row>
    <row r="336">
      <c r="A336" s="4" t="inlineStr">
        <is>
          <t>HASLS22260902469</t>
        </is>
      </c>
      <c r="B336" s="4" t="inlineStr">
        <is>
          <t>SWVG</t>
        </is>
      </c>
      <c r="C336" s="4" t="inlineStr">
        <is>
          <t>2612N</t>
        </is>
      </c>
      <c r="D336" s="4" t="inlineStr">
        <is>
          <t>202610070330</t>
        </is>
      </c>
      <c r="E336" s="4" t="inlineStr">
        <is>
          <t>THSRP</t>
        </is>
      </c>
      <c r="F336" s="4" t="inlineStr">
        <is>
          <t>THLCH</t>
        </is>
      </c>
      <c r="G336" s="4" t="inlineStr">
        <is>
          <t>CNSHA</t>
        </is>
      </c>
      <c r="H336" s="4" t="inlineStr">
        <is>
          <t xml:space="preserve">40Hx1 20'x1 </t>
        </is>
      </c>
      <c r="I336" s="4" t="inlineStr">
        <is>
          <t>BKK27</t>
        </is>
      </c>
      <c r="J336" s="4" t="inlineStr">
        <is>
          <t>B.C. DEPOT CO.,LTD. ( Bang-Na KM.18)</t>
        </is>
      </c>
      <c r="K336" s="4" t="inlineStr">
        <is>
          <t>20261002</t>
        </is>
      </c>
      <c r="L336" s="4" t="inlineStr">
        <is>
          <t>NIPPON EXPRESS LOGISTICS (THAILAND) CO., LTD.</t>
        </is>
      </c>
      <c r="M336" s="4" t="inlineStr">
        <is>
          <t>NMB-MINEBEA THAI LTD.</t>
        </is>
      </c>
      <c r="N336" s="4" t="inlineStr">
        <is>
          <t>BALL BEARING</t>
        </is>
      </c>
      <c r="O336" s="4" t="inlineStr">
        <is>
          <t>REQ: ELECTRONICS GRADE CONTAINER, NO HOLE LEAK STRAIN, RUST, SPLINTER AND HUMIDITY</t>
        </is>
      </c>
      <c r="P336" s="4" t="inlineStr">
        <is>
          <t>Pickup : 2026-10-02, Return SRP : 2026-10-02 [PAPERLESS CODE 2829]
CLS TIME 05/10/26 @12.00</t>
        </is>
      </c>
      <c r="Q336" s="4" t="n">
        <v>1</v>
      </c>
      <c r="R336" s="4" t="n">
        <v>0</v>
      </c>
      <c r="S336" s="4" t="n">
        <v>1</v>
      </c>
      <c r="T336" s="4" t="n">
        <v>0</v>
      </c>
      <c r="U336" s="4" t="n">
        <v>0</v>
      </c>
      <c r="V336" s="4" t="n">
        <v>0</v>
      </c>
      <c r="W336" s="4" t="n">
        <v>0</v>
      </c>
      <c r="X336" s="4" t="n">
        <v>0</v>
      </c>
      <c r="Y336" s="4" t="n">
        <v>0</v>
      </c>
      <c r="Z336" s="4" t="n">
        <v>0</v>
      </c>
      <c r="AA336" s="4" t="n">
        <v>0</v>
      </c>
      <c r="AB336" s="4">
        <f>SUM(Q336:Y336)-Z336</f>
        <v/>
      </c>
      <c r="AC336" s="4">
        <f>IF(I336="","",IF(OR(LEFT(I336,3)="BKK",I336="LCH55"),"BKK",IF(LEFT(I336,3)="LCH","LCH","OTHER")))</f>
        <v/>
      </c>
      <c r="AD336" s="4">
        <f>MAX(0,Q336-MAX(0,Z336))</f>
        <v/>
      </c>
      <c r="AE336" s="4">
        <f>MAX(0,R336-MAX(0,Z336-SUM(Q336:Q336)))</f>
        <v/>
      </c>
      <c r="AF336" s="4">
        <f>MAX(0,S336-MAX(0,Z336-SUM(Q336:R336)))</f>
        <v/>
      </c>
      <c r="AG336" s="4">
        <f>MAX(0,T336-MAX(0,Z336-SUM(Q336:S336)))</f>
        <v/>
      </c>
      <c r="AH336" s="4">
        <f>MAX(0,U336-MAX(0,Z336-SUM(Q336:T336)))</f>
        <v/>
      </c>
      <c r="AI336" s="4">
        <f>MAX(0,V336-MAX(0,Z336-SUM(Q336:U336)))</f>
        <v/>
      </c>
      <c r="AJ336" s="4">
        <f>MAX(0,W336-MAX(0,Z336-SUM(Q336:V336)))</f>
        <v/>
      </c>
      <c r="AK336" s="4">
        <f>MAX(0,X336-MAX(0,Z336-SUM(Q336:W336)))</f>
        <v/>
      </c>
      <c r="AL336" s="4">
        <f>MAX(0,Y336-MAX(0,Z336-SUM(Q336:X336)))</f>
        <v/>
      </c>
    </row>
    <row r="337">
      <c r="A337" s="4" t="inlineStr">
        <is>
          <t>HASLS22260902470</t>
        </is>
      </c>
      <c r="B337" s="4" t="inlineStr">
        <is>
          <t>SWVG</t>
        </is>
      </c>
      <c r="C337" s="4" t="inlineStr">
        <is>
          <t>2612N</t>
        </is>
      </c>
      <c r="D337" s="4" t="inlineStr">
        <is>
          <t>202610070330</t>
        </is>
      </c>
      <c r="E337" s="4" t="inlineStr">
        <is>
          <t>THSRP</t>
        </is>
      </c>
      <c r="F337" s="4" t="inlineStr">
        <is>
          <t>THLCH</t>
        </is>
      </c>
      <c r="G337" s="4" t="inlineStr">
        <is>
          <t>CNSHA</t>
        </is>
      </c>
      <c r="H337" s="4" t="inlineStr">
        <is>
          <t xml:space="preserve">20'x1 </t>
        </is>
      </c>
      <c r="I337" s="4" t="inlineStr">
        <is>
          <t>BKK27</t>
        </is>
      </c>
      <c r="J337" s="4" t="inlineStr">
        <is>
          <t>B.C. DEPOT CO.,LTD. ( Bang-Na KM.18)</t>
        </is>
      </c>
      <c r="K337" s="4" t="inlineStr">
        <is>
          <t>20261002</t>
        </is>
      </c>
      <c r="L337" s="4" t="inlineStr">
        <is>
          <t>NIPPON EXPRESS LOGISTICS (THAILAND) CO., LTD.</t>
        </is>
      </c>
      <c r="M337" s="4" t="inlineStr">
        <is>
          <t>NMB-MINEBEA THAI LTD.</t>
        </is>
      </c>
      <c r="N337" s="4" t="inlineStr">
        <is>
          <t>BALL BEARING</t>
        </is>
      </c>
      <c r="O337" s="4" t="inlineStr">
        <is>
          <t>REQ: ELECTRONICS GRADE CONTAINER, NO HOLE LEAK STRAIN, RUST, SPLINTER AND HUMIDITY</t>
        </is>
      </c>
      <c r="P337" s="4" t="inlineStr">
        <is>
          <t>Pickup : 2026-10-02, Return SRP : 2026-10-02 [PAPERLESS CODE 2829]
CLS TIME 05/10/26 @12.00</t>
        </is>
      </c>
      <c r="Q337" s="4" t="n">
        <v>1</v>
      </c>
      <c r="R337" s="4" t="n">
        <v>0</v>
      </c>
      <c r="S337" s="4" t="n">
        <v>0</v>
      </c>
      <c r="T337" s="4" t="n">
        <v>0</v>
      </c>
      <c r="U337" s="4" t="n">
        <v>0</v>
      </c>
      <c r="V337" s="4" t="n">
        <v>0</v>
      </c>
      <c r="W337" s="4" t="n">
        <v>0</v>
      </c>
      <c r="X337" s="4" t="n">
        <v>0</v>
      </c>
      <c r="Y337" s="4" t="n">
        <v>0</v>
      </c>
      <c r="Z337" s="4" t="n">
        <v>0</v>
      </c>
      <c r="AA337" s="4" t="n">
        <v>0</v>
      </c>
      <c r="AB337" s="4">
        <f>SUM(Q337:Y337)-Z337</f>
        <v/>
      </c>
      <c r="AC337" s="4">
        <f>IF(I337="","",IF(OR(LEFT(I337,3)="BKK",I337="LCH55"),"BKK",IF(LEFT(I337,3)="LCH","LCH","OTHER")))</f>
        <v/>
      </c>
      <c r="AD337" s="4">
        <f>MAX(0,Q337-MAX(0,Z337))</f>
        <v/>
      </c>
      <c r="AE337" s="4">
        <f>MAX(0,R337-MAX(0,Z337-SUM(Q337:Q337)))</f>
        <v/>
      </c>
      <c r="AF337" s="4">
        <f>MAX(0,S337-MAX(0,Z337-SUM(Q337:R337)))</f>
        <v/>
      </c>
      <c r="AG337" s="4">
        <f>MAX(0,T337-MAX(0,Z337-SUM(Q337:S337)))</f>
        <v/>
      </c>
      <c r="AH337" s="4">
        <f>MAX(0,U337-MAX(0,Z337-SUM(Q337:T337)))</f>
        <v/>
      </c>
      <c r="AI337" s="4">
        <f>MAX(0,V337-MAX(0,Z337-SUM(Q337:U337)))</f>
        <v/>
      </c>
      <c r="AJ337" s="4">
        <f>MAX(0,W337-MAX(0,Z337-SUM(Q337:V337)))</f>
        <v/>
      </c>
      <c r="AK337" s="4">
        <f>MAX(0,X337-MAX(0,Z337-SUM(Q337:W337)))</f>
        <v/>
      </c>
      <c r="AL337" s="4">
        <f>MAX(0,Y337-MAX(0,Z337-SUM(Q337:X337)))</f>
        <v/>
      </c>
    </row>
    <row r="338">
      <c r="A338" s="4" t="inlineStr">
        <is>
          <t>HASLS22260902485</t>
        </is>
      </c>
      <c r="B338" s="4" t="inlineStr">
        <is>
          <t>SWSP</t>
        </is>
      </c>
      <c r="C338" s="4" t="inlineStr">
        <is>
          <t>2609N</t>
        </is>
      </c>
      <c r="D338" s="4" t="inlineStr">
        <is>
          <t>202610071530</t>
        </is>
      </c>
      <c r="E338" s="4" t="inlineStr"/>
      <c r="F338" s="4" t="inlineStr">
        <is>
          <t>THBKK</t>
        </is>
      </c>
      <c r="G338" s="4" t="inlineStr">
        <is>
          <t>KRPUS</t>
        </is>
      </c>
      <c r="H338" s="4" t="inlineStr">
        <is>
          <t xml:space="preserve">40Hx1 </t>
        </is>
      </c>
      <c r="I338" s="4" t="inlineStr">
        <is>
          <t>BKK27</t>
        </is>
      </c>
      <c r="J338" s="4" t="inlineStr">
        <is>
          <t>B.C. DEPOT CO.,LTD. ( Bang-Na KM.18)</t>
        </is>
      </c>
      <c r="K338" s="4" t="inlineStr">
        <is>
          <t>20261001</t>
        </is>
      </c>
      <c r="L338" s="4" t="inlineStr">
        <is>
          <t>C.H. ROBINSON FREIGHT SERVICES (THAILAND) LIMITED</t>
        </is>
      </c>
      <c r="M338" s="4" t="inlineStr">
        <is>
          <t>PRIME BOX MFG LTD.</t>
        </is>
      </c>
      <c r="N338" s="4" t="inlineStr">
        <is>
          <t>SUEDE CASES /HS.CODE :4202.92</t>
        </is>
      </c>
      <c r="O338" s="4" t="inlineStr">
        <is>
          <t>GOOD AND CLEAN CONTAINER</t>
        </is>
      </c>
      <c r="P338" s="4" t="inlineStr">
        <is>
          <t>Pickup : 2026-10-01, Return : 2026-10-02</t>
        </is>
      </c>
      <c r="Q338" s="4" t="n">
        <v>0</v>
      </c>
      <c r="R338" s="4" t="n">
        <v>0</v>
      </c>
      <c r="S338" s="4" t="n">
        <v>1</v>
      </c>
      <c r="T338" s="4" t="n">
        <v>0</v>
      </c>
      <c r="U338" s="4" t="n">
        <v>0</v>
      </c>
      <c r="V338" s="4" t="n">
        <v>0</v>
      </c>
      <c r="W338" s="4" t="n">
        <v>0</v>
      </c>
      <c r="X338" s="4" t="n">
        <v>0</v>
      </c>
      <c r="Y338" s="4" t="n">
        <v>0</v>
      </c>
      <c r="Z338" s="4" t="n">
        <v>0</v>
      </c>
      <c r="AA338" s="4" t="n">
        <v>0</v>
      </c>
      <c r="AB338" s="4">
        <f>SUM(Q338:Y338)-Z338</f>
        <v/>
      </c>
      <c r="AC338" s="4">
        <f>IF(I338="","",IF(OR(LEFT(I338,3)="BKK",I338="LCH55"),"BKK",IF(LEFT(I338,3)="LCH","LCH","OTHER")))</f>
        <v/>
      </c>
      <c r="AD338" s="4">
        <f>MAX(0,Q338-MAX(0,Z338))</f>
        <v/>
      </c>
      <c r="AE338" s="4">
        <f>MAX(0,R338-MAX(0,Z338-SUM(Q338:Q338)))</f>
        <v/>
      </c>
      <c r="AF338" s="4">
        <f>MAX(0,S338-MAX(0,Z338-SUM(Q338:R338)))</f>
        <v/>
      </c>
      <c r="AG338" s="4">
        <f>MAX(0,T338-MAX(0,Z338-SUM(Q338:S338)))</f>
        <v/>
      </c>
      <c r="AH338" s="4">
        <f>MAX(0,U338-MAX(0,Z338-SUM(Q338:T338)))</f>
        <v/>
      </c>
      <c r="AI338" s="4">
        <f>MAX(0,V338-MAX(0,Z338-SUM(Q338:U338)))</f>
        <v/>
      </c>
      <c r="AJ338" s="4">
        <f>MAX(0,W338-MAX(0,Z338-SUM(Q338:V338)))</f>
        <v/>
      </c>
      <c r="AK338" s="4">
        <f>MAX(0,X338-MAX(0,Z338-SUM(Q338:W338)))</f>
        <v/>
      </c>
      <c r="AL338" s="4">
        <f>MAX(0,Y338-MAX(0,Z338-SUM(Q338:X338)))</f>
        <v/>
      </c>
    </row>
    <row r="339">
      <c r="A339" s="4" t="inlineStr">
        <is>
          <t>HASLS22260902489</t>
        </is>
      </c>
      <c r="B339" s="4" t="inlineStr">
        <is>
          <t>SWSP</t>
        </is>
      </c>
      <c r="C339" s="4" t="inlineStr">
        <is>
          <t>2609N</t>
        </is>
      </c>
      <c r="D339" s="4" t="inlineStr">
        <is>
          <t>202610071530</t>
        </is>
      </c>
      <c r="E339" s="4" t="inlineStr"/>
      <c r="F339" s="4" t="inlineStr">
        <is>
          <t>THBKK</t>
        </is>
      </c>
      <c r="G339" s="4" t="inlineStr">
        <is>
          <t>VNSGN</t>
        </is>
      </c>
      <c r="H339" s="4" t="inlineStr">
        <is>
          <t xml:space="preserve">40Hx1 </t>
        </is>
      </c>
      <c r="I339" s="4" t="inlineStr">
        <is>
          <t>BKK27</t>
        </is>
      </c>
      <c r="J339" s="4" t="inlineStr">
        <is>
          <t>B.C. DEPOT CO.,LTD. ( Bang-Na KM.18)</t>
        </is>
      </c>
      <c r="K339" s="4" t="inlineStr">
        <is>
          <t>20261005</t>
        </is>
      </c>
      <c r="L339" s="4" t="inlineStr">
        <is>
          <t>PACIFIC STAR ALLIANCE CO., LTD.</t>
        </is>
      </c>
      <c r="M339" s="4" t="inlineStr">
        <is>
          <t>WIN CHANCE INDUSTRIES CO.,LTD.</t>
        </is>
      </c>
      <c r="N339" s="4" t="inlineStr">
        <is>
          <t>SAUCE</t>
        </is>
      </c>
      <c r="O339" s="4" t="inlineStr">
        <is>
          <t>REQUEST GOOD &amp; CLEAN CONTAINER</t>
        </is>
      </c>
      <c r="P339" s="4" t="inlineStr">
        <is>
          <t xml:space="preserve">Pickup : 2026-10-05, Return : 2026-10-05 </t>
        </is>
      </c>
      <c r="Q339" s="4" t="n">
        <v>0</v>
      </c>
      <c r="R339" s="4" t="n">
        <v>0</v>
      </c>
      <c r="S339" s="4" t="n">
        <v>1</v>
      </c>
      <c r="T339" s="4" t="n">
        <v>0</v>
      </c>
      <c r="U339" s="4" t="n">
        <v>0</v>
      </c>
      <c r="V339" s="4" t="n">
        <v>0</v>
      </c>
      <c r="W339" s="4" t="n">
        <v>0</v>
      </c>
      <c r="X339" s="4" t="n">
        <v>0</v>
      </c>
      <c r="Y339" s="4" t="n">
        <v>0</v>
      </c>
      <c r="Z339" s="4" t="n">
        <v>0</v>
      </c>
      <c r="AA339" s="4" t="n">
        <v>0</v>
      </c>
      <c r="AB339" s="4">
        <f>SUM(Q339:Y339)-Z339</f>
        <v/>
      </c>
      <c r="AC339" s="4">
        <f>IF(I339="","",IF(OR(LEFT(I339,3)="BKK",I339="LCH55"),"BKK",IF(LEFT(I339,3)="LCH","LCH","OTHER")))</f>
        <v/>
      </c>
      <c r="AD339" s="4">
        <f>MAX(0,Q339-MAX(0,Z339))</f>
        <v/>
      </c>
      <c r="AE339" s="4">
        <f>MAX(0,R339-MAX(0,Z339-SUM(Q339:Q339)))</f>
        <v/>
      </c>
      <c r="AF339" s="4">
        <f>MAX(0,S339-MAX(0,Z339-SUM(Q339:R339)))</f>
        <v/>
      </c>
      <c r="AG339" s="4">
        <f>MAX(0,T339-MAX(0,Z339-SUM(Q339:S339)))</f>
        <v/>
      </c>
      <c r="AH339" s="4">
        <f>MAX(0,U339-MAX(0,Z339-SUM(Q339:T339)))</f>
        <v/>
      </c>
      <c r="AI339" s="4">
        <f>MAX(0,V339-MAX(0,Z339-SUM(Q339:U339)))</f>
        <v/>
      </c>
      <c r="AJ339" s="4">
        <f>MAX(0,W339-MAX(0,Z339-SUM(Q339:V339)))</f>
        <v/>
      </c>
      <c r="AK339" s="4">
        <f>MAX(0,X339-MAX(0,Z339-SUM(Q339:W339)))</f>
        <v/>
      </c>
      <c r="AL339" s="4">
        <f>MAX(0,Y339-MAX(0,Z339-SUM(Q339:X339)))</f>
        <v/>
      </c>
    </row>
    <row r="340">
      <c r="A340" s="4" t="inlineStr">
        <is>
          <t>HASLS22260902490</t>
        </is>
      </c>
      <c r="B340" s="4" t="inlineStr">
        <is>
          <t>KUS</t>
        </is>
      </c>
      <c r="C340" s="4" t="inlineStr">
        <is>
          <t>2616N</t>
        </is>
      </c>
      <c r="D340" s="4" t="inlineStr">
        <is>
          <t>202610141100</t>
        </is>
      </c>
      <c r="E340" s="4" t="inlineStr"/>
      <c r="F340" s="4" t="inlineStr">
        <is>
          <t>THBKK</t>
        </is>
      </c>
      <c r="G340" s="4" t="inlineStr">
        <is>
          <t>VNSGN</t>
        </is>
      </c>
      <c r="H340" s="4" t="inlineStr">
        <is>
          <t xml:space="preserve">40Hx1 </t>
        </is>
      </c>
      <c r="I340" s="4" t="inlineStr">
        <is>
          <t>BKK27</t>
        </is>
      </c>
      <c r="J340" s="4" t="inlineStr">
        <is>
          <t>B.C. DEPOT CO.,LTD. ( Bang-Na KM.18)</t>
        </is>
      </c>
      <c r="K340" s="4" t="inlineStr">
        <is>
          <t>20261009</t>
        </is>
      </c>
      <c r="L340" s="4" t="inlineStr">
        <is>
          <t>PACIFIC STAR ALLIANCE CO., LTD.</t>
        </is>
      </c>
      <c r="M340" s="4" t="inlineStr">
        <is>
          <t>WIN CHANCE INDUSTRIES CO.,LTD.</t>
        </is>
      </c>
      <c r="N340" s="4" t="inlineStr">
        <is>
          <t>SAUCE</t>
        </is>
      </c>
      <c r="O340" s="4" t="inlineStr">
        <is>
          <t>REQUEST GOOD &amp; CLEAN CONTAINER</t>
        </is>
      </c>
      <c r="P340" s="4" t="inlineStr">
        <is>
          <t xml:space="preserve">Pickup : 2026-10-09, Return : 2026-10-09 </t>
        </is>
      </c>
      <c r="Q340" s="4" t="n">
        <v>0</v>
      </c>
      <c r="R340" s="4" t="n">
        <v>0</v>
      </c>
      <c r="S340" s="4" t="n">
        <v>1</v>
      </c>
      <c r="T340" s="4" t="n">
        <v>0</v>
      </c>
      <c r="U340" s="4" t="n">
        <v>0</v>
      </c>
      <c r="V340" s="4" t="n">
        <v>0</v>
      </c>
      <c r="W340" s="4" t="n">
        <v>0</v>
      </c>
      <c r="X340" s="4" t="n">
        <v>0</v>
      </c>
      <c r="Y340" s="4" t="n">
        <v>0</v>
      </c>
      <c r="Z340" s="4" t="n">
        <v>0</v>
      </c>
      <c r="AA340" s="4" t="n">
        <v>0</v>
      </c>
      <c r="AB340" s="4">
        <f>SUM(Q340:Y340)-Z340</f>
        <v/>
      </c>
      <c r="AC340" s="4">
        <f>IF(I340="","",IF(OR(LEFT(I340,3)="BKK",I340="LCH55"),"BKK",IF(LEFT(I340,3)="LCH","LCH","OTHER")))</f>
        <v/>
      </c>
      <c r="AD340" s="4">
        <f>MAX(0,Q340-MAX(0,Z340))</f>
        <v/>
      </c>
      <c r="AE340" s="4">
        <f>MAX(0,R340-MAX(0,Z340-SUM(Q340:Q340)))</f>
        <v/>
      </c>
      <c r="AF340" s="4">
        <f>MAX(0,S340-MAX(0,Z340-SUM(Q340:R340)))</f>
        <v/>
      </c>
      <c r="AG340" s="4">
        <f>MAX(0,T340-MAX(0,Z340-SUM(Q340:S340)))</f>
        <v/>
      </c>
      <c r="AH340" s="4">
        <f>MAX(0,U340-MAX(0,Z340-SUM(Q340:T340)))</f>
        <v/>
      </c>
      <c r="AI340" s="4">
        <f>MAX(0,V340-MAX(0,Z340-SUM(Q340:U340)))</f>
        <v/>
      </c>
      <c r="AJ340" s="4">
        <f>MAX(0,W340-MAX(0,Z340-SUM(Q340:V340)))</f>
        <v/>
      </c>
      <c r="AK340" s="4">
        <f>MAX(0,X340-MAX(0,Z340-SUM(Q340:W340)))</f>
        <v/>
      </c>
      <c r="AL340" s="4">
        <f>MAX(0,Y340-MAX(0,Z340-SUM(Q340:X340)))</f>
        <v/>
      </c>
    </row>
    <row r="341">
      <c r="A341" s="4" t="inlineStr">
        <is>
          <t>HASLS22260902491</t>
        </is>
      </c>
      <c r="B341" s="4" t="inlineStr">
        <is>
          <t>SWAL</t>
        </is>
      </c>
      <c r="C341" s="4" t="inlineStr">
        <is>
          <t>2609N</t>
        </is>
      </c>
      <c r="D341" s="4" t="inlineStr">
        <is>
          <t>202610191500</t>
        </is>
      </c>
      <c r="E341" s="4" t="inlineStr"/>
      <c r="F341" s="4" t="inlineStr">
        <is>
          <t>THBKK</t>
        </is>
      </c>
      <c r="G341" s="4" t="inlineStr">
        <is>
          <t>VNSGN</t>
        </is>
      </c>
      <c r="H341" s="4" t="inlineStr">
        <is>
          <t xml:space="preserve">40Hx1 </t>
        </is>
      </c>
      <c r="I341" s="4" t="inlineStr">
        <is>
          <t>BKK27</t>
        </is>
      </c>
      <c r="J341" s="4" t="inlineStr">
        <is>
          <t>B.C. DEPOT CO.,LTD. ( Bang-Na KM.18)</t>
        </is>
      </c>
      <c r="K341" s="4" t="inlineStr">
        <is>
          <t>20261014</t>
        </is>
      </c>
      <c r="L341" s="4" t="inlineStr">
        <is>
          <t>BEE LOGISTICS (THAILAND) CO., LTD.</t>
        </is>
      </c>
      <c r="M341" s="4" t="inlineStr">
        <is>
          <t>DEESTONE CORPORATION PUBLIC COMPANY LIMITED</t>
        </is>
      </c>
      <c r="N341" s="4" t="inlineStr">
        <is>
          <t>TIRES</t>
        </is>
      </c>
      <c r="O341" s="4" t="inlineStr">
        <is>
          <t>GOOD AND CLEAN CONTAINER</t>
        </is>
      </c>
      <c r="P341" s="4" t="inlineStr">
        <is>
          <t>Pickup : 2026-10-14, Return : 2026-10-15</t>
        </is>
      </c>
      <c r="Q341" s="4" t="n">
        <v>0</v>
      </c>
      <c r="R341" s="4" t="n">
        <v>0</v>
      </c>
      <c r="S341" s="4" t="n">
        <v>1</v>
      </c>
      <c r="T341" s="4" t="n">
        <v>0</v>
      </c>
      <c r="U341" s="4" t="n">
        <v>0</v>
      </c>
      <c r="V341" s="4" t="n">
        <v>0</v>
      </c>
      <c r="W341" s="4" t="n">
        <v>0</v>
      </c>
      <c r="X341" s="4" t="n">
        <v>0</v>
      </c>
      <c r="Y341" s="4" t="n">
        <v>0</v>
      </c>
      <c r="Z341" s="4" t="n">
        <v>0</v>
      </c>
      <c r="AA341" s="4" t="n">
        <v>0</v>
      </c>
      <c r="AB341" s="4">
        <f>SUM(Q341:Y341)-Z341</f>
        <v/>
      </c>
      <c r="AC341" s="4">
        <f>IF(I341="","",IF(OR(LEFT(I341,3)="BKK",I341="LCH55"),"BKK",IF(LEFT(I341,3)="LCH","LCH","OTHER")))</f>
        <v/>
      </c>
      <c r="AD341" s="4">
        <f>MAX(0,Q341-MAX(0,Z341))</f>
        <v/>
      </c>
      <c r="AE341" s="4">
        <f>MAX(0,R341-MAX(0,Z341-SUM(Q341:Q341)))</f>
        <v/>
      </c>
      <c r="AF341" s="4">
        <f>MAX(0,S341-MAX(0,Z341-SUM(Q341:R341)))</f>
        <v/>
      </c>
      <c r="AG341" s="4">
        <f>MAX(0,T341-MAX(0,Z341-SUM(Q341:S341)))</f>
        <v/>
      </c>
      <c r="AH341" s="4">
        <f>MAX(0,U341-MAX(0,Z341-SUM(Q341:T341)))</f>
        <v/>
      </c>
      <c r="AI341" s="4">
        <f>MAX(0,V341-MAX(0,Z341-SUM(Q341:U341)))</f>
        <v/>
      </c>
      <c r="AJ341" s="4">
        <f>MAX(0,W341-MAX(0,Z341-SUM(Q341:V341)))</f>
        <v/>
      </c>
      <c r="AK341" s="4">
        <f>MAX(0,X341-MAX(0,Z341-SUM(Q341:W341)))</f>
        <v/>
      </c>
      <c r="AL341" s="4">
        <f>MAX(0,Y341-MAX(0,Z341-SUM(Q341:X341)))</f>
        <v/>
      </c>
    </row>
    <row r="342">
      <c r="A342" s="4" t="inlineStr">
        <is>
          <t>HASLS22260902493</t>
        </is>
      </c>
      <c r="B342" s="4" t="inlineStr">
        <is>
          <t>PGPO</t>
        </is>
      </c>
      <c r="C342" s="4" t="inlineStr">
        <is>
          <t>2612N</t>
        </is>
      </c>
      <c r="D342" s="4" t="inlineStr">
        <is>
          <t>202610141800</t>
        </is>
      </c>
      <c r="E342" s="4" t="inlineStr"/>
      <c r="F342" s="4" t="inlineStr">
        <is>
          <t>THBKK</t>
        </is>
      </c>
      <c r="G342" s="4" t="inlineStr">
        <is>
          <t>VNSGN</t>
        </is>
      </c>
      <c r="H342" s="4" t="inlineStr">
        <is>
          <t xml:space="preserve">40Hx1 </t>
        </is>
      </c>
      <c r="I342" s="4" t="inlineStr">
        <is>
          <t>BKK27</t>
        </is>
      </c>
      <c r="J342" s="4" t="inlineStr">
        <is>
          <t>B.C. DEPOT CO.,LTD. ( Bang-Na KM.18)</t>
        </is>
      </c>
      <c r="K342" s="4" t="inlineStr">
        <is>
          <t>20261012</t>
        </is>
      </c>
      <c r="L342" s="4" t="inlineStr">
        <is>
          <t>PACIFIC STAR ALLIANCE CO., LTD.</t>
        </is>
      </c>
      <c r="M342" s="4" t="inlineStr">
        <is>
          <t>WIN CHANCE INDUSTRIES CO.,LTD.</t>
        </is>
      </c>
      <c r="N342" s="4" t="inlineStr">
        <is>
          <t>SAUCE</t>
        </is>
      </c>
      <c r="O342" s="4" t="inlineStr">
        <is>
          <t>REQUEST GOOD &amp; CLEAN CONTAINER</t>
        </is>
      </c>
      <c r="P342" s="4" t="inlineStr">
        <is>
          <t xml:space="preserve">Pickup : 2026-10-12, Return : 2026-10-12 // EXTEND CLS TIME 12/10 223.59 
 </t>
        </is>
      </c>
      <c r="Q342" s="4" t="n">
        <v>0</v>
      </c>
      <c r="R342" s="4" t="n">
        <v>0</v>
      </c>
      <c r="S342" s="4" t="n">
        <v>1</v>
      </c>
      <c r="T342" s="4" t="n">
        <v>0</v>
      </c>
      <c r="U342" s="4" t="n">
        <v>0</v>
      </c>
      <c r="V342" s="4" t="n">
        <v>0</v>
      </c>
      <c r="W342" s="4" t="n">
        <v>0</v>
      </c>
      <c r="X342" s="4" t="n">
        <v>0</v>
      </c>
      <c r="Y342" s="4" t="n">
        <v>0</v>
      </c>
      <c r="Z342" s="4" t="n">
        <v>0</v>
      </c>
      <c r="AA342" s="4" t="n">
        <v>0</v>
      </c>
      <c r="AB342" s="4">
        <f>SUM(Q342:Y342)-Z342</f>
        <v/>
      </c>
      <c r="AC342" s="4">
        <f>IF(I342="","",IF(OR(LEFT(I342,3)="BKK",I342="LCH55"),"BKK",IF(LEFT(I342,3)="LCH","LCH","OTHER")))</f>
        <v/>
      </c>
      <c r="AD342" s="4">
        <f>MAX(0,Q342-MAX(0,Z342))</f>
        <v/>
      </c>
      <c r="AE342" s="4">
        <f>MAX(0,R342-MAX(0,Z342-SUM(Q342:Q342)))</f>
        <v/>
      </c>
      <c r="AF342" s="4">
        <f>MAX(0,S342-MAX(0,Z342-SUM(Q342:R342)))</f>
        <v/>
      </c>
      <c r="AG342" s="4">
        <f>MAX(0,T342-MAX(0,Z342-SUM(Q342:S342)))</f>
        <v/>
      </c>
      <c r="AH342" s="4">
        <f>MAX(0,U342-MAX(0,Z342-SUM(Q342:T342)))</f>
        <v/>
      </c>
      <c r="AI342" s="4">
        <f>MAX(0,V342-MAX(0,Z342-SUM(Q342:U342)))</f>
        <v/>
      </c>
      <c r="AJ342" s="4">
        <f>MAX(0,W342-MAX(0,Z342-SUM(Q342:V342)))</f>
        <v/>
      </c>
      <c r="AK342" s="4">
        <f>MAX(0,X342-MAX(0,Z342-SUM(Q342:W342)))</f>
        <v/>
      </c>
      <c r="AL342" s="4">
        <f>MAX(0,Y342-MAX(0,Z342-SUM(Q342:X342)))</f>
        <v/>
      </c>
    </row>
    <row r="343">
      <c r="A343" s="4" t="inlineStr">
        <is>
          <t>HASLS22260902497</t>
        </is>
      </c>
      <c r="B343" s="4" t="inlineStr">
        <is>
          <t>SWAL</t>
        </is>
      </c>
      <c r="C343" s="4" t="inlineStr">
        <is>
          <t>2609N</t>
        </is>
      </c>
      <c r="D343" s="4" t="inlineStr">
        <is>
          <t>202610191500</t>
        </is>
      </c>
      <c r="E343" s="4" t="inlineStr"/>
      <c r="F343" s="4" t="inlineStr">
        <is>
          <t>THBKK</t>
        </is>
      </c>
      <c r="G343" s="4" t="inlineStr">
        <is>
          <t>VNSGN</t>
        </is>
      </c>
      <c r="H343" s="4" t="inlineStr">
        <is>
          <t xml:space="preserve">40Hx1 </t>
        </is>
      </c>
      <c r="I343" s="4" t="inlineStr">
        <is>
          <t>BKK27</t>
        </is>
      </c>
      <c r="J343" s="4" t="inlineStr">
        <is>
          <t>B.C. DEPOT CO.,LTD. ( Bang-Na KM.18)</t>
        </is>
      </c>
      <c r="K343" s="4" t="inlineStr">
        <is>
          <t>20261016</t>
        </is>
      </c>
      <c r="L343" s="4" t="inlineStr">
        <is>
          <t>PACIFIC STAR ALLIANCE CO., LTD.</t>
        </is>
      </c>
      <c r="M343" s="4" t="inlineStr">
        <is>
          <t>WIN CHANCE INDUSTRIES CO.,LTD.</t>
        </is>
      </c>
      <c r="N343" s="4" t="inlineStr">
        <is>
          <t>SAUCE</t>
        </is>
      </c>
      <c r="O343" s="4" t="inlineStr">
        <is>
          <t>ONLY
REQUEST GOOD &amp; CLEAN CONTAINER</t>
        </is>
      </c>
      <c r="P343" s="4" t="inlineStr">
        <is>
          <t>Pickup : 2026-10-16, Return : 2026-10-16</t>
        </is>
      </c>
      <c r="Q343" s="4" t="n">
        <v>0</v>
      </c>
      <c r="R343" s="4" t="n">
        <v>0</v>
      </c>
      <c r="S343" s="4" t="n">
        <v>1</v>
      </c>
      <c r="T343" s="4" t="n">
        <v>0</v>
      </c>
      <c r="U343" s="4" t="n">
        <v>0</v>
      </c>
      <c r="V343" s="4" t="n">
        <v>0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0</v>
      </c>
      <c r="AB343" s="4">
        <f>SUM(Q343:Y343)-Z343</f>
        <v/>
      </c>
      <c r="AC343" s="4">
        <f>IF(I343="","",IF(OR(LEFT(I343,3)="BKK",I343="LCH55"),"BKK",IF(LEFT(I343,3)="LCH","LCH","OTHER")))</f>
        <v/>
      </c>
      <c r="AD343" s="4">
        <f>MAX(0,Q343-MAX(0,Z343))</f>
        <v/>
      </c>
      <c r="AE343" s="4">
        <f>MAX(0,R343-MAX(0,Z343-SUM(Q343:Q343)))</f>
        <v/>
      </c>
      <c r="AF343" s="4">
        <f>MAX(0,S343-MAX(0,Z343-SUM(Q343:R343)))</f>
        <v/>
      </c>
      <c r="AG343" s="4">
        <f>MAX(0,T343-MAX(0,Z343-SUM(Q343:S343)))</f>
        <v/>
      </c>
      <c r="AH343" s="4">
        <f>MAX(0,U343-MAX(0,Z343-SUM(Q343:T343)))</f>
        <v/>
      </c>
      <c r="AI343" s="4">
        <f>MAX(0,V343-MAX(0,Z343-SUM(Q343:U343)))</f>
        <v/>
      </c>
      <c r="AJ343" s="4">
        <f>MAX(0,W343-MAX(0,Z343-SUM(Q343:V343)))</f>
        <v/>
      </c>
      <c r="AK343" s="4">
        <f>MAX(0,X343-MAX(0,Z343-SUM(Q343:W343)))</f>
        <v/>
      </c>
      <c r="AL343" s="4">
        <f>MAX(0,Y343-MAX(0,Z343-SUM(Q343:X343)))</f>
        <v/>
      </c>
    </row>
    <row r="344">
      <c r="A344" s="4" t="inlineStr">
        <is>
          <t>HASLS22260902509</t>
        </is>
      </c>
      <c r="B344" s="4" t="inlineStr">
        <is>
          <t>TSXM</t>
        </is>
      </c>
      <c r="C344" s="4" t="inlineStr">
        <is>
          <t>2618N</t>
        </is>
      </c>
      <c r="D344" s="4" t="inlineStr">
        <is>
          <t>202610192100</t>
        </is>
      </c>
      <c r="E344" s="4" t="inlineStr"/>
      <c r="F344" s="4" t="inlineStr">
        <is>
          <t>THBKK</t>
        </is>
      </c>
      <c r="G344" s="4" t="inlineStr">
        <is>
          <t>HKHKG</t>
        </is>
      </c>
      <c r="H344" s="4" t="inlineStr">
        <is>
          <t xml:space="preserve">40Hx2 </t>
        </is>
      </c>
      <c r="I344" s="4" t="inlineStr">
        <is>
          <t>BKK27</t>
        </is>
      </c>
      <c r="J344" s="4" t="inlineStr">
        <is>
          <t>B.C. DEPOT CO.,LTD. ( Bang-Na KM.18)</t>
        </is>
      </c>
      <c r="K344" s="4" t="inlineStr">
        <is>
          <t>20261016</t>
        </is>
      </c>
      <c r="L344" s="4" t="inlineStr">
        <is>
          <t>CTI LOGISTICS CO., LTD.</t>
        </is>
      </c>
      <c r="M344" s="4" t="inlineStr">
        <is>
          <t>KING POWER DUTY FREE CO.,LTD.</t>
        </is>
      </c>
      <c r="N344" s="4" t="inlineStr">
        <is>
          <t xml:space="preserve">COSMETIC </t>
        </is>
      </c>
      <c r="O344" s="4" t="inlineStr">
        <is>
          <t>REQUEST CLEAN CONTAINER</t>
        </is>
      </c>
      <c r="P344" s="4" t="inlineStr">
        <is>
          <t xml:space="preserve">Pickup : 2026-10-16, Return : 2026-10-16 </t>
        </is>
      </c>
      <c r="Q344" s="4" t="n">
        <v>0</v>
      </c>
      <c r="R344" s="4" t="n">
        <v>0</v>
      </c>
      <c r="S344" s="4" t="n">
        <v>2</v>
      </c>
      <c r="T344" s="4" t="n">
        <v>0</v>
      </c>
      <c r="U344" s="4" t="n">
        <v>0</v>
      </c>
      <c r="V344" s="4" t="n">
        <v>0</v>
      </c>
      <c r="W344" s="4" t="n">
        <v>0</v>
      </c>
      <c r="X344" s="4" t="n">
        <v>0</v>
      </c>
      <c r="Y344" s="4" t="n">
        <v>0</v>
      </c>
      <c r="Z344" s="4" t="n">
        <v>0</v>
      </c>
      <c r="AA344" s="4" t="n">
        <v>0</v>
      </c>
      <c r="AB344" s="4">
        <f>SUM(Q344:Y344)-Z344</f>
        <v/>
      </c>
      <c r="AC344" s="4">
        <f>IF(I344="","",IF(OR(LEFT(I344,3)="BKK",I344="LCH55"),"BKK",IF(LEFT(I344,3)="LCH","LCH","OTHER")))</f>
        <v/>
      </c>
      <c r="AD344" s="4">
        <f>MAX(0,Q344-MAX(0,Z344))</f>
        <v/>
      </c>
      <c r="AE344" s="4">
        <f>MAX(0,R344-MAX(0,Z344-SUM(Q344:Q344)))</f>
        <v/>
      </c>
      <c r="AF344" s="4">
        <f>MAX(0,S344-MAX(0,Z344-SUM(Q344:R344)))</f>
        <v/>
      </c>
      <c r="AG344" s="4">
        <f>MAX(0,T344-MAX(0,Z344-SUM(Q344:S344)))</f>
        <v/>
      </c>
      <c r="AH344" s="4">
        <f>MAX(0,U344-MAX(0,Z344-SUM(Q344:T344)))</f>
        <v/>
      </c>
      <c r="AI344" s="4">
        <f>MAX(0,V344-MAX(0,Z344-SUM(Q344:U344)))</f>
        <v/>
      </c>
      <c r="AJ344" s="4">
        <f>MAX(0,W344-MAX(0,Z344-SUM(Q344:V344)))</f>
        <v/>
      </c>
      <c r="AK344" s="4">
        <f>MAX(0,X344-MAX(0,Z344-SUM(Q344:W344)))</f>
        <v/>
      </c>
      <c r="AL344" s="4">
        <f>MAX(0,Y344-MAX(0,Z344-SUM(Q344:X344)))</f>
        <v/>
      </c>
    </row>
    <row r="345">
      <c r="A345" s="4" t="inlineStr">
        <is>
          <t>HASLS22260902512</t>
        </is>
      </c>
      <c r="B345" s="4" t="inlineStr">
        <is>
          <t>KUS</t>
        </is>
      </c>
      <c r="C345" s="4" t="inlineStr">
        <is>
          <t>2616N</t>
        </is>
      </c>
      <c r="D345" s="4" t="inlineStr">
        <is>
          <t>202610141100</t>
        </is>
      </c>
      <c r="E345" s="4" t="inlineStr"/>
      <c r="F345" s="4" t="inlineStr">
        <is>
          <t>THBKK</t>
        </is>
      </c>
      <c r="G345" s="4" t="inlineStr">
        <is>
          <t>KRPUS</t>
        </is>
      </c>
      <c r="H345" s="4" t="inlineStr">
        <is>
          <t xml:space="preserve">20'x1 </t>
        </is>
      </c>
      <c r="I345" s="4" t="inlineStr">
        <is>
          <t>BKK27</t>
        </is>
      </c>
      <c r="J345" s="4" t="inlineStr">
        <is>
          <t>B.C. DEPOT CO.,LTD. ( Bang-Na KM.18)</t>
        </is>
      </c>
      <c r="K345" s="4" t="inlineStr">
        <is>
          <t>20261006</t>
        </is>
      </c>
      <c r="L345" s="4" t="inlineStr">
        <is>
          <t>SMS CORPORATION CO., LTD.</t>
        </is>
      </c>
      <c r="M345" s="4" t="inlineStr">
        <is>
          <t>SMS CORPORATION CO., LTD.</t>
        </is>
      </c>
      <c r="N345" s="4" t="inlineStr">
        <is>
          <t xml:space="preserve">MODIFIED TAPIOCA STARCH </t>
        </is>
      </c>
      <c r="O345" s="4" t="inlineStr">
        <is>
          <t>NEED VERY CLEAN CONTAINER</t>
        </is>
      </c>
      <c r="P345" s="4" t="inlineStr">
        <is>
          <t xml:space="preserve">Pickup : 2026-10-06, Return : 2026-10-08  (1ST RTN 10/10 W/O RENT) 
 </t>
        </is>
      </c>
      <c r="Q345" s="4" t="n">
        <v>1</v>
      </c>
      <c r="R345" s="4" t="n">
        <v>0</v>
      </c>
      <c r="S345" s="4" t="n">
        <v>0</v>
      </c>
      <c r="T345" s="4" t="n">
        <v>0</v>
      </c>
      <c r="U345" s="4" t="n">
        <v>0</v>
      </c>
      <c r="V345" s="4" t="n">
        <v>0</v>
      </c>
      <c r="W345" s="4" t="n">
        <v>0</v>
      </c>
      <c r="X345" s="4" t="n">
        <v>0</v>
      </c>
      <c r="Y345" s="4" t="n">
        <v>0</v>
      </c>
      <c r="Z345" s="4" t="n">
        <v>0</v>
      </c>
      <c r="AA345" s="4" t="n">
        <v>0</v>
      </c>
      <c r="AB345" s="4">
        <f>SUM(Q345:Y345)-Z345</f>
        <v/>
      </c>
      <c r="AC345" s="4">
        <f>IF(I345="","",IF(OR(LEFT(I345,3)="BKK",I345="LCH55"),"BKK",IF(LEFT(I345,3)="LCH","LCH","OTHER")))</f>
        <v/>
      </c>
      <c r="AD345" s="4">
        <f>MAX(0,Q345-MAX(0,Z345))</f>
        <v/>
      </c>
      <c r="AE345" s="4">
        <f>MAX(0,R345-MAX(0,Z345-SUM(Q345:Q345)))</f>
        <v/>
      </c>
      <c r="AF345" s="4">
        <f>MAX(0,S345-MAX(0,Z345-SUM(Q345:R345)))</f>
        <v/>
      </c>
      <c r="AG345" s="4">
        <f>MAX(0,T345-MAX(0,Z345-SUM(Q345:S345)))</f>
        <v/>
      </c>
      <c r="AH345" s="4">
        <f>MAX(0,U345-MAX(0,Z345-SUM(Q345:T345)))</f>
        <v/>
      </c>
      <c r="AI345" s="4">
        <f>MAX(0,V345-MAX(0,Z345-SUM(Q345:U345)))</f>
        <v/>
      </c>
      <c r="AJ345" s="4">
        <f>MAX(0,W345-MAX(0,Z345-SUM(Q345:V345)))</f>
        <v/>
      </c>
      <c r="AK345" s="4">
        <f>MAX(0,X345-MAX(0,Z345-SUM(Q345:W345)))</f>
        <v/>
      </c>
      <c r="AL345" s="4">
        <f>MAX(0,Y345-MAX(0,Z345-SUM(Q345:X345)))</f>
        <v/>
      </c>
    </row>
    <row r="346">
      <c r="A346" s="4" t="inlineStr">
        <is>
          <t>HASLS22260902513</t>
        </is>
      </c>
      <c r="B346" s="4" t="inlineStr">
        <is>
          <t>SWDN</t>
        </is>
      </c>
      <c r="C346" s="4" t="inlineStr">
        <is>
          <t>2610N</t>
        </is>
      </c>
      <c r="D346" s="4" t="inlineStr">
        <is>
          <t>202610060900</t>
        </is>
      </c>
      <c r="E346" s="4" t="inlineStr"/>
      <c r="F346" s="4" t="inlineStr">
        <is>
          <t>THBKK</t>
        </is>
      </c>
      <c r="G346" s="4" t="inlineStr">
        <is>
          <t>CNXMN</t>
        </is>
      </c>
      <c r="H346" s="4" t="inlineStr">
        <is>
          <t xml:space="preserve">40Hx2 </t>
        </is>
      </c>
      <c r="I346" s="4" t="inlineStr">
        <is>
          <t>BKK27</t>
        </is>
      </c>
      <c r="J346" s="4" t="inlineStr">
        <is>
          <t>B.C. DEPOT CO.,LTD. ( Bang-Na KM.18)</t>
        </is>
      </c>
      <c r="K346" s="4" t="inlineStr">
        <is>
          <t>20261001</t>
        </is>
      </c>
      <c r="L346" s="4" t="inlineStr">
        <is>
          <t>ACCORD PILOT LOGISTICS (THAILAND) CO., LTD.</t>
        </is>
      </c>
      <c r="M346" s="4" t="inlineStr">
        <is>
          <t>SUKIJ TANNERY LTD., PART.</t>
        </is>
      </c>
      <c r="N346" s="4" t="inlineStr">
        <is>
          <t>WET BLUE PIG SKINS</t>
        </is>
      </c>
      <c r="O346" s="4" t="inlineStr">
        <is>
          <t>GOOD AND CLEAN CONTAINER</t>
        </is>
      </c>
      <c r="P346" s="4" t="inlineStr">
        <is>
          <t xml:space="preserve">Pickup : 2026-10-01, Return : 2026-10-02 
 </t>
        </is>
      </c>
      <c r="Q346" s="4" t="n">
        <v>0</v>
      </c>
      <c r="R346" s="4" t="n">
        <v>0</v>
      </c>
      <c r="S346" s="4" t="n">
        <v>2</v>
      </c>
      <c r="T346" s="4" t="n">
        <v>0</v>
      </c>
      <c r="U346" s="4" t="n">
        <v>0</v>
      </c>
      <c r="V346" s="4" t="n">
        <v>0</v>
      </c>
      <c r="W346" s="4" t="n">
        <v>0</v>
      </c>
      <c r="X346" s="4" t="n">
        <v>0</v>
      </c>
      <c r="Y346" s="4" t="n">
        <v>0</v>
      </c>
      <c r="Z346" s="4" t="n">
        <v>0</v>
      </c>
      <c r="AA346" s="4" t="n">
        <v>0</v>
      </c>
      <c r="AB346" s="4">
        <f>SUM(Q346:Y346)-Z346</f>
        <v/>
      </c>
      <c r="AC346" s="4">
        <f>IF(I346="","",IF(OR(LEFT(I346,3)="BKK",I346="LCH55"),"BKK",IF(LEFT(I346,3)="LCH","LCH","OTHER")))</f>
        <v/>
      </c>
      <c r="AD346" s="4">
        <f>MAX(0,Q346-MAX(0,Z346))</f>
        <v/>
      </c>
      <c r="AE346" s="4">
        <f>MAX(0,R346-MAX(0,Z346-SUM(Q346:Q346)))</f>
        <v/>
      </c>
      <c r="AF346" s="4">
        <f>MAX(0,S346-MAX(0,Z346-SUM(Q346:R346)))</f>
        <v/>
      </c>
      <c r="AG346" s="4">
        <f>MAX(0,T346-MAX(0,Z346-SUM(Q346:S346)))</f>
        <v/>
      </c>
      <c r="AH346" s="4">
        <f>MAX(0,U346-MAX(0,Z346-SUM(Q346:T346)))</f>
        <v/>
      </c>
      <c r="AI346" s="4">
        <f>MAX(0,V346-MAX(0,Z346-SUM(Q346:U346)))</f>
        <v/>
      </c>
      <c r="AJ346" s="4">
        <f>MAX(0,W346-MAX(0,Z346-SUM(Q346:V346)))</f>
        <v/>
      </c>
      <c r="AK346" s="4">
        <f>MAX(0,X346-MAX(0,Z346-SUM(Q346:W346)))</f>
        <v/>
      </c>
      <c r="AL346" s="4">
        <f>MAX(0,Y346-MAX(0,Z346-SUM(Q346:X346)))</f>
        <v/>
      </c>
    </row>
    <row r="347">
      <c r="A347" s="4" t="inlineStr">
        <is>
          <t>HASLS22260902516</t>
        </is>
      </c>
      <c r="B347" s="4" t="inlineStr">
        <is>
          <t>YSVY</t>
        </is>
      </c>
      <c r="C347" s="4" t="inlineStr">
        <is>
          <t>2608S</t>
        </is>
      </c>
      <c r="D347" s="4" t="inlineStr">
        <is>
          <t>202610190700</t>
        </is>
      </c>
      <c r="E347" s="4" t="inlineStr">
        <is>
          <t>THLKR</t>
        </is>
      </c>
      <c r="F347" s="4" t="inlineStr">
        <is>
          <t>THLCH</t>
        </is>
      </c>
      <c r="G347" s="4" t="inlineStr">
        <is>
          <t>IDJKT</t>
        </is>
      </c>
      <c r="H347" s="4" t="inlineStr">
        <is>
          <t xml:space="preserve">20'x1 </t>
        </is>
      </c>
      <c r="I347" s="4" t="inlineStr">
        <is>
          <t>BKK27</t>
        </is>
      </c>
      <c r="J347" s="4" t="inlineStr">
        <is>
          <t>B.C. DEPOT CO.,LTD. ( Bang-Na KM.18)</t>
        </is>
      </c>
      <c r="K347" s="4" t="inlineStr">
        <is>
          <t>20261013</t>
        </is>
      </c>
      <c r="L347" s="4" t="inlineStr">
        <is>
          <t>S.N.P. LOGISTICS CO., LTD.</t>
        </is>
      </c>
      <c r="M347" s="4" t="inlineStr">
        <is>
          <t>YAMAICHI SPECIAL STEEL(THAILAND)CO.,LTD.</t>
        </is>
      </c>
      <c r="N347" s="4" t="inlineStr">
        <is>
          <t>FORGED ALLOY STEEL PLATE</t>
        </is>
      </c>
      <c r="O347" s="4" t="inlineStr">
        <is>
          <t>REQUEST GOOD CONTAINER</t>
        </is>
      </c>
      <c r="P347" s="4" t="inlineStr">
        <is>
          <t>Pickup : 2026-10-13, Return : 2026-10-14 Paperless Code 2835
Closing Time LKB 2026-10-15 @ 18.00</t>
        </is>
      </c>
      <c r="Q347" s="4" t="n">
        <v>1</v>
      </c>
      <c r="R347" s="4" t="n">
        <v>0</v>
      </c>
      <c r="S347" s="4" t="n">
        <v>0</v>
      </c>
      <c r="T347" s="4" t="n">
        <v>0</v>
      </c>
      <c r="U347" s="4" t="n">
        <v>0</v>
      </c>
      <c r="V347" s="4" t="n">
        <v>0</v>
      </c>
      <c r="W347" s="4" t="n">
        <v>0</v>
      </c>
      <c r="X347" s="4" t="n">
        <v>0</v>
      </c>
      <c r="Y347" s="4" t="n">
        <v>0</v>
      </c>
      <c r="Z347" s="4" t="n">
        <v>0</v>
      </c>
      <c r="AA347" s="4" t="n">
        <v>0</v>
      </c>
      <c r="AB347" s="4">
        <f>SUM(Q347:Y347)-Z347</f>
        <v/>
      </c>
      <c r="AC347" s="4">
        <f>IF(I347="","",IF(OR(LEFT(I347,3)="BKK",I347="LCH55"),"BKK",IF(LEFT(I347,3)="LCH","LCH","OTHER")))</f>
        <v/>
      </c>
      <c r="AD347" s="4">
        <f>MAX(0,Q347-MAX(0,Z347))</f>
        <v/>
      </c>
      <c r="AE347" s="4">
        <f>MAX(0,R347-MAX(0,Z347-SUM(Q347:Q347)))</f>
        <v/>
      </c>
      <c r="AF347" s="4">
        <f>MAX(0,S347-MAX(0,Z347-SUM(Q347:R347)))</f>
        <v/>
      </c>
      <c r="AG347" s="4">
        <f>MAX(0,T347-MAX(0,Z347-SUM(Q347:S347)))</f>
        <v/>
      </c>
      <c r="AH347" s="4">
        <f>MAX(0,U347-MAX(0,Z347-SUM(Q347:T347)))</f>
        <v/>
      </c>
      <c r="AI347" s="4">
        <f>MAX(0,V347-MAX(0,Z347-SUM(Q347:U347)))</f>
        <v/>
      </c>
      <c r="AJ347" s="4">
        <f>MAX(0,W347-MAX(0,Z347-SUM(Q347:V347)))</f>
        <v/>
      </c>
      <c r="AK347" s="4">
        <f>MAX(0,X347-MAX(0,Z347-SUM(Q347:W347)))</f>
        <v/>
      </c>
      <c r="AL347" s="4">
        <f>MAX(0,Y347-MAX(0,Z347-SUM(Q347:X347)))</f>
        <v/>
      </c>
    </row>
    <row r="348">
      <c r="A348" s="4" t="inlineStr">
        <is>
          <t>HASLS22260902517</t>
        </is>
      </c>
      <c r="B348" s="4" t="inlineStr">
        <is>
          <t>KMBK</t>
        </is>
      </c>
      <c r="C348" s="4" t="inlineStr">
        <is>
          <t>2612N</t>
        </is>
      </c>
      <c r="D348" s="4" t="inlineStr">
        <is>
          <t>202610240200</t>
        </is>
      </c>
      <c r="E348" s="4" t="inlineStr"/>
      <c r="F348" s="4" t="inlineStr">
        <is>
          <t>THBKK</t>
        </is>
      </c>
      <c r="G348" s="4" t="inlineStr">
        <is>
          <t>VNSGN</t>
        </is>
      </c>
      <c r="H348" s="4" t="inlineStr">
        <is>
          <t xml:space="preserve">20'x1 </t>
        </is>
      </c>
      <c r="I348" s="4" t="inlineStr">
        <is>
          <t>BKK27</t>
        </is>
      </c>
      <c r="J348" s="4" t="inlineStr">
        <is>
          <t>B.C. DEPOT CO.,LTD. ( Bang-Na KM.18)</t>
        </is>
      </c>
      <c r="K348" s="4" t="inlineStr">
        <is>
          <t>20261017</t>
        </is>
      </c>
      <c r="L348" s="4" t="inlineStr">
        <is>
          <t>SEA FLEXI LOGISTICS CO.,LTD.</t>
        </is>
      </c>
      <c r="M348" s="4" t="inlineStr">
        <is>
          <t>THANAKORN VEGETABLE OIL PRODUCTS CO., LTD.</t>
        </is>
      </c>
      <c r="N348" s="4" t="inlineStr">
        <is>
          <t>SOYBEAN OIL</t>
        </is>
      </c>
      <c r="O348" s="4" t="inlineStr">
        <is>
          <t>*DO NOT RELEASE CONTAINER WAIT APPROVE*  // SURVEY 17/10  STRONG, CLEAN, FOOD GRADE CONTAINER FOR LOADING FLEXIBAG
REQUEST FLEXIBAG ON DECK ONLY</t>
        </is>
      </c>
      <c r="P348" s="4" t="inlineStr">
        <is>
          <t>*DO NOT RELEASE CONTAINER WAIT APPROVE* 
 SURVEY 17/10 Pickup : 2026-10-19, Return : 2026-10-20</t>
        </is>
      </c>
      <c r="Q348" s="4" t="n">
        <v>1</v>
      </c>
      <c r="R348" s="4" t="n">
        <v>0</v>
      </c>
      <c r="S348" s="4" t="n">
        <v>0</v>
      </c>
      <c r="T348" s="4" t="n">
        <v>0</v>
      </c>
      <c r="U348" s="4" t="n">
        <v>0</v>
      </c>
      <c r="V348" s="4" t="n">
        <v>0</v>
      </c>
      <c r="W348" s="4" t="n">
        <v>0</v>
      </c>
      <c r="X348" s="4" t="n">
        <v>0</v>
      </c>
      <c r="Y348" s="4" t="n">
        <v>0</v>
      </c>
      <c r="Z348" s="4" t="n">
        <v>0</v>
      </c>
      <c r="AA348" s="4" t="n">
        <v>0</v>
      </c>
      <c r="AB348" s="4">
        <f>SUM(Q348:Y348)-Z348</f>
        <v/>
      </c>
      <c r="AC348" s="4">
        <f>IF(I348="","",IF(OR(LEFT(I348,3)="BKK",I348="LCH55"),"BKK",IF(LEFT(I348,3)="LCH","LCH","OTHER")))</f>
        <v/>
      </c>
      <c r="AD348" s="4">
        <f>MAX(0,Q348-MAX(0,Z348))</f>
        <v/>
      </c>
      <c r="AE348" s="4">
        <f>MAX(0,R348-MAX(0,Z348-SUM(Q348:Q348)))</f>
        <v/>
      </c>
      <c r="AF348" s="4">
        <f>MAX(0,S348-MAX(0,Z348-SUM(Q348:R348)))</f>
        <v/>
      </c>
      <c r="AG348" s="4">
        <f>MAX(0,T348-MAX(0,Z348-SUM(Q348:S348)))</f>
        <v/>
      </c>
      <c r="AH348" s="4">
        <f>MAX(0,U348-MAX(0,Z348-SUM(Q348:T348)))</f>
        <v/>
      </c>
      <c r="AI348" s="4">
        <f>MAX(0,V348-MAX(0,Z348-SUM(Q348:U348)))</f>
        <v/>
      </c>
      <c r="AJ348" s="4">
        <f>MAX(0,W348-MAX(0,Z348-SUM(Q348:V348)))</f>
        <v/>
      </c>
      <c r="AK348" s="4">
        <f>MAX(0,X348-MAX(0,Z348-SUM(Q348:W348)))</f>
        <v/>
      </c>
      <c r="AL348" s="4">
        <f>MAX(0,Y348-MAX(0,Z348-SUM(Q348:X348)))</f>
        <v/>
      </c>
    </row>
    <row r="349">
      <c r="A349" s="4" t="inlineStr">
        <is>
          <t>HASLS22260902519</t>
        </is>
      </c>
      <c r="B349" s="4" t="inlineStr">
        <is>
          <t>SWVG</t>
        </is>
      </c>
      <c r="C349" s="4" t="inlineStr">
        <is>
          <t>2612N</t>
        </is>
      </c>
      <c r="D349" s="4" t="inlineStr">
        <is>
          <t>202610070330</t>
        </is>
      </c>
      <c r="E349" s="4" t="inlineStr">
        <is>
          <t>THSRP</t>
        </is>
      </c>
      <c r="F349" s="4" t="inlineStr">
        <is>
          <t>THLCH</t>
        </is>
      </c>
      <c r="G349" s="4" t="inlineStr">
        <is>
          <t>CNSHA</t>
        </is>
      </c>
      <c r="H349" s="4" t="inlineStr">
        <is>
          <t xml:space="preserve">40Hx2 </t>
        </is>
      </c>
      <c r="I349" s="4" t="inlineStr">
        <is>
          <t>BKK27</t>
        </is>
      </c>
      <c r="J349" s="4" t="inlineStr">
        <is>
          <t>B.C. DEPOT CO.,LTD. ( Bang-Na KM.18)</t>
        </is>
      </c>
      <c r="K349" s="4" t="inlineStr">
        <is>
          <t>20261001</t>
        </is>
      </c>
      <c r="L349" s="4" t="inlineStr">
        <is>
          <t>NIPPON EXPRESS LOGISTICS (THAILAND) CO., LTD.</t>
        </is>
      </c>
      <c r="M349" s="4" t="inlineStr">
        <is>
          <t>NMB-MINEBEA THAI LTD.</t>
        </is>
      </c>
      <c r="N349" s="4" t="inlineStr">
        <is>
          <t>BALL BEARING</t>
        </is>
      </c>
      <c r="O349" s="4" t="inlineStr">
        <is>
          <t>REQ: ELECTRONICS GRADE CONTAINER, NO HOLE LEAK STRAIN, RUST, SPLINTER AND HUMIDITY</t>
        </is>
      </c>
      <c r="P349" s="4" t="inlineStr">
        <is>
          <t>Pickup : 2026-10-01, Return SRP : 2026-10-02 [PAPERLESS CODE 2829]
CLS TIME 04/10/26 @23.59</t>
        </is>
      </c>
      <c r="Q349" s="4" t="n">
        <v>0</v>
      </c>
      <c r="R349" s="4" t="n">
        <v>0</v>
      </c>
      <c r="S349" s="4" t="n">
        <v>2</v>
      </c>
      <c r="T349" s="4" t="n">
        <v>0</v>
      </c>
      <c r="U349" s="4" t="n">
        <v>0</v>
      </c>
      <c r="V349" s="4" t="n">
        <v>0</v>
      </c>
      <c r="W349" s="4" t="n">
        <v>0</v>
      </c>
      <c r="X349" s="4" t="n">
        <v>0</v>
      </c>
      <c r="Y349" s="4" t="n">
        <v>0</v>
      </c>
      <c r="Z349" s="4" t="n">
        <v>0</v>
      </c>
      <c r="AA349" s="4" t="n">
        <v>0</v>
      </c>
      <c r="AB349" s="4">
        <f>SUM(Q349:Y349)-Z349</f>
        <v/>
      </c>
      <c r="AC349" s="4">
        <f>IF(I349="","",IF(OR(LEFT(I349,3)="BKK",I349="LCH55"),"BKK",IF(LEFT(I349,3)="LCH","LCH","OTHER")))</f>
        <v/>
      </c>
      <c r="AD349" s="4">
        <f>MAX(0,Q349-MAX(0,Z349))</f>
        <v/>
      </c>
      <c r="AE349" s="4">
        <f>MAX(0,R349-MAX(0,Z349-SUM(Q349:Q349)))</f>
        <v/>
      </c>
      <c r="AF349" s="4">
        <f>MAX(0,S349-MAX(0,Z349-SUM(Q349:R349)))</f>
        <v/>
      </c>
      <c r="AG349" s="4">
        <f>MAX(0,T349-MAX(0,Z349-SUM(Q349:S349)))</f>
        <v/>
      </c>
      <c r="AH349" s="4">
        <f>MAX(0,U349-MAX(0,Z349-SUM(Q349:T349)))</f>
        <v/>
      </c>
      <c r="AI349" s="4">
        <f>MAX(0,V349-MAX(0,Z349-SUM(Q349:U349)))</f>
        <v/>
      </c>
      <c r="AJ349" s="4">
        <f>MAX(0,W349-MAX(0,Z349-SUM(Q349:V349)))</f>
        <v/>
      </c>
      <c r="AK349" s="4">
        <f>MAX(0,X349-MAX(0,Z349-SUM(Q349:W349)))</f>
        <v/>
      </c>
      <c r="AL349" s="4">
        <f>MAX(0,Y349-MAX(0,Z349-SUM(Q349:X349)))</f>
        <v/>
      </c>
    </row>
    <row r="350">
      <c r="A350" s="4" t="inlineStr">
        <is>
          <t>HASLS22260902521</t>
        </is>
      </c>
      <c r="B350" s="4" t="inlineStr">
        <is>
          <t>SWVG</t>
        </is>
      </c>
      <c r="C350" s="4" t="inlineStr">
        <is>
          <t>2612N</t>
        </is>
      </c>
      <c r="D350" s="4" t="inlineStr">
        <is>
          <t>202610070330</t>
        </is>
      </c>
      <c r="E350" s="4" t="inlineStr">
        <is>
          <t>THSRP</t>
        </is>
      </c>
      <c r="F350" s="4" t="inlineStr">
        <is>
          <t>THLCH</t>
        </is>
      </c>
      <c r="G350" s="4" t="inlineStr">
        <is>
          <t>CNSHA</t>
        </is>
      </c>
      <c r="H350" s="4" t="inlineStr">
        <is>
          <t xml:space="preserve">40Hx1 </t>
        </is>
      </c>
      <c r="I350" s="4" t="inlineStr">
        <is>
          <t>BKK27</t>
        </is>
      </c>
      <c r="J350" s="4" t="inlineStr">
        <is>
          <t>B.C. DEPOT CO.,LTD. ( Bang-Na KM.18)</t>
        </is>
      </c>
      <c r="K350" s="4" t="inlineStr">
        <is>
          <t>20261002</t>
        </is>
      </c>
      <c r="L350" s="4" t="inlineStr">
        <is>
          <t>NIPPON EXPRESS LOGISTICS (THAILAND) CO., LTD.</t>
        </is>
      </c>
      <c r="M350" s="4" t="inlineStr">
        <is>
          <t>NMB-MINEBEA THAI LTD.</t>
        </is>
      </c>
      <c r="N350" s="4" t="inlineStr">
        <is>
          <t>BALL BEARING</t>
        </is>
      </c>
      <c r="O350" s="4" t="inlineStr">
        <is>
          <t>REQ: ELECTRONICS GRADE CONTAINER, NO HOLE LEAK STRAIN, RUST, SPLINTER AND HUMIDITY</t>
        </is>
      </c>
      <c r="P350" s="4" t="inlineStr">
        <is>
          <t>Pickup : 2026-10-02, Return  SRP : 2026-10-02 [PAPERLESS CODE 2829]
CLS TIME 04/10/26 @23.59</t>
        </is>
      </c>
      <c r="Q350" s="4" t="n">
        <v>0</v>
      </c>
      <c r="R350" s="4" t="n">
        <v>0</v>
      </c>
      <c r="S350" s="4" t="n">
        <v>1</v>
      </c>
      <c r="T350" s="4" t="n">
        <v>0</v>
      </c>
      <c r="U350" s="4" t="n">
        <v>0</v>
      </c>
      <c r="V350" s="4" t="n">
        <v>0</v>
      </c>
      <c r="W350" s="4" t="n">
        <v>0</v>
      </c>
      <c r="X350" s="4" t="n">
        <v>0</v>
      </c>
      <c r="Y350" s="4" t="n">
        <v>0</v>
      </c>
      <c r="Z350" s="4" t="n">
        <v>0</v>
      </c>
      <c r="AA350" s="4" t="n">
        <v>0</v>
      </c>
      <c r="AB350" s="4">
        <f>SUM(Q350:Y350)-Z350</f>
        <v/>
      </c>
      <c r="AC350" s="4">
        <f>IF(I350="","",IF(OR(LEFT(I350,3)="BKK",I350="LCH55"),"BKK",IF(LEFT(I350,3)="LCH","LCH","OTHER")))</f>
        <v/>
      </c>
      <c r="AD350" s="4">
        <f>MAX(0,Q350-MAX(0,Z350))</f>
        <v/>
      </c>
      <c r="AE350" s="4">
        <f>MAX(0,R350-MAX(0,Z350-SUM(Q350:Q350)))</f>
        <v/>
      </c>
      <c r="AF350" s="4">
        <f>MAX(0,S350-MAX(0,Z350-SUM(Q350:R350)))</f>
        <v/>
      </c>
      <c r="AG350" s="4">
        <f>MAX(0,T350-MAX(0,Z350-SUM(Q350:S350)))</f>
        <v/>
      </c>
      <c r="AH350" s="4">
        <f>MAX(0,U350-MAX(0,Z350-SUM(Q350:T350)))</f>
        <v/>
      </c>
      <c r="AI350" s="4">
        <f>MAX(0,V350-MAX(0,Z350-SUM(Q350:U350)))</f>
        <v/>
      </c>
      <c r="AJ350" s="4">
        <f>MAX(0,W350-MAX(0,Z350-SUM(Q350:V350)))</f>
        <v/>
      </c>
      <c r="AK350" s="4">
        <f>MAX(0,X350-MAX(0,Z350-SUM(Q350:W350)))</f>
        <v/>
      </c>
      <c r="AL350" s="4">
        <f>MAX(0,Y350-MAX(0,Z350-SUM(Q350:X350)))</f>
        <v/>
      </c>
    </row>
    <row r="351">
      <c r="A351" s="4" t="inlineStr">
        <is>
          <t>HASLS22260902524</t>
        </is>
      </c>
      <c r="B351" s="4" t="inlineStr">
        <is>
          <t>SWVG</t>
        </is>
      </c>
      <c r="C351" s="4" t="inlineStr">
        <is>
          <t>2612N</t>
        </is>
      </c>
      <c r="D351" s="4" t="inlineStr">
        <is>
          <t>202610070330</t>
        </is>
      </c>
      <c r="E351" s="4" t="inlineStr">
        <is>
          <t>THSRP</t>
        </is>
      </c>
      <c r="F351" s="4" t="inlineStr">
        <is>
          <t>THLCH</t>
        </is>
      </c>
      <c r="G351" s="4" t="inlineStr">
        <is>
          <t>CNSHA</t>
        </is>
      </c>
      <c r="H351" s="4" t="inlineStr">
        <is>
          <t xml:space="preserve">20'x1 </t>
        </is>
      </c>
      <c r="I351" s="4" t="inlineStr">
        <is>
          <t>BKK27</t>
        </is>
      </c>
      <c r="J351" s="4" t="inlineStr">
        <is>
          <t>B.C. DEPOT CO.,LTD. ( Bang-Na KM.18)</t>
        </is>
      </c>
      <c r="K351" s="4" t="inlineStr">
        <is>
          <t>20261001</t>
        </is>
      </c>
      <c r="L351" s="4" t="inlineStr">
        <is>
          <t>NIPPON EXPRESS LOGISTICS (THAILAND) CO., LTD.</t>
        </is>
      </c>
      <c r="M351" s="4" t="inlineStr">
        <is>
          <t>NMB-MINEBEA THAI LTD.</t>
        </is>
      </c>
      <c r="N351" s="4" t="inlineStr">
        <is>
          <t>BALL BEARING</t>
        </is>
      </c>
      <c r="O351" s="4" t="inlineStr">
        <is>
          <t>REQ: ELECTRONICS GRADE CONTAINER, NO HOLE LEAK STRAIN, RUST, SPLINTER AND HUMIDITY</t>
        </is>
      </c>
      <c r="P351" s="4" t="inlineStr">
        <is>
          <t>Pickup : 2026-10-02, Return  SRP : 2026-10-02 [PAPERLESS CODE 2829]
CLS TIME 04/10/26 @23.59</t>
        </is>
      </c>
      <c r="Q351" s="4" t="n">
        <v>1</v>
      </c>
      <c r="R351" s="4" t="n">
        <v>0</v>
      </c>
      <c r="S351" s="4" t="n">
        <v>0</v>
      </c>
      <c r="T351" s="4" t="n">
        <v>0</v>
      </c>
      <c r="U351" s="4" t="n">
        <v>0</v>
      </c>
      <c r="V351" s="4" t="n">
        <v>0</v>
      </c>
      <c r="W351" s="4" t="n">
        <v>0</v>
      </c>
      <c r="X351" s="4" t="n">
        <v>0</v>
      </c>
      <c r="Y351" s="4" t="n">
        <v>0</v>
      </c>
      <c r="Z351" s="4" t="n">
        <v>0</v>
      </c>
      <c r="AA351" s="4" t="n">
        <v>0</v>
      </c>
      <c r="AB351" s="4">
        <f>SUM(Q351:Y351)-Z351</f>
        <v/>
      </c>
      <c r="AC351" s="4">
        <f>IF(I351="","",IF(OR(LEFT(I351,3)="BKK",I351="LCH55"),"BKK",IF(LEFT(I351,3)="LCH","LCH","OTHER")))</f>
        <v/>
      </c>
      <c r="AD351" s="4">
        <f>MAX(0,Q351-MAX(0,Z351))</f>
        <v/>
      </c>
      <c r="AE351" s="4">
        <f>MAX(0,R351-MAX(0,Z351-SUM(Q351:Q351)))</f>
        <v/>
      </c>
      <c r="AF351" s="4">
        <f>MAX(0,S351-MAX(0,Z351-SUM(Q351:R351)))</f>
        <v/>
      </c>
      <c r="AG351" s="4">
        <f>MAX(0,T351-MAX(0,Z351-SUM(Q351:S351)))</f>
        <v/>
      </c>
      <c r="AH351" s="4">
        <f>MAX(0,U351-MAX(0,Z351-SUM(Q351:T351)))</f>
        <v/>
      </c>
      <c r="AI351" s="4">
        <f>MAX(0,V351-MAX(0,Z351-SUM(Q351:U351)))</f>
        <v/>
      </c>
      <c r="AJ351" s="4">
        <f>MAX(0,W351-MAX(0,Z351-SUM(Q351:V351)))</f>
        <v/>
      </c>
      <c r="AK351" s="4">
        <f>MAX(0,X351-MAX(0,Z351-SUM(Q351:W351)))</f>
        <v/>
      </c>
      <c r="AL351" s="4">
        <f>MAX(0,Y351-MAX(0,Z351-SUM(Q351:X351)))</f>
        <v/>
      </c>
    </row>
    <row r="352">
      <c r="A352" s="4" t="inlineStr">
        <is>
          <t>HASLS22260902525</t>
        </is>
      </c>
      <c r="B352" s="4" t="inlineStr">
        <is>
          <t>SWIC</t>
        </is>
      </c>
      <c r="C352" s="4" t="inlineStr">
        <is>
          <t>2611N</t>
        </is>
      </c>
      <c r="D352" s="4" t="inlineStr">
        <is>
          <t>202610130700</t>
        </is>
      </c>
      <c r="E352" s="4" t="inlineStr"/>
      <c r="F352" s="4" t="inlineStr">
        <is>
          <t>THBKK</t>
        </is>
      </c>
      <c r="G352" s="4" t="inlineStr">
        <is>
          <t>JPOSA</t>
        </is>
      </c>
      <c r="H352" s="4" t="inlineStr">
        <is>
          <t xml:space="preserve">20'x1 </t>
        </is>
      </c>
      <c r="I352" s="4" t="inlineStr">
        <is>
          <t>BKK27</t>
        </is>
      </c>
      <c r="J352" s="4" t="inlineStr">
        <is>
          <t>B.C. DEPOT CO.,LTD. ( Bang-Na KM.18)</t>
        </is>
      </c>
      <c r="K352" s="4" t="inlineStr">
        <is>
          <t>20261008</t>
        </is>
      </c>
      <c r="L352" s="4" t="inlineStr">
        <is>
          <t>LPK GLOBAL TRADE CO.,LTD.</t>
        </is>
      </c>
      <c r="M352" s="4" t="inlineStr">
        <is>
          <t>NEW SOLUTION CO.,LTD</t>
        </is>
      </c>
      <c r="N352" s="4" t="inlineStr">
        <is>
          <t>COPPER SCRAP</t>
        </is>
      </c>
      <c r="O352" s="4" t="inlineStr">
        <is>
          <t>GOOD AND CLEAN CONTAINER</t>
        </is>
      </c>
      <c r="P352" s="4" t="inlineStr">
        <is>
          <t>Pickup : 2026-10-08, Return : 2026-10-09 // WAIT LOI</t>
        </is>
      </c>
      <c r="Q352" s="4" t="n">
        <v>1</v>
      </c>
      <c r="R352" s="4" t="n">
        <v>0</v>
      </c>
      <c r="S352" s="4" t="n">
        <v>0</v>
      </c>
      <c r="T352" s="4" t="n">
        <v>0</v>
      </c>
      <c r="U352" s="4" t="n">
        <v>0</v>
      </c>
      <c r="V352" s="4" t="n">
        <v>0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>
        <f>SUM(Q352:Y352)-Z352</f>
        <v/>
      </c>
      <c r="AC352" s="4">
        <f>IF(I352="","",IF(OR(LEFT(I352,3)="BKK",I352="LCH55"),"BKK",IF(LEFT(I352,3)="LCH","LCH","OTHER")))</f>
        <v/>
      </c>
      <c r="AD352" s="4">
        <f>MAX(0,Q352-MAX(0,Z352))</f>
        <v/>
      </c>
      <c r="AE352" s="4">
        <f>MAX(0,R352-MAX(0,Z352-SUM(Q352:Q352)))</f>
        <v/>
      </c>
      <c r="AF352" s="4">
        <f>MAX(0,S352-MAX(0,Z352-SUM(Q352:R352)))</f>
        <v/>
      </c>
      <c r="AG352" s="4">
        <f>MAX(0,T352-MAX(0,Z352-SUM(Q352:S352)))</f>
        <v/>
      </c>
      <c r="AH352" s="4">
        <f>MAX(0,U352-MAX(0,Z352-SUM(Q352:T352)))</f>
        <v/>
      </c>
      <c r="AI352" s="4">
        <f>MAX(0,V352-MAX(0,Z352-SUM(Q352:U352)))</f>
        <v/>
      </c>
      <c r="AJ352" s="4">
        <f>MAX(0,W352-MAX(0,Z352-SUM(Q352:V352)))</f>
        <v/>
      </c>
      <c r="AK352" s="4">
        <f>MAX(0,X352-MAX(0,Z352-SUM(Q352:W352)))</f>
        <v/>
      </c>
      <c r="AL352" s="4">
        <f>MAX(0,Y352-MAX(0,Z352-SUM(Q352:X352)))</f>
        <v/>
      </c>
    </row>
    <row r="353">
      <c r="A353" s="4" t="inlineStr">
        <is>
          <t>HASLS22260902531</t>
        </is>
      </c>
      <c r="B353" s="4" t="inlineStr">
        <is>
          <t>KJT</t>
        </is>
      </c>
      <c r="C353" s="4" t="inlineStr">
        <is>
          <t>2611N</t>
        </is>
      </c>
      <c r="D353" s="4" t="inlineStr">
        <is>
          <t>202610141800</t>
        </is>
      </c>
      <c r="E353" s="4" t="inlineStr"/>
      <c r="F353" s="4" t="inlineStr">
        <is>
          <t>THBKK</t>
        </is>
      </c>
      <c r="G353" s="4" t="inlineStr">
        <is>
          <t>TWKEL</t>
        </is>
      </c>
      <c r="H353" s="4" t="inlineStr">
        <is>
          <t xml:space="preserve">40Hx1 </t>
        </is>
      </c>
      <c r="I353" s="4" t="inlineStr">
        <is>
          <t>BKK27</t>
        </is>
      </c>
      <c r="J353" s="4" t="inlineStr">
        <is>
          <t>B.C. DEPOT CO.,LTD. ( Bang-Na KM.18)</t>
        </is>
      </c>
      <c r="K353" s="4" t="inlineStr">
        <is>
          <t>20261009</t>
        </is>
      </c>
      <c r="L353" s="4" t="inlineStr">
        <is>
          <t>KTC GLOBAL LOGISTICS CO., LTD.</t>
        </is>
      </c>
      <c r="M353" s="4" t="inlineStr">
        <is>
          <t>DZQ CO.,LTD.</t>
        </is>
      </c>
      <c r="N353" s="4" t="inlineStr">
        <is>
          <t>FRUIT JUICE, FOODSTUFF</t>
        </is>
      </c>
      <c r="O353" s="4" t="inlineStr">
        <is>
          <t>Food Grade, Dry, Clean, Good Container, No Rust, No Hole</t>
        </is>
      </c>
      <c r="P353" s="4" t="inlineStr">
        <is>
          <t>Pickup : 2026-10-09, Return : 2026-10-10</t>
        </is>
      </c>
      <c r="Q353" s="4" t="n">
        <v>0</v>
      </c>
      <c r="R353" s="4" t="n">
        <v>0</v>
      </c>
      <c r="S353" s="4" t="n">
        <v>1</v>
      </c>
      <c r="T353" s="4" t="n">
        <v>0</v>
      </c>
      <c r="U353" s="4" t="n">
        <v>0</v>
      </c>
      <c r="V353" s="4" t="n">
        <v>0</v>
      </c>
      <c r="W353" s="4" t="n">
        <v>0</v>
      </c>
      <c r="X353" s="4" t="n">
        <v>0</v>
      </c>
      <c r="Y353" s="4" t="n">
        <v>0</v>
      </c>
      <c r="Z353" s="4" t="n">
        <v>0</v>
      </c>
      <c r="AA353" s="4" t="n">
        <v>0</v>
      </c>
      <c r="AB353" s="4">
        <f>SUM(Q353:Y353)-Z353</f>
        <v/>
      </c>
      <c r="AC353" s="4">
        <f>IF(I353="","",IF(OR(LEFT(I353,3)="BKK",I353="LCH55"),"BKK",IF(LEFT(I353,3)="LCH","LCH","OTHER")))</f>
        <v/>
      </c>
      <c r="AD353" s="4">
        <f>MAX(0,Q353-MAX(0,Z353))</f>
        <v/>
      </c>
      <c r="AE353" s="4">
        <f>MAX(0,R353-MAX(0,Z353-SUM(Q353:Q353)))</f>
        <v/>
      </c>
      <c r="AF353" s="4">
        <f>MAX(0,S353-MAX(0,Z353-SUM(Q353:R353)))</f>
        <v/>
      </c>
      <c r="AG353" s="4">
        <f>MAX(0,T353-MAX(0,Z353-SUM(Q353:S353)))</f>
        <v/>
      </c>
      <c r="AH353" s="4">
        <f>MAX(0,U353-MAX(0,Z353-SUM(Q353:T353)))</f>
        <v/>
      </c>
      <c r="AI353" s="4">
        <f>MAX(0,V353-MAX(0,Z353-SUM(Q353:U353)))</f>
        <v/>
      </c>
      <c r="AJ353" s="4">
        <f>MAX(0,W353-MAX(0,Z353-SUM(Q353:V353)))</f>
        <v/>
      </c>
      <c r="AK353" s="4">
        <f>MAX(0,X353-MAX(0,Z353-SUM(Q353:W353)))</f>
        <v/>
      </c>
      <c r="AL353" s="4">
        <f>MAX(0,Y353-MAX(0,Z353-SUM(Q353:X353)))</f>
        <v/>
      </c>
    </row>
    <row r="354">
      <c r="A354" s="4" t="inlineStr">
        <is>
          <t>HASLS22260902541</t>
        </is>
      </c>
      <c r="B354" s="4" t="inlineStr">
        <is>
          <t>SWSP</t>
        </is>
      </c>
      <c r="C354" s="4" t="inlineStr">
        <is>
          <t>2609N</t>
        </is>
      </c>
      <c r="D354" s="4" t="inlineStr">
        <is>
          <t>202610071530</t>
        </is>
      </c>
      <c r="E354" s="4" t="inlineStr"/>
      <c r="F354" s="4" t="inlineStr">
        <is>
          <t>THBKK</t>
        </is>
      </c>
      <c r="G354" s="4" t="inlineStr">
        <is>
          <t>VNSGN</t>
        </is>
      </c>
      <c r="H354" s="4" t="inlineStr">
        <is>
          <t xml:space="preserve">20'x1 </t>
        </is>
      </c>
      <c r="I354" s="4" t="inlineStr">
        <is>
          <t>BKK27</t>
        </is>
      </c>
      <c r="J354" s="4" t="inlineStr">
        <is>
          <t>B.C. DEPOT CO.,LTD. ( Bang-Na KM.18)</t>
        </is>
      </c>
      <c r="K354" s="4" t="inlineStr">
        <is>
          <t>20261005</t>
        </is>
      </c>
      <c r="L354" s="4" t="inlineStr">
        <is>
          <t>L.A.N. LOGISTICS CO., LTD.</t>
        </is>
      </c>
      <c r="M354" s="4" t="inlineStr">
        <is>
          <t>NAN YANG KNITTING FACTORY CO., LTD.</t>
        </is>
      </c>
      <c r="N354" s="4" t="inlineStr">
        <is>
          <t>FABRIC</t>
        </is>
      </c>
      <c r="O354" s="4" t="inlineStr">
        <is>
          <t>GOOD &amp; CLEAN CONTAINER</t>
        </is>
      </c>
      <c r="P354" s="4" t="inlineStr">
        <is>
          <t>Pickup : 2026-10-05, Return : 2026-10-05</t>
        </is>
      </c>
      <c r="Q354" s="4" t="n">
        <v>1</v>
      </c>
      <c r="R354" s="4" t="n">
        <v>0</v>
      </c>
      <c r="S354" s="4" t="n">
        <v>0</v>
      </c>
      <c r="T354" s="4" t="n">
        <v>0</v>
      </c>
      <c r="U354" s="4" t="n">
        <v>0</v>
      </c>
      <c r="V354" s="4" t="n">
        <v>0</v>
      </c>
      <c r="W354" s="4" t="n">
        <v>0</v>
      </c>
      <c r="X354" s="4" t="n">
        <v>0</v>
      </c>
      <c r="Y354" s="4" t="n">
        <v>0</v>
      </c>
      <c r="Z354" s="4" t="n">
        <v>0</v>
      </c>
      <c r="AA354" s="4" t="n">
        <v>0</v>
      </c>
      <c r="AB354" s="4">
        <f>SUM(Q354:Y354)-Z354</f>
        <v/>
      </c>
      <c r="AC354" s="4">
        <f>IF(I354="","",IF(OR(LEFT(I354,3)="BKK",I354="LCH55"),"BKK",IF(LEFT(I354,3)="LCH","LCH","OTHER")))</f>
        <v/>
      </c>
      <c r="AD354" s="4">
        <f>MAX(0,Q354-MAX(0,Z354))</f>
        <v/>
      </c>
      <c r="AE354" s="4">
        <f>MAX(0,R354-MAX(0,Z354-SUM(Q354:Q354)))</f>
        <v/>
      </c>
      <c r="AF354" s="4">
        <f>MAX(0,S354-MAX(0,Z354-SUM(Q354:R354)))</f>
        <v/>
      </c>
      <c r="AG354" s="4">
        <f>MAX(0,T354-MAX(0,Z354-SUM(Q354:S354)))</f>
        <v/>
      </c>
      <c r="AH354" s="4">
        <f>MAX(0,U354-MAX(0,Z354-SUM(Q354:T354)))</f>
        <v/>
      </c>
      <c r="AI354" s="4">
        <f>MAX(0,V354-MAX(0,Z354-SUM(Q354:U354)))</f>
        <v/>
      </c>
      <c r="AJ354" s="4">
        <f>MAX(0,W354-MAX(0,Z354-SUM(Q354:V354)))</f>
        <v/>
      </c>
      <c r="AK354" s="4">
        <f>MAX(0,X354-MAX(0,Z354-SUM(Q354:W354)))</f>
        <v/>
      </c>
      <c r="AL354" s="4">
        <f>MAX(0,Y354-MAX(0,Z354-SUM(Q354:X354)))</f>
        <v/>
      </c>
    </row>
    <row r="355">
      <c r="A355" s="4" t="inlineStr">
        <is>
          <t>HASLS22260902548</t>
        </is>
      </c>
      <c r="B355" s="4" t="inlineStr">
        <is>
          <t>SWDN</t>
        </is>
      </c>
      <c r="C355" s="4" t="inlineStr">
        <is>
          <t>2610N</t>
        </is>
      </c>
      <c r="D355" s="4" t="inlineStr">
        <is>
          <t>202610060900</t>
        </is>
      </c>
      <c r="E355" s="4" t="inlineStr"/>
      <c r="F355" s="4" t="inlineStr">
        <is>
          <t>THBKK</t>
        </is>
      </c>
      <c r="G355" s="4" t="inlineStr">
        <is>
          <t>KRINC</t>
        </is>
      </c>
      <c r="H355" s="4" t="inlineStr">
        <is>
          <t xml:space="preserve">40Hx1 </t>
        </is>
      </c>
      <c r="I355" s="4" t="inlineStr">
        <is>
          <t>BKK27</t>
        </is>
      </c>
      <c r="J355" s="4" t="inlineStr">
        <is>
          <t>B.C. DEPOT CO.,LTD. ( Bang-Na KM.18)</t>
        </is>
      </c>
      <c r="K355" s="4" t="inlineStr">
        <is>
          <t>20261002</t>
        </is>
      </c>
      <c r="L355" s="4" t="inlineStr">
        <is>
          <t>ORIENTAL LOGISTICS GROUP (THAILAND) CO., LTD.</t>
        </is>
      </c>
      <c r="M355" s="4" t="inlineStr">
        <is>
          <t>KINGBOARD LAMINATE MANUFACTURING (THAILAND) CO., LTD.</t>
        </is>
      </c>
      <c r="N355" s="4" t="inlineStr">
        <is>
          <t>LAMINATE</t>
        </is>
      </c>
      <c r="O355" s="4" t="inlineStr">
        <is>
          <t>request a grade container</t>
        </is>
      </c>
      <c r="P355" s="4" t="inlineStr">
        <is>
          <t>Pickup : 2026-10-02, Return : 2026-10-03</t>
        </is>
      </c>
      <c r="Q355" s="4" t="n">
        <v>0</v>
      </c>
      <c r="R355" s="4" t="n">
        <v>0</v>
      </c>
      <c r="S355" s="4" t="n">
        <v>1</v>
      </c>
      <c r="T355" s="4" t="n">
        <v>0</v>
      </c>
      <c r="U355" s="4" t="n">
        <v>0</v>
      </c>
      <c r="V355" s="4" t="n">
        <v>0</v>
      </c>
      <c r="W355" s="4" t="n">
        <v>0</v>
      </c>
      <c r="X355" s="4" t="n">
        <v>0</v>
      </c>
      <c r="Y355" s="4" t="n">
        <v>0</v>
      </c>
      <c r="Z355" s="4" t="n">
        <v>0</v>
      </c>
      <c r="AA355" s="4" t="n">
        <v>0</v>
      </c>
      <c r="AB355" s="4">
        <f>SUM(Q355:Y355)-Z355</f>
        <v/>
      </c>
      <c r="AC355" s="4">
        <f>IF(I355="","",IF(OR(LEFT(I355,3)="BKK",I355="LCH55"),"BKK",IF(LEFT(I355,3)="LCH","LCH","OTHER")))</f>
        <v/>
      </c>
      <c r="AD355" s="4">
        <f>MAX(0,Q355-MAX(0,Z355))</f>
        <v/>
      </c>
      <c r="AE355" s="4">
        <f>MAX(0,R355-MAX(0,Z355-SUM(Q355:Q355)))</f>
        <v/>
      </c>
      <c r="AF355" s="4">
        <f>MAX(0,S355-MAX(0,Z355-SUM(Q355:R355)))</f>
        <v/>
      </c>
      <c r="AG355" s="4">
        <f>MAX(0,T355-MAX(0,Z355-SUM(Q355:S355)))</f>
        <v/>
      </c>
      <c r="AH355" s="4">
        <f>MAX(0,U355-MAX(0,Z355-SUM(Q355:T355)))</f>
        <v/>
      </c>
      <c r="AI355" s="4">
        <f>MAX(0,V355-MAX(0,Z355-SUM(Q355:U355)))</f>
        <v/>
      </c>
      <c r="AJ355" s="4">
        <f>MAX(0,W355-MAX(0,Z355-SUM(Q355:V355)))</f>
        <v/>
      </c>
      <c r="AK355" s="4">
        <f>MAX(0,X355-MAX(0,Z355-SUM(Q355:W355)))</f>
        <v/>
      </c>
      <c r="AL355" s="4">
        <f>MAX(0,Y355-MAX(0,Z355-SUM(Q355:X355)))</f>
        <v/>
      </c>
    </row>
    <row r="356">
      <c r="A356" s="4" t="inlineStr">
        <is>
          <t>HASLS22260902553</t>
        </is>
      </c>
      <c r="B356" s="4" t="inlineStr">
        <is>
          <t>SWBT</t>
        </is>
      </c>
      <c r="C356" s="4" t="inlineStr">
        <is>
          <t>2616N</t>
        </is>
      </c>
      <c r="D356" s="4" t="inlineStr">
        <is>
          <t>202610130600</t>
        </is>
      </c>
      <c r="E356" s="4" t="inlineStr"/>
      <c r="F356" s="4" t="inlineStr">
        <is>
          <t>THBKK</t>
        </is>
      </c>
      <c r="G356" s="4" t="inlineStr">
        <is>
          <t>KRPTK</t>
        </is>
      </c>
      <c r="H356" s="4" t="inlineStr">
        <is>
          <t xml:space="preserve">R40Hx1 </t>
        </is>
      </c>
      <c r="I356" s="4" t="inlineStr">
        <is>
          <t>BKK27</t>
        </is>
      </c>
      <c r="J356" s="4" t="inlineStr">
        <is>
          <t>B.C. DEPOT CO.,LTD. ( Bang-Na KM.18)</t>
        </is>
      </c>
      <c r="K356" s="4" t="inlineStr">
        <is>
          <t>20261006</t>
        </is>
      </c>
      <c r="L356" s="4" t="inlineStr">
        <is>
          <t>LAND SEA SKY CO., LTD.</t>
        </is>
      </c>
      <c r="M356" s="4" t="inlineStr">
        <is>
          <t>SAHA FARMS  INTERNATIONAL CO LTD</t>
        </is>
      </c>
      <c r="N356" s="4" t="inlineStr">
        <is>
          <t>FROZEN CHICKEN COOK</t>
        </is>
      </c>
      <c r="O356" s="4" t="inlineStr">
        <is>
          <t>(Temp -18.0℃ / Vent Close)</t>
        </is>
      </c>
      <c r="P356" s="4" t="inlineStr">
        <is>
          <t xml:space="preserve">Pickup : 2026-10-06, Return : 2026-10-10(Temp -18.0 / Vent Close) 
CLS TIME : 11/10/2026 @08.00 </t>
        </is>
      </c>
      <c r="Q356" s="4" t="n">
        <v>0</v>
      </c>
      <c r="R356" s="4" t="n">
        <v>0</v>
      </c>
      <c r="S356" s="4" t="n">
        <v>0</v>
      </c>
      <c r="T356" s="4" t="n">
        <v>0</v>
      </c>
      <c r="U356" s="4" t="n">
        <v>1</v>
      </c>
      <c r="V356" s="4" t="n">
        <v>0</v>
      </c>
      <c r="W356" s="4" t="n">
        <v>0</v>
      </c>
      <c r="X356" s="4" t="n">
        <v>0</v>
      </c>
      <c r="Y356" s="4" t="n">
        <v>0</v>
      </c>
      <c r="Z356" s="4" t="n">
        <v>0</v>
      </c>
      <c r="AA356" s="4" t="n">
        <v>0</v>
      </c>
      <c r="AB356" s="4">
        <f>SUM(Q356:Y356)-Z356</f>
        <v/>
      </c>
      <c r="AC356" s="4">
        <f>IF(I356="","",IF(OR(LEFT(I356,3)="BKK",I356="LCH55"),"BKK",IF(LEFT(I356,3)="LCH","LCH","OTHER")))</f>
        <v/>
      </c>
      <c r="AD356" s="4">
        <f>MAX(0,Q356-MAX(0,Z356))</f>
        <v/>
      </c>
      <c r="AE356" s="4">
        <f>MAX(0,R356-MAX(0,Z356-SUM(Q356:Q356)))</f>
        <v/>
      </c>
      <c r="AF356" s="4">
        <f>MAX(0,S356-MAX(0,Z356-SUM(Q356:R356)))</f>
        <v/>
      </c>
      <c r="AG356" s="4">
        <f>MAX(0,T356-MAX(0,Z356-SUM(Q356:S356)))</f>
        <v/>
      </c>
      <c r="AH356" s="4">
        <f>MAX(0,U356-MAX(0,Z356-SUM(Q356:T356)))</f>
        <v/>
      </c>
      <c r="AI356" s="4">
        <f>MAX(0,V356-MAX(0,Z356-SUM(Q356:U356)))</f>
        <v/>
      </c>
      <c r="AJ356" s="4">
        <f>MAX(0,W356-MAX(0,Z356-SUM(Q356:V356)))</f>
        <v/>
      </c>
      <c r="AK356" s="4">
        <f>MAX(0,X356-MAX(0,Z356-SUM(Q356:W356)))</f>
        <v/>
      </c>
      <c r="AL356" s="4">
        <f>MAX(0,Y356-MAX(0,Z356-SUM(Q356:X356)))</f>
        <v/>
      </c>
    </row>
    <row r="357">
      <c r="A357" s="4" t="inlineStr">
        <is>
          <t>HASLS22260902554</t>
        </is>
      </c>
      <c r="B357" s="4" t="inlineStr">
        <is>
          <t>SWBT</t>
        </is>
      </c>
      <c r="C357" s="4" t="inlineStr">
        <is>
          <t>2616N</t>
        </is>
      </c>
      <c r="D357" s="4" t="inlineStr">
        <is>
          <t>202610130600</t>
        </is>
      </c>
      <c r="E357" s="4" t="inlineStr"/>
      <c r="F357" s="4" t="inlineStr">
        <is>
          <t>THBKK</t>
        </is>
      </c>
      <c r="G357" s="4" t="inlineStr">
        <is>
          <t>KRPTK</t>
        </is>
      </c>
      <c r="H357" s="4" t="inlineStr">
        <is>
          <t xml:space="preserve">R40Hx1 </t>
        </is>
      </c>
      <c r="I357" s="4" t="inlineStr">
        <is>
          <t>BKK27</t>
        </is>
      </c>
      <c r="J357" s="4" t="inlineStr">
        <is>
          <t>B.C. DEPOT CO.,LTD. ( Bang-Na KM.18)</t>
        </is>
      </c>
      <c r="K357" s="4" t="inlineStr">
        <is>
          <t>20261006</t>
        </is>
      </c>
      <c r="L357" s="4" t="inlineStr">
        <is>
          <t>LAND SEA SKY CO., LTD.</t>
        </is>
      </c>
      <c r="M357" s="4" t="inlineStr">
        <is>
          <t>SAHA FARMS  INTERNATIONAL CO LTD</t>
        </is>
      </c>
      <c r="N357" s="4" t="inlineStr">
        <is>
          <t>FROZEN CHICKEN COOK</t>
        </is>
      </c>
      <c r="O357" s="4" t="inlineStr">
        <is>
          <t>(Temp -18.0℃ / Vent Close)</t>
        </is>
      </c>
      <c r="P357" s="4" t="inlineStr">
        <is>
          <t xml:space="preserve">Pickup : 2026-10-06, Return : 2026-10-10 (Temp -18.0 / Vent Close) 
CLS TIME : 11/10/2026 @08.00 </t>
        </is>
      </c>
      <c r="Q357" s="4" t="n">
        <v>0</v>
      </c>
      <c r="R357" s="4" t="n">
        <v>0</v>
      </c>
      <c r="S357" s="4" t="n">
        <v>0</v>
      </c>
      <c r="T357" s="4" t="n">
        <v>0</v>
      </c>
      <c r="U357" s="4" t="n">
        <v>1</v>
      </c>
      <c r="V357" s="4" t="n">
        <v>0</v>
      </c>
      <c r="W357" s="4" t="n">
        <v>0</v>
      </c>
      <c r="X357" s="4" t="n">
        <v>0</v>
      </c>
      <c r="Y357" s="4" t="n">
        <v>0</v>
      </c>
      <c r="Z357" s="4" t="n">
        <v>0</v>
      </c>
      <c r="AA357" s="4" t="n">
        <v>0</v>
      </c>
      <c r="AB357" s="4">
        <f>SUM(Q357:Y357)-Z357</f>
        <v/>
      </c>
      <c r="AC357" s="4">
        <f>IF(I357="","",IF(OR(LEFT(I357,3)="BKK",I357="LCH55"),"BKK",IF(LEFT(I357,3)="LCH","LCH","OTHER")))</f>
        <v/>
      </c>
      <c r="AD357" s="4">
        <f>MAX(0,Q357-MAX(0,Z357))</f>
        <v/>
      </c>
      <c r="AE357" s="4">
        <f>MAX(0,R357-MAX(0,Z357-SUM(Q357:Q357)))</f>
        <v/>
      </c>
      <c r="AF357" s="4">
        <f>MAX(0,S357-MAX(0,Z357-SUM(Q357:R357)))</f>
        <v/>
      </c>
      <c r="AG357" s="4">
        <f>MAX(0,T357-MAX(0,Z357-SUM(Q357:S357)))</f>
        <v/>
      </c>
      <c r="AH357" s="4">
        <f>MAX(0,U357-MAX(0,Z357-SUM(Q357:T357)))</f>
        <v/>
      </c>
      <c r="AI357" s="4">
        <f>MAX(0,V357-MAX(0,Z357-SUM(Q357:U357)))</f>
        <v/>
      </c>
      <c r="AJ357" s="4">
        <f>MAX(0,W357-MAX(0,Z357-SUM(Q357:V357)))</f>
        <v/>
      </c>
      <c r="AK357" s="4">
        <f>MAX(0,X357-MAX(0,Z357-SUM(Q357:W357)))</f>
        <v/>
      </c>
      <c r="AL357" s="4">
        <f>MAX(0,Y357-MAX(0,Z357-SUM(Q357:X357)))</f>
        <v/>
      </c>
    </row>
    <row r="358">
      <c r="A358" s="4" t="inlineStr">
        <is>
          <t>HASLS22260902555</t>
        </is>
      </c>
      <c r="B358" s="4" t="inlineStr">
        <is>
          <t>SWBT</t>
        </is>
      </c>
      <c r="C358" s="4" t="inlineStr">
        <is>
          <t>2616N</t>
        </is>
      </c>
      <c r="D358" s="4" t="inlineStr">
        <is>
          <t>202610130600</t>
        </is>
      </c>
      <c r="E358" s="4" t="inlineStr"/>
      <c r="F358" s="4" t="inlineStr">
        <is>
          <t>THBKK</t>
        </is>
      </c>
      <c r="G358" s="4" t="inlineStr">
        <is>
          <t>KRPTK</t>
        </is>
      </c>
      <c r="H358" s="4" t="inlineStr">
        <is>
          <t xml:space="preserve">R40Hx1 </t>
        </is>
      </c>
      <c r="I358" s="4" t="inlineStr">
        <is>
          <t>BKK27</t>
        </is>
      </c>
      <c r="J358" s="4" t="inlineStr">
        <is>
          <t>B.C. DEPOT CO.,LTD. ( Bang-Na KM.18)</t>
        </is>
      </c>
      <c r="K358" s="4" t="inlineStr">
        <is>
          <t>20261006</t>
        </is>
      </c>
      <c r="L358" s="4" t="inlineStr">
        <is>
          <t>LAND SEA SKY CO., LTD.</t>
        </is>
      </c>
      <c r="M358" s="4" t="inlineStr">
        <is>
          <t>SAHA FARMS  INTERNATIONAL CO LTD</t>
        </is>
      </c>
      <c r="N358" s="4" t="inlineStr">
        <is>
          <t>FROZEN CHICKEN COOK</t>
        </is>
      </c>
      <c r="O358" s="4" t="inlineStr">
        <is>
          <t>(Temp -18.0℃ / Vent Close)</t>
        </is>
      </c>
      <c r="P358" s="4" t="inlineStr">
        <is>
          <t xml:space="preserve">Pickup : 2026-10-06, Return : 2026-10-10 (Temp -18.0 / Vent Close) 
CLS TIME : 11/10/2026 @08.00 </t>
        </is>
      </c>
      <c r="Q358" s="4" t="n">
        <v>0</v>
      </c>
      <c r="R358" s="4" t="n">
        <v>0</v>
      </c>
      <c r="S358" s="4" t="n">
        <v>0</v>
      </c>
      <c r="T358" s="4" t="n">
        <v>0</v>
      </c>
      <c r="U358" s="4" t="n">
        <v>1</v>
      </c>
      <c r="V358" s="4" t="n">
        <v>0</v>
      </c>
      <c r="W358" s="4" t="n">
        <v>0</v>
      </c>
      <c r="X358" s="4" t="n">
        <v>0</v>
      </c>
      <c r="Y358" s="4" t="n">
        <v>0</v>
      </c>
      <c r="Z358" s="4" t="n">
        <v>0</v>
      </c>
      <c r="AA358" s="4" t="n">
        <v>0</v>
      </c>
      <c r="AB358" s="4">
        <f>SUM(Q358:Y358)-Z358</f>
        <v/>
      </c>
      <c r="AC358" s="4">
        <f>IF(I358="","",IF(OR(LEFT(I358,3)="BKK",I358="LCH55"),"BKK",IF(LEFT(I358,3)="LCH","LCH","OTHER")))</f>
        <v/>
      </c>
      <c r="AD358" s="4">
        <f>MAX(0,Q358-MAX(0,Z358))</f>
        <v/>
      </c>
      <c r="AE358" s="4">
        <f>MAX(0,R358-MAX(0,Z358-SUM(Q358:Q358)))</f>
        <v/>
      </c>
      <c r="AF358" s="4">
        <f>MAX(0,S358-MAX(0,Z358-SUM(Q358:R358)))</f>
        <v/>
      </c>
      <c r="AG358" s="4">
        <f>MAX(0,T358-MAX(0,Z358-SUM(Q358:S358)))</f>
        <v/>
      </c>
      <c r="AH358" s="4">
        <f>MAX(0,U358-MAX(0,Z358-SUM(Q358:T358)))</f>
        <v/>
      </c>
      <c r="AI358" s="4">
        <f>MAX(0,V358-MAX(0,Z358-SUM(Q358:U358)))</f>
        <v/>
      </c>
      <c r="AJ358" s="4">
        <f>MAX(0,W358-MAX(0,Z358-SUM(Q358:V358)))</f>
        <v/>
      </c>
      <c r="AK358" s="4">
        <f>MAX(0,X358-MAX(0,Z358-SUM(Q358:W358)))</f>
        <v/>
      </c>
      <c r="AL358" s="4">
        <f>MAX(0,Y358-MAX(0,Z358-SUM(Q358:X358)))</f>
        <v/>
      </c>
    </row>
    <row r="359">
      <c r="A359" s="4" t="inlineStr">
        <is>
          <t>HASLS22260902556</t>
        </is>
      </c>
      <c r="B359" s="4" t="inlineStr">
        <is>
          <t>SWBT</t>
        </is>
      </c>
      <c r="C359" s="4" t="inlineStr">
        <is>
          <t>2616N</t>
        </is>
      </c>
      <c r="D359" s="4" t="inlineStr">
        <is>
          <t>202610130600</t>
        </is>
      </c>
      <c r="E359" s="4" t="inlineStr"/>
      <c r="F359" s="4" t="inlineStr">
        <is>
          <t>THBKK</t>
        </is>
      </c>
      <c r="G359" s="4" t="inlineStr">
        <is>
          <t>KRPTK</t>
        </is>
      </c>
      <c r="H359" s="4" t="inlineStr">
        <is>
          <t xml:space="preserve">R40Hx1 </t>
        </is>
      </c>
      <c r="I359" s="4" t="inlineStr">
        <is>
          <t>BKK27</t>
        </is>
      </c>
      <c r="J359" s="4" t="inlineStr">
        <is>
          <t>B.C. DEPOT CO.,LTD. ( Bang-Na KM.18)</t>
        </is>
      </c>
      <c r="K359" s="4" t="inlineStr">
        <is>
          <t>20261006</t>
        </is>
      </c>
      <c r="L359" s="4" t="inlineStr">
        <is>
          <t>LAND SEA SKY CO., LTD.</t>
        </is>
      </c>
      <c r="M359" s="4" t="inlineStr">
        <is>
          <t>SAHA FARMS  INTERNATIONAL CO LTD</t>
        </is>
      </c>
      <c r="N359" s="4" t="inlineStr">
        <is>
          <t>FROZEN CHICKEN COOK</t>
        </is>
      </c>
      <c r="O359" s="4" t="inlineStr">
        <is>
          <t>(Temp -18.0℃ / Vent Close)</t>
        </is>
      </c>
      <c r="P359" s="4" t="inlineStr">
        <is>
          <t xml:space="preserve">Pickup : 2026-10-06, Return : 2026-10-10 (Temp -18.0 / Vent Close) 
CLS TIME : 11/10/2026 @08.00 </t>
        </is>
      </c>
      <c r="Q359" s="4" t="n">
        <v>0</v>
      </c>
      <c r="R359" s="4" t="n">
        <v>0</v>
      </c>
      <c r="S359" s="4" t="n">
        <v>0</v>
      </c>
      <c r="T359" s="4" t="n">
        <v>0</v>
      </c>
      <c r="U359" s="4" t="n">
        <v>1</v>
      </c>
      <c r="V359" s="4" t="n">
        <v>0</v>
      </c>
      <c r="W359" s="4" t="n">
        <v>0</v>
      </c>
      <c r="X359" s="4" t="n">
        <v>0</v>
      </c>
      <c r="Y359" s="4" t="n">
        <v>0</v>
      </c>
      <c r="Z359" s="4" t="n">
        <v>0</v>
      </c>
      <c r="AA359" s="4" t="n">
        <v>0</v>
      </c>
      <c r="AB359" s="4">
        <f>SUM(Q359:Y359)-Z359</f>
        <v/>
      </c>
      <c r="AC359" s="4">
        <f>IF(I359="","",IF(OR(LEFT(I359,3)="BKK",I359="LCH55"),"BKK",IF(LEFT(I359,3)="LCH","LCH","OTHER")))</f>
        <v/>
      </c>
      <c r="AD359" s="4">
        <f>MAX(0,Q359-MAX(0,Z359))</f>
        <v/>
      </c>
      <c r="AE359" s="4">
        <f>MAX(0,R359-MAX(0,Z359-SUM(Q359:Q359)))</f>
        <v/>
      </c>
      <c r="AF359" s="4">
        <f>MAX(0,S359-MAX(0,Z359-SUM(Q359:R359)))</f>
        <v/>
      </c>
      <c r="AG359" s="4">
        <f>MAX(0,T359-MAX(0,Z359-SUM(Q359:S359)))</f>
        <v/>
      </c>
      <c r="AH359" s="4">
        <f>MAX(0,U359-MAX(0,Z359-SUM(Q359:T359)))</f>
        <v/>
      </c>
      <c r="AI359" s="4">
        <f>MAX(0,V359-MAX(0,Z359-SUM(Q359:U359)))</f>
        <v/>
      </c>
      <c r="AJ359" s="4">
        <f>MAX(0,W359-MAX(0,Z359-SUM(Q359:V359)))</f>
        <v/>
      </c>
      <c r="AK359" s="4">
        <f>MAX(0,X359-MAX(0,Z359-SUM(Q359:W359)))</f>
        <v/>
      </c>
      <c r="AL359" s="4">
        <f>MAX(0,Y359-MAX(0,Z359-SUM(Q359:X359)))</f>
        <v/>
      </c>
    </row>
    <row r="360">
      <c r="A360" s="4" t="inlineStr">
        <is>
          <t>HASLS22260902557</t>
        </is>
      </c>
      <c r="B360" s="4" t="inlineStr">
        <is>
          <t>SWBT</t>
        </is>
      </c>
      <c r="C360" s="4" t="inlineStr">
        <is>
          <t>2616N</t>
        </is>
      </c>
      <c r="D360" s="4" t="inlineStr">
        <is>
          <t>202610130600</t>
        </is>
      </c>
      <c r="E360" s="4" t="inlineStr"/>
      <c r="F360" s="4" t="inlineStr">
        <is>
          <t>THBKK</t>
        </is>
      </c>
      <c r="G360" s="4" t="inlineStr">
        <is>
          <t>KRPUS</t>
        </is>
      </c>
      <c r="H360" s="4" t="inlineStr">
        <is>
          <t xml:space="preserve">R40Hx1 </t>
        </is>
      </c>
      <c r="I360" s="4" t="inlineStr">
        <is>
          <t>BKK27</t>
        </is>
      </c>
      <c r="J360" s="4" t="inlineStr">
        <is>
          <t>B.C. DEPOT CO.,LTD. ( Bang-Na KM.18)</t>
        </is>
      </c>
      <c r="K360" s="4" t="inlineStr">
        <is>
          <t>20261006</t>
        </is>
      </c>
      <c r="L360" s="4" t="inlineStr">
        <is>
          <t>LAND SEA SKY CO., LTD.</t>
        </is>
      </c>
      <c r="M360" s="4" t="inlineStr">
        <is>
          <t>SAHA FARMS  INTERNATIONAL CO LTD</t>
        </is>
      </c>
      <c r="N360" s="4" t="inlineStr">
        <is>
          <t>FROZEN CHICKEN COOK</t>
        </is>
      </c>
      <c r="O360" s="4" t="inlineStr">
        <is>
          <t>(Temp -18.0℃ / Vent Close)</t>
        </is>
      </c>
      <c r="P360" s="4" t="inlineStr">
        <is>
          <t xml:space="preserve">Pickup : 2026-10-06, Return : 2026-10-10 (Temp -18.0 / Vent Close) 
CLS TIME : 11/10/2026 @08.00 </t>
        </is>
      </c>
      <c r="Q360" s="4" t="n">
        <v>0</v>
      </c>
      <c r="R360" s="4" t="n">
        <v>0</v>
      </c>
      <c r="S360" s="4" t="n">
        <v>0</v>
      </c>
      <c r="T360" s="4" t="n">
        <v>0</v>
      </c>
      <c r="U360" s="4" t="n">
        <v>1</v>
      </c>
      <c r="V360" s="4" t="n">
        <v>0</v>
      </c>
      <c r="W360" s="4" t="n">
        <v>0</v>
      </c>
      <c r="X360" s="4" t="n">
        <v>0</v>
      </c>
      <c r="Y360" s="4" t="n">
        <v>0</v>
      </c>
      <c r="Z360" s="4" t="n">
        <v>0</v>
      </c>
      <c r="AA360" s="4" t="n">
        <v>0</v>
      </c>
      <c r="AB360" s="4">
        <f>SUM(Q360:Y360)-Z360</f>
        <v/>
      </c>
      <c r="AC360" s="4">
        <f>IF(I360="","",IF(OR(LEFT(I360,3)="BKK",I360="LCH55"),"BKK",IF(LEFT(I360,3)="LCH","LCH","OTHER")))</f>
        <v/>
      </c>
      <c r="AD360" s="4">
        <f>MAX(0,Q360-MAX(0,Z360))</f>
        <v/>
      </c>
      <c r="AE360" s="4">
        <f>MAX(0,R360-MAX(0,Z360-SUM(Q360:Q360)))</f>
        <v/>
      </c>
      <c r="AF360" s="4">
        <f>MAX(0,S360-MAX(0,Z360-SUM(Q360:R360)))</f>
        <v/>
      </c>
      <c r="AG360" s="4">
        <f>MAX(0,T360-MAX(0,Z360-SUM(Q360:S360)))</f>
        <v/>
      </c>
      <c r="AH360" s="4">
        <f>MAX(0,U360-MAX(0,Z360-SUM(Q360:T360)))</f>
        <v/>
      </c>
      <c r="AI360" s="4">
        <f>MAX(0,V360-MAX(0,Z360-SUM(Q360:U360)))</f>
        <v/>
      </c>
      <c r="AJ360" s="4">
        <f>MAX(0,W360-MAX(0,Z360-SUM(Q360:V360)))</f>
        <v/>
      </c>
      <c r="AK360" s="4">
        <f>MAX(0,X360-MAX(0,Z360-SUM(Q360:W360)))</f>
        <v/>
      </c>
      <c r="AL360" s="4">
        <f>MAX(0,Y360-MAX(0,Z360-SUM(Q360:X360)))</f>
        <v/>
      </c>
    </row>
    <row r="361">
      <c r="A361" s="4" t="inlineStr">
        <is>
          <t>HASLS22260902558</t>
        </is>
      </c>
      <c r="B361" s="4" t="inlineStr">
        <is>
          <t>SWBT</t>
        </is>
      </c>
      <c r="C361" s="4" t="inlineStr">
        <is>
          <t>2616N</t>
        </is>
      </c>
      <c r="D361" s="4" t="inlineStr">
        <is>
          <t>202610130600</t>
        </is>
      </c>
      <c r="E361" s="4" t="inlineStr"/>
      <c r="F361" s="4" t="inlineStr">
        <is>
          <t>THBKK</t>
        </is>
      </c>
      <c r="G361" s="4" t="inlineStr">
        <is>
          <t>KRPUS</t>
        </is>
      </c>
      <c r="H361" s="4" t="inlineStr">
        <is>
          <t xml:space="preserve">R40Hx1 </t>
        </is>
      </c>
      <c r="I361" s="4" t="inlineStr">
        <is>
          <t>BKK27</t>
        </is>
      </c>
      <c r="J361" s="4" t="inlineStr">
        <is>
          <t>B.C. DEPOT CO.,LTD. ( Bang-Na KM.18)</t>
        </is>
      </c>
      <c r="K361" s="4" t="inlineStr">
        <is>
          <t>20261006</t>
        </is>
      </c>
      <c r="L361" s="4" t="inlineStr">
        <is>
          <t>LAND SEA SKY CO., LTD.</t>
        </is>
      </c>
      <c r="M361" s="4" t="inlineStr">
        <is>
          <t>SAHA FARMS  INTERNATIONAL CO LTD</t>
        </is>
      </c>
      <c r="N361" s="4" t="inlineStr">
        <is>
          <t>FROZEN CHICKEN COOK</t>
        </is>
      </c>
      <c r="O361" s="4" t="inlineStr">
        <is>
          <t>(Temp -18.0℃ / Vent Close)</t>
        </is>
      </c>
      <c r="P361" s="4" t="inlineStr">
        <is>
          <t xml:space="preserve">Pickup : 2026-10-06, Return : 2026-10-10(Temp -18.0 / Vent Close) 
CLS TIME : 11/10/2026 @08.00 </t>
        </is>
      </c>
      <c r="Q361" s="4" t="n">
        <v>0</v>
      </c>
      <c r="R361" s="4" t="n">
        <v>0</v>
      </c>
      <c r="S361" s="4" t="n">
        <v>0</v>
      </c>
      <c r="T361" s="4" t="n">
        <v>0</v>
      </c>
      <c r="U361" s="4" t="n">
        <v>1</v>
      </c>
      <c r="V361" s="4" t="n">
        <v>0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>
        <f>SUM(Q361:Y361)-Z361</f>
        <v/>
      </c>
      <c r="AC361" s="4">
        <f>IF(I361="","",IF(OR(LEFT(I361,3)="BKK",I361="LCH55"),"BKK",IF(LEFT(I361,3)="LCH","LCH","OTHER")))</f>
        <v/>
      </c>
      <c r="AD361" s="4">
        <f>MAX(0,Q361-MAX(0,Z361))</f>
        <v/>
      </c>
      <c r="AE361" s="4">
        <f>MAX(0,R361-MAX(0,Z361-SUM(Q361:Q361)))</f>
        <v/>
      </c>
      <c r="AF361" s="4">
        <f>MAX(0,S361-MAX(0,Z361-SUM(Q361:R361)))</f>
        <v/>
      </c>
      <c r="AG361" s="4">
        <f>MAX(0,T361-MAX(0,Z361-SUM(Q361:S361)))</f>
        <v/>
      </c>
      <c r="AH361" s="4">
        <f>MAX(0,U361-MAX(0,Z361-SUM(Q361:T361)))</f>
        <v/>
      </c>
      <c r="AI361" s="4">
        <f>MAX(0,V361-MAX(0,Z361-SUM(Q361:U361)))</f>
        <v/>
      </c>
      <c r="AJ361" s="4">
        <f>MAX(0,W361-MAX(0,Z361-SUM(Q361:V361)))</f>
        <v/>
      </c>
      <c r="AK361" s="4">
        <f>MAX(0,X361-MAX(0,Z361-SUM(Q361:W361)))</f>
        <v/>
      </c>
      <c r="AL361" s="4">
        <f>MAX(0,Y361-MAX(0,Z361-SUM(Q361:X361)))</f>
        <v/>
      </c>
    </row>
    <row r="362">
      <c r="A362" s="4" t="inlineStr">
        <is>
          <t>HASLS22260902574</t>
        </is>
      </c>
      <c r="B362" s="4" t="inlineStr">
        <is>
          <t>NSSJ</t>
        </is>
      </c>
      <c r="C362" s="4" t="inlineStr">
        <is>
          <t>2608S</t>
        </is>
      </c>
      <c r="D362" s="4" t="inlineStr">
        <is>
          <t>202610201630</t>
        </is>
      </c>
      <c r="E362" s="4" t="inlineStr">
        <is>
          <t>THLKR</t>
        </is>
      </c>
      <c r="F362" s="4" t="inlineStr">
        <is>
          <t>THLCH</t>
        </is>
      </c>
      <c r="G362" s="4" t="inlineStr">
        <is>
          <t>IDJKT</t>
        </is>
      </c>
      <c r="H362" s="4" t="inlineStr">
        <is>
          <t xml:space="preserve">40Hx1 </t>
        </is>
      </c>
      <c r="I362" s="4" t="inlineStr">
        <is>
          <t>BKK27</t>
        </is>
      </c>
      <c r="J362" s="4" t="inlineStr">
        <is>
          <t>B.C. DEPOT CO.,LTD. ( Bang-Na KM.18)</t>
        </is>
      </c>
      <c r="K362" s="4" t="inlineStr">
        <is>
          <t>20261015</t>
        </is>
      </c>
      <c r="L362" s="4" t="inlineStr">
        <is>
          <t>ONE INTERFREIGHT CO., LTD.</t>
        </is>
      </c>
      <c r="M362" s="4" t="inlineStr">
        <is>
          <t>SIAM ORGANIC FOOD PRODUCTS CO., LTD.</t>
        </is>
      </c>
      <c r="N362" s="4" t="inlineStr">
        <is>
          <t>ORGANIC CANE JUICE POWDER</t>
        </is>
      </c>
      <c r="O362" s="4" t="inlineStr">
        <is>
          <t>GOOD AND CLEAN CONTAINER</t>
        </is>
      </c>
      <c r="P362" s="4" t="inlineStr">
        <is>
          <t xml:space="preserve">Pickup : 2026-10-15, Return : 2026-10-16 Paperless Code 2835
Closing Time LKB 2026-10-17 @ 15.00 </t>
        </is>
      </c>
      <c r="Q362" s="4" t="n">
        <v>0</v>
      </c>
      <c r="R362" s="4" t="n">
        <v>0</v>
      </c>
      <c r="S362" s="4" t="n">
        <v>1</v>
      </c>
      <c r="T362" s="4" t="n">
        <v>0</v>
      </c>
      <c r="U362" s="4" t="n">
        <v>0</v>
      </c>
      <c r="V362" s="4" t="n">
        <v>0</v>
      </c>
      <c r="W362" s="4" t="n">
        <v>0</v>
      </c>
      <c r="X362" s="4" t="n">
        <v>0</v>
      </c>
      <c r="Y362" s="4" t="n">
        <v>0</v>
      </c>
      <c r="Z362" s="4" t="n">
        <v>0</v>
      </c>
      <c r="AA362" s="4" t="n">
        <v>0</v>
      </c>
      <c r="AB362" s="4">
        <f>SUM(Q362:Y362)-Z362</f>
        <v/>
      </c>
      <c r="AC362" s="4">
        <f>IF(I362="","",IF(OR(LEFT(I362,3)="BKK",I362="LCH55"),"BKK",IF(LEFT(I362,3)="LCH","LCH","OTHER")))</f>
        <v/>
      </c>
      <c r="AD362" s="4">
        <f>MAX(0,Q362-MAX(0,Z362))</f>
        <v/>
      </c>
      <c r="AE362" s="4">
        <f>MAX(0,R362-MAX(0,Z362-SUM(Q362:Q362)))</f>
        <v/>
      </c>
      <c r="AF362" s="4">
        <f>MAX(0,S362-MAX(0,Z362-SUM(Q362:R362)))</f>
        <v/>
      </c>
      <c r="AG362" s="4">
        <f>MAX(0,T362-MAX(0,Z362-SUM(Q362:S362)))</f>
        <v/>
      </c>
      <c r="AH362" s="4">
        <f>MAX(0,U362-MAX(0,Z362-SUM(Q362:T362)))</f>
        <v/>
      </c>
      <c r="AI362" s="4">
        <f>MAX(0,V362-MAX(0,Z362-SUM(Q362:U362)))</f>
        <v/>
      </c>
      <c r="AJ362" s="4">
        <f>MAX(0,W362-MAX(0,Z362-SUM(Q362:V362)))</f>
        <v/>
      </c>
      <c r="AK362" s="4">
        <f>MAX(0,X362-MAX(0,Z362-SUM(Q362:W362)))</f>
        <v/>
      </c>
      <c r="AL362" s="4">
        <f>MAX(0,Y362-MAX(0,Z362-SUM(Q362:X362)))</f>
        <v/>
      </c>
    </row>
    <row r="363">
      <c r="A363" s="4" t="inlineStr">
        <is>
          <t>HASLS22260902582</t>
        </is>
      </c>
      <c r="B363" s="4" t="inlineStr">
        <is>
          <t>SWIC</t>
        </is>
      </c>
      <c r="C363" s="4" t="inlineStr">
        <is>
          <t>2611N</t>
        </is>
      </c>
      <c r="D363" s="4" t="inlineStr">
        <is>
          <t>202610130700</t>
        </is>
      </c>
      <c r="E363" s="4" t="inlineStr"/>
      <c r="F363" s="4" t="inlineStr">
        <is>
          <t>THBKK</t>
        </is>
      </c>
      <c r="G363" s="4" t="inlineStr">
        <is>
          <t>KRPUS</t>
        </is>
      </c>
      <c r="H363" s="4" t="inlineStr">
        <is>
          <t xml:space="preserve">40Hx1 </t>
        </is>
      </c>
      <c r="I363" s="4" t="inlineStr">
        <is>
          <t>BKK27</t>
        </is>
      </c>
      <c r="J363" s="4" t="inlineStr">
        <is>
          <t>B.C. DEPOT CO.,LTD. ( Bang-Na KM.18)</t>
        </is>
      </c>
      <c r="K363" s="4" t="inlineStr">
        <is>
          <t>20261003</t>
        </is>
      </c>
      <c r="L363" s="4" t="inlineStr">
        <is>
          <t>FM GLOBAL LOGISTICS CO., LTD.</t>
        </is>
      </c>
      <c r="M363" s="4" t="inlineStr">
        <is>
          <t>FM GLOBAL LOGISTICS CO., LTD.</t>
        </is>
      </c>
      <c r="N363" s="4" t="inlineStr">
        <is>
          <t>CORRUGATOR ADDITIVES</t>
        </is>
      </c>
      <c r="O363" s="4" t="inlineStr">
        <is>
          <t>GOOD AND CLEAN CONTAINER</t>
        </is>
      </c>
      <c r="P363" s="4" t="inlineStr">
        <is>
          <t xml:space="preserve">Pickup : 2026-10-03, Return : 2026-10-05 (1ST RTN 09/10 W/O RENT) 
 </t>
        </is>
      </c>
      <c r="Q363" s="4" t="n">
        <v>0</v>
      </c>
      <c r="R363" s="4" t="n">
        <v>0</v>
      </c>
      <c r="S363" s="4" t="n">
        <v>1</v>
      </c>
      <c r="T363" s="4" t="n">
        <v>0</v>
      </c>
      <c r="U363" s="4" t="n">
        <v>0</v>
      </c>
      <c r="V363" s="4" t="n">
        <v>0</v>
      </c>
      <c r="W363" s="4" t="n">
        <v>0</v>
      </c>
      <c r="X363" s="4" t="n">
        <v>0</v>
      </c>
      <c r="Y363" s="4" t="n">
        <v>0</v>
      </c>
      <c r="Z363" s="4" t="n">
        <v>0</v>
      </c>
      <c r="AA363" s="4" t="n">
        <v>0</v>
      </c>
      <c r="AB363" s="4">
        <f>SUM(Q363:Y363)-Z363</f>
        <v/>
      </c>
      <c r="AC363" s="4">
        <f>IF(I363="","",IF(OR(LEFT(I363,3)="BKK",I363="LCH55"),"BKK",IF(LEFT(I363,3)="LCH","LCH","OTHER")))</f>
        <v/>
      </c>
      <c r="AD363" s="4">
        <f>MAX(0,Q363-MAX(0,Z363))</f>
        <v/>
      </c>
      <c r="AE363" s="4">
        <f>MAX(0,R363-MAX(0,Z363-SUM(Q363:Q363)))</f>
        <v/>
      </c>
      <c r="AF363" s="4">
        <f>MAX(0,S363-MAX(0,Z363-SUM(Q363:R363)))</f>
        <v/>
      </c>
      <c r="AG363" s="4">
        <f>MAX(0,T363-MAX(0,Z363-SUM(Q363:S363)))</f>
        <v/>
      </c>
      <c r="AH363" s="4">
        <f>MAX(0,U363-MAX(0,Z363-SUM(Q363:T363)))</f>
        <v/>
      </c>
      <c r="AI363" s="4">
        <f>MAX(0,V363-MAX(0,Z363-SUM(Q363:U363)))</f>
        <v/>
      </c>
      <c r="AJ363" s="4">
        <f>MAX(0,W363-MAX(0,Z363-SUM(Q363:V363)))</f>
        <v/>
      </c>
      <c r="AK363" s="4">
        <f>MAX(0,X363-MAX(0,Z363-SUM(Q363:W363)))</f>
        <v/>
      </c>
      <c r="AL363" s="4">
        <f>MAX(0,Y363-MAX(0,Z363-SUM(Q363:X363)))</f>
        <v/>
      </c>
    </row>
    <row r="364">
      <c r="A364" s="4" t="inlineStr">
        <is>
          <t>HASLS22260902591</t>
        </is>
      </c>
      <c r="B364" s="4" t="inlineStr">
        <is>
          <t>KMGY</t>
        </is>
      </c>
      <c r="C364" s="4" t="inlineStr">
        <is>
          <t>2611N</t>
        </is>
      </c>
      <c r="D364" s="4" t="inlineStr">
        <is>
          <t>202610201000</t>
        </is>
      </c>
      <c r="E364" s="4" t="inlineStr"/>
      <c r="F364" s="4" t="inlineStr">
        <is>
          <t>THBKK</t>
        </is>
      </c>
      <c r="G364" s="4" t="inlineStr">
        <is>
          <t>CNXMN</t>
        </is>
      </c>
      <c r="H364" s="4" t="inlineStr">
        <is>
          <t xml:space="preserve">20'x5 </t>
        </is>
      </c>
      <c r="I364" s="4" t="inlineStr">
        <is>
          <t>BKK27</t>
        </is>
      </c>
      <c r="J364" s="4" t="inlineStr">
        <is>
          <t>B.C. DEPOT CO.,LTD. ( Bang-Na KM.18)</t>
        </is>
      </c>
      <c r="K364" s="4" t="inlineStr">
        <is>
          <t>20261014</t>
        </is>
      </c>
      <c r="L364" s="4" t="inlineStr">
        <is>
          <t>DMU LOGISTICS (THAILAND) CO.,LTD</t>
        </is>
      </c>
      <c r="M364" s="4" t="inlineStr">
        <is>
          <t>TAKO FOODS INDUSTRY CO., LTD.</t>
        </is>
      </c>
      <c r="N364" s="4" t="inlineStr">
        <is>
          <t>COCONUT WATER</t>
        </is>
      </c>
      <c r="O364" s="4" t="inlineStr">
        <is>
          <t>GOOD AND CLEAN CONTAINER</t>
        </is>
      </c>
      <c r="P364" s="4" t="inlineStr">
        <is>
          <t xml:space="preserve">Pickup : 2026-10-14, Return : 2026-10-16 
</t>
        </is>
      </c>
      <c r="Q364" s="4" t="n">
        <v>5</v>
      </c>
      <c r="R364" s="4" t="n">
        <v>0</v>
      </c>
      <c r="S364" s="4" t="n">
        <v>0</v>
      </c>
      <c r="T364" s="4" t="n">
        <v>0</v>
      </c>
      <c r="U364" s="4" t="n">
        <v>0</v>
      </c>
      <c r="V364" s="4" t="n">
        <v>0</v>
      </c>
      <c r="W364" s="4" t="n">
        <v>0</v>
      </c>
      <c r="X364" s="4" t="n">
        <v>0</v>
      </c>
      <c r="Y364" s="4" t="n">
        <v>0</v>
      </c>
      <c r="Z364" s="4" t="n">
        <v>0</v>
      </c>
      <c r="AA364" s="4" t="n">
        <v>0</v>
      </c>
      <c r="AB364" s="4">
        <f>SUM(Q364:Y364)-Z364</f>
        <v/>
      </c>
      <c r="AC364" s="4">
        <f>IF(I364="","",IF(OR(LEFT(I364,3)="BKK",I364="LCH55"),"BKK",IF(LEFT(I364,3)="LCH","LCH","OTHER")))</f>
        <v/>
      </c>
      <c r="AD364" s="4">
        <f>MAX(0,Q364-MAX(0,Z364))</f>
        <v/>
      </c>
      <c r="AE364" s="4">
        <f>MAX(0,R364-MAX(0,Z364-SUM(Q364:Q364)))</f>
        <v/>
      </c>
      <c r="AF364" s="4">
        <f>MAX(0,S364-MAX(0,Z364-SUM(Q364:R364)))</f>
        <v/>
      </c>
      <c r="AG364" s="4">
        <f>MAX(0,T364-MAX(0,Z364-SUM(Q364:S364)))</f>
        <v/>
      </c>
      <c r="AH364" s="4">
        <f>MAX(0,U364-MAX(0,Z364-SUM(Q364:T364)))</f>
        <v/>
      </c>
      <c r="AI364" s="4">
        <f>MAX(0,V364-MAX(0,Z364-SUM(Q364:U364)))</f>
        <v/>
      </c>
      <c r="AJ364" s="4">
        <f>MAX(0,W364-MAX(0,Z364-SUM(Q364:V364)))</f>
        <v/>
      </c>
      <c r="AK364" s="4">
        <f>MAX(0,X364-MAX(0,Z364-SUM(Q364:W364)))</f>
        <v/>
      </c>
      <c r="AL364" s="4">
        <f>MAX(0,Y364-MAX(0,Z364-SUM(Q364:X364)))</f>
        <v/>
      </c>
    </row>
    <row r="365">
      <c r="A365" s="4" t="inlineStr">
        <is>
          <t>HASLS22260902592</t>
        </is>
      </c>
      <c r="B365" s="4" t="inlineStr">
        <is>
          <t>KUS</t>
        </is>
      </c>
      <c r="C365" s="4" t="inlineStr">
        <is>
          <t>2616N</t>
        </is>
      </c>
      <c r="D365" s="4" t="inlineStr">
        <is>
          <t>202610141100</t>
        </is>
      </c>
      <c r="E365" s="4" t="inlineStr"/>
      <c r="F365" s="4" t="inlineStr">
        <is>
          <t>THBKK</t>
        </is>
      </c>
      <c r="G365" s="4" t="inlineStr">
        <is>
          <t>KRINC</t>
        </is>
      </c>
      <c r="H365" s="4" t="inlineStr">
        <is>
          <t xml:space="preserve">R40Hx1 </t>
        </is>
      </c>
      <c r="I365" s="4" t="inlineStr">
        <is>
          <t>BKK27</t>
        </is>
      </c>
      <c r="J365" s="4" t="inlineStr">
        <is>
          <t>B.C. DEPOT CO.,LTD. ( Bang-Na KM.18)</t>
        </is>
      </c>
      <c r="K365" s="4" t="inlineStr">
        <is>
          <t>20261012</t>
        </is>
      </c>
      <c r="L365" s="4" t="inlineStr">
        <is>
          <t>ITL SERVICES AND LOGISTICS CO., LTD.</t>
        </is>
      </c>
      <c r="M365" s="4" t="inlineStr">
        <is>
          <t>YUNE INTERTRADE CO.,LTD.</t>
        </is>
      </c>
      <c r="N365" s="4" t="inlineStr">
        <is>
          <t>PINEAPPLE ICE / MELON / COCONUT</t>
        </is>
      </c>
      <c r="O365" s="4" t="inlineStr">
        <is>
          <t>*PRE-COOL* RF45REx1 (Temp -25.0℃ / Vent Close) FOOD GRADE CONTAINER</t>
        </is>
      </c>
      <c r="P365" s="4" t="inlineStr">
        <is>
          <t xml:space="preserve">Pickup : 2026-10-12, Return : 2026-10-12 (Temp -25.0 / Vent Close) *PRE-COOL*
 PRE-COOL COST 1,200 BAHT // CLS TIME 13/10 @04.00 </t>
        </is>
      </c>
      <c r="Q365" s="4" t="n">
        <v>0</v>
      </c>
      <c r="R365" s="4" t="n">
        <v>0</v>
      </c>
      <c r="S365" s="4" t="n">
        <v>0</v>
      </c>
      <c r="T365" s="4" t="n">
        <v>0</v>
      </c>
      <c r="U365" s="4" t="n">
        <v>1</v>
      </c>
      <c r="V365" s="4" t="n">
        <v>0</v>
      </c>
      <c r="W365" s="4" t="n">
        <v>0</v>
      </c>
      <c r="X365" s="4" t="n">
        <v>0</v>
      </c>
      <c r="Y365" s="4" t="n">
        <v>0</v>
      </c>
      <c r="Z365" s="4" t="n">
        <v>0</v>
      </c>
      <c r="AA365" s="4" t="n">
        <v>0</v>
      </c>
      <c r="AB365" s="4">
        <f>SUM(Q365:Y365)-Z365</f>
        <v/>
      </c>
      <c r="AC365" s="4">
        <f>IF(I365="","",IF(OR(LEFT(I365,3)="BKK",I365="LCH55"),"BKK",IF(LEFT(I365,3)="LCH","LCH","OTHER")))</f>
        <v/>
      </c>
      <c r="AD365" s="4">
        <f>MAX(0,Q365-MAX(0,Z365))</f>
        <v/>
      </c>
      <c r="AE365" s="4">
        <f>MAX(0,R365-MAX(0,Z365-SUM(Q365:Q365)))</f>
        <v/>
      </c>
      <c r="AF365" s="4">
        <f>MAX(0,S365-MAX(0,Z365-SUM(Q365:R365)))</f>
        <v/>
      </c>
      <c r="AG365" s="4">
        <f>MAX(0,T365-MAX(0,Z365-SUM(Q365:S365)))</f>
        <v/>
      </c>
      <c r="AH365" s="4">
        <f>MAX(0,U365-MAX(0,Z365-SUM(Q365:T365)))</f>
        <v/>
      </c>
      <c r="AI365" s="4">
        <f>MAX(0,V365-MAX(0,Z365-SUM(Q365:U365)))</f>
        <v/>
      </c>
      <c r="AJ365" s="4">
        <f>MAX(0,W365-MAX(0,Z365-SUM(Q365:V365)))</f>
        <v/>
      </c>
      <c r="AK365" s="4">
        <f>MAX(0,X365-MAX(0,Z365-SUM(Q365:W365)))</f>
        <v/>
      </c>
      <c r="AL365" s="4">
        <f>MAX(0,Y365-MAX(0,Z365-SUM(Q365:X365)))</f>
        <v/>
      </c>
    </row>
    <row r="366">
      <c r="A366" s="4" t="inlineStr">
        <is>
          <t>HASLS22260902609</t>
        </is>
      </c>
      <c r="B366" s="4" t="inlineStr">
        <is>
          <t>SWMM</t>
        </is>
      </c>
      <c r="C366" s="4" t="inlineStr">
        <is>
          <t>2610N</t>
        </is>
      </c>
      <c r="D366" s="4" t="inlineStr">
        <is>
          <t>202610210400</t>
        </is>
      </c>
      <c r="E366" s="4" t="inlineStr"/>
      <c r="F366" s="4" t="inlineStr">
        <is>
          <t>THBKK</t>
        </is>
      </c>
      <c r="G366" s="4" t="inlineStr">
        <is>
          <t>VNSGN</t>
        </is>
      </c>
      <c r="H366" s="4" t="inlineStr">
        <is>
          <t xml:space="preserve">40Hx10 </t>
        </is>
      </c>
      <c r="I366" s="4" t="inlineStr">
        <is>
          <t>BKK27</t>
        </is>
      </c>
      <c r="J366" s="4" t="inlineStr">
        <is>
          <t>B.C. DEPOT CO.,LTD. ( Bang-Na KM.18)</t>
        </is>
      </c>
      <c r="K366" s="4" t="inlineStr">
        <is>
          <t>20261015</t>
        </is>
      </c>
      <c r="L366" s="4" t="inlineStr">
        <is>
          <t>BIRLA CARBON (THAILAND) PUBLIC COMPANY LIMITED</t>
        </is>
      </c>
      <c r="M366" s="4" t="inlineStr">
        <is>
          <t>BIRLA CARBON (THAILAND) PUBLIC COMPANY LIMITED</t>
        </is>
      </c>
      <c r="N366" s="4" t="inlineStr">
        <is>
          <t>CABON BLACK</t>
        </is>
      </c>
      <c r="O366" s="4" t="inlineStr">
        <is>
          <t>*Clean container / No rust / No hole / No sharp surface inside areas in containe</t>
        </is>
      </c>
      <c r="P366" s="4" t="inlineStr">
        <is>
          <t>Pickup : 2026-10-15, Return : 2026-10-16 (1ST RTN DD: 17/10/26 WO/RENT)</t>
        </is>
      </c>
      <c r="Q366" s="4" t="n">
        <v>0</v>
      </c>
      <c r="R366" s="4" t="n">
        <v>0</v>
      </c>
      <c r="S366" s="4" t="n">
        <v>10</v>
      </c>
      <c r="T366" s="4" t="n">
        <v>0</v>
      </c>
      <c r="U366" s="4" t="n">
        <v>0</v>
      </c>
      <c r="V366" s="4" t="n">
        <v>0</v>
      </c>
      <c r="W366" s="4" t="n">
        <v>0</v>
      </c>
      <c r="X366" s="4" t="n">
        <v>0</v>
      </c>
      <c r="Y366" s="4" t="n">
        <v>0</v>
      </c>
      <c r="Z366" s="4" t="n">
        <v>0</v>
      </c>
      <c r="AA366" s="4" t="n">
        <v>0</v>
      </c>
      <c r="AB366" s="4">
        <f>SUM(Q366:Y366)-Z366</f>
        <v/>
      </c>
      <c r="AC366" s="4">
        <f>IF(I366="","",IF(OR(LEFT(I366,3)="BKK",I366="LCH55"),"BKK",IF(LEFT(I366,3)="LCH","LCH","OTHER")))</f>
        <v/>
      </c>
      <c r="AD366" s="4">
        <f>MAX(0,Q366-MAX(0,Z366))</f>
        <v/>
      </c>
      <c r="AE366" s="4">
        <f>MAX(0,R366-MAX(0,Z366-SUM(Q366:Q366)))</f>
        <v/>
      </c>
      <c r="AF366" s="4">
        <f>MAX(0,S366-MAX(0,Z366-SUM(Q366:R366)))</f>
        <v/>
      </c>
      <c r="AG366" s="4">
        <f>MAX(0,T366-MAX(0,Z366-SUM(Q366:S366)))</f>
        <v/>
      </c>
      <c r="AH366" s="4">
        <f>MAX(0,U366-MAX(0,Z366-SUM(Q366:T366)))</f>
        <v/>
      </c>
      <c r="AI366" s="4">
        <f>MAX(0,V366-MAX(0,Z366-SUM(Q366:U366)))</f>
        <v/>
      </c>
      <c r="AJ366" s="4">
        <f>MAX(0,W366-MAX(0,Z366-SUM(Q366:V366)))</f>
        <v/>
      </c>
      <c r="AK366" s="4">
        <f>MAX(0,X366-MAX(0,Z366-SUM(Q366:W366)))</f>
        <v/>
      </c>
      <c r="AL366" s="4">
        <f>MAX(0,Y366-MAX(0,Z366-SUM(Q366:X366)))</f>
        <v/>
      </c>
    </row>
    <row r="367">
      <c r="A367" s="4" t="inlineStr">
        <is>
          <t>HASLS22260902611</t>
        </is>
      </c>
      <c r="B367" s="4" t="inlineStr">
        <is>
          <t>SWAL</t>
        </is>
      </c>
      <c r="C367" s="4" t="inlineStr">
        <is>
          <t>2609N</t>
        </is>
      </c>
      <c r="D367" s="4" t="inlineStr">
        <is>
          <t>202610191500</t>
        </is>
      </c>
      <c r="E367" s="4" t="inlineStr"/>
      <c r="F367" s="4" t="inlineStr">
        <is>
          <t>THBKK</t>
        </is>
      </c>
      <c r="G367" s="4" t="inlineStr">
        <is>
          <t>KRINC</t>
        </is>
      </c>
      <c r="H367" s="4" t="inlineStr">
        <is>
          <t xml:space="preserve">20'x1 </t>
        </is>
      </c>
      <c r="I367" s="4" t="inlineStr">
        <is>
          <t>BKK27</t>
        </is>
      </c>
      <c r="J367" s="4" t="inlineStr">
        <is>
          <t>B.C. DEPOT CO.,LTD. ( Bang-Na KM.18)</t>
        </is>
      </c>
      <c r="K367" s="4" t="inlineStr">
        <is>
          <t>20261016</t>
        </is>
      </c>
      <c r="L367" s="4" t="inlineStr">
        <is>
          <t>CELESTIAL XPRESS LOGISTICS (THAILAND) CO., LTD.</t>
        </is>
      </c>
      <c r="M367" s="4" t="inlineStr">
        <is>
          <t>UNICORD PUBLIC COMPANY LIMITED</t>
        </is>
      </c>
      <c r="N367" s="4" t="inlineStr">
        <is>
          <t>PET FOOD</t>
        </is>
      </c>
      <c r="O367" s="4" t="inlineStr">
        <is>
          <t>GOOD AND CLEAN CONTAINER</t>
        </is>
      </c>
      <c r="P367" s="4" t="inlineStr">
        <is>
          <t xml:space="preserve">Pickup : 2026-10-16, Return : 2026-10-17 // EXTEND CLS TIME 17/09 @23.59 </t>
        </is>
      </c>
      <c r="Q367" s="4" t="n">
        <v>1</v>
      </c>
      <c r="R367" s="4" t="n">
        <v>0</v>
      </c>
      <c r="S367" s="4" t="n">
        <v>0</v>
      </c>
      <c r="T367" s="4" t="n">
        <v>0</v>
      </c>
      <c r="U367" s="4" t="n">
        <v>0</v>
      </c>
      <c r="V367" s="4" t="n">
        <v>0</v>
      </c>
      <c r="W367" s="4" t="n">
        <v>0</v>
      </c>
      <c r="X367" s="4" t="n">
        <v>0</v>
      </c>
      <c r="Y367" s="4" t="n">
        <v>0</v>
      </c>
      <c r="Z367" s="4" t="n">
        <v>0</v>
      </c>
      <c r="AA367" s="4" t="n">
        <v>0</v>
      </c>
      <c r="AB367" s="4">
        <f>SUM(Q367:Y367)-Z367</f>
        <v/>
      </c>
      <c r="AC367" s="4">
        <f>IF(I367="","",IF(OR(LEFT(I367,3)="BKK",I367="LCH55"),"BKK",IF(LEFT(I367,3)="LCH","LCH","OTHER")))</f>
        <v/>
      </c>
      <c r="AD367" s="4">
        <f>MAX(0,Q367-MAX(0,Z367))</f>
        <v/>
      </c>
      <c r="AE367" s="4">
        <f>MAX(0,R367-MAX(0,Z367-SUM(Q367:Q367)))</f>
        <v/>
      </c>
      <c r="AF367" s="4">
        <f>MAX(0,S367-MAX(0,Z367-SUM(Q367:R367)))</f>
        <v/>
      </c>
      <c r="AG367" s="4">
        <f>MAX(0,T367-MAX(0,Z367-SUM(Q367:S367)))</f>
        <v/>
      </c>
      <c r="AH367" s="4">
        <f>MAX(0,U367-MAX(0,Z367-SUM(Q367:T367)))</f>
        <v/>
      </c>
      <c r="AI367" s="4">
        <f>MAX(0,V367-MAX(0,Z367-SUM(Q367:U367)))</f>
        <v/>
      </c>
      <c r="AJ367" s="4">
        <f>MAX(0,W367-MAX(0,Z367-SUM(Q367:V367)))</f>
        <v/>
      </c>
      <c r="AK367" s="4">
        <f>MAX(0,X367-MAX(0,Z367-SUM(Q367:W367)))</f>
        <v/>
      </c>
      <c r="AL367" s="4">
        <f>MAX(0,Y367-MAX(0,Z367-SUM(Q367:X367)))</f>
        <v/>
      </c>
    </row>
    <row r="368">
      <c r="A368" s="4" t="inlineStr">
        <is>
          <t>HASLS22260802276</t>
        </is>
      </c>
      <c r="B368" s="4" t="inlineStr">
        <is>
          <t>SWAT</t>
        </is>
      </c>
      <c r="C368" s="4" t="inlineStr">
        <is>
          <t>2610N</t>
        </is>
      </c>
      <c r="D368" s="4" t="inlineStr">
        <is>
          <t>202610081000</t>
        </is>
      </c>
      <c r="E368" s="4" t="inlineStr"/>
      <c r="F368" s="4" t="inlineStr">
        <is>
          <t>THLCH</t>
        </is>
      </c>
      <c r="G368" s="4" t="inlineStr">
        <is>
          <t>TWKEL</t>
        </is>
      </c>
      <c r="H368" s="4" t="inlineStr">
        <is>
          <t xml:space="preserve">20'x1 </t>
        </is>
      </c>
      <c r="I368" s="4" t="inlineStr">
        <is>
          <t>LCH28</t>
        </is>
      </c>
      <c r="J368" s="4" t="inlineStr">
        <is>
          <t>CELLO</t>
        </is>
      </c>
      <c r="K368" s="4" t="inlineStr">
        <is>
          <t>20261003</t>
        </is>
      </c>
      <c r="L368" s="4" t="inlineStr">
        <is>
          <t>COSMO LOGISTICS CO., LTD.</t>
        </is>
      </c>
      <c r="M368" s="4" t="inlineStr">
        <is>
          <t>L. LIGHTING GLASS CO., LTD.</t>
        </is>
      </c>
      <c r="N368" s="4" t="inlineStr">
        <is>
          <t>GLASS TUBES FOR ELECTRIC LIGHTING</t>
        </is>
      </c>
      <c r="O368" s="4" t="inlineStr">
        <is>
          <t>GOOD AND CLEAN CONTAINER</t>
        </is>
      </c>
      <c r="P368" s="4" t="inlineStr">
        <is>
          <t xml:space="preserve">Pickup : 2026-10-03, Return : 2026-10-03 
 ** PLEASE CHECK OPEN GATE BEFORE RETURN CNTR **
</t>
        </is>
      </c>
      <c r="Q368" s="4" t="n">
        <v>1</v>
      </c>
      <c r="R368" s="4" t="n">
        <v>0</v>
      </c>
      <c r="S368" s="4" t="n">
        <v>0</v>
      </c>
      <c r="T368" s="4" t="n">
        <v>0</v>
      </c>
      <c r="U368" s="4" t="n">
        <v>0</v>
      </c>
      <c r="V368" s="4" t="n">
        <v>0</v>
      </c>
      <c r="W368" s="4" t="n">
        <v>0</v>
      </c>
      <c r="X368" s="4" t="n">
        <v>0</v>
      </c>
      <c r="Y368" s="4" t="n">
        <v>0</v>
      </c>
      <c r="Z368" s="4" t="n">
        <v>0</v>
      </c>
      <c r="AA368" s="4" t="n">
        <v>0</v>
      </c>
      <c r="AB368" s="4">
        <f>SUM(Q368:Y368)-Z368</f>
        <v/>
      </c>
      <c r="AC368" s="4">
        <f>IF(I368="","",IF(OR(LEFT(I368,3)="BKK",I368="LCH55"),"BKK",IF(LEFT(I368,3)="LCH","LCH","OTHER")))</f>
        <v/>
      </c>
      <c r="AD368" s="4">
        <f>MAX(0,Q368-MAX(0,Z368))</f>
        <v/>
      </c>
      <c r="AE368" s="4">
        <f>MAX(0,R368-MAX(0,Z368-SUM(Q368:Q368)))</f>
        <v/>
      </c>
      <c r="AF368" s="4">
        <f>MAX(0,S368-MAX(0,Z368-SUM(Q368:R368)))</f>
        <v/>
      </c>
      <c r="AG368" s="4">
        <f>MAX(0,T368-MAX(0,Z368-SUM(Q368:S368)))</f>
        <v/>
      </c>
      <c r="AH368" s="4">
        <f>MAX(0,U368-MAX(0,Z368-SUM(Q368:T368)))</f>
        <v/>
      </c>
      <c r="AI368" s="4">
        <f>MAX(0,V368-MAX(0,Z368-SUM(Q368:U368)))</f>
        <v/>
      </c>
      <c r="AJ368" s="4">
        <f>MAX(0,W368-MAX(0,Z368-SUM(Q368:V368)))</f>
        <v/>
      </c>
      <c r="AK368" s="4">
        <f>MAX(0,X368-MAX(0,Z368-SUM(Q368:W368)))</f>
        <v/>
      </c>
      <c r="AL368" s="4">
        <f>MAX(0,Y368-MAX(0,Z368-SUM(Q368:X368)))</f>
        <v/>
      </c>
    </row>
    <row r="369">
      <c r="A369" s="4" t="inlineStr">
        <is>
          <t>HASLS22260802361</t>
        </is>
      </c>
      <c r="B369" s="4" t="inlineStr">
        <is>
          <t>SWRG</t>
        </is>
      </c>
      <c r="C369" s="4" t="inlineStr">
        <is>
          <t>2609N</t>
        </is>
      </c>
      <c r="D369" s="4" t="inlineStr">
        <is>
          <t>202610131130</t>
        </is>
      </c>
      <c r="E369" s="4" t="inlineStr"/>
      <c r="F369" s="4" t="inlineStr">
        <is>
          <t>THLCH</t>
        </is>
      </c>
      <c r="G369" s="4" t="inlineStr">
        <is>
          <t>JPTYO</t>
        </is>
      </c>
      <c r="H369" s="4" t="inlineStr">
        <is>
          <t xml:space="preserve">40Hx3 </t>
        </is>
      </c>
      <c r="I369" s="4" t="inlineStr">
        <is>
          <t>LCH28</t>
        </is>
      </c>
      <c r="J369" s="4" t="inlineStr">
        <is>
          <t>CELLO</t>
        </is>
      </c>
      <c r="K369" s="4" t="inlineStr">
        <is>
          <t>20260923</t>
        </is>
      </c>
      <c r="L369" s="4" t="inlineStr">
        <is>
          <t>WHA GC LOGISTICS COMPANY LIMITED</t>
        </is>
      </c>
      <c r="M369" s="4" t="inlineStr">
        <is>
          <t>PTT GLOBAL CHEMICAL PUBLIC COMPANY LIMITED</t>
        </is>
      </c>
      <c r="N369" s="4" t="inlineStr">
        <is>
          <t>RESIN</t>
        </is>
      </c>
      <c r="O369" s="4" t="inlineStr">
        <is>
          <t>GOOD AND CLEAN CTNR</t>
        </is>
      </c>
      <c r="P369" s="4" t="inlineStr">
        <is>
          <t>CY-RTN 23-27/09/26
*PLS CHECK OPEN GATE BEFORE RETURN CTNR*</t>
        </is>
      </c>
      <c r="Q369" s="4" t="n">
        <v>0</v>
      </c>
      <c r="R369" s="4" t="n">
        <v>0</v>
      </c>
      <c r="S369" s="4" t="n">
        <v>3</v>
      </c>
      <c r="T369" s="4" t="n">
        <v>0</v>
      </c>
      <c r="U369" s="4" t="n">
        <v>0</v>
      </c>
      <c r="V369" s="4" t="n">
        <v>0</v>
      </c>
      <c r="W369" s="4" t="n">
        <v>0</v>
      </c>
      <c r="X369" s="4" t="n">
        <v>0</v>
      </c>
      <c r="Y369" s="4" t="n">
        <v>0</v>
      </c>
      <c r="Z369" s="4" t="n">
        <v>0</v>
      </c>
      <c r="AA369" s="4" t="n">
        <v>0</v>
      </c>
      <c r="AB369" s="4">
        <f>SUM(Q369:Y369)-Z369</f>
        <v/>
      </c>
      <c r="AC369" s="4">
        <f>IF(I369="","",IF(OR(LEFT(I369,3)="BKK",I369="LCH55"),"BKK",IF(LEFT(I369,3)="LCH","LCH","OTHER")))</f>
        <v/>
      </c>
      <c r="AD369" s="4">
        <f>MAX(0,Q369-MAX(0,Z369))</f>
        <v/>
      </c>
      <c r="AE369" s="4">
        <f>MAX(0,R369-MAX(0,Z369-SUM(Q369:Q369)))</f>
        <v/>
      </c>
      <c r="AF369" s="4">
        <f>MAX(0,S369-MAX(0,Z369-SUM(Q369:R369)))</f>
        <v/>
      </c>
      <c r="AG369" s="4">
        <f>MAX(0,T369-MAX(0,Z369-SUM(Q369:S369)))</f>
        <v/>
      </c>
      <c r="AH369" s="4">
        <f>MAX(0,U369-MAX(0,Z369-SUM(Q369:T369)))</f>
        <v/>
      </c>
      <c r="AI369" s="4">
        <f>MAX(0,V369-MAX(0,Z369-SUM(Q369:U369)))</f>
        <v/>
      </c>
      <c r="AJ369" s="4">
        <f>MAX(0,W369-MAX(0,Z369-SUM(Q369:V369)))</f>
        <v/>
      </c>
      <c r="AK369" s="4">
        <f>MAX(0,X369-MAX(0,Z369-SUM(Q369:W369)))</f>
        <v/>
      </c>
      <c r="AL369" s="4">
        <f>MAX(0,Y369-MAX(0,Z369-SUM(Q369:X369)))</f>
        <v/>
      </c>
    </row>
    <row r="370">
      <c r="A370" s="4" t="inlineStr">
        <is>
          <t>HASLS22260802485</t>
        </is>
      </c>
      <c r="B370" s="4" t="inlineStr">
        <is>
          <t>HMVY</t>
        </is>
      </c>
      <c r="C370" s="4" t="inlineStr">
        <is>
          <t>2609N</t>
        </is>
      </c>
      <c r="D370" s="4" t="inlineStr">
        <is>
          <t>202610200330</t>
        </is>
      </c>
      <c r="E370" s="4" t="inlineStr"/>
      <c r="F370" s="4" t="inlineStr">
        <is>
          <t>THLCH</t>
        </is>
      </c>
      <c r="G370" s="4" t="inlineStr">
        <is>
          <t>JPIYM</t>
        </is>
      </c>
      <c r="H370" s="4" t="inlineStr">
        <is>
          <t xml:space="preserve">20'x2 </t>
        </is>
      </c>
      <c r="I370" s="4" t="inlineStr">
        <is>
          <t>LCH28</t>
        </is>
      </c>
      <c r="J370" s="4" t="inlineStr">
        <is>
          <t>CELLO</t>
        </is>
      </c>
      <c r="K370" s="4" t="inlineStr">
        <is>
          <t>20261007</t>
        </is>
      </c>
      <c r="L370" s="4" t="inlineStr">
        <is>
          <t>WHA GC LOGISTICS COMPANY LIMITED</t>
        </is>
      </c>
      <c r="M370" s="4" t="inlineStr">
        <is>
          <t>PTT GLOBAL CHEMICAL PUBLIC COMPANY LIMITED</t>
        </is>
      </c>
      <c r="N370" s="4" t="inlineStr">
        <is>
          <t>RESIN</t>
        </is>
      </c>
      <c r="O370" s="4" t="inlineStr">
        <is>
          <t>GOOD AND CLEAN CTNR</t>
        </is>
      </c>
      <c r="P370" s="4" t="inlineStr">
        <is>
          <t xml:space="preserve">CY-RTN 07-12/10/26 </t>
        </is>
      </c>
      <c r="Q370" s="4" t="n">
        <v>2</v>
      </c>
      <c r="R370" s="4" t="n">
        <v>0</v>
      </c>
      <c r="S370" s="4" t="n">
        <v>0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>
        <f>SUM(Q370:Y370)-Z370</f>
        <v/>
      </c>
      <c r="AC370" s="4">
        <f>IF(I370="","",IF(OR(LEFT(I370,3)="BKK",I370="LCH55"),"BKK",IF(LEFT(I370,3)="LCH","LCH","OTHER")))</f>
        <v/>
      </c>
      <c r="AD370" s="4">
        <f>MAX(0,Q370-MAX(0,Z370))</f>
        <v/>
      </c>
      <c r="AE370" s="4">
        <f>MAX(0,R370-MAX(0,Z370-SUM(Q370:Q370)))</f>
        <v/>
      </c>
      <c r="AF370" s="4">
        <f>MAX(0,S370-MAX(0,Z370-SUM(Q370:R370)))</f>
        <v/>
      </c>
      <c r="AG370" s="4">
        <f>MAX(0,T370-MAX(0,Z370-SUM(Q370:S370)))</f>
        <v/>
      </c>
      <c r="AH370" s="4">
        <f>MAX(0,U370-MAX(0,Z370-SUM(Q370:T370)))</f>
        <v/>
      </c>
      <c r="AI370" s="4">
        <f>MAX(0,V370-MAX(0,Z370-SUM(Q370:U370)))</f>
        <v/>
      </c>
      <c r="AJ370" s="4">
        <f>MAX(0,W370-MAX(0,Z370-SUM(Q370:V370)))</f>
        <v/>
      </c>
      <c r="AK370" s="4">
        <f>MAX(0,X370-MAX(0,Z370-SUM(Q370:W370)))</f>
        <v/>
      </c>
      <c r="AL370" s="4">
        <f>MAX(0,Y370-MAX(0,Z370-SUM(Q370:X370)))</f>
        <v/>
      </c>
    </row>
    <row r="371">
      <c r="A371" s="4" t="inlineStr">
        <is>
          <t>HASLS22260900838</t>
        </is>
      </c>
      <c r="B371" s="4" t="inlineStr">
        <is>
          <t>SWRG</t>
        </is>
      </c>
      <c r="C371" s="4" t="inlineStr">
        <is>
          <t>2609N</t>
        </is>
      </c>
      <c r="D371" s="4" t="inlineStr">
        <is>
          <t>202610131130</t>
        </is>
      </c>
      <c r="E371" s="4" t="inlineStr"/>
      <c r="F371" s="4" t="inlineStr">
        <is>
          <t>THLCH</t>
        </is>
      </c>
      <c r="G371" s="4" t="inlineStr">
        <is>
          <t>JPNAH</t>
        </is>
      </c>
      <c r="H371" s="4" t="inlineStr">
        <is>
          <t xml:space="preserve">20'x2 </t>
        </is>
      </c>
      <c r="I371" s="4" t="inlineStr">
        <is>
          <t>LCH28</t>
        </is>
      </c>
      <c r="J371" s="4" t="inlineStr">
        <is>
          <t>CELLO</t>
        </is>
      </c>
      <c r="K371" s="4" t="inlineStr">
        <is>
          <t>20260930</t>
        </is>
      </c>
      <c r="L371" s="4" t="inlineStr">
        <is>
          <t>SCGJWD LOGISTICS PUBLIC COMPANY LIMITED</t>
        </is>
      </c>
      <c r="M371" s="4" t="inlineStr">
        <is>
          <t>THAI POLYETHYLENE CO., LTD.</t>
        </is>
      </c>
      <c r="N371" s="4" t="inlineStr">
        <is>
          <t>RESIN</t>
        </is>
      </c>
      <c r="O371" s="4" t="inlineStr">
        <is>
          <t>RESIN-PALLET,NO RED WALL CONTAINER,CLEAN CONTAINER NO OIL STAINS , NO RUSTY ,NO CUT OR HOLE</t>
        </is>
      </c>
      <c r="P371" s="4" t="inlineStr">
        <is>
          <t xml:space="preserve">CY 30/09/26 , RTN 02/10/26 (  INV  3031061819 ) </t>
        </is>
      </c>
      <c r="Q371" s="4" t="n">
        <v>2</v>
      </c>
      <c r="R371" s="4" t="n">
        <v>0</v>
      </c>
      <c r="S371" s="4" t="n">
        <v>0</v>
      </c>
      <c r="T371" s="4" t="n">
        <v>0</v>
      </c>
      <c r="U371" s="4" t="n">
        <v>0</v>
      </c>
      <c r="V371" s="4" t="n">
        <v>0</v>
      </c>
      <c r="W371" s="4" t="n">
        <v>0</v>
      </c>
      <c r="X371" s="4" t="n">
        <v>0</v>
      </c>
      <c r="Y371" s="4" t="n">
        <v>0</v>
      </c>
      <c r="Z371" s="4" t="n">
        <v>0</v>
      </c>
      <c r="AA371" s="4" t="n">
        <v>0</v>
      </c>
      <c r="AB371" s="4">
        <f>SUM(Q371:Y371)-Z371</f>
        <v/>
      </c>
      <c r="AC371" s="4">
        <f>IF(I371="","",IF(OR(LEFT(I371,3)="BKK",I371="LCH55"),"BKK",IF(LEFT(I371,3)="LCH","LCH","OTHER")))</f>
        <v/>
      </c>
      <c r="AD371" s="4">
        <f>MAX(0,Q371-MAX(0,Z371))</f>
        <v/>
      </c>
      <c r="AE371" s="4">
        <f>MAX(0,R371-MAX(0,Z371-SUM(Q371:Q371)))</f>
        <v/>
      </c>
      <c r="AF371" s="4">
        <f>MAX(0,S371-MAX(0,Z371-SUM(Q371:R371)))</f>
        <v/>
      </c>
      <c r="AG371" s="4">
        <f>MAX(0,T371-MAX(0,Z371-SUM(Q371:S371)))</f>
        <v/>
      </c>
      <c r="AH371" s="4">
        <f>MAX(0,U371-MAX(0,Z371-SUM(Q371:T371)))</f>
        <v/>
      </c>
      <c r="AI371" s="4">
        <f>MAX(0,V371-MAX(0,Z371-SUM(Q371:U371)))</f>
        <v/>
      </c>
      <c r="AJ371" s="4">
        <f>MAX(0,W371-MAX(0,Z371-SUM(Q371:V371)))</f>
        <v/>
      </c>
      <c r="AK371" s="4">
        <f>MAX(0,X371-MAX(0,Z371-SUM(Q371:W371)))</f>
        <v/>
      </c>
      <c r="AL371" s="4">
        <f>MAX(0,Y371-MAX(0,Z371-SUM(Q371:X371)))</f>
        <v/>
      </c>
    </row>
    <row r="372">
      <c r="A372" s="4" t="inlineStr">
        <is>
          <t>HASLS22260900975</t>
        </is>
      </c>
      <c r="B372" s="4" t="inlineStr">
        <is>
          <t>KMSU</t>
        </is>
      </c>
      <c r="C372" s="4" t="inlineStr">
        <is>
          <t>2608S</t>
        </is>
      </c>
      <c r="D372" s="4" t="inlineStr">
        <is>
          <t>202610251730</t>
        </is>
      </c>
      <c r="E372" s="4" t="inlineStr"/>
      <c r="F372" s="4" t="inlineStr">
        <is>
          <t>THLCH</t>
        </is>
      </c>
      <c r="G372" s="4" t="inlineStr">
        <is>
          <t>IDJKT</t>
        </is>
      </c>
      <c r="H372" s="4" t="inlineStr">
        <is>
          <t xml:space="preserve">20'x2 </t>
        </is>
      </c>
      <c r="I372" s="4" t="inlineStr">
        <is>
          <t>LCH28</t>
        </is>
      </c>
      <c r="J372" s="4" t="inlineStr">
        <is>
          <t>CELLO</t>
        </is>
      </c>
      <c r="K372" s="4" t="inlineStr">
        <is>
          <t>20260930</t>
        </is>
      </c>
      <c r="L372" s="4" t="inlineStr">
        <is>
          <t>L.A.1 CO.,LTD.</t>
        </is>
      </c>
      <c r="M372" s="4" t="inlineStr">
        <is>
          <t>TANATEX CHEMICALS (THAILAND) CO., LTD.</t>
        </is>
      </c>
      <c r="N372" s="4" t="inlineStr">
        <is>
          <t>CHEMICALS PRODUCT (NON DG)</t>
        </is>
      </c>
      <c r="O372" s="4" t="inlineStr">
        <is>
          <t>GOOD AND CLEAN CONTAINER</t>
        </is>
      </c>
      <c r="P372" s="4" t="inlineStr">
        <is>
          <t>Pickup : 2026-09-30, Return : 2026-10-01</t>
        </is>
      </c>
      <c r="Q372" s="4" t="n">
        <v>2</v>
      </c>
      <c r="R372" s="4" t="n">
        <v>0</v>
      </c>
      <c r="S372" s="4" t="n">
        <v>0</v>
      </c>
      <c r="T372" s="4" t="n">
        <v>0</v>
      </c>
      <c r="U372" s="4" t="n">
        <v>0</v>
      </c>
      <c r="V372" s="4" t="n">
        <v>0</v>
      </c>
      <c r="W372" s="4" t="n">
        <v>0</v>
      </c>
      <c r="X372" s="4" t="n">
        <v>0</v>
      </c>
      <c r="Y372" s="4" t="n">
        <v>0</v>
      </c>
      <c r="Z372" s="4" t="n">
        <v>0</v>
      </c>
      <c r="AA372" s="4" t="n">
        <v>0</v>
      </c>
      <c r="AB372" s="4">
        <f>SUM(Q372:Y372)-Z372</f>
        <v/>
      </c>
      <c r="AC372" s="4">
        <f>IF(I372="","",IF(OR(LEFT(I372,3)="BKK",I372="LCH55"),"BKK",IF(LEFT(I372,3)="LCH","LCH","OTHER")))</f>
        <v/>
      </c>
      <c r="AD372" s="4">
        <f>MAX(0,Q372-MAX(0,Z372))</f>
        <v/>
      </c>
      <c r="AE372" s="4">
        <f>MAX(0,R372-MAX(0,Z372-SUM(Q372:Q372)))</f>
        <v/>
      </c>
      <c r="AF372" s="4">
        <f>MAX(0,S372-MAX(0,Z372-SUM(Q372:R372)))</f>
        <v/>
      </c>
      <c r="AG372" s="4">
        <f>MAX(0,T372-MAX(0,Z372-SUM(Q372:S372)))</f>
        <v/>
      </c>
      <c r="AH372" s="4">
        <f>MAX(0,U372-MAX(0,Z372-SUM(Q372:T372)))</f>
        <v/>
      </c>
      <c r="AI372" s="4">
        <f>MAX(0,V372-MAX(0,Z372-SUM(Q372:U372)))</f>
        <v/>
      </c>
      <c r="AJ372" s="4">
        <f>MAX(0,W372-MAX(0,Z372-SUM(Q372:V372)))</f>
        <v/>
      </c>
      <c r="AK372" s="4">
        <f>MAX(0,X372-MAX(0,Z372-SUM(Q372:W372)))</f>
        <v/>
      </c>
      <c r="AL372" s="4">
        <f>MAX(0,Y372-MAX(0,Z372-SUM(Q372:X372)))</f>
        <v/>
      </c>
    </row>
    <row r="373">
      <c r="A373" s="4" t="inlineStr">
        <is>
          <t>HASLS22260901089</t>
        </is>
      </c>
      <c r="B373" s="4" t="inlineStr">
        <is>
          <t>KUS</t>
        </is>
      </c>
      <c r="C373" s="4" t="inlineStr">
        <is>
          <t>2616N</t>
        </is>
      </c>
      <c r="D373" s="4" t="inlineStr">
        <is>
          <t>202610150400</t>
        </is>
      </c>
      <c r="E373" s="4" t="inlineStr"/>
      <c r="F373" s="4" t="inlineStr">
        <is>
          <t>THLCH</t>
        </is>
      </c>
      <c r="G373" s="4" t="inlineStr">
        <is>
          <t>JPIYM</t>
        </is>
      </c>
      <c r="H373" s="4" t="inlineStr">
        <is>
          <t xml:space="preserve">20'x1 </t>
        </is>
      </c>
      <c r="I373" s="4" t="inlineStr">
        <is>
          <t>LCH28</t>
        </is>
      </c>
      <c r="J373" s="4" t="inlineStr">
        <is>
          <t>CELLO</t>
        </is>
      </c>
      <c r="K373" s="4" t="inlineStr">
        <is>
          <t>20261005</t>
        </is>
      </c>
      <c r="L373" s="4" t="inlineStr">
        <is>
          <t>WHA GC LOGISTICS COMPANY LIMITED</t>
        </is>
      </c>
      <c r="M373" s="4" t="inlineStr">
        <is>
          <t>PTT GLOBAL CHEMICAL PUBLIC COMPANY LIMITED</t>
        </is>
      </c>
      <c r="N373" s="4" t="inlineStr">
        <is>
          <t>RESIN</t>
        </is>
      </c>
      <c r="O373" s="4" t="inlineStr">
        <is>
          <t>GOOD AND CLEAN CTNR</t>
        </is>
      </c>
      <c r="P373" s="4" t="inlineStr">
        <is>
          <t>CY-RTN 05-07/10/26 
*PLS CHECK OPEN GATE BEFORE RETURN CTNR*</t>
        </is>
      </c>
      <c r="Q373" s="4" t="n">
        <v>1</v>
      </c>
      <c r="R373" s="4" t="n">
        <v>0</v>
      </c>
      <c r="S373" s="4" t="n">
        <v>0</v>
      </c>
      <c r="T373" s="4" t="n">
        <v>0</v>
      </c>
      <c r="U373" s="4" t="n">
        <v>0</v>
      </c>
      <c r="V373" s="4" t="n">
        <v>0</v>
      </c>
      <c r="W373" s="4" t="n">
        <v>0</v>
      </c>
      <c r="X373" s="4" t="n">
        <v>0</v>
      </c>
      <c r="Y373" s="4" t="n">
        <v>0</v>
      </c>
      <c r="Z373" s="4" t="n">
        <v>0</v>
      </c>
      <c r="AA373" s="4" t="n">
        <v>0</v>
      </c>
      <c r="AB373" s="4">
        <f>SUM(Q373:Y373)-Z373</f>
        <v/>
      </c>
      <c r="AC373" s="4">
        <f>IF(I373="","",IF(OR(LEFT(I373,3)="BKK",I373="LCH55"),"BKK",IF(LEFT(I373,3)="LCH","LCH","OTHER")))</f>
        <v/>
      </c>
      <c r="AD373" s="4">
        <f>MAX(0,Q373-MAX(0,Z373))</f>
        <v/>
      </c>
      <c r="AE373" s="4">
        <f>MAX(0,R373-MAX(0,Z373-SUM(Q373:Q373)))</f>
        <v/>
      </c>
      <c r="AF373" s="4">
        <f>MAX(0,S373-MAX(0,Z373-SUM(Q373:R373)))</f>
        <v/>
      </c>
      <c r="AG373" s="4">
        <f>MAX(0,T373-MAX(0,Z373-SUM(Q373:S373)))</f>
        <v/>
      </c>
      <c r="AH373" s="4">
        <f>MAX(0,U373-MAX(0,Z373-SUM(Q373:T373)))</f>
        <v/>
      </c>
      <c r="AI373" s="4">
        <f>MAX(0,V373-MAX(0,Z373-SUM(Q373:U373)))</f>
        <v/>
      </c>
      <c r="AJ373" s="4">
        <f>MAX(0,W373-MAX(0,Z373-SUM(Q373:V373)))</f>
        <v/>
      </c>
      <c r="AK373" s="4">
        <f>MAX(0,X373-MAX(0,Z373-SUM(Q373:W373)))</f>
        <v/>
      </c>
      <c r="AL373" s="4">
        <f>MAX(0,Y373-MAX(0,Z373-SUM(Q373:X373)))</f>
        <v/>
      </c>
    </row>
    <row r="374">
      <c r="A374" s="4" t="inlineStr">
        <is>
          <t>HASLS22260901355</t>
        </is>
      </c>
      <c r="B374" s="4" t="inlineStr">
        <is>
          <t>KMBK</t>
        </is>
      </c>
      <c r="C374" s="4" t="inlineStr">
        <is>
          <t>2611N</t>
        </is>
      </c>
      <c r="D374" s="4" t="inlineStr">
        <is>
          <t>202610040100</t>
        </is>
      </c>
      <c r="E374" s="4" t="inlineStr"/>
      <c r="F374" s="4" t="inlineStr">
        <is>
          <t>THLCH</t>
        </is>
      </c>
      <c r="G374" s="4" t="inlineStr">
        <is>
          <t>VNSGN</t>
        </is>
      </c>
      <c r="H374" s="4" t="inlineStr">
        <is>
          <t xml:space="preserve">40Hx1 </t>
        </is>
      </c>
      <c r="I374" s="4" t="inlineStr">
        <is>
          <t>LCH28</t>
        </is>
      </c>
      <c r="J374" s="4" t="inlineStr">
        <is>
          <t>CELLO</t>
        </is>
      </c>
      <c r="K374" s="4" t="inlineStr">
        <is>
          <t>20260928</t>
        </is>
      </c>
      <c r="L374" s="4" t="inlineStr">
        <is>
          <t>ACCORD PILOT LOGISTICS (THAILAND) CO., LTD.</t>
        </is>
      </c>
      <c r="M374" s="4" t="inlineStr">
        <is>
          <t>HMC POLYMERS CO., LTD.</t>
        </is>
      </c>
      <c r="N374" s="4" t="inlineStr">
        <is>
          <t>POLYPROPYLENE</t>
        </is>
      </c>
      <c r="O374" s="4" t="inlineStr">
        <is>
          <t>GOOD AND CLEAN CONTAINER</t>
        </is>
      </c>
      <c r="P374" s="4" t="inlineStr">
        <is>
          <t>Pickup : 2026-09-28, Return : 2026-09-29 (1ST RTN DD: 30/09/26 WO/RENT)</t>
        </is>
      </c>
      <c r="Q374" s="4" t="n">
        <v>0</v>
      </c>
      <c r="R374" s="4" t="n">
        <v>0</v>
      </c>
      <c r="S374" s="4" t="n">
        <v>1</v>
      </c>
      <c r="T374" s="4" t="n">
        <v>0</v>
      </c>
      <c r="U374" s="4" t="n">
        <v>0</v>
      </c>
      <c r="V374" s="4" t="n">
        <v>0</v>
      </c>
      <c r="W374" s="4" t="n">
        <v>0</v>
      </c>
      <c r="X374" s="4" t="n">
        <v>0</v>
      </c>
      <c r="Y374" s="4" t="n">
        <v>0</v>
      </c>
      <c r="Z374" s="4" t="n">
        <v>0</v>
      </c>
      <c r="AA374" s="4" t="n">
        <v>0</v>
      </c>
      <c r="AB374" s="4">
        <f>SUM(Q374:Y374)-Z374</f>
        <v/>
      </c>
      <c r="AC374" s="4">
        <f>IF(I374="","",IF(OR(LEFT(I374,3)="BKK",I374="LCH55"),"BKK",IF(LEFT(I374,3)="LCH","LCH","OTHER")))</f>
        <v/>
      </c>
      <c r="AD374" s="4">
        <f>MAX(0,Q374-MAX(0,Z374))</f>
        <v/>
      </c>
      <c r="AE374" s="4">
        <f>MAX(0,R374-MAX(0,Z374-SUM(Q374:Q374)))</f>
        <v/>
      </c>
      <c r="AF374" s="4">
        <f>MAX(0,S374-MAX(0,Z374-SUM(Q374:R374)))</f>
        <v/>
      </c>
      <c r="AG374" s="4">
        <f>MAX(0,T374-MAX(0,Z374-SUM(Q374:S374)))</f>
        <v/>
      </c>
      <c r="AH374" s="4">
        <f>MAX(0,U374-MAX(0,Z374-SUM(Q374:T374)))</f>
        <v/>
      </c>
      <c r="AI374" s="4">
        <f>MAX(0,V374-MAX(0,Z374-SUM(Q374:U374)))</f>
        <v/>
      </c>
      <c r="AJ374" s="4">
        <f>MAX(0,W374-MAX(0,Z374-SUM(Q374:V374)))</f>
        <v/>
      </c>
      <c r="AK374" s="4">
        <f>MAX(0,X374-MAX(0,Z374-SUM(Q374:W374)))</f>
        <v/>
      </c>
      <c r="AL374" s="4">
        <f>MAX(0,Y374-MAX(0,Z374-SUM(Q374:X374)))</f>
        <v/>
      </c>
    </row>
    <row r="375">
      <c r="A375" s="4" t="inlineStr">
        <is>
          <t>HASLS22260901356</t>
        </is>
      </c>
      <c r="B375" s="4" t="inlineStr">
        <is>
          <t>KXM</t>
        </is>
      </c>
      <c r="C375" s="4" t="inlineStr">
        <is>
          <t>2608S</t>
        </is>
      </c>
      <c r="D375" s="4" t="inlineStr">
        <is>
          <t>202610100500</t>
        </is>
      </c>
      <c r="E375" s="4" t="inlineStr"/>
      <c r="F375" s="4" t="inlineStr">
        <is>
          <t>THLCH</t>
        </is>
      </c>
      <c r="G375" s="4" t="inlineStr">
        <is>
          <t>IDJKT</t>
        </is>
      </c>
      <c r="H375" s="4" t="inlineStr">
        <is>
          <t xml:space="preserve">40Hx4 </t>
        </is>
      </c>
      <c r="I375" s="4" t="inlineStr">
        <is>
          <t>LCH28</t>
        </is>
      </c>
      <c r="J375" s="4" t="inlineStr">
        <is>
          <t>CELLO</t>
        </is>
      </c>
      <c r="K375" s="4" t="inlineStr">
        <is>
          <t>20261001</t>
        </is>
      </c>
      <c r="L375" s="4" t="inlineStr">
        <is>
          <t>V.MULTIMODAL TRANSPORTATION CO.,LTD.</t>
        </is>
      </c>
      <c r="M375" s="4" t="inlineStr">
        <is>
          <t>THAI-YAZAKI ELECTRIC WIRE CO.,LTD.</t>
        </is>
      </c>
      <c r="N375" s="4" t="inlineStr">
        <is>
          <t>COPPER WIRE ROD</t>
        </is>
      </c>
      <c r="O375" s="4" t="inlineStr">
        <is>
          <t>REQUEST CONTAINER GRADE A</t>
        </is>
      </c>
      <c r="P375" s="4" t="inlineStr">
        <is>
          <t>Pickup : 2026-10-01, Return : 2026-10-02 (1st return 07/10 w/o rent)</t>
        </is>
      </c>
      <c r="Q375" s="4" t="n">
        <v>0</v>
      </c>
      <c r="R375" s="4" t="n">
        <v>0</v>
      </c>
      <c r="S375" s="4" t="n">
        <v>4</v>
      </c>
      <c r="T375" s="4" t="n">
        <v>0</v>
      </c>
      <c r="U375" s="4" t="n">
        <v>0</v>
      </c>
      <c r="V375" s="4" t="n">
        <v>0</v>
      </c>
      <c r="W375" s="4" t="n">
        <v>0</v>
      </c>
      <c r="X375" s="4" t="n">
        <v>0</v>
      </c>
      <c r="Y375" s="4" t="n">
        <v>0</v>
      </c>
      <c r="Z375" s="4" t="n">
        <v>0</v>
      </c>
      <c r="AA375" s="4" t="n">
        <v>0</v>
      </c>
      <c r="AB375" s="4">
        <f>SUM(Q375:Y375)-Z375</f>
        <v/>
      </c>
      <c r="AC375" s="4">
        <f>IF(I375="","",IF(OR(LEFT(I375,3)="BKK",I375="LCH55"),"BKK",IF(LEFT(I375,3)="LCH","LCH","OTHER")))</f>
        <v/>
      </c>
      <c r="AD375" s="4">
        <f>MAX(0,Q375-MAX(0,Z375))</f>
        <v/>
      </c>
      <c r="AE375" s="4">
        <f>MAX(0,R375-MAX(0,Z375-SUM(Q375:Q375)))</f>
        <v/>
      </c>
      <c r="AF375" s="4">
        <f>MAX(0,S375-MAX(0,Z375-SUM(Q375:R375)))</f>
        <v/>
      </c>
      <c r="AG375" s="4">
        <f>MAX(0,T375-MAX(0,Z375-SUM(Q375:S375)))</f>
        <v/>
      </c>
      <c r="AH375" s="4">
        <f>MAX(0,U375-MAX(0,Z375-SUM(Q375:T375)))</f>
        <v/>
      </c>
      <c r="AI375" s="4">
        <f>MAX(0,V375-MAX(0,Z375-SUM(Q375:U375)))</f>
        <v/>
      </c>
      <c r="AJ375" s="4">
        <f>MAX(0,W375-MAX(0,Z375-SUM(Q375:V375)))</f>
        <v/>
      </c>
      <c r="AK375" s="4">
        <f>MAX(0,X375-MAX(0,Z375-SUM(Q375:W375)))</f>
        <v/>
      </c>
      <c r="AL375" s="4">
        <f>MAX(0,Y375-MAX(0,Z375-SUM(Q375:X375)))</f>
        <v/>
      </c>
    </row>
    <row r="376">
      <c r="A376" s="4" t="inlineStr">
        <is>
          <t>HASLS22260901548</t>
        </is>
      </c>
      <c r="B376" s="4" t="inlineStr">
        <is>
          <t>KMBK</t>
        </is>
      </c>
      <c r="C376" s="4" t="inlineStr">
        <is>
          <t>2611N</t>
        </is>
      </c>
      <c r="D376" s="4" t="inlineStr">
        <is>
          <t>202610040100</t>
        </is>
      </c>
      <c r="E376" s="4" t="inlineStr"/>
      <c r="F376" s="4" t="inlineStr">
        <is>
          <t>THLCH</t>
        </is>
      </c>
      <c r="G376" s="4" t="inlineStr">
        <is>
          <t>KRKAN</t>
        </is>
      </c>
      <c r="H376" s="4" t="inlineStr">
        <is>
          <t xml:space="preserve">40Hx1 </t>
        </is>
      </c>
      <c r="I376" s="4" t="inlineStr">
        <is>
          <t>LCH28</t>
        </is>
      </c>
      <c r="J376" s="4" t="inlineStr">
        <is>
          <t>CELLO</t>
        </is>
      </c>
      <c r="K376" s="4" t="inlineStr">
        <is>
          <t>20261001</t>
        </is>
      </c>
      <c r="L376" s="4" t="inlineStr">
        <is>
          <t>EASTERN AIR LOGISTICS CO., LTD.</t>
        </is>
      </c>
      <c r="M376" s="4" t="inlineStr">
        <is>
          <t>Y-MECO CO., LTD.</t>
        </is>
      </c>
      <c r="N376" s="4" t="inlineStr">
        <is>
          <t>ASSY COND</t>
        </is>
      </c>
      <c r="O376" s="4" t="inlineStr">
        <is>
          <t>GOOD AND CLEAN CONTAINER</t>
        </is>
      </c>
      <c r="P376" s="4" t="inlineStr">
        <is>
          <t xml:space="preserve">Pickup : 2026-10-01, Return : 2026-10-01 
 ** PLEASE CHECK OPEN GATE BEFORE RETURN CNTR **
</t>
        </is>
      </c>
      <c r="Q376" s="4" t="n">
        <v>0</v>
      </c>
      <c r="R376" s="4" t="n">
        <v>0</v>
      </c>
      <c r="S376" s="4" t="n">
        <v>1</v>
      </c>
      <c r="T376" s="4" t="n">
        <v>0</v>
      </c>
      <c r="U376" s="4" t="n">
        <v>0</v>
      </c>
      <c r="V376" s="4" t="n">
        <v>0</v>
      </c>
      <c r="W376" s="4" t="n">
        <v>0</v>
      </c>
      <c r="X376" s="4" t="n">
        <v>0</v>
      </c>
      <c r="Y376" s="4" t="n">
        <v>0</v>
      </c>
      <c r="Z376" s="4" t="n">
        <v>0</v>
      </c>
      <c r="AA376" s="4" t="n">
        <v>0</v>
      </c>
      <c r="AB376" s="4">
        <f>SUM(Q376:Y376)-Z376</f>
        <v/>
      </c>
      <c r="AC376" s="4">
        <f>IF(I376="","",IF(OR(LEFT(I376,3)="BKK",I376="LCH55"),"BKK",IF(LEFT(I376,3)="LCH","LCH","OTHER")))</f>
        <v/>
      </c>
      <c r="AD376" s="4">
        <f>MAX(0,Q376-MAX(0,Z376))</f>
        <v/>
      </c>
      <c r="AE376" s="4">
        <f>MAX(0,R376-MAX(0,Z376-SUM(Q376:Q376)))</f>
        <v/>
      </c>
      <c r="AF376" s="4">
        <f>MAX(0,S376-MAX(0,Z376-SUM(Q376:R376)))</f>
        <v/>
      </c>
      <c r="AG376" s="4">
        <f>MAX(0,T376-MAX(0,Z376-SUM(Q376:S376)))</f>
        <v/>
      </c>
      <c r="AH376" s="4">
        <f>MAX(0,U376-MAX(0,Z376-SUM(Q376:T376)))</f>
        <v/>
      </c>
      <c r="AI376" s="4">
        <f>MAX(0,V376-MAX(0,Z376-SUM(Q376:U376)))</f>
        <v/>
      </c>
      <c r="AJ376" s="4">
        <f>MAX(0,W376-MAX(0,Z376-SUM(Q376:V376)))</f>
        <v/>
      </c>
      <c r="AK376" s="4">
        <f>MAX(0,X376-MAX(0,Z376-SUM(Q376:W376)))</f>
        <v/>
      </c>
      <c r="AL376" s="4">
        <f>MAX(0,Y376-MAX(0,Z376-SUM(Q376:X376)))</f>
        <v/>
      </c>
    </row>
    <row r="377">
      <c r="A377" s="4" t="inlineStr">
        <is>
          <t>HASLS22260901686</t>
        </is>
      </c>
      <c r="B377" s="4" t="inlineStr">
        <is>
          <t>SWVG</t>
        </is>
      </c>
      <c r="C377" s="4" t="inlineStr">
        <is>
          <t>2612N</t>
        </is>
      </c>
      <c r="D377" s="4" t="inlineStr">
        <is>
          <t>202610070330</t>
        </is>
      </c>
      <c r="E377" s="4" t="inlineStr"/>
      <c r="F377" s="4" t="inlineStr">
        <is>
          <t>THLCH</t>
        </is>
      </c>
      <c r="G377" s="4" t="inlineStr">
        <is>
          <t>JPNGO</t>
        </is>
      </c>
      <c r="H377" s="4" t="inlineStr">
        <is>
          <t xml:space="preserve">20'x1 </t>
        </is>
      </c>
      <c r="I377" s="4" t="inlineStr">
        <is>
          <t>LCH28</t>
        </is>
      </c>
      <c r="J377" s="4" t="inlineStr">
        <is>
          <t>CELLO</t>
        </is>
      </c>
      <c r="K377" s="4" t="inlineStr">
        <is>
          <t>20260930</t>
        </is>
      </c>
      <c r="L377" s="4" t="inlineStr">
        <is>
          <t>L.A.1 CO.,LTD.</t>
        </is>
      </c>
      <c r="M377" s="4" t="inlineStr">
        <is>
          <t>TANATEX CHEMICALS (THAILAND) CO., LTD.</t>
        </is>
      </c>
      <c r="N377" s="4" t="inlineStr">
        <is>
          <t>CHEMICALS PRODUCT DG CARGO</t>
        </is>
      </c>
      <c r="O377" s="4" t="inlineStr">
        <is>
          <t>**APPROVAL DG IN SYSTEM DD.24/09/2026** MIX DG22GPx1 (CLS 9 / UN 3082, CLS 8 / UN 3265)</t>
        </is>
      </c>
      <c r="P377" s="4" t="inlineStr">
        <is>
          <t xml:space="preserve">**APPROVAL DG IN SYSTEM DD.24/09/2026** MIX DG22GPx1 (CLS 9 / UN 3082, CLS 8 / UN 3265) 
Pickup : 2026-09-30, Return @JWD : 2026-10-01  </t>
        </is>
      </c>
      <c r="Q377" s="4" t="n">
        <v>1</v>
      </c>
      <c r="R377" s="4" t="n">
        <v>0</v>
      </c>
      <c r="S377" s="4" t="n">
        <v>0</v>
      </c>
      <c r="T377" s="4" t="n">
        <v>0</v>
      </c>
      <c r="U377" s="4" t="n">
        <v>0</v>
      </c>
      <c r="V377" s="4" t="n">
        <v>0</v>
      </c>
      <c r="W377" s="4" t="n">
        <v>0</v>
      </c>
      <c r="X377" s="4" t="n">
        <v>0</v>
      </c>
      <c r="Y377" s="4" t="n">
        <v>0</v>
      </c>
      <c r="Z377" s="4" t="n">
        <v>0</v>
      </c>
      <c r="AA377" s="4" t="n">
        <v>0</v>
      </c>
      <c r="AB377" s="4">
        <f>SUM(Q377:Y377)-Z377</f>
        <v/>
      </c>
      <c r="AC377" s="4">
        <f>IF(I377="","",IF(OR(LEFT(I377,3)="BKK",I377="LCH55"),"BKK",IF(LEFT(I377,3)="LCH","LCH","OTHER")))</f>
        <v/>
      </c>
      <c r="AD377" s="4">
        <f>MAX(0,Q377-MAX(0,Z377))</f>
        <v/>
      </c>
      <c r="AE377" s="4">
        <f>MAX(0,R377-MAX(0,Z377-SUM(Q377:Q377)))</f>
        <v/>
      </c>
      <c r="AF377" s="4">
        <f>MAX(0,S377-MAX(0,Z377-SUM(Q377:R377)))</f>
        <v/>
      </c>
      <c r="AG377" s="4">
        <f>MAX(0,T377-MAX(0,Z377-SUM(Q377:S377)))</f>
        <v/>
      </c>
      <c r="AH377" s="4">
        <f>MAX(0,U377-MAX(0,Z377-SUM(Q377:T377)))</f>
        <v/>
      </c>
      <c r="AI377" s="4">
        <f>MAX(0,V377-MAX(0,Z377-SUM(Q377:U377)))</f>
        <v/>
      </c>
      <c r="AJ377" s="4">
        <f>MAX(0,W377-MAX(0,Z377-SUM(Q377:V377)))</f>
        <v/>
      </c>
      <c r="AK377" s="4">
        <f>MAX(0,X377-MAX(0,Z377-SUM(Q377:W377)))</f>
        <v/>
      </c>
      <c r="AL377" s="4">
        <f>MAX(0,Y377-MAX(0,Z377-SUM(Q377:X377)))</f>
        <v/>
      </c>
    </row>
    <row r="378">
      <c r="A378" s="4" t="inlineStr">
        <is>
          <t>HASLS22260901795</t>
        </is>
      </c>
      <c r="B378" s="4" t="inlineStr">
        <is>
          <t>KMBK</t>
        </is>
      </c>
      <c r="C378" s="4" t="inlineStr">
        <is>
          <t>2611N</t>
        </is>
      </c>
      <c r="D378" s="4" t="inlineStr">
        <is>
          <t>202610040100</t>
        </is>
      </c>
      <c r="E378" s="4" t="inlineStr"/>
      <c r="F378" s="4" t="inlineStr">
        <is>
          <t>THLCH</t>
        </is>
      </c>
      <c r="G378" s="4" t="inlineStr">
        <is>
          <t>VNSGN</t>
        </is>
      </c>
      <c r="H378" s="4" t="inlineStr">
        <is>
          <t xml:space="preserve">40Hx1 </t>
        </is>
      </c>
      <c r="I378" s="4" t="inlineStr">
        <is>
          <t>LCH28</t>
        </is>
      </c>
      <c r="J378" s="4" t="inlineStr">
        <is>
          <t>CELLO</t>
        </is>
      </c>
      <c r="K378" s="4" t="inlineStr">
        <is>
          <t>20260930</t>
        </is>
      </c>
      <c r="L378" s="4" t="inlineStr">
        <is>
          <t>EAST-LINK CORPORATION CO., LTD.</t>
        </is>
      </c>
      <c r="M378" s="4" t="inlineStr">
        <is>
          <t>TRI-WALL PACKAGING (THAI) LTD.</t>
        </is>
      </c>
      <c r="N378" s="4" t="inlineStr">
        <is>
          <t>CORRUGATED PAPER BOARD</t>
        </is>
      </c>
      <c r="O378" s="4" t="inlineStr">
        <is>
          <t>RQS CLEAN &amp; GOOD CONTAINER CONDITION.</t>
        </is>
      </c>
      <c r="P378" s="4" t="inlineStr">
        <is>
          <t xml:space="preserve">Pickup : 2026-09-30, Return : 2026-10-01 
 ** PLEASE CHECK OPEN GATE BEFORE RETURN CNTR **
</t>
        </is>
      </c>
      <c r="Q378" s="4" t="n">
        <v>0</v>
      </c>
      <c r="R378" s="4" t="n">
        <v>0</v>
      </c>
      <c r="S378" s="4" t="n">
        <v>1</v>
      </c>
      <c r="T378" s="4" t="n">
        <v>0</v>
      </c>
      <c r="U378" s="4" t="n">
        <v>0</v>
      </c>
      <c r="V378" s="4" t="n">
        <v>0</v>
      </c>
      <c r="W378" s="4" t="n">
        <v>0</v>
      </c>
      <c r="X378" s="4" t="n">
        <v>0</v>
      </c>
      <c r="Y378" s="4" t="n">
        <v>0</v>
      </c>
      <c r="Z378" s="4" t="n">
        <v>0</v>
      </c>
      <c r="AA378" s="4" t="n">
        <v>0</v>
      </c>
      <c r="AB378" s="4">
        <f>SUM(Q378:Y378)-Z378</f>
        <v/>
      </c>
      <c r="AC378" s="4">
        <f>IF(I378="","",IF(OR(LEFT(I378,3)="BKK",I378="LCH55"),"BKK",IF(LEFT(I378,3)="LCH","LCH","OTHER")))</f>
        <v/>
      </c>
      <c r="AD378" s="4">
        <f>MAX(0,Q378-MAX(0,Z378))</f>
        <v/>
      </c>
      <c r="AE378" s="4">
        <f>MAX(0,R378-MAX(0,Z378-SUM(Q378:Q378)))</f>
        <v/>
      </c>
      <c r="AF378" s="4">
        <f>MAX(0,S378-MAX(0,Z378-SUM(Q378:R378)))</f>
        <v/>
      </c>
      <c r="AG378" s="4">
        <f>MAX(0,T378-MAX(0,Z378-SUM(Q378:S378)))</f>
        <v/>
      </c>
      <c r="AH378" s="4">
        <f>MAX(0,U378-MAX(0,Z378-SUM(Q378:T378)))</f>
        <v/>
      </c>
      <c r="AI378" s="4">
        <f>MAX(0,V378-MAX(0,Z378-SUM(Q378:U378)))</f>
        <v/>
      </c>
      <c r="AJ378" s="4">
        <f>MAX(0,W378-MAX(0,Z378-SUM(Q378:V378)))</f>
        <v/>
      </c>
      <c r="AK378" s="4">
        <f>MAX(0,X378-MAX(0,Z378-SUM(Q378:W378)))</f>
        <v/>
      </c>
      <c r="AL378" s="4">
        <f>MAX(0,Y378-MAX(0,Z378-SUM(Q378:X378)))</f>
        <v/>
      </c>
    </row>
    <row r="379">
      <c r="A379" s="4" t="inlineStr">
        <is>
          <t>HASLS22260901914</t>
        </is>
      </c>
      <c r="B379" s="4" t="inlineStr">
        <is>
          <t>SWVG</t>
        </is>
      </c>
      <c r="C379" s="4" t="inlineStr">
        <is>
          <t>2612N</t>
        </is>
      </c>
      <c r="D379" s="4" t="inlineStr">
        <is>
          <t>202610070330</t>
        </is>
      </c>
      <c r="E379" s="4" t="inlineStr"/>
      <c r="F379" s="4" t="inlineStr">
        <is>
          <t>THLCH</t>
        </is>
      </c>
      <c r="G379" s="4" t="inlineStr">
        <is>
          <t>CNSHA</t>
        </is>
      </c>
      <c r="H379" s="4" t="inlineStr">
        <is>
          <t xml:space="preserve">40Hx2 </t>
        </is>
      </c>
      <c r="I379" s="4" t="inlineStr">
        <is>
          <t>LCH28</t>
        </is>
      </c>
      <c r="J379" s="4" t="inlineStr">
        <is>
          <t>CELLO</t>
        </is>
      </c>
      <c r="K379" s="4" t="inlineStr">
        <is>
          <t>20260928</t>
        </is>
      </c>
      <c r="L379" s="4" t="inlineStr">
        <is>
          <t>MITSUBISHI LOGISTICS (THAILAND) CO., LTD.</t>
        </is>
      </c>
      <c r="M379" s="4" t="inlineStr">
        <is>
          <t>SHIN-ETSU SILICONES (THAILAND) LTD.</t>
        </is>
      </c>
      <c r="N379" s="4" t="inlineStr">
        <is>
          <t>SILICONE</t>
        </is>
      </c>
      <c r="O379" s="4" t="inlineStr">
        <is>
          <t>Good , Clean, No smell container are requested.</t>
        </is>
      </c>
      <c r="P379" s="4" t="inlineStr">
        <is>
          <t>Pickup : 2026-09-28, Return : 2026-09-29 (1ST RTN DD: 02/10/26 WO/RENT)</t>
        </is>
      </c>
      <c r="Q379" s="4" t="n">
        <v>0</v>
      </c>
      <c r="R379" s="4" t="n">
        <v>0</v>
      </c>
      <c r="S379" s="4" t="n">
        <v>2</v>
      </c>
      <c r="T379" s="4" t="n">
        <v>0</v>
      </c>
      <c r="U379" s="4" t="n">
        <v>0</v>
      </c>
      <c r="V379" s="4" t="n">
        <v>0</v>
      </c>
      <c r="W379" s="4" t="n">
        <v>0</v>
      </c>
      <c r="X379" s="4" t="n">
        <v>0</v>
      </c>
      <c r="Y379" s="4" t="n">
        <v>0</v>
      </c>
      <c r="Z379" s="4" t="n">
        <v>0</v>
      </c>
      <c r="AA379" s="4" t="n">
        <v>0</v>
      </c>
      <c r="AB379" s="4">
        <f>SUM(Q379:Y379)-Z379</f>
        <v/>
      </c>
      <c r="AC379" s="4">
        <f>IF(I379="","",IF(OR(LEFT(I379,3)="BKK",I379="LCH55"),"BKK",IF(LEFT(I379,3)="LCH","LCH","OTHER")))</f>
        <v/>
      </c>
      <c r="AD379" s="4">
        <f>MAX(0,Q379-MAX(0,Z379))</f>
        <v/>
      </c>
      <c r="AE379" s="4">
        <f>MAX(0,R379-MAX(0,Z379-SUM(Q379:Q379)))</f>
        <v/>
      </c>
      <c r="AF379" s="4">
        <f>MAX(0,S379-MAX(0,Z379-SUM(Q379:R379)))</f>
        <v/>
      </c>
      <c r="AG379" s="4">
        <f>MAX(0,T379-MAX(0,Z379-SUM(Q379:S379)))</f>
        <v/>
      </c>
      <c r="AH379" s="4">
        <f>MAX(0,U379-MAX(0,Z379-SUM(Q379:T379)))</f>
        <v/>
      </c>
      <c r="AI379" s="4">
        <f>MAX(0,V379-MAX(0,Z379-SUM(Q379:U379)))</f>
        <v/>
      </c>
      <c r="AJ379" s="4">
        <f>MAX(0,W379-MAX(0,Z379-SUM(Q379:V379)))</f>
        <v/>
      </c>
      <c r="AK379" s="4">
        <f>MAX(0,X379-MAX(0,Z379-SUM(Q379:W379)))</f>
        <v/>
      </c>
      <c r="AL379" s="4">
        <f>MAX(0,Y379-MAX(0,Z379-SUM(Q379:X379)))</f>
        <v/>
      </c>
    </row>
    <row r="380">
      <c r="A380" s="4" t="inlineStr">
        <is>
          <t>HASLS22260901915</t>
        </is>
      </c>
      <c r="B380" s="4" t="inlineStr">
        <is>
          <t>SWVG</t>
        </is>
      </c>
      <c r="C380" s="4" t="inlineStr">
        <is>
          <t>2612N</t>
        </is>
      </c>
      <c r="D380" s="4" t="inlineStr">
        <is>
          <t>202610070330</t>
        </is>
      </c>
      <c r="E380" s="4" t="inlineStr"/>
      <c r="F380" s="4" t="inlineStr">
        <is>
          <t>THLCH</t>
        </is>
      </c>
      <c r="G380" s="4" t="inlineStr">
        <is>
          <t>CNSHA</t>
        </is>
      </c>
      <c r="H380" s="4" t="inlineStr">
        <is>
          <t xml:space="preserve">40Hx1 </t>
        </is>
      </c>
      <c r="I380" s="4" t="inlineStr">
        <is>
          <t>LCH28</t>
        </is>
      </c>
      <c r="J380" s="4" t="inlineStr">
        <is>
          <t>CELLO</t>
        </is>
      </c>
      <c r="K380" s="4" t="inlineStr">
        <is>
          <t>20260928</t>
        </is>
      </c>
      <c r="L380" s="4" t="inlineStr">
        <is>
          <t>MITSUBISHI LOGISTICS (THAILAND) CO., LTD.</t>
        </is>
      </c>
      <c r="M380" s="4" t="inlineStr">
        <is>
          <t>SHIN-ETSU SILICONES (THAILAND) LTD.</t>
        </is>
      </c>
      <c r="N380" s="4" t="inlineStr">
        <is>
          <t>SILICONE</t>
        </is>
      </c>
      <c r="O380" s="4" t="inlineStr">
        <is>
          <t>Good , Clean, No smell container are requested.</t>
        </is>
      </c>
      <c r="P380" s="4" t="inlineStr">
        <is>
          <t xml:space="preserve">Pickup : 2026-09-28, Return : 2026-09-29  [1ST RTN 02/10/2026 W/O RENT]
 </t>
        </is>
      </c>
      <c r="Q380" s="4" t="n">
        <v>0</v>
      </c>
      <c r="R380" s="4" t="n">
        <v>0</v>
      </c>
      <c r="S380" s="4" t="n">
        <v>1</v>
      </c>
      <c r="T380" s="4" t="n">
        <v>0</v>
      </c>
      <c r="U380" s="4" t="n">
        <v>0</v>
      </c>
      <c r="V380" s="4" t="n">
        <v>0</v>
      </c>
      <c r="W380" s="4" t="n">
        <v>0</v>
      </c>
      <c r="X380" s="4" t="n">
        <v>0</v>
      </c>
      <c r="Y380" s="4" t="n">
        <v>0</v>
      </c>
      <c r="Z380" s="4" t="n">
        <v>0</v>
      </c>
      <c r="AA380" s="4" t="n">
        <v>0</v>
      </c>
      <c r="AB380" s="4">
        <f>SUM(Q380:Y380)-Z380</f>
        <v/>
      </c>
      <c r="AC380" s="4">
        <f>IF(I380="","",IF(OR(LEFT(I380,3)="BKK",I380="LCH55"),"BKK",IF(LEFT(I380,3)="LCH","LCH","OTHER")))</f>
        <v/>
      </c>
      <c r="AD380" s="4">
        <f>MAX(0,Q380-MAX(0,Z380))</f>
        <v/>
      </c>
      <c r="AE380" s="4">
        <f>MAX(0,R380-MAX(0,Z380-SUM(Q380:Q380)))</f>
        <v/>
      </c>
      <c r="AF380" s="4">
        <f>MAX(0,S380-MAX(0,Z380-SUM(Q380:R380)))</f>
        <v/>
      </c>
      <c r="AG380" s="4">
        <f>MAX(0,T380-MAX(0,Z380-SUM(Q380:S380)))</f>
        <v/>
      </c>
      <c r="AH380" s="4">
        <f>MAX(0,U380-MAX(0,Z380-SUM(Q380:T380)))</f>
        <v/>
      </c>
      <c r="AI380" s="4">
        <f>MAX(0,V380-MAX(0,Z380-SUM(Q380:U380)))</f>
        <v/>
      </c>
      <c r="AJ380" s="4">
        <f>MAX(0,W380-MAX(0,Z380-SUM(Q380:V380)))</f>
        <v/>
      </c>
      <c r="AK380" s="4">
        <f>MAX(0,X380-MAX(0,Z380-SUM(Q380:W380)))</f>
        <v/>
      </c>
      <c r="AL380" s="4">
        <f>MAX(0,Y380-MAX(0,Z380-SUM(Q380:X380)))</f>
        <v/>
      </c>
    </row>
    <row r="381">
      <c r="A381" s="4" t="inlineStr">
        <is>
          <t>HASLS22260901971</t>
        </is>
      </c>
      <c r="B381" s="4" t="inlineStr">
        <is>
          <t>KMBK</t>
        </is>
      </c>
      <c r="C381" s="4" t="inlineStr">
        <is>
          <t>2611N</t>
        </is>
      </c>
      <c r="D381" s="4" t="inlineStr">
        <is>
          <t>202610040100</t>
        </is>
      </c>
      <c r="E381" s="4" t="inlineStr"/>
      <c r="F381" s="4" t="inlineStr">
        <is>
          <t>THLCH</t>
        </is>
      </c>
      <c r="G381" s="4" t="inlineStr">
        <is>
          <t>VNSGN</t>
        </is>
      </c>
      <c r="H381" s="4" t="inlineStr">
        <is>
          <t xml:space="preserve">20'x2 </t>
        </is>
      </c>
      <c r="I381" s="4" t="inlineStr">
        <is>
          <t>LCH28</t>
        </is>
      </c>
      <c r="J381" s="4" t="inlineStr">
        <is>
          <t>CELLO</t>
        </is>
      </c>
      <c r="K381" s="4" t="inlineStr">
        <is>
          <t>20260930</t>
        </is>
      </c>
      <c r="L381" s="4" t="inlineStr">
        <is>
          <t>EVERRICH INTERTRADE CO., LTD.</t>
        </is>
      </c>
      <c r="M381" s="4" t="inlineStr">
        <is>
          <t>BANGKOK CRYSTAL CO., LTD.</t>
        </is>
      </c>
      <c r="N381" s="4" t="inlineStr">
        <is>
          <t>GLASS BLOCK</t>
        </is>
      </c>
      <c r="O381" s="4" t="inlineStr">
        <is>
          <t>GOOD AND CLEAN CONTAINER</t>
        </is>
      </c>
      <c r="P381" s="4" t="inlineStr">
        <is>
          <t>Pickup : 2026-09-30, Return : 2026-10-02</t>
        </is>
      </c>
      <c r="Q381" s="4" t="n">
        <v>2</v>
      </c>
      <c r="R381" s="4" t="n">
        <v>0</v>
      </c>
      <c r="S381" s="4" t="n">
        <v>0</v>
      </c>
      <c r="T381" s="4" t="n">
        <v>0</v>
      </c>
      <c r="U381" s="4" t="n">
        <v>0</v>
      </c>
      <c r="V381" s="4" t="n">
        <v>0</v>
      </c>
      <c r="W381" s="4" t="n">
        <v>0</v>
      </c>
      <c r="X381" s="4" t="n">
        <v>0</v>
      </c>
      <c r="Y381" s="4" t="n">
        <v>0</v>
      </c>
      <c r="Z381" s="4" t="n">
        <v>0</v>
      </c>
      <c r="AA381" s="4" t="n">
        <v>0</v>
      </c>
      <c r="AB381" s="4">
        <f>SUM(Q381:Y381)-Z381</f>
        <v/>
      </c>
      <c r="AC381" s="4">
        <f>IF(I381="","",IF(OR(LEFT(I381,3)="BKK",I381="LCH55"),"BKK",IF(LEFT(I381,3)="LCH","LCH","OTHER")))</f>
        <v/>
      </c>
      <c r="AD381" s="4">
        <f>MAX(0,Q381-MAX(0,Z381))</f>
        <v/>
      </c>
      <c r="AE381" s="4">
        <f>MAX(0,R381-MAX(0,Z381-SUM(Q381:Q381)))</f>
        <v/>
      </c>
      <c r="AF381" s="4">
        <f>MAX(0,S381-MAX(0,Z381-SUM(Q381:R381)))</f>
        <v/>
      </c>
      <c r="AG381" s="4">
        <f>MAX(0,T381-MAX(0,Z381-SUM(Q381:S381)))</f>
        <v/>
      </c>
      <c r="AH381" s="4">
        <f>MAX(0,U381-MAX(0,Z381-SUM(Q381:T381)))</f>
        <v/>
      </c>
      <c r="AI381" s="4">
        <f>MAX(0,V381-MAX(0,Z381-SUM(Q381:U381)))</f>
        <v/>
      </c>
      <c r="AJ381" s="4">
        <f>MAX(0,W381-MAX(0,Z381-SUM(Q381:V381)))</f>
        <v/>
      </c>
      <c r="AK381" s="4">
        <f>MAX(0,X381-MAX(0,Z381-SUM(Q381:W381)))</f>
        <v/>
      </c>
      <c r="AL381" s="4">
        <f>MAX(0,Y381-MAX(0,Z381-SUM(Q381:X381)))</f>
        <v/>
      </c>
    </row>
    <row r="382">
      <c r="A382" s="4" t="inlineStr">
        <is>
          <t>HASLS22260902009</t>
        </is>
      </c>
      <c r="B382" s="4" t="inlineStr">
        <is>
          <t>KMBK</t>
        </is>
      </c>
      <c r="C382" s="4" t="inlineStr">
        <is>
          <t>2611N</t>
        </is>
      </c>
      <c r="D382" s="4" t="inlineStr">
        <is>
          <t>202610040100</t>
        </is>
      </c>
      <c r="E382" s="4" t="inlineStr"/>
      <c r="F382" s="4" t="inlineStr">
        <is>
          <t>THLCH</t>
        </is>
      </c>
      <c r="G382" s="4" t="inlineStr">
        <is>
          <t>KRPUS</t>
        </is>
      </c>
      <c r="H382" s="4" t="inlineStr">
        <is>
          <t xml:space="preserve">40Hx1 </t>
        </is>
      </c>
      <c r="I382" s="4" t="inlineStr">
        <is>
          <t>LCH28</t>
        </is>
      </c>
      <c r="J382" s="4" t="inlineStr">
        <is>
          <t>CELLO</t>
        </is>
      </c>
      <c r="K382" s="4" t="inlineStr">
        <is>
          <t>20260930</t>
        </is>
      </c>
      <c r="L382" s="4" t="inlineStr">
        <is>
          <t>H &amp; FRIENDS GTL (THAILAND) CO., LTD.</t>
        </is>
      </c>
      <c r="M382" s="4" t="inlineStr">
        <is>
          <t>AUTOLIV (THAILAND) LIMITED</t>
        </is>
      </c>
      <c r="N382" s="4" t="inlineStr">
        <is>
          <t>SEAT BELT</t>
        </is>
      </c>
      <c r="O382" s="4" t="inlineStr">
        <is>
          <t>REQUEST CONTAINER CLEAN &amp; NO SMEL</t>
        </is>
      </c>
      <c r="P382" s="4" t="inlineStr">
        <is>
          <t>Pickup : 2026-09-30, Return : 2026-09-30</t>
        </is>
      </c>
      <c r="Q382" s="4" t="n">
        <v>0</v>
      </c>
      <c r="R382" s="4" t="n">
        <v>0</v>
      </c>
      <c r="S382" s="4" t="n">
        <v>1</v>
      </c>
      <c r="T382" s="4" t="n">
        <v>0</v>
      </c>
      <c r="U382" s="4" t="n">
        <v>0</v>
      </c>
      <c r="V382" s="4" t="n">
        <v>0</v>
      </c>
      <c r="W382" s="4" t="n">
        <v>0</v>
      </c>
      <c r="X382" s="4" t="n">
        <v>0</v>
      </c>
      <c r="Y382" s="4" t="n">
        <v>0</v>
      </c>
      <c r="Z382" s="4" t="n">
        <v>0</v>
      </c>
      <c r="AA382" s="4" t="n">
        <v>0</v>
      </c>
      <c r="AB382" s="4">
        <f>SUM(Q382:Y382)-Z382</f>
        <v/>
      </c>
      <c r="AC382" s="4">
        <f>IF(I382="","",IF(OR(LEFT(I382,3)="BKK",I382="LCH55"),"BKK",IF(LEFT(I382,3)="LCH","LCH","OTHER")))</f>
        <v/>
      </c>
      <c r="AD382" s="4">
        <f>MAX(0,Q382-MAX(0,Z382))</f>
        <v/>
      </c>
      <c r="AE382" s="4">
        <f>MAX(0,R382-MAX(0,Z382-SUM(Q382:Q382)))</f>
        <v/>
      </c>
      <c r="AF382" s="4">
        <f>MAX(0,S382-MAX(0,Z382-SUM(Q382:R382)))</f>
        <v/>
      </c>
      <c r="AG382" s="4">
        <f>MAX(0,T382-MAX(0,Z382-SUM(Q382:S382)))</f>
        <v/>
      </c>
      <c r="AH382" s="4">
        <f>MAX(0,U382-MAX(0,Z382-SUM(Q382:T382)))</f>
        <v/>
      </c>
      <c r="AI382" s="4">
        <f>MAX(0,V382-MAX(0,Z382-SUM(Q382:U382)))</f>
        <v/>
      </c>
      <c r="AJ382" s="4">
        <f>MAX(0,W382-MAX(0,Z382-SUM(Q382:V382)))</f>
        <v/>
      </c>
      <c r="AK382" s="4">
        <f>MAX(0,X382-MAX(0,Z382-SUM(Q382:W382)))</f>
        <v/>
      </c>
      <c r="AL382" s="4">
        <f>MAX(0,Y382-MAX(0,Z382-SUM(Q382:X382)))</f>
        <v/>
      </c>
    </row>
    <row r="383">
      <c r="A383" s="4" t="inlineStr">
        <is>
          <t>HASLS22260902044</t>
        </is>
      </c>
      <c r="B383" s="4" t="inlineStr">
        <is>
          <t>KMBK</t>
        </is>
      </c>
      <c r="C383" s="4" t="inlineStr">
        <is>
          <t>2611N</t>
        </is>
      </c>
      <c r="D383" s="4" t="inlineStr">
        <is>
          <t>202610040100</t>
        </is>
      </c>
      <c r="E383" s="4" t="inlineStr"/>
      <c r="F383" s="4" t="inlineStr">
        <is>
          <t>THLCH</t>
        </is>
      </c>
      <c r="G383" s="4" t="inlineStr">
        <is>
          <t>VNSGN</t>
        </is>
      </c>
      <c r="H383" s="4" t="inlineStr">
        <is>
          <t xml:space="preserve">20'x4 </t>
        </is>
      </c>
      <c r="I383" s="4" t="inlineStr">
        <is>
          <t>LCH28</t>
        </is>
      </c>
      <c r="J383" s="4" t="inlineStr">
        <is>
          <t>CELLO</t>
        </is>
      </c>
      <c r="K383" s="4" t="inlineStr">
        <is>
          <t>20260930</t>
        </is>
      </c>
      <c r="L383" s="4" t="inlineStr">
        <is>
          <t>YQN INTERNATIONAL LOGISTICS (THAILAND) CO., LTD.</t>
        </is>
      </c>
      <c r="M383" s="4" t="inlineStr">
        <is>
          <t>JINHUA ZINC TECHNOLOGY (THAILAND) CO., LTD.</t>
        </is>
      </c>
      <c r="N383" s="4" t="inlineStr">
        <is>
          <t>ZINC OXIDE</t>
        </is>
      </c>
      <c r="O383" s="4" t="inlineStr">
        <is>
          <t>RQST CONTAINER 30 TONS.</t>
        </is>
      </c>
      <c r="P383" s="4" t="inlineStr">
        <is>
          <t xml:space="preserve">Pickup : 2026-09-30, Return : 2026-10-01 
 ** PLEASE CHECK OPEN GATE BEFORE RETURN CNTR **
</t>
        </is>
      </c>
      <c r="Q383" s="4" t="n">
        <v>4</v>
      </c>
      <c r="R383" s="4" t="n">
        <v>0</v>
      </c>
      <c r="S383" s="4" t="n">
        <v>0</v>
      </c>
      <c r="T383" s="4" t="n">
        <v>0</v>
      </c>
      <c r="U383" s="4" t="n">
        <v>0</v>
      </c>
      <c r="V383" s="4" t="n">
        <v>0</v>
      </c>
      <c r="W383" s="4" t="n">
        <v>0</v>
      </c>
      <c r="X383" s="4" t="n">
        <v>0</v>
      </c>
      <c r="Y383" s="4" t="n">
        <v>0</v>
      </c>
      <c r="Z383" s="4" t="n">
        <v>0</v>
      </c>
      <c r="AA383" s="4" t="n">
        <v>0</v>
      </c>
      <c r="AB383" s="4">
        <f>SUM(Q383:Y383)-Z383</f>
        <v/>
      </c>
      <c r="AC383" s="4">
        <f>IF(I383="","",IF(OR(LEFT(I383,3)="BKK",I383="LCH55"),"BKK",IF(LEFT(I383,3)="LCH","LCH","OTHER")))</f>
        <v/>
      </c>
      <c r="AD383" s="4">
        <f>MAX(0,Q383-MAX(0,Z383))</f>
        <v/>
      </c>
      <c r="AE383" s="4">
        <f>MAX(0,R383-MAX(0,Z383-SUM(Q383:Q383)))</f>
        <v/>
      </c>
      <c r="AF383" s="4">
        <f>MAX(0,S383-MAX(0,Z383-SUM(Q383:R383)))</f>
        <v/>
      </c>
      <c r="AG383" s="4">
        <f>MAX(0,T383-MAX(0,Z383-SUM(Q383:S383)))</f>
        <v/>
      </c>
      <c r="AH383" s="4">
        <f>MAX(0,U383-MAX(0,Z383-SUM(Q383:T383)))</f>
        <v/>
      </c>
      <c r="AI383" s="4">
        <f>MAX(0,V383-MAX(0,Z383-SUM(Q383:U383)))</f>
        <v/>
      </c>
      <c r="AJ383" s="4">
        <f>MAX(0,W383-MAX(0,Z383-SUM(Q383:V383)))</f>
        <v/>
      </c>
      <c r="AK383" s="4">
        <f>MAX(0,X383-MAX(0,Z383-SUM(Q383:W383)))</f>
        <v/>
      </c>
      <c r="AL383" s="4">
        <f>MAX(0,Y383-MAX(0,Z383-SUM(Q383:X383)))</f>
        <v/>
      </c>
    </row>
    <row r="384">
      <c r="A384" s="4" t="inlineStr">
        <is>
          <t>HASLS22260902047</t>
        </is>
      </c>
      <c r="B384" s="4" t="inlineStr">
        <is>
          <t>KMBK</t>
        </is>
      </c>
      <c r="C384" s="4" t="inlineStr">
        <is>
          <t>2611N</t>
        </is>
      </c>
      <c r="D384" s="4" t="inlineStr">
        <is>
          <t>202610040100</t>
        </is>
      </c>
      <c r="E384" s="4" t="inlineStr"/>
      <c r="F384" s="4" t="inlineStr">
        <is>
          <t>THLCH</t>
        </is>
      </c>
      <c r="G384" s="4" t="inlineStr">
        <is>
          <t>VNSGN</t>
        </is>
      </c>
      <c r="H384" s="4" t="inlineStr">
        <is>
          <t xml:space="preserve">20'x4 </t>
        </is>
      </c>
      <c r="I384" s="4" t="inlineStr">
        <is>
          <t>LCH28</t>
        </is>
      </c>
      <c r="J384" s="4" t="inlineStr">
        <is>
          <t>CELLO</t>
        </is>
      </c>
      <c r="K384" s="4" t="inlineStr">
        <is>
          <t>20260930</t>
        </is>
      </c>
      <c r="L384" s="4" t="inlineStr">
        <is>
          <t>YQN INTERNATIONAL LOGISTICS (THAILAND) CO., LTD.</t>
        </is>
      </c>
      <c r="M384" s="4" t="inlineStr">
        <is>
          <t>JINHUA ZINC TECHNOLOGY (THAILAND) CO., LTD.</t>
        </is>
      </c>
      <c r="N384" s="4" t="inlineStr">
        <is>
          <t>ZINC OXIDE</t>
        </is>
      </c>
      <c r="O384" s="4" t="inlineStr">
        <is>
          <t>RQST CONTAINER 30 TONS.</t>
        </is>
      </c>
      <c r="P384" s="4" t="inlineStr">
        <is>
          <t>Pickup : 2026-09-30, Return : 2026-10-01 
 ** PLEASE CHECK OPEN GATE BEFORE RETURN CNTR **</t>
        </is>
      </c>
      <c r="Q384" s="4" t="n">
        <v>4</v>
      </c>
      <c r="R384" s="4" t="n">
        <v>0</v>
      </c>
      <c r="S384" s="4" t="n">
        <v>0</v>
      </c>
      <c r="T384" s="4" t="n">
        <v>0</v>
      </c>
      <c r="U384" s="4" t="n">
        <v>0</v>
      </c>
      <c r="V384" s="4" t="n">
        <v>0</v>
      </c>
      <c r="W384" s="4" t="n">
        <v>0</v>
      </c>
      <c r="X384" s="4" t="n">
        <v>0</v>
      </c>
      <c r="Y384" s="4" t="n">
        <v>0</v>
      </c>
      <c r="Z384" s="4" t="n">
        <v>0</v>
      </c>
      <c r="AA384" s="4" t="n">
        <v>0</v>
      </c>
      <c r="AB384" s="4">
        <f>SUM(Q384:Y384)-Z384</f>
        <v/>
      </c>
      <c r="AC384" s="4">
        <f>IF(I384="","",IF(OR(LEFT(I384,3)="BKK",I384="LCH55"),"BKK",IF(LEFT(I384,3)="LCH","LCH","OTHER")))</f>
        <v/>
      </c>
      <c r="AD384" s="4">
        <f>MAX(0,Q384-MAX(0,Z384))</f>
        <v/>
      </c>
      <c r="AE384" s="4">
        <f>MAX(0,R384-MAX(0,Z384-SUM(Q384:Q384)))</f>
        <v/>
      </c>
      <c r="AF384" s="4">
        <f>MAX(0,S384-MAX(0,Z384-SUM(Q384:R384)))</f>
        <v/>
      </c>
      <c r="AG384" s="4">
        <f>MAX(0,T384-MAX(0,Z384-SUM(Q384:S384)))</f>
        <v/>
      </c>
      <c r="AH384" s="4">
        <f>MAX(0,U384-MAX(0,Z384-SUM(Q384:T384)))</f>
        <v/>
      </c>
      <c r="AI384" s="4">
        <f>MAX(0,V384-MAX(0,Z384-SUM(Q384:U384)))</f>
        <v/>
      </c>
      <c r="AJ384" s="4">
        <f>MAX(0,W384-MAX(0,Z384-SUM(Q384:V384)))</f>
        <v/>
      </c>
      <c r="AK384" s="4">
        <f>MAX(0,X384-MAX(0,Z384-SUM(Q384:W384)))</f>
        <v/>
      </c>
      <c r="AL384" s="4">
        <f>MAX(0,Y384-MAX(0,Z384-SUM(Q384:X384)))</f>
        <v/>
      </c>
    </row>
    <row r="385">
      <c r="A385" s="4" t="inlineStr">
        <is>
          <t>HASLS22260902104</t>
        </is>
      </c>
      <c r="B385" s="4" t="inlineStr">
        <is>
          <t>KMBK</t>
        </is>
      </c>
      <c r="C385" s="4" t="inlineStr">
        <is>
          <t>2611N</t>
        </is>
      </c>
      <c r="D385" s="4" t="inlineStr">
        <is>
          <t>202610040100</t>
        </is>
      </c>
      <c r="E385" s="4" t="inlineStr"/>
      <c r="F385" s="4" t="inlineStr">
        <is>
          <t>THLCH</t>
        </is>
      </c>
      <c r="G385" s="4" t="inlineStr">
        <is>
          <t>VNSGN</t>
        </is>
      </c>
      <c r="H385" s="4" t="inlineStr">
        <is>
          <t xml:space="preserve">20'x1 </t>
        </is>
      </c>
      <c r="I385" s="4" t="inlineStr">
        <is>
          <t>LCH28</t>
        </is>
      </c>
      <c r="J385" s="4" t="inlineStr">
        <is>
          <t>CELLO</t>
        </is>
      </c>
      <c r="K385" s="4" t="inlineStr">
        <is>
          <t>20260930</t>
        </is>
      </c>
      <c r="L385" s="4" t="inlineStr">
        <is>
          <t>EAST-LINK CORPORATION CO., LTD.</t>
        </is>
      </c>
      <c r="M385" s="4" t="inlineStr">
        <is>
          <t>KLOECKNER PENTAPLAST (THAILAND) LTD.</t>
        </is>
      </c>
      <c r="N385" s="4" t="inlineStr">
        <is>
          <t>DECORATIVE FILMS</t>
        </is>
      </c>
      <c r="O385" s="4" t="inlineStr">
        <is>
          <t>RQS CLEAN &amp; GOOD CONTAINER CONDITION.</t>
        </is>
      </c>
      <c r="P385" s="4" t="inlineStr">
        <is>
          <t xml:space="preserve">Pickup : 2026-09-30, Return : 2026-09-30 
** PLEASE CHECK OPEN GATE BEFORE RETURN CONTAINER ** </t>
        </is>
      </c>
      <c r="Q385" s="4" t="n">
        <v>1</v>
      </c>
      <c r="R385" s="4" t="n">
        <v>0</v>
      </c>
      <c r="S385" s="4" t="n">
        <v>0</v>
      </c>
      <c r="T385" s="4" t="n">
        <v>0</v>
      </c>
      <c r="U385" s="4" t="n">
        <v>0</v>
      </c>
      <c r="V385" s="4" t="n">
        <v>0</v>
      </c>
      <c r="W385" s="4" t="n">
        <v>0</v>
      </c>
      <c r="X385" s="4" t="n">
        <v>0</v>
      </c>
      <c r="Y385" s="4" t="n">
        <v>0</v>
      </c>
      <c r="Z385" s="4" t="n">
        <v>0</v>
      </c>
      <c r="AA385" s="4" t="n">
        <v>0</v>
      </c>
      <c r="AB385" s="4">
        <f>SUM(Q385:Y385)-Z385</f>
        <v/>
      </c>
      <c r="AC385" s="4">
        <f>IF(I385="","",IF(OR(LEFT(I385,3)="BKK",I385="LCH55"),"BKK",IF(LEFT(I385,3)="LCH","LCH","OTHER")))</f>
        <v/>
      </c>
      <c r="AD385" s="4">
        <f>MAX(0,Q385-MAX(0,Z385))</f>
        <v/>
      </c>
      <c r="AE385" s="4">
        <f>MAX(0,R385-MAX(0,Z385-SUM(Q385:Q385)))</f>
        <v/>
      </c>
      <c r="AF385" s="4">
        <f>MAX(0,S385-MAX(0,Z385-SUM(Q385:R385)))</f>
        <v/>
      </c>
      <c r="AG385" s="4">
        <f>MAX(0,T385-MAX(0,Z385-SUM(Q385:S385)))</f>
        <v/>
      </c>
      <c r="AH385" s="4">
        <f>MAX(0,U385-MAX(0,Z385-SUM(Q385:T385)))</f>
        <v/>
      </c>
      <c r="AI385" s="4">
        <f>MAX(0,V385-MAX(0,Z385-SUM(Q385:U385)))</f>
        <v/>
      </c>
      <c r="AJ385" s="4">
        <f>MAX(0,W385-MAX(0,Z385-SUM(Q385:V385)))</f>
        <v/>
      </c>
      <c r="AK385" s="4">
        <f>MAX(0,X385-MAX(0,Z385-SUM(Q385:W385)))</f>
        <v/>
      </c>
      <c r="AL385" s="4">
        <f>MAX(0,Y385-MAX(0,Z385-SUM(Q385:X385)))</f>
        <v/>
      </c>
    </row>
    <row r="386">
      <c r="A386" s="4" t="inlineStr">
        <is>
          <t>HASLS22260902168</t>
        </is>
      </c>
      <c r="B386" s="4" t="inlineStr">
        <is>
          <t>KMBK</t>
        </is>
      </c>
      <c r="C386" s="4" t="inlineStr">
        <is>
          <t>2611N</t>
        </is>
      </c>
      <c r="D386" s="4" t="inlineStr">
        <is>
          <t>202610040100</t>
        </is>
      </c>
      <c r="E386" s="4" t="inlineStr"/>
      <c r="F386" s="4" t="inlineStr">
        <is>
          <t>THLCH</t>
        </is>
      </c>
      <c r="G386" s="4" t="inlineStr">
        <is>
          <t>KRPUS</t>
        </is>
      </c>
      <c r="H386" s="4" t="inlineStr">
        <is>
          <t xml:space="preserve">20'x1 </t>
        </is>
      </c>
      <c r="I386" s="4" t="inlineStr">
        <is>
          <t>LCH28</t>
        </is>
      </c>
      <c r="J386" s="4" t="inlineStr">
        <is>
          <t>CELLO</t>
        </is>
      </c>
      <c r="K386" s="4" t="inlineStr">
        <is>
          <t>20261001</t>
        </is>
      </c>
      <c r="L386" s="4" t="inlineStr">
        <is>
          <t>H &amp; FRIENDS GTL (THAILAND) CO., LTD.</t>
        </is>
      </c>
      <c r="M386" s="4" t="inlineStr">
        <is>
          <t>AUTOLIV (THAILAND) LIMITED</t>
        </is>
      </c>
      <c r="N386" s="4" t="inlineStr">
        <is>
          <t>SEAT BELT</t>
        </is>
      </c>
      <c r="O386" s="4" t="inlineStr">
        <is>
          <t>REQUEST CONTAINER CLEAN &amp; NO SMEL</t>
        </is>
      </c>
      <c r="P386" s="4" t="inlineStr">
        <is>
          <t xml:space="preserve">Pickup : 2026-10-01, Return : 2026-10-01 
 ** PLEASE CHECK OPEN GATE BEFORE RETURN CONTAINER ** </t>
        </is>
      </c>
      <c r="Q386" s="4" t="n">
        <v>1</v>
      </c>
      <c r="R386" s="4" t="n">
        <v>0</v>
      </c>
      <c r="S386" s="4" t="n">
        <v>0</v>
      </c>
      <c r="T386" s="4" t="n">
        <v>0</v>
      </c>
      <c r="U386" s="4" t="n">
        <v>0</v>
      </c>
      <c r="V386" s="4" t="n">
        <v>0</v>
      </c>
      <c r="W386" s="4" t="n">
        <v>0</v>
      </c>
      <c r="X386" s="4" t="n">
        <v>0</v>
      </c>
      <c r="Y386" s="4" t="n">
        <v>0</v>
      </c>
      <c r="Z386" s="4" t="n">
        <v>0</v>
      </c>
      <c r="AA386" s="4" t="n">
        <v>0</v>
      </c>
      <c r="AB386" s="4">
        <f>SUM(Q386:Y386)-Z386</f>
        <v/>
      </c>
      <c r="AC386" s="4">
        <f>IF(I386="","",IF(OR(LEFT(I386,3)="BKK",I386="LCH55"),"BKK",IF(LEFT(I386,3)="LCH","LCH","OTHER")))</f>
        <v/>
      </c>
      <c r="AD386" s="4">
        <f>MAX(0,Q386-MAX(0,Z386))</f>
        <v/>
      </c>
      <c r="AE386" s="4">
        <f>MAX(0,R386-MAX(0,Z386-SUM(Q386:Q386)))</f>
        <v/>
      </c>
      <c r="AF386" s="4">
        <f>MAX(0,S386-MAX(0,Z386-SUM(Q386:R386)))</f>
        <v/>
      </c>
      <c r="AG386" s="4">
        <f>MAX(0,T386-MAX(0,Z386-SUM(Q386:S386)))</f>
        <v/>
      </c>
      <c r="AH386" s="4">
        <f>MAX(0,U386-MAX(0,Z386-SUM(Q386:T386)))</f>
        <v/>
      </c>
      <c r="AI386" s="4">
        <f>MAX(0,V386-MAX(0,Z386-SUM(Q386:U386)))</f>
        <v/>
      </c>
      <c r="AJ386" s="4">
        <f>MAX(0,W386-MAX(0,Z386-SUM(Q386:V386)))</f>
        <v/>
      </c>
      <c r="AK386" s="4">
        <f>MAX(0,X386-MAX(0,Z386-SUM(Q386:W386)))</f>
        <v/>
      </c>
      <c r="AL386" s="4">
        <f>MAX(0,Y386-MAX(0,Z386-SUM(Q386:X386)))</f>
        <v/>
      </c>
    </row>
    <row r="387">
      <c r="A387" s="4" t="inlineStr">
        <is>
          <t>HASLS22260902334</t>
        </is>
      </c>
      <c r="B387" s="4" t="inlineStr">
        <is>
          <t>KMBK</t>
        </is>
      </c>
      <c r="C387" s="4" t="inlineStr">
        <is>
          <t>2611N</t>
        </is>
      </c>
      <c r="D387" s="4" t="inlineStr">
        <is>
          <t>202610040100</t>
        </is>
      </c>
      <c r="E387" s="4" t="inlineStr"/>
      <c r="F387" s="4" t="inlineStr">
        <is>
          <t>THLCH</t>
        </is>
      </c>
      <c r="G387" s="4" t="inlineStr">
        <is>
          <t>VNSGN</t>
        </is>
      </c>
      <c r="H387" s="4" t="inlineStr">
        <is>
          <t xml:space="preserve">40Hx1 </t>
        </is>
      </c>
      <c r="I387" s="4" t="inlineStr">
        <is>
          <t>LCH28</t>
        </is>
      </c>
      <c r="J387" s="4" t="inlineStr">
        <is>
          <t>CELLO</t>
        </is>
      </c>
      <c r="K387" s="4" t="inlineStr">
        <is>
          <t>20260930</t>
        </is>
      </c>
      <c r="L387" s="4" t="inlineStr">
        <is>
          <t>KORCHINA FREIGHT (THAILAND) CO., LTD.</t>
        </is>
      </c>
      <c r="M387" s="4" t="inlineStr">
        <is>
          <t>BRIDGESTONE TIRE MANUFACTURING (THAILAND) CO.,LTD.</t>
        </is>
      </c>
      <c r="N387" s="4" t="inlineStr">
        <is>
          <t>STEEL BOBBINS / PALLET</t>
        </is>
      </c>
      <c r="O387" s="4" t="inlineStr">
        <is>
          <t>GOOD AND CLEAN CONTAINER</t>
        </is>
      </c>
      <c r="P387" s="4" t="inlineStr">
        <is>
          <t>Pickup : 2026-09-30, Return : 2026-09-30</t>
        </is>
      </c>
      <c r="Q387" s="4" t="n">
        <v>0</v>
      </c>
      <c r="R387" s="4" t="n">
        <v>0</v>
      </c>
      <c r="S387" s="4" t="n">
        <v>1</v>
      </c>
      <c r="T387" s="4" t="n">
        <v>0</v>
      </c>
      <c r="U387" s="4" t="n">
        <v>0</v>
      </c>
      <c r="V387" s="4" t="n">
        <v>0</v>
      </c>
      <c r="W387" s="4" t="n">
        <v>0</v>
      </c>
      <c r="X387" s="4" t="n">
        <v>0</v>
      </c>
      <c r="Y387" s="4" t="n">
        <v>0</v>
      </c>
      <c r="Z387" s="4" t="n">
        <v>0</v>
      </c>
      <c r="AA387" s="4" t="n">
        <v>0</v>
      </c>
      <c r="AB387" s="4">
        <f>SUM(Q387:Y387)-Z387</f>
        <v/>
      </c>
      <c r="AC387" s="4">
        <f>IF(I387="","",IF(OR(LEFT(I387,3)="BKK",I387="LCH55"),"BKK",IF(LEFT(I387,3)="LCH","LCH","OTHER")))</f>
        <v/>
      </c>
      <c r="AD387" s="4">
        <f>MAX(0,Q387-MAX(0,Z387))</f>
        <v/>
      </c>
      <c r="AE387" s="4">
        <f>MAX(0,R387-MAX(0,Z387-SUM(Q387:Q387)))</f>
        <v/>
      </c>
      <c r="AF387" s="4">
        <f>MAX(0,S387-MAX(0,Z387-SUM(Q387:R387)))</f>
        <v/>
      </c>
      <c r="AG387" s="4">
        <f>MAX(0,T387-MAX(0,Z387-SUM(Q387:S387)))</f>
        <v/>
      </c>
      <c r="AH387" s="4">
        <f>MAX(0,U387-MAX(0,Z387-SUM(Q387:T387)))</f>
        <v/>
      </c>
      <c r="AI387" s="4">
        <f>MAX(0,V387-MAX(0,Z387-SUM(Q387:U387)))</f>
        <v/>
      </c>
      <c r="AJ387" s="4">
        <f>MAX(0,W387-MAX(0,Z387-SUM(Q387:V387)))</f>
        <v/>
      </c>
      <c r="AK387" s="4">
        <f>MAX(0,X387-MAX(0,Z387-SUM(Q387:W387)))</f>
        <v/>
      </c>
      <c r="AL387" s="4">
        <f>MAX(0,Y387-MAX(0,Z387-SUM(Q387:X387)))</f>
        <v/>
      </c>
    </row>
    <row r="388">
      <c r="A388" s="4" t="inlineStr">
        <is>
          <t>HASLS22260800608</t>
        </is>
      </c>
      <c r="B388" s="4" t="inlineStr">
        <is>
          <t>SKOR</t>
        </is>
      </c>
      <c r="C388" s="4" t="inlineStr">
        <is>
          <t>2612N</t>
        </is>
      </c>
      <c r="D388" s="4" t="inlineStr">
        <is>
          <t>202610181700</t>
        </is>
      </c>
      <c r="E388" s="4" t="inlineStr"/>
      <c r="F388" s="4" t="inlineStr">
        <is>
          <t>THBKK</t>
        </is>
      </c>
      <c r="G388" s="4" t="inlineStr">
        <is>
          <t>KRPUS</t>
        </is>
      </c>
      <c r="H388" s="4" t="inlineStr">
        <is>
          <t xml:space="preserve">R40Hx1 </t>
        </is>
      </c>
      <c r="I388" s="4" t="inlineStr">
        <is>
          <t>LCH27</t>
        </is>
      </c>
      <c r="J388" s="4" t="inlineStr">
        <is>
          <t xml:space="preserve">HAST Logistics Co.,Ltd. </t>
        </is>
      </c>
      <c r="K388" s="4" t="inlineStr">
        <is>
          <t>20261016</t>
        </is>
      </c>
      <c r="L388" s="4" t="inlineStr">
        <is>
          <t>C.P. INTERTRADE CO., LTD.</t>
        </is>
      </c>
      <c r="M388" s="4" t="inlineStr">
        <is>
          <t>CPF FOOD NETWORK CO., LTD.</t>
        </is>
      </c>
      <c r="N388" s="4" t="inlineStr">
        <is>
          <t>FROZEN PREPARED SHIMP MEAT</t>
        </is>
      </c>
      <c r="O388" s="4" t="inlineStr">
        <is>
          <t>*PRECOOL* (Temp -18.0℃ / Vent Close)  
REQUEST CLEAN &amp; GOOD CONTAINER</t>
        </is>
      </c>
      <c r="P388" s="4" t="inlineStr">
        <is>
          <t xml:space="preserve">Pickup : 2026-10-16, Return : 2026-10-17 (Temp -18.0 / Vent Close) *PRE-COOL* 
 PRE-COOL = 1,200 BAHT // CLS TIME 17/10 @01.00 </t>
        </is>
      </c>
      <c r="Q388" s="4" t="n">
        <v>0</v>
      </c>
      <c r="R388" s="4" t="n">
        <v>0</v>
      </c>
      <c r="S388" s="4" t="n">
        <v>0</v>
      </c>
      <c r="T388" s="4" t="n">
        <v>0</v>
      </c>
      <c r="U388" s="4" t="n">
        <v>1</v>
      </c>
      <c r="V388" s="4" t="n">
        <v>0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>
        <f>SUM(Q388:Y388)-Z388</f>
        <v/>
      </c>
      <c r="AC388" s="4">
        <f>IF(I388="","",IF(OR(LEFT(I388,3)="BKK",I388="LCH55"),"BKK",IF(LEFT(I388,3)="LCH","LCH","OTHER")))</f>
        <v/>
      </c>
      <c r="AD388" s="4">
        <f>MAX(0,Q388-MAX(0,Z388))</f>
        <v/>
      </c>
      <c r="AE388" s="4">
        <f>MAX(0,R388-MAX(0,Z388-SUM(Q388:Q388)))</f>
        <v/>
      </c>
      <c r="AF388" s="4">
        <f>MAX(0,S388-MAX(0,Z388-SUM(Q388:R388)))</f>
        <v/>
      </c>
      <c r="AG388" s="4">
        <f>MAX(0,T388-MAX(0,Z388-SUM(Q388:S388)))</f>
        <v/>
      </c>
      <c r="AH388" s="4">
        <f>MAX(0,U388-MAX(0,Z388-SUM(Q388:T388)))</f>
        <v/>
      </c>
      <c r="AI388" s="4">
        <f>MAX(0,V388-MAX(0,Z388-SUM(Q388:U388)))</f>
        <v/>
      </c>
      <c r="AJ388" s="4">
        <f>MAX(0,W388-MAX(0,Z388-SUM(Q388:V388)))</f>
        <v/>
      </c>
      <c r="AK388" s="4">
        <f>MAX(0,X388-MAX(0,Z388-SUM(Q388:W388)))</f>
        <v/>
      </c>
      <c r="AL388" s="4">
        <f>MAX(0,Y388-MAX(0,Z388-SUM(Q388:X388)))</f>
        <v/>
      </c>
    </row>
    <row r="389">
      <c r="A389" s="4" t="inlineStr">
        <is>
          <t>HASLS22260801235</t>
        </is>
      </c>
      <c r="B389" s="4" t="inlineStr">
        <is>
          <t>KMGY</t>
        </is>
      </c>
      <c r="C389" s="4" t="inlineStr">
        <is>
          <t>2610N</t>
        </is>
      </c>
      <c r="D389" s="4" t="inlineStr">
        <is>
          <t>202609300400</t>
        </is>
      </c>
      <c r="E389" s="4" t="inlineStr"/>
      <c r="F389" s="4" t="inlineStr">
        <is>
          <t>THLCH</t>
        </is>
      </c>
      <c r="G389" s="4" t="inlineStr">
        <is>
          <t>HKHKG</t>
        </is>
      </c>
      <c r="H389" s="4" t="inlineStr">
        <is>
          <t xml:space="preserve">R40Hx1 </t>
        </is>
      </c>
      <c r="I389" s="4" t="inlineStr">
        <is>
          <t>LCH27</t>
        </is>
      </c>
      <c r="J389" s="4" t="inlineStr">
        <is>
          <t xml:space="preserve">HAST Logistics Co.,Ltd. </t>
        </is>
      </c>
      <c r="K389" s="4" t="inlineStr">
        <is>
          <t>20260926</t>
        </is>
      </c>
      <c r="L389" s="4" t="inlineStr">
        <is>
          <t>DYNAMIC INTERTRANSPORT CO., LTD.</t>
        </is>
      </c>
      <c r="M389" s="4" t="inlineStr">
        <is>
          <t>CP-MEIJI CO., LTD.</t>
        </is>
      </c>
      <c r="N389" s="4" t="inlineStr">
        <is>
          <t>FRESH MILK AND MILK PRODUCT</t>
        </is>
      </c>
      <c r="O389" s="4" t="inlineStr">
        <is>
          <t>(Temp +0.0℃ / Vent Close)  
REQUEST : CLEAN AND GOOD CONTAINER FOR MILK PRODUCT</t>
        </is>
      </c>
      <c r="P389" s="4" t="inlineStr">
        <is>
          <t xml:space="preserve">Pickup : 2026-09-26, Return : 2026-09-27 (Temp +0.0 / Vent Close)
 CLS TIME 28/09 @21.00 [1ST RTN 27/09 W/O RENT &amp; ELECTRIC] 
 </t>
        </is>
      </c>
      <c r="Q389" s="4" t="n">
        <v>0</v>
      </c>
      <c r="R389" s="4" t="n">
        <v>0</v>
      </c>
      <c r="S389" s="4" t="n">
        <v>0</v>
      </c>
      <c r="T389" s="4" t="n">
        <v>0</v>
      </c>
      <c r="U389" s="4" t="n">
        <v>1</v>
      </c>
      <c r="V389" s="4" t="n">
        <v>0</v>
      </c>
      <c r="W389" s="4" t="n">
        <v>0</v>
      </c>
      <c r="X389" s="4" t="n">
        <v>0</v>
      </c>
      <c r="Y389" s="4" t="n">
        <v>0</v>
      </c>
      <c r="Z389" s="4" t="n">
        <v>0</v>
      </c>
      <c r="AA389" s="4" t="n">
        <v>0</v>
      </c>
      <c r="AB389" s="4">
        <f>SUM(Q389:Y389)-Z389</f>
        <v/>
      </c>
      <c r="AC389" s="4">
        <f>IF(I389="","",IF(OR(LEFT(I389,3)="BKK",I389="LCH55"),"BKK",IF(LEFT(I389,3)="LCH","LCH","OTHER")))</f>
        <v/>
      </c>
      <c r="AD389" s="4">
        <f>MAX(0,Q389-MAX(0,Z389))</f>
        <v/>
      </c>
      <c r="AE389" s="4">
        <f>MAX(0,R389-MAX(0,Z389-SUM(Q389:Q389)))</f>
        <v/>
      </c>
      <c r="AF389" s="4">
        <f>MAX(0,S389-MAX(0,Z389-SUM(Q389:R389)))</f>
        <v/>
      </c>
      <c r="AG389" s="4">
        <f>MAX(0,T389-MAX(0,Z389-SUM(Q389:S389)))</f>
        <v/>
      </c>
      <c r="AH389" s="4">
        <f>MAX(0,U389-MAX(0,Z389-SUM(Q389:T389)))</f>
        <v/>
      </c>
      <c r="AI389" s="4">
        <f>MAX(0,V389-MAX(0,Z389-SUM(Q389:U389)))</f>
        <v/>
      </c>
      <c r="AJ389" s="4">
        <f>MAX(0,W389-MAX(0,Z389-SUM(Q389:V389)))</f>
        <v/>
      </c>
      <c r="AK389" s="4">
        <f>MAX(0,X389-MAX(0,Z389-SUM(Q389:W389)))</f>
        <v/>
      </c>
      <c r="AL389" s="4">
        <f>MAX(0,Y389-MAX(0,Z389-SUM(Q389:X389)))</f>
        <v/>
      </c>
    </row>
    <row r="390">
      <c r="A390" s="4" t="inlineStr">
        <is>
          <t>HASLS22260801436</t>
        </is>
      </c>
      <c r="B390" s="4" t="inlineStr">
        <is>
          <t>KUS</t>
        </is>
      </c>
      <c r="C390" s="4" t="inlineStr">
        <is>
          <t>2616N</t>
        </is>
      </c>
      <c r="D390" s="4" t="inlineStr">
        <is>
          <t>202610150400</t>
        </is>
      </c>
      <c r="E390" s="4" t="inlineStr"/>
      <c r="F390" s="4" t="inlineStr">
        <is>
          <t>THLCH</t>
        </is>
      </c>
      <c r="G390" s="4" t="inlineStr">
        <is>
          <t>JPSBS</t>
        </is>
      </c>
      <c r="H390" s="4" t="inlineStr">
        <is>
          <t xml:space="preserve">20'x1 </t>
        </is>
      </c>
      <c r="I390" s="4" t="inlineStr">
        <is>
          <t>LCH27</t>
        </is>
      </c>
      <c r="J390" s="4" t="inlineStr">
        <is>
          <t xml:space="preserve">HAST Logistics Co.,Ltd. </t>
        </is>
      </c>
      <c r="K390" s="4" t="inlineStr">
        <is>
          <t>20261009</t>
        </is>
      </c>
      <c r="L390" s="4" t="inlineStr">
        <is>
          <t>TONG THAI RUBBER CO., LTD.</t>
        </is>
      </c>
      <c r="M390" s="4" t="inlineStr">
        <is>
          <t>TONG THAI RUBBER CO., LTD.</t>
        </is>
      </c>
      <c r="N390" s="4" t="inlineStr">
        <is>
          <t>RUBBER</t>
        </is>
      </c>
      <c r="O390" s="4" t="inlineStr">
        <is>
          <t>GOOD AND CLEAN CONTAINER</t>
        </is>
      </c>
      <c r="P390" s="4" t="inlineStr">
        <is>
          <t>CY-RTN : 09-10/10/2026</t>
        </is>
      </c>
      <c r="Q390" s="4" t="n">
        <v>1</v>
      </c>
      <c r="R390" s="4" t="n">
        <v>0</v>
      </c>
      <c r="S390" s="4" t="n">
        <v>0</v>
      </c>
      <c r="T390" s="4" t="n">
        <v>0</v>
      </c>
      <c r="U390" s="4" t="n">
        <v>0</v>
      </c>
      <c r="V390" s="4" t="n">
        <v>0</v>
      </c>
      <c r="W390" s="4" t="n">
        <v>0</v>
      </c>
      <c r="X390" s="4" t="n">
        <v>0</v>
      </c>
      <c r="Y390" s="4" t="n">
        <v>0</v>
      </c>
      <c r="Z390" s="4" t="n">
        <v>0</v>
      </c>
      <c r="AA390" s="4" t="n">
        <v>0</v>
      </c>
      <c r="AB390" s="4">
        <f>SUM(Q390:Y390)-Z390</f>
        <v/>
      </c>
      <c r="AC390" s="4">
        <f>IF(I390="","",IF(OR(LEFT(I390,3)="BKK",I390="LCH55"),"BKK",IF(LEFT(I390,3)="LCH","LCH","OTHER")))</f>
        <v/>
      </c>
      <c r="AD390" s="4">
        <f>MAX(0,Q390-MAX(0,Z390))</f>
        <v/>
      </c>
      <c r="AE390" s="4">
        <f>MAX(0,R390-MAX(0,Z390-SUM(Q390:Q390)))</f>
        <v/>
      </c>
      <c r="AF390" s="4">
        <f>MAX(0,S390-MAX(0,Z390-SUM(Q390:R390)))</f>
        <v/>
      </c>
      <c r="AG390" s="4">
        <f>MAX(0,T390-MAX(0,Z390-SUM(Q390:S390)))</f>
        <v/>
      </c>
      <c r="AH390" s="4">
        <f>MAX(0,U390-MAX(0,Z390-SUM(Q390:T390)))</f>
        <v/>
      </c>
      <c r="AI390" s="4">
        <f>MAX(0,V390-MAX(0,Z390-SUM(Q390:U390)))</f>
        <v/>
      </c>
      <c r="AJ390" s="4">
        <f>MAX(0,W390-MAX(0,Z390-SUM(Q390:V390)))</f>
        <v/>
      </c>
      <c r="AK390" s="4">
        <f>MAX(0,X390-MAX(0,Z390-SUM(Q390:W390)))</f>
        <v/>
      </c>
      <c r="AL390" s="4">
        <f>MAX(0,Y390-MAX(0,Z390-SUM(Q390:X390)))</f>
        <v/>
      </c>
    </row>
    <row r="391">
      <c r="A391" s="4" t="inlineStr">
        <is>
          <t>HASLS22260801601</t>
        </is>
      </c>
      <c r="B391" s="4" t="inlineStr">
        <is>
          <t>SWDN</t>
        </is>
      </c>
      <c r="C391" s="4" t="inlineStr">
        <is>
          <t>2610N</t>
        </is>
      </c>
      <c r="D391" s="4" t="inlineStr">
        <is>
          <t>202610070300</t>
        </is>
      </c>
      <c r="E391" s="4" t="inlineStr"/>
      <c r="F391" s="4" t="inlineStr">
        <is>
          <t>THLCH</t>
        </is>
      </c>
      <c r="G391" s="4" t="inlineStr">
        <is>
          <t>HKHKG</t>
        </is>
      </c>
      <c r="H391" s="4" t="inlineStr">
        <is>
          <t xml:space="preserve">R40Hx1 </t>
        </is>
      </c>
      <c r="I391" s="4" t="inlineStr">
        <is>
          <t>LCH27</t>
        </is>
      </c>
      <c r="J391" s="4" t="inlineStr">
        <is>
          <t xml:space="preserve">HAST Logistics Co.,Ltd. </t>
        </is>
      </c>
      <c r="K391" s="4" t="inlineStr">
        <is>
          <t>20260928</t>
        </is>
      </c>
      <c r="L391" s="4" t="inlineStr">
        <is>
          <t>DYNAMIC INTERTRANSPORT CO., LTD.</t>
        </is>
      </c>
      <c r="M391" s="4" t="inlineStr">
        <is>
          <t>CP-MEIJI CO., LTD.</t>
        </is>
      </c>
      <c r="N391" s="4" t="inlineStr">
        <is>
          <t>FRESH MILK AND MILK PRODUCT</t>
        </is>
      </c>
      <c r="O391" s="4" t="inlineStr">
        <is>
          <t>(Temp +0.0℃ / Vent Close) 
REQUEST : CLEAN AND GOOD CONTAINER FOR MILK PRODUCT</t>
        </is>
      </c>
      <c r="P391" s="4" t="inlineStr">
        <is>
          <t xml:space="preserve">Pickup : 2026-09-28, Return : 2026-09-29 RF45REx1 (Temp +0.0 / Vent Close) 
CLS TIME : 30/09/2026 @09.00 </t>
        </is>
      </c>
      <c r="Q391" s="4" t="n">
        <v>0</v>
      </c>
      <c r="R391" s="4" t="n">
        <v>0</v>
      </c>
      <c r="S391" s="4" t="n">
        <v>0</v>
      </c>
      <c r="T391" s="4" t="n">
        <v>0</v>
      </c>
      <c r="U391" s="4" t="n">
        <v>1</v>
      </c>
      <c r="V391" s="4" t="n">
        <v>0</v>
      </c>
      <c r="W391" s="4" t="n">
        <v>0</v>
      </c>
      <c r="X391" s="4" t="n">
        <v>0</v>
      </c>
      <c r="Y391" s="4" t="n">
        <v>0</v>
      </c>
      <c r="Z391" s="4" t="n">
        <v>0</v>
      </c>
      <c r="AA391" s="4" t="n">
        <v>0</v>
      </c>
      <c r="AB391" s="4">
        <f>SUM(Q391:Y391)-Z391</f>
        <v/>
      </c>
      <c r="AC391" s="4">
        <f>IF(I391="","",IF(OR(LEFT(I391,3)="BKK",I391="LCH55"),"BKK",IF(LEFT(I391,3)="LCH","LCH","OTHER")))</f>
        <v/>
      </c>
      <c r="AD391" s="4">
        <f>MAX(0,Q391-MAX(0,Z391))</f>
        <v/>
      </c>
      <c r="AE391" s="4">
        <f>MAX(0,R391-MAX(0,Z391-SUM(Q391:Q391)))</f>
        <v/>
      </c>
      <c r="AF391" s="4">
        <f>MAX(0,S391-MAX(0,Z391-SUM(Q391:R391)))</f>
        <v/>
      </c>
      <c r="AG391" s="4">
        <f>MAX(0,T391-MAX(0,Z391-SUM(Q391:S391)))</f>
        <v/>
      </c>
      <c r="AH391" s="4">
        <f>MAX(0,U391-MAX(0,Z391-SUM(Q391:T391)))</f>
        <v/>
      </c>
      <c r="AI391" s="4">
        <f>MAX(0,V391-MAX(0,Z391-SUM(Q391:U391)))</f>
        <v/>
      </c>
      <c r="AJ391" s="4">
        <f>MAX(0,W391-MAX(0,Z391-SUM(Q391:V391)))</f>
        <v/>
      </c>
      <c r="AK391" s="4">
        <f>MAX(0,X391-MAX(0,Z391-SUM(Q391:W391)))</f>
        <v/>
      </c>
      <c r="AL391" s="4">
        <f>MAX(0,Y391-MAX(0,Z391-SUM(Q391:X391)))</f>
        <v/>
      </c>
    </row>
    <row r="392">
      <c r="A392" s="4" t="inlineStr">
        <is>
          <t>HASLS22260801684</t>
        </is>
      </c>
      <c r="B392" s="4" t="inlineStr">
        <is>
          <t>SWAT</t>
        </is>
      </c>
      <c r="C392" s="4" t="inlineStr">
        <is>
          <t>2610N</t>
        </is>
      </c>
      <c r="D392" s="4" t="inlineStr">
        <is>
          <t>202610081000</t>
        </is>
      </c>
      <c r="E392" s="4" t="inlineStr"/>
      <c r="F392" s="4" t="inlineStr">
        <is>
          <t>THLCH</t>
        </is>
      </c>
      <c r="G392" s="4" t="inlineStr">
        <is>
          <t>CNSHK</t>
        </is>
      </c>
      <c r="H392" s="4" t="inlineStr">
        <is>
          <t xml:space="preserve">R40Hx1 </t>
        </is>
      </c>
      <c r="I392" s="4" t="inlineStr">
        <is>
          <t>LCH27</t>
        </is>
      </c>
      <c r="J392" s="4" t="inlineStr">
        <is>
          <t xml:space="preserve">HAST Logistics Co.,Ltd. </t>
        </is>
      </c>
      <c r="K392" s="4" t="inlineStr">
        <is>
          <t>20260914</t>
        </is>
      </c>
      <c r="L392" s="4" t="inlineStr">
        <is>
          <t>POSTMAN (THAILAND) CO.,LTD.</t>
        </is>
      </c>
      <c r="M392" s="4" t="inlineStr">
        <is>
          <t>POSTMAN (THAILAND) CO.,LTD.</t>
        </is>
      </c>
      <c r="N392" s="4" t="inlineStr">
        <is>
          <t>FRESH COCONUT</t>
        </is>
      </c>
      <c r="O392" s="4" t="inlineStr">
        <is>
          <t>RF45REx1 (Temp +2.0℃ / Vent 10% Open)</t>
        </is>
      </c>
      <c r="P392" s="4" t="inlineStr">
        <is>
          <t xml:space="preserve">Pickup : 2026-09-14, Return : 2026-09-23 RF45REx1 (Temp +2.0 / Vent 10% Open) 
CLS TIME : 24/09/2026 @23.59 </t>
        </is>
      </c>
      <c r="Q392" s="4" t="n">
        <v>0</v>
      </c>
      <c r="R392" s="4" t="n">
        <v>0</v>
      </c>
      <c r="S392" s="4" t="n">
        <v>0</v>
      </c>
      <c r="T392" s="4" t="n">
        <v>0</v>
      </c>
      <c r="U392" s="4" t="n">
        <v>1</v>
      </c>
      <c r="V392" s="4" t="n">
        <v>0</v>
      </c>
      <c r="W392" s="4" t="n">
        <v>0</v>
      </c>
      <c r="X392" s="4" t="n">
        <v>0</v>
      </c>
      <c r="Y392" s="4" t="n">
        <v>0</v>
      </c>
      <c r="Z392" s="4" t="n">
        <v>0</v>
      </c>
      <c r="AA392" s="4" t="n">
        <v>0</v>
      </c>
      <c r="AB392" s="4">
        <f>SUM(Q392:Y392)-Z392</f>
        <v/>
      </c>
      <c r="AC392" s="4">
        <f>IF(I392="","",IF(OR(LEFT(I392,3)="BKK",I392="LCH55"),"BKK",IF(LEFT(I392,3)="LCH","LCH","OTHER")))</f>
        <v/>
      </c>
      <c r="AD392" s="4">
        <f>MAX(0,Q392-MAX(0,Z392))</f>
        <v/>
      </c>
      <c r="AE392" s="4">
        <f>MAX(0,R392-MAX(0,Z392-SUM(Q392:Q392)))</f>
        <v/>
      </c>
      <c r="AF392" s="4">
        <f>MAX(0,S392-MAX(0,Z392-SUM(Q392:R392)))</f>
        <v/>
      </c>
      <c r="AG392" s="4">
        <f>MAX(0,T392-MAX(0,Z392-SUM(Q392:S392)))</f>
        <v/>
      </c>
      <c r="AH392" s="4">
        <f>MAX(0,U392-MAX(0,Z392-SUM(Q392:T392)))</f>
        <v/>
      </c>
      <c r="AI392" s="4">
        <f>MAX(0,V392-MAX(0,Z392-SUM(Q392:U392)))</f>
        <v/>
      </c>
      <c r="AJ392" s="4">
        <f>MAX(0,W392-MAX(0,Z392-SUM(Q392:V392)))</f>
        <v/>
      </c>
      <c r="AK392" s="4">
        <f>MAX(0,X392-MAX(0,Z392-SUM(Q392:W392)))</f>
        <v/>
      </c>
      <c r="AL392" s="4">
        <f>MAX(0,Y392-MAX(0,Z392-SUM(Q392:X392)))</f>
        <v/>
      </c>
    </row>
    <row r="393">
      <c r="A393" s="4" t="inlineStr">
        <is>
          <t>HASLS22260801685</t>
        </is>
      </c>
      <c r="B393" s="4" t="inlineStr">
        <is>
          <t>SWAT</t>
        </is>
      </c>
      <c r="C393" s="4" t="inlineStr">
        <is>
          <t>2610N</t>
        </is>
      </c>
      <c r="D393" s="4" t="inlineStr">
        <is>
          <t>202610081000</t>
        </is>
      </c>
      <c r="E393" s="4" t="inlineStr"/>
      <c r="F393" s="4" t="inlineStr">
        <is>
          <t>THLCH</t>
        </is>
      </c>
      <c r="G393" s="4" t="inlineStr">
        <is>
          <t>CNSHK</t>
        </is>
      </c>
      <c r="H393" s="4" t="inlineStr">
        <is>
          <t xml:space="preserve">R40Hx1 </t>
        </is>
      </c>
      <c r="I393" s="4" t="inlineStr">
        <is>
          <t>LCH27</t>
        </is>
      </c>
      <c r="J393" s="4" t="inlineStr">
        <is>
          <t xml:space="preserve">HAST Logistics Co.,Ltd. </t>
        </is>
      </c>
      <c r="K393" s="4" t="inlineStr">
        <is>
          <t>20260914</t>
        </is>
      </c>
      <c r="L393" s="4" t="inlineStr">
        <is>
          <t>POSTMAN (THAILAND) CO.,LTD.</t>
        </is>
      </c>
      <c r="M393" s="4" t="inlineStr">
        <is>
          <t>POSTMAN (THAILAND) CO.,LTD.</t>
        </is>
      </c>
      <c r="N393" s="4" t="inlineStr">
        <is>
          <t>FRESH COCONUT</t>
        </is>
      </c>
      <c r="O393" s="4" t="inlineStr">
        <is>
          <t>RF45REx1 (Temp +2.0℃ / Vent 10% Open)</t>
        </is>
      </c>
      <c r="P393" s="4" t="inlineStr">
        <is>
          <t xml:space="preserve">Pickup : 2026-09-14, Return : 2026-09-23 RF45REx1 (Temp +2.0 / Vent 10% Open) 
CLS TIME : 24/09/2026 @23.59 </t>
        </is>
      </c>
      <c r="Q393" s="4" t="n">
        <v>0</v>
      </c>
      <c r="R393" s="4" t="n">
        <v>0</v>
      </c>
      <c r="S393" s="4" t="n">
        <v>0</v>
      </c>
      <c r="T393" s="4" t="n">
        <v>0</v>
      </c>
      <c r="U393" s="4" t="n">
        <v>1</v>
      </c>
      <c r="V393" s="4" t="n">
        <v>0</v>
      </c>
      <c r="W393" s="4" t="n">
        <v>0</v>
      </c>
      <c r="X393" s="4" t="n">
        <v>0</v>
      </c>
      <c r="Y393" s="4" t="n">
        <v>0</v>
      </c>
      <c r="Z393" s="4" t="n">
        <v>0</v>
      </c>
      <c r="AA393" s="4" t="n">
        <v>0</v>
      </c>
      <c r="AB393" s="4">
        <f>SUM(Q393:Y393)-Z393</f>
        <v/>
      </c>
      <c r="AC393" s="4">
        <f>IF(I393="","",IF(OR(LEFT(I393,3)="BKK",I393="LCH55"),"BKK",IF(LEFT(I393,3)="LCH","LCH","OTHER")))</f>
        <v/>
      </c>
      <c r="AD393" s="4">
        <f>MAX(0,Q393-MAX(0,Z393))</f>
        <v/>
      </c>
      <c r="AE393" s="4">
        <f>MAX(0,R393-MAX(0,Z393-SUM(Q393:Q393)))</f>
        <v/>
      </c>
      <c r="AF393" s="4">
        <f>MAX(0,S393-MAX(0,Z393-SUM(Q393:R393)))</f>
        <v/>
      </c>
      <c r="AG393" s="4">
        <f>MAX(0,T393-MAX(0,Z393-SUM(Q393:S393)))</f>
        <v/>
      </c>
      <c r="AH393" s="4">
        <f>MAX(0,U393-MAX(0,Z393-SUM(Q393:T393)))</f>
        <v/>
      </c>
      <c r="AI393" s="4">
        <f>MAX(0,V393-MAX(0,Z393-SUM(Q393:U393)))</f>
        <v/>
      </c>
      <c r="AJ393" s="4">
        <f>MAX(0,W393-MAX(0,Z393-SUM(Q393:V393)))</f>
        <v/>
      </c>
      <c r="AK393" s="4">
        <f>MAX(0,X393-MAX(0,Z393-SUM(Q393:W393)))</f>
        <v/>
      </c>
      <c r="AL393" s="4">
        <f>MAX(0,Y393-MAX(0,Z393-SUM(Q393:X393)))</f>
        <v/>
      </c>
    </row>
    <row r="394">
      <c r="A394" s="4" t="inlineStr">
        <is>
          <t>HASLS22260802087</t>
        </is>
      </c>
      <c r="B394" s="4" t="inlineStr">
        <is>
          <t>SKOR</t>
        </is>
      </c>
      <c r="C394" s="4" t="inlineStr">
        <is>
          <t>2612N</t>
        </is>
      </c>
      <c r="D394" s="4" t="inlineStr">
        <is>
          <t>202610181700</t>
        </is>
      </c>
      <c r="E394" s="4" t="inlineStr"/>
      <c r="F394" s="4" t="inlineStr">
        <is>
          <t>THBKK</t>
        </is>
      </c>
      <c r="G394" s="4" t="inlineStr">
        <is>
          <t>KRPUS</t>
        </is>
      </c>
      <c r="H394" s="4" t="inlineStr">
        <is>
          <t xml:space="preserve">R40Hx1 </t>
        </is>
      </c>
      <c r="I394" s="4" t="inlineStr">
        <is>
          <t>LCH27</t>
        </is>
      </c>
      <c r="J394" s="4" t="inlineStr">
        <is>
          <t xml:space="preserve">HAST Logistics Co.,Ltd. </t>
        </is>
      </c>
      <c r="K394" s="4" t="inlineStr">
        <is>
          <t>20261016</t>
        </is>
      </c>
      <c r="L394" s="4" t="inlineStr">
        <is>
          <t>C.P. INTERTRADE CO., LTD.</t>
        </is>
      </c>
      <c r="M394" s="4" t="inlineStr">
        <is>
          <t>CPF FOOD NETWORK CO., LTD.</t>
        </is>
      </c>
      <c r="N394" s="4" t="inlineStr">
        <is>
          <t>FROZEN PREPARED CHICKEN MEAT</t>
        </is>
      </c>
      <c r="O394" s="4" t="inlineStr">
        <is>
          <t>*PRECOOL* (Temp -20.0℃ / Vent Close) 
REQUEST CLEAN &amp; GOOD CONTAINER</t>
        </is>
      </c>
      <c r="P394" s="4" t="inlineStr">
        <is>
          <t xml:space="preserve">Pickup : 2026-10-16, Return : 2026-10-17 (Temp -20.0 / Vent Close) *PRECOOL*  
 PRE-COOL COST : 17/10 @01.00  </t>
        </is>
      </c>
      <c r="Q394" s="4" t="n">
        <v>0</v>
      </c>
      <c r="R394" s="4" t="n">
        <v>0</v>
      </c>
      <c r="S394" s="4" t="n">
        <v>0</v>
      </c>
      <c r="T394" s="4" t="n">
        <v>0</v>
      </c>
      <c r="U394" s="4" t="n">
        <v>1</v>
      </c>
      <c r="V394" s="4" t="n">
        <v>0</v>
      </c>
      <c r="W394" s="4" t="n">
        <v>0</v>
      </c>
      <c r="X394" s="4" t="n">
        <v>0</v>
      </c>
      <c r="Y394" s="4" t="n">
        <v>0</v>
      </c>
      <c r="Z394" s="4" t="n">
        <v>0</v>
      </c>
      <c r="AA394" s="4" t="n">
        <v>0</v>
      </c>
      <c r="AB394" s="4">
        <f>SUM(Q394:Y394)-Z394</f>
        <v/>
      </c>
      <c r="AC394" s="4">
        <f>IF(I394="","",IF(OR(LEFT(I394,3)="BKK",I394="LCH55"),"BKK",IF(LEFT(I394,3)="LCH","LCH","OTHER")))</f>
        <v/>
      </c>
      <c r="AD394" s="4">
        <f>MAX(0,Q394-MAX(0,Z394))</f>
        <v/>
      </c>
      <c r="AE394" s="4">
        <f>MAX(0,R394-MAX(0,Z394-SUM(Q394:Q394)))</f>
        <v/>
      </c>
      <c r="AF394" s="4">
        <f>MAX(0,S394-MAX(0,Z394-SUM(Q394:R394)))</f>
        <v/>
      </c>
      <c r="AG394" s="4">
        <f>MAX(0,T394-MAX(0,Z394-SUM(Q394:S394)))</f>
        <v/>
      </c>
      <c r="AH394" s="4">
        <f>MAX(0,U394-MAX(0,Z394-SUM(Q394:T394)))</f>
        <v/>
      </c>
      <c r="AI394" s="4">
        <f>MAX(0,V394-MAX(0,Z394-SUM(Q394:U394)))</f>
        <v/>
      </c>
      <c r="AJ394" s="4">
        <f>MAX(0,W394-MAX(0,Z394-SUM(Q394:V394)))</f>
        <v/>
      </c>
      <c r="AK394" s="4">
        <f>MAX(0,X394-MAX(0,Z394-SUM(Q394:W394)))</f>
        <v/>
      </c>
      <c r="AL394" s="4">
        <f>MAX(0,Y394-MAX(0,Z394-SUM(Q394:X394)))</f>
        <v/>
      </c>
    </row>
    <row r="395">
      <c r="A395" s="4" t="inlineStr">
        <is>
          <t>HASLS22260802264</t>
        </is>
      </c>
      <c r="B395" s="4" t="inlineStr">
        <is>
          <t>SWSP</t>
        </is>
      </c>
      <c r="C395" s="4" t="inlineStr">
        <is>
          <t>2609N</t>
        </is>
      </c>
      <c r="D395" s="4" t="inlineStr">
        <is>
          <t>202610080830</t>
        </is>
      </c>
      <c r="E395" s="4" t="inlineStr"/>
      <c r="F395" s="4" t="inlineStr">
        <is>
          <t>THLCH</t>
        </is>
      </c>
      <c r="G395" s="4" t="inlineStr">
        <is>
          <t>KRPTK</t>
        </is>
      </c>
      <c r="H395" s="4" t="inlineStr">
        <is>
          <t xml:space="preserve">40Hx4 </t>
        </is>
      </c>
      <c r="I395" s="4" t="inlineStr">
        <is>
          <t>LCH27</t>
        </is>
      </c>
      <c r="J395" s="4" t="inlineStr">
        <is>
          <t xml:space="preserve">HAST Logistics Co.,Ltd. </t>
        </is>
      </c>
      <c r="K395" s="4" t="inlineStr">
        <is>
          <t>20260926</t>
        </is>
      </c>
      <c r="L395" s="4" t="inlineStr">
        <is>
          <t>SDS-ACUTECH CO., LTD.</t>
        </is>
      </c>
      <c r="M395" s="4" t="inlineStr">
        <is>
          <t>TPV TECHNOLOGY (THAILAND) CO., LTD.</t>
        </is>
      </c>
      <c r="N395" s="4" t="inlineStr">
        <is>
          <t>MONITOR SCREEN</t>
        </is>
      </c>
      <c r="O395" s="4" t="inlineStr">
        <is>
          <t>GOOD AND CLEAN CONTAINER</t>
        </is>
      </c>
      <c r="P395" s="4" t="inlineStr">
        <is>
          <t xml:space="preserve">Pickup : 2026-09-26, Return : 2026-09-28 
 ** PLEASE CHECK OPEN GATE BEFORE RETURN CNTR **
</t>
        </is>
      </c>
      <c r="Q395" s="4" t="n">
        <v>0</v>
      </c>
      <c r="R395" s="4" t="n">
        <v>0</v>
      </c>
      <c r="S395" s="4" t="n">
        <v>4</v>
      </c>
      <c r="T395" s="4" t="n">
        <v>0</v>
      </c>
      <c r="U395" s="4" t="n">
        <v>0</v>
      </c>
      <c r="V395" s="4" t="n">
        <v>0</v>
      </c>
      <c r="W395" s="4" t="n">
        <v>0</v>
      </c>
      <c r="X395" s="4" t="n">
        <v>0</v>
      </c>
      <c r="Y395" s="4" t="n">
        <v>0</v>
      </c>
      <c r="Z395" s="4" t="n">
        <v>0</v>
      </c>
      <c r="AA395" s="4" t="n">
        <v>0</v>
      </c>
      <c r="AB395" s="4">
        <f>SUM(Q395:Y395)-Z395</f>
        <v/>
      </c>
      <c r="AC395" s="4">
        <f>IF(I395="","",IF(OR(LEFT(I395,3)="BKK",I395="LCH55"),"BKK",IF(LEFT(I395,3)="LCH","LCH","OTHER")))</f>
        <v/>
      </c>
      <c r="AD395" s="4">
        <f>MAX(0,Q395-MAX(0,Z395))</f>
        <v/>
      </c>
      <c r="AE395" s="4">
        <f>MAX(0,R395-MAX(0,Z395-SUM(Q395:Q395)))</f>
        <v/>
      </c>
      <c r="AF395" s="4">
        <f>MAX(0,S395-MAX(0,Z395-SUM(Q395:R395)))</f>
        <v/>
      </c>
      <c r="AG395" s="4">
        <f>MAX(0,T395-MAX(0,Z395-SUM(Q395:S395)))</f>
        <v/>
      </c>
      <c r="AH395" s="4">
        <f>MAX(0,U395-MAX(0,Z395-SUM(Q395:T395)))</f>
        <v/>
      </c>
      <c r="AI395" s="4">
        <f>MAX(0,V395-MAX(0,Z395-SUM(Q395:U395)))</f>
        <v/>
      </c>
      <c r="AJ395" s="4">
        <f>MAX(0,W395-MAX(0,Z395-SUM(Q395:V395)))</f>
        <v/>
      </c>
      <c r="AK395" s="4">
        <f>MAX(0,X395-MAX(0,Z395-SUM(Q395:W395)))</f>
        <v/>
      </c>
      <c r="AL395" s="4">
        <f>MAX(0,Y395-MAX(0,Z395-SUM(Q395:X395)))</f>
        <v/>
      </c>
    </row>
    <row r="396">
      <c r="A396" s="4" t="inlineStr">
        <is>
          <t>HASLS22260802422</t>
        </is>
      </c>
      <c r="B396" s="4" t="inlineStr">
        <is>
          <t>KMTP</t>
        </is>
      </c>
      <c r="C396" s="4" t="inlineStr">
        <is>
          <t>2612N</t>
        </is>
      </c>
      <c r="D396" s="4" t="inlineStr">
        <is>
          <t>202610122200</t>
        </is>
      </c>
      <c r="E396" s="4" t="inlineStr"/>
      <c r="F396" s="4" t="inlineStr">
        <is>
          <t>THLCH</t>
        </is>
      </c>
      <c r="G396" s="4" t="inlineStr">
        <is>
          <t>HKHKG</t>
        </is>
      </c>
      <c r="H396" s="4" t="inlineStr">
        <is>
          <t xml:space="preserve">20'x1 </t>
        </is>
      </c>
      <c r="I396" s="4" t="inlineStr">
        <is>
          <t>LCH27</t>
        </is>
      </c>
      <c r="J396" s="4" t="inlineStr">
        <is>
          <t xml:space="preserve">HAST Logistics Co.,Ltd. </t>
        </is>
      </c>
      <c r="K396" s="4" t="inlineStr">
        <is>
          <t>20261007</t>
        </is>
      </c>
      <c r="L396" s="4" t="inlineStr">
        <is>
          <t>CARGO CARE LOGISTICS CO., LTD.</t>
        </is>
      </c>
      <c r="M396" s="4" t="inlineStr">
        <is>
          <t>SIAM DEL MONTE CO., LTD.</t>
        </is>
      </c>
      <c r="N396" s="4" t="inlineStr">
        <is>
          <t>SWEET CORN</t>
        </is>
      </c>
      <c r="O396" s="4" t="inlineStr">
        <is>
          <t>Good and Clean Container (Food Grade)
(No leaks, no odors, and no oil stains.)</t>
        </is>
      </c>
      <c r="P396" s="4" t="inlineStr">
        <is>
          <t xml:space="preserve">Pickup : 2026-10-07, Return : 2026-10-08 
 ** PLEASE CHECK OPEN GATE BEFORE RETURN CNTR **
</t>
        </is>
      </c>
      <c r="Q396" s="4" t="n">
        <v>1</v>
      </c>
      <c r="R396" s="4" t="n">
        <v>0</v>
      </c>
      <c r="S396" s="4" t="n">
        <v>0</v>
      </c>
      <c r="T396" s="4" t="n">
        <v>0</v>
      </c>
      <c r="U396" s="4" t="n">
        <v>0</v>
      </c>
      <c r="V396" s="4" t="n">
        <v>0</v>
      </c>
      <c r="W396" s="4" t="n">
        <v>0</v>
      </c>
      <c r="X396" s="4" t="n">
        <v>0</v>
      </c>
      <c r="Y396" s="4" t="n">
        <v>0</v>
      </c>
      <c r="Z396" s="4" t="n">
        <v>0</v>
      </c>
      <c r="AA396" s="4" t="n">
        <v>0</v>
      </c>
      <c r="AB396" s="4">
        <f>SUM(Q396:Y396)-Z396</f>
        <v/>
      </c>
      <c r="AC396" s="4">
        <f>IF(I396="","",IF(OR(LEFT(I396,3)="BKK",I396="LCH55"),"BKK",IF(LEFT(I396,3)="LCH","LCH","OTHER")))</f>
        <v/>
      </c>
      <c r="AD396" s="4">
        <f>MAX(0,Q396-MAX(0,Z396))</f>
        <v/>
      </c>
      <c r="AE396" s="4">
        <f>MAX(0,R396-MAX(0,Z396-SUM(Q396:Q396)))</f>
        <v/>
      </c>
      <c r="AF396" s="4">
        <f>MAX(0,S396-MAX(0,Z396-SUM(Q396:R396)))</f>
        <v/>
      </c>
      <c r="AG396" s="4">
        <f>MAX(0,T396-MAX(0,Z396-SUM(Q396:S396)))</f>
        <v/>
      </c>
      <c r="AH396" s="4">
        <f>MAX(0,U396-MAX(0,Z396-SUM(Q396:T396)))</f>
        <v/>
      </c>
      <c r="AI396" s="4">
        <f>MAX(0,V396-MAX(0,Z396-SUM(Q396:U396)))</f>
        <v/>
      </c>
      <c r="AJ396" s="4">
        <f>MAX(0,W396-MAX(0,Z396-SUM(Q396:V396)))</f>
        <v/>
      </c>
      <c r="AK396" s="4">
        <f>MAX(0,X396-MAX(0,Z396-SUM(Q396:W396)))</f>
        <v/>
      </c>
      <c r="AL396" s="4">
        <f>MAX(0,Y396-MAX(0,Z396-SUM(Q396:X396)))</f>
        <v/>
      </c>
    </row>
    <row r="397">
      <c r="A397" s="4" t="inlineStr">
        <is>
          <t>HASLS22260802423</t>
        </is>
      </c>
      <c r="B397" s="4" t="inlineStr">
        <is>
          <t>KMTP</t>
        </is>
      </c>
      <c r="C397" s="4" t="inlineStr">
        <is>
          <t>2612N</t>
        </is>
      </c>
      <c r="D397" s="4" t="inlineStr">
        <is>
          <t>202610122200</t>
        </is>
      </c>
      <c r="E397" s="4" t="inlineStr"/>
      <c r="F397" s="4" t="inlineStr">
        <is>
          <t>THLCH</t>
        </is>
      </c>
      <c r="G397" s="4" t="inlineStr">
        <is>
          <t>HKHKG</t>
        </is>
      </c>
      <c r="H397" s="4" t="inlineStr">
        <is>
          <t xml:space="preserve">20'x1 </t>
        </is>
      </c>
      <c r="I397" s="4" t="inlineStr">
        <is>
          <t>LCH27</t>
        </is>
      </c>
      <c r="J397" s="4" t="inlineStr">
        <is>
          <t xml:space="preserve">HAST Logistics Co.,Ltd. </t>
        </is>
      </c>
      <c r="K397" s="4" t="inlineStr">
        <is>
          <t>20261008</t>
        </is>
      </c>
      <c r="L397" s="4" t="inlineStr">
        <is>
          <t>CARGO CARE LOGISTICS CO., LTD.</t>
        </is>
      </c>
      <c r="M397" s="4" t="inlineStr">
        <is>
          <t>SIAM DEL MONTE CO., LTD.</t>
        </is>
      </c>
      <c r="N397" s="4" t="inlineStr">
        <is>
          <t>SWEET CORN</t>
        </is>
      </c>
      <c r="O397" s="4" t="inlineStr">
        <is>
          <t>Good and Clean Container (Food Grade)
(No leaks, no odors, and no oil stains.)</t>
        </is>
      </c>
      <c r="P397" s="4" t="inlineStr">
        <is>
          <t xml:space="preserve">Pickup : 2026-10-08, Return : 2026-10-09
** PLEASE CHECK OPEN GATE BEFORE RETURN CONTAINER ** </t>
        </is>
      </c>
      <c r="Q397" s="4" t="n">
        <v>1</v>
      </c>
      <c r="R397" s="4" t="n">
        <v>0</v>
      </c>
      <c r="S397" s="4" t="n">
        <v>0</v>
      </c>
      <c r="T397" s="4" t="n">
        <v>0</v>
      </c>
      <c r="U397" s="4" t="n">
        <v>0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>
        <f>SUM(Q397:Y397)-Z397</f>
        <v/>
      </c>
      <c r="AC397" s="4">
        <f>IF(I397="","",IF(OR(LEFT(I397,3)="BKK",I397="LCH55"),"BKK",IF(LEFT(I397,3)="LCH","LCH","OTHER")))</f>
        <v/>
      </c>
      <c r="AD397" s="4">
        <f>MAX(0,Q397-MAX(0,Z397))</f>
        <v/>
      </c>
      <c r="AE397" s="4">
        <f>MAX(0,R397-MAX(0,Z397-SUM(Q397:Q397)))</f>
        <v/>
      </c>
      <c r="AF397" s="4">
        <f>MAX(0,S397-MAX(0,Z397-SUM(Q397:R397)))</f>
        <v/>
      </c>
      <c r="AG397" s="4">
        <f>MAX(0,T397-MAX(0,Z397-SUM(Q397:S397)))</f>
        <v/>
      </c>
      <c r="AH397" s="4">
        <f>MAX(0,U397-MAX(0,Z397-SUM(Q397:T397)))</f>
        <v/>
      </c>
      <c r="AI397" s="4">
        <f>MAX(0,V397-MAX(0,Z397-SUM(Q397:U397)))</f>
        <v/>
      </c>
      <c r="AJ397" s="4">
        <f>MAX(0,W397-MAX(0,Z397-SUM(Q397:V397)))</f>
        <v/>
      </c>
      <c r="AK397" s="4">
        <f>MAX(0,X397-MAX(0,Z397-SUM(Q397:W397)))</f>
        <v/>
      </c>
      <c r="AL397" s="4">
        <f>MAX(0,Y397-MAX(0,Z397-SUM(Q397:X397)))</f>
        <v/>
      </c>
    </row>
    <row r="398">
      <c r="A398" s="4" t="inlineStr">
        <is>
          <t>HASLS22260802472</t>
        </is>
      </c>
      <c r="B398" s="4" t="inlineStr">
        <is>
          <t>SWBT</t>
        </is>
      </c>
      <c r="C398" s="4" t="inlineStr">
        <is>
          <t>2616N</t>
        </is>
      </c>
      <c r="D398" s="4" t="inlineStr">
        <is>
          <t>202610140000</t>
        </is>
      </c>
      <c r="E398" s="4" t="inlineStr"/>
      <c r="F398" s="4" t="inlineStr">
        <is>
          <t>THLCH</t>
        </is>
      </c>
      <c r="G398" s="4" t="inlineStr">
        <is>
          <t>VNSGN</t>
        </is>
      </c>
      <c r="H398" s="4" t="inlineStr">
        <is>
          <t xml:space="preserve">20'x1 </t>
        </is>
      </c>
      <c r="I398" s="4" t="inlineStr">
        <is>
          <t>LCH27</t>
        </is>
      </c>
      <c r="J398" s="4" t="inlineStr">
        <is>
          <t xml:space="preserve">HAST Logistics Co.,Ltd. </t>
        </is>
      </c>
      <c r="K398" s="4" t="inlineStr">
        <is>
          <t>20261008</t>
        </is>
      </c>
      <c r="L398" s="4" t="inlineStr">
        <is>
          <t>ICONS GLOBAL LOGISTICS CO., LTD.</t>
        </is>
      </c>
      <c r="M398" s="4" t="inlineStr">
        <is>
          <t>MINAMIDA (THAILAND) CO., LTD</t>
        </is>
      </c>
      <c r="N398" s="4" t="inlineStr">
        <is>
          <t>SPARE PARTS</t>
        </is>
      </c>
      <c r="O398" s="4" t="inlineStr">
        <is>
          <t>GOOD AND CLEAN CONTAINER</t>
        </is>
      </c>
      <c r="P398" s="4" t="inlineStr">
        <is>
          <t>Pickup : 2026-10-08, Return : 2026-10-09
**CHECK OPENGATE BEFORE RETURN CNTR**</t>
        </is>
      </c>
      <c r="Q398" s="4" t="n">
        <v>1</v>
      </c>
      <c r="R398" s="4" t="n">
        <v>0</v>
      </c>
      <c r="S398" s="4" t="n">
        <v>0</v>
      </c>
      <c r="T398" s="4" t="n">
        <v>0</v>
      </c>
      <c r="U398" s="4" t="n">
        <v>0</v>
      </c>
      <c r="V398" s="4" t="n">
        <v>0</v>
      </c>
      <c r="W398" s="4" t="n">
        <v>0</v>
      </c>
      <c r="X398" s="4" t="n">
        <v>0</v>
      </c>
      <c r="Y398" s="4" t="n">
        <v>0</v>
      </c>
      <c r="Z398" s="4" t="n">
        <v>0</v>
      </c>
      <c r="AA398" s="4" t="n">
        <v>0</v>
      </c>
      <c r="AB398" s="4">
        <f>SUM(Q398:Y398)-Z398</f>
        <v/>
      </c>
      <c r="AC398" s="4">
        <f>IF(I398="","",IF(OR(LEFT(I398,3)="BKK",I398="LCH55"),"BKK",IF(LEFT(I398,3)="LCH","LCH","OTHER")))</f>
        <v/>
      </c>
      <c r="AD398" s="4">
        <f>MAX(0,Q398-MAX(0,Z398))</f>
        <v/>
      </c>
      <c r="AE398" s="4">
        <f>MAX(0,R398-MAX(0,Z398-SUM(Q398:Q398)))</f>
        <v/>
      </c>
      <c r="AF398" s="4">
        <f>MAX(0,S398-MAX(0,Z398-SUM(Q398:R398)))</f>
        <v/>
      </c>
      <c r="AG398" s="4">
        <f>MAX(0,T398-MAX(0,Z398-SUM(Q398:S398)))</f>
        <v/>
      </c>
      <c r="AH398" s="4">
        <f>MAX(0,U398-MAX(0,Z398-SUM(Q398:T398)))</f>
        <v/>
      </c>
      <c r="AI398" s="4">
        <f>MAX(0,V398-MAX(0,Z398-SUM(Q398:U398)))</f>
        <v/>
      </c>
      <c r="AJ398" s="4">
        <f>MAX(0,W398-MAX(0,Z398-SUM(Q398:V398)))</f>
        <v/>
      </c>
      <c r="AK398" s="4">
        <f>MAX(0,X398-MAX(0,Z398-SUM(Q398:W398)))</f>
        <v/>
      </c>
      <c r="AL398" s="4">
        <f>MAX(0,Y398-MAX(0,Z398-SUM(Q398:X398)))</f>
        <v/>
      </c>
    </row>
    <row r="399">
      <c r="A399" s="4" t="inlineStr">
        <is>
          <t>HASLS22260802480</t>
        </is>
      </c>
      <c r="B399" s="4" t="inlineStr">
        <is>
          <t>SWSP</t>
        </is>
      </c>
      <c r="C399" s="4" t="inlineStr">
        <is>
          <t>2609N</t>
        </is>
      </c>
      <c r="D399" s="4" t="inlineStr">
        <is>
          <t>202610080830</t>
        </is>
      </c>
      <c r="E399" s="4" t="inlineStr"/>
      <c r="F399" s="4" t="inlineStr">
        <is>
          <t>THLCH</t>
        </is>
      </c>
      <c r="G399" s="4" t="inlineStr">
        <is>
          <t>VNSGN</t>
        </is>
      </c>
      <c r="H399" s="4" t="inlineStr">
        <is>
          <t xml:space="preserve">20'x1 </t>
        </is>
      </c>
      <c r="I399" s="4" t="inlineStr">
        <is>
          <t>LCH27</t>
        </is>
      </c>
      <c r="J399" s="4" t="inlineStr">
        <is>
          <t xml:space="preserve">HAST Logistics Co.,Ltd. </t>
        </is>
      </c>
      <c r="K399" s="4" t="inlineStr">
        <is>
          <t>20261001</t>
        </is>
      </c>
      <c r="L399" s="4" t="inlineStr">
        <is>
          <t>TOPOCEAN (THAILAND) LIMITED</t>
        </is>
      </c>
      <c r="M399" s="4" t="inlineStr">
        <is>
          <t>JONGKOL PRODUCTS CO., LTD</t>
        </is>
      </c>
      <c r="N399" s="4" t="inlineStr">
        <is>
          <t xml:space="preserve">JELLY GUMMY </t>
        </is>
      </c>
      <c r="O399" s="4" t="inlineStr">
        <is>
          <t>REQ : CLEAN, DRY CONTAINER AND UNDER DECK ONLY</t>
        </is>
      </c>
      <c r="P399" s="4" t="inlineStr">
        <is>
          <t xml:space="preserve">Pickup : 2026-10-01, Return : 2026-10-02
 ** PLEASE CHECK OPEN GATE BEFORE RETURN CNTR **
</t>
        </is>
      </c>
      <c r="Q399" s="4" t="n">
        <v>1</v>
      </c>
      <c r="R399" s="4" t="n">
        <v>0</v>
      </c>
      <c r="S399" s="4" t="n">
        <v>0</v>
      </c>
      <c r="T399" s="4" t="n">
        <v>0</v>
      </c>
      <c r="U399" s="4" t="n">
        <v>0</v>
      </c>
      <c r="V399" s="4" t="n">
        <v>0</v>
      </c>
      <c r="W399" s="4" t="n">
        <v>0</v>
      </c>
      <c r="X399" s="4" t="n">
        <v>0</v>
      </c>
      <c r="Y399" s="4" t="n">
        <v>0</v>
      </c>
      <c r="Z399" s="4" t="n">
        <v>0</v>
      </c>
      <c r="AA399" s="4" t="n">
        <v>0</v>
      </c>
      <c r="AB399" s="4">
        <f>SUM(Q399:Y399)-Z399</f>
        <v/>
      </c>
      <c r="AC399" s="4">
        <f>IF(I399="","",IF(OR(LEFT(I399,3)="BKK",I399="LCH55"),"BKK",IF(LEFT(I399,3)="LCH","LCH","OTHER")))</f>
        <v/>
      </c>
      <c r="AD399" s="4">
        <f>MAX(0,Q399-MAX(0,Z399))</f>
        <v/>
      </c>
      <c r="AE399" s="4">
        <f>MAX(0,R399-MAX(0,Z399-SUM(Q399:Q399)))</f>
        <v/>
      </c>
      <c r="AF399" s="4">
        <f>MAX(0,S399-MAX(0,Z399-SUM(Q399:R399)))</f>
        <v/>
      </c>
      <c r="AG399" s="4">
        <f>MAX(0,T399-MAX(0,Z399-SUM(Q399:S399)))</f>
        <v/>
      </c>
      <c r="AH399" s="4">
        <f>MAX(0,U399-MAX(0,Z399-SUM(Q399:T399)))</f>
        <v/>
      </c>
      <c r="AI399" s="4">
        <f>MAX(0,V399-MAX(0,Z399-SUM(Q399:U399)))</f>
        <v/>
      </c>
      <c r="AJ399" s="4">
        <f>MAX(0,W399-MAX(0,Z399-SUM(Q399:V399)))</f>
        <v/>
      </c>
      <c r="AK399" s="4">
        <f>MAX(0,X399-MAX(0,Z399-SUM(Q399:W399)))</f>
        <v/>
      </c>
      <c r="AL399" s="4">
        <f>MAX(0,Y399-MAX(0,Z399-SUM(Q399:X399)))</f>
        <v/>
      </c>
    </row>
    <row r="400">
      <c r="A400" s="4" t="inlineStr">
        <is>
          <t>HASLS22260802553</t>
        </is>
      </c>
      <c r="B400" s="4" t="inlineStr">
        <is>
          <t>SWSP</t>
        </is>
      </c>
      <c r="C400" s="4" t="inlineStr">
        <is>
          <t>2609N</t>
        </is>
      </c>
      <c r="D400" s="4" t="inlineStr">
        <is>
          <t>202610080830</t>
        </is>
      </c>
      <c r="E400" s="4" t="inlineStr"/>
      <c r="F400" s="4" t="inlineStr">
        <is>
          <t>THLCH</t>
        </is>
      </c>
      <c r="G400" s="4" t="inlineStr">
        <is>
          <t>KRPTK</t>
        </is>
      </c>
      <c r="H400" s="4" t="inlineStr">
        <is>
          <t xml:space="preserve">R40Hx1 </t>
        </is>
      </c>
      <c r="I400" s="4" t="inlineStr">
        <is>
          <t>LCH27</t>
        </is>
      </c>
      <c r="J400" s="4" t="inlineStr">
        <is>
          <t xml:space="preserve">HAST Logistics Co.,Ltd. </t>
        </is>
      </c>
      <c r="K400" s="4" t="inlineStr">
        <is>
          <t>20261003</t>
        </is>
      </c>
      <c r="L400" s="4" t="inlineStr">
        <is>
          <t>LAND SEA SKY CO., LTD.</t>
        </is>
      </c>
      <c r="M400" s="4" t="inlineStr">
        <is>
          <t>SAHA FARMS  INTERNATIONAL CO LTD</t>
        </is>
      </c>
      <c r="N400" s="4" t="inlineStr">
        <is>
          <t>FROZEN CHICKEN COOK</t>
        </is>
      </c>
      <c r="O400" s="4" t="inlineStr">
        <is>
          <t>(Temp -18.0℃ / Vent Close)</t>
        </is>
      </c>
      <c r="P400" s="4" t="inlineStr">
        <is>
          <t xml:space="preserve">Pickup : 2026-10-03, Return : 2026-10-06 (Temp -18.0 / Vent Close)
 CSL TIME 07/10 @16.00 [1ST RTN 06/10 W/O ELECTRIC] 
 </t>
        </is>
      </c>
      <c r="Q400" s="4" t="n">
        <v>0</v>
      </c>
      <c r="R400" s="4" t="n">
        <v>0</v>
      </c>
      <c r="S400" s="4" t="n">
        <v>0</v>
      </c>
      <c r="T400" s="4" t="n">
        <v>0</v>
      </c>
      <c r="U400" s="4" t="n">
        <v>1</v>
      </c>
      <c r="V400" s="4" t="n">
        <v>0</v>
      </c>
      <c r="W400" s="4" t="n">
        <v>0</v>
      </c>
      <c r="X400" s="4" t="n">
        <v>0</v>
      </c>
      <c r="Y400" s="4" t="n">
        <v>0</v>
      </c>
      <c r="Z400" s="4" t="n">
        <v>0</v>
      </c>
      <c r="AA400" s="4" t="n">
        <v>0</v>
      </c>
      <c r="AB400" s="4">
        <f>SUM(Q400:Y400)-Z400</f>
        <v/>
      </c>
      <c r="AC400" s="4">
        <f>IF(I400="","",IF(OR(LEFT(I400,3)="BKK",I400="LCH55"),"BKK",IF(LEFT(I400,3)="LCH","LCH","OTHER")))</f>
        <v/>
      </c>
      <c r="AD400" s="4">
        <f>MAX(0,Q400-MAX(0,Z400))</f>
        <v/>
      </c>
      <c r="AE400" s="4">
        <f>MAX(0,R400-MAX(0,Z400-SUM(Q400:Q400)))</f>
        <v/>
      </c>
      <c r="AF400" s="4">
        <f>MAX(0,S400-MAX(0,Z400-SUM(Q400:R400)))</f>
        <v/>
      </c>
      <c r="AG400" s="4">
        <f>MAX(0,T400-MAX(0,Z400-SUM(Q400:S400)))</f>
        <v/>
      </c>
      <c r="AH400" s="4">
        <f>MAX(0,U400-MAX(0,Z400-SUM(Q400:T400)))</f>
        <v/>
      </c>
      <c r="AI400" s="4">
        <f>MAX(0,V400-MAX(0,Z400-SUM(Q400:U400)))</f>
        <v/>
      </c>
      <c r="AJ400" s="4">
        <f>MAX(0,W400-MAX(0,Z400-SUM(Q400:V400)))</f>
        <v/>
      </c>
      <c r="AK400" s="4">
        <f>MAX(0,X400-MAX(0,Z400-SUM(Q400:W400)))</f>
        <v/>
      </c>
      <c r="AL400" s="4">
        <f>MAX(0,Y400-MAX(0,Z400-SUM(Q400:X400)))</f>
        <v/>
      </c>
    </row>
    <row r="401">
      <c r="A401" s="4" t="inlineStr">
        <is>
          <t>HASLS22260802560</t>
        </is>
      </c>
      <c r="B401" s="4" t="inlineStr">
        <is>
          <t>SWSP</t>
        </is>
      </c>
      <c r="C401" s="4" t="inlineStr">
        <is>
          <t>2609N</t>
        </is>
      </c>
      <c r="D401" s="4" t="inlineStr">
        <is>
          <t>202610080830</t>
        </is>
      </c>
      <c r="E401" s="4" t="inlineStr"/>
      <c r="F401" s="4" t="inlineStr">
        <is>
          <t>THLCH</t>
        </is>
      </c>
      <c r="G401" s="4" t="inlineStr">
        <is>
          <t>KRPTK</t>
        </is>
      </c>
      <c r="H401" s="4" t="inlineStr">
        <is>
          <t xml:space="preserve">20'x4 </t>
        </is>
      </c>
      <c r="I401" s="4" t="inlineStr">
        <is>
          <t>LCH27</t>
        </is>
      </c>
      <c r="J401" s="4" t="inlineStr">
        <is>
          <t xml:space="preserve">HAST Logistics Co.,Ltd. </t>
        </is>
      </c>
      <c r="K401" s="4" t="inlineStr">
        <is>
          <t>20261002</t>
        </is>
      </c>
      <c r="L401" s="4" t="inlineStr">
        <is>
          <t>LOGEM LOGISTICS CO., LTD.</t>
        </is>
      </c>
      <c r="M401" s="4" t="inlineStr">
        <is>
          <t>SHINJIN SM (THAILAND) CO.,LTD.</t>
        </is>
      </c>
      <c r="N401" s="4" t="inlineStr">
        <is>
          <t>MATERIAL STEEL FINISHING PLATE</t>
        </is>
      </c>
      <c r="O401" s="4" t="inlineStr">
        <is>
          <t>GOOD AND CLEAN CONTAINER</t>
        </is>
      </c>
      <c r="P401" s="4" t="inlineStr">
        <is>
          <t xml:space="preserve">Pickup : 2026-10-02, Return : 2026-10-02 (1ST RTN 04/10 W/O RENT) 
 ** PLEASE CHECK OPEN GATE BEFORE RETURN CNTR **
</t>
        </is>
      </c>
      <c r="Q401" s="4" t="n">
        <v>4</v>
      </c>
      <c r="R401" s="4" t="n">
        <v>0</v>
      </c>
      <c r="S401" s="4" t="n">
        <v>0</v>
      </c>
      <c r="T401" s="4" t="n">
        <v>0</v>
      </c>
      <c r="U401" s="4" t="n">
        <v>0</v>
      </c>
      <c r="V401" s="4" t="n">
        <v>0</v>
      </c>
      <c r="W401" s="4" t="n">
        <v>0</v>
      </c>
      <c r="X401" s="4" t="n">
        <v>0</v>
      </c>
      <c r="Y401" s="4" t="n">
        <v>0</v>
      </c>
      <c r="Z401" s="4" t="n">
        <v>0</v>
      </c>
      <c r="AA401" s="4" t="n">
        <v>0</v>
      </c>
      <c r="AB401" s="4">
        <f>SUM(Q401:Y401)-Z401</f>
        <v/>
      </c>
      <c r="AC401" s="4">
        <f>IF(I401="","",IF(OR(LEFT(I401,3)="BKK",I401="LCH55"),"BKK",IF(LEFT(I401,3)="LCH","LCH","OTHER")))</f>
        <v/>
      </c>
      <c r="AD401" s="4">
        <f>MAX(0,Q401-MAX(0,Z401))</f>
        <v/>
      </c>
      <c r="AE401" s="4">
        <f>MAX(0,R401-MAX(0,Z401-SUM(Q401:Q401)))</f>
        <v/>
      </c>
      <c r="AF401" s="4">
        <f>MAX(0,S401-MAX(0,Z401-SUM(Q401:R401)))</f>
        <v/>
      </c>
      <c r="AG401" s="4">
        <f>MAX(0,T401-MAX(0,Z401-SUM(Q401:S401)))</f>
        <v/>
      </c>
      <c r="AH401" s="4">
        <f>MAX(0,U401-MAX(0,Z401-SUM(Q401:T401)))</f>
        <v/>
      </c>
      <c r="AI401" s="4">
        <f>MAX(0,V401-MAX(0,Z401-SUM(Q401:U401)))</f>
        <v/>
      </c>
      <c r="AJ401" s="4">
        <f>MAX(0,W401-MAX(0,Z401-SUM(Q401:V401)))</f>
        <v/>
      </c>
      <c r="AK401" s="4">
        <f>MAX(0,X401-MAX(0,Z401-SUM(Q401:W401)))</f>
        <v/>
      </c>
      <c r="AL401" s="4">
        <f>MAX(0,Y401-MAX(0,Z401-SUM(Q401:X401)))</f>
        <v/>
      </c>
    </row>
    <row r="402">
      <c r="A402" s="4" t="inlineStr">
        <is>
          <t>HASLS22260900040</t>
        </is>
      </c>
      <c r="B402" s="4" t="inlineStr">
        <is>
          <t>KMBK</t>
        </is>
      </c>
      <c r="C402" s="4" t="inlineStr">
        <is>
          <t>2611N</t>
        </is>
      </c>
      <c r="D402" s="4" t="inlineStr">
        <is>
          <t>202610040100</t>
        </is>
      </c>
      <c r="E402" s="4" t="inlineStr"/>
      <c r="F402" s="4" t="inlineStr">
        <is>
          <t>THLCH</t>
        </is>
      </c>
      <c r="G402" s="4" t="inlineStr">
        <is>
          <t>VNSGN</t>
        </is>
      </c>
      <c r="H402" s="4" t="inlineStr">
        <is>
          <t xml:space="preserve">20'x4 </t>
        </is>
      </c>
      <c r="I402" s="4" t="inlineStr">
        <is>
          <t>LCH27</t>
        </is>
      </c>
      <c r="J402" s="4" t="inlineStr">
        <is>
          <t xml:space="preserve">HAST Logistics Co.,Ltd. </t>
        </is>
      </c>
      <c r="K402" s="4" t="inlineStr">
        <is>
          <t>20260928</t>
        </is>
      </c>
      <c r="L402" s="4" t="inlineStr">
        <is>
          <t>UNITED MARINE LOGISTIC CO., LTD.</t>
        </is>
      </c>
      <c r="M402" s="4" t="inlineStr">
        <is>
          <t>WELLGROW GLASS INDUSTRY CO., LTD.</t>
        </is>
      </c>
      <c r="N402" s="4" t="inlineStr">
        <is>
          <t xml:space="preserve">GLASS BOTTLE </t>
        </is>
      </c>
      <c r="O402" s="4" t="inlineStr">
        <is>
          <t>GOOD AND CLEAN CONTAINER</t>
        </is>
      </c>
      <c r="P402" s="4" t="inlineStr">
        <is>
          <t>Pickup : 2026-09-28, Return : 2026-09-29</t>
        </is>
      </c>
      <c r="Q402" s="4" t="n">
        <v>4</v>
      </c>
      <c r="R402" s="4" t="n">
        <v>0</v>
      </c>
      <c r="S402" s="4" t="n">
        <v>0</v>
      </c>
      <c r="T402" s="4" t="n">
        <v>0</v>
      </c>
      <c r="U402" s="4" t="n">
        <v>0</v>
      </c>
      <c r="V402" s="4" t="n">
        <v>0</v>
      </c>
      <c r="W402" s="4" t="n">
        <v>0</v>
      </c>
      <c r="X402" s="4" t="n">
        <v>0</v>
      </c>
      <c r="Y402" s="4" t="n">
        <v>0</v>
      </c>
      <c r="Z402" s="4" t="n">
        <v>0</v>
      </c>
      <c r="AA402" s="4" t="n">
        <v>0</v>
      </c>
      <c r="AB402" s="4">
        <f>SUM(Q402:Y402)-Z402</f>
        <v/>
      </c>
      <c r="AC402" s="4">
        <f>IF(I402="","",IF(OR(LEFT(I402,3)="BKK",I402="LCH55"),"BKK",IF(LEFT(I402,3)="LCH","LCH","OTHER")))</f>
        <v/>
      </c>
      <c r="AD402" s="4">
        <f>MAX(0,Q402-MAX(0,Z402))</f>
        <v/>
      </c>
      <c r="AE402" s="4">
        <f>MAX(0,R402-MAX(0,Z402-SUM(Q402:Q402)))</f>
        <v/>
      </c>
      <c r="AF402" s="4">
        <f>MAX(0,S402-MAX(0,Z402-SUM(Q402:R402)))</f>
        <v/>
      </c>
      <c r="AG402" s="4">
        <f>MAX(0,T402-MAX(0,Z402-SUM(Q402:S402)))</f>
        <v/>
      </c>
      <c r="AH402" s="4">
        <f>MAX(0,U402-MAX(0,Z402-SUM(Q402:T402)))</f>
        <v/>
      </c>
      <c r="AI402" s="4">
        <f>MAX(0,V402-MAX(0,Z402-SUM(Q402:U402)))</f>
        <v/>
      </c>
      <c r="AJ402" s="4">
        <f>MAX(0,W402-MAX(0,Z402-SUM(Q402:V402)))</f>
        <v/>
      </c>
      <c r="AK402" s="4">
        <f>MAX(0,X402-MAX(0,Z402-SUM(Q402:W402)))</f>
        <v/>
      </c>
      <c r="AL402" s="4">
        <f>MAX(0,Y402-MAX(0,Z402-SUM(Q402:X402)))</f>
        <v/>
      </c>
    </row>
    <row r="403">
      <c r="A403" s="4" t="inlineStr">
        <is>
          <t>HASLS22260900095</t>
        </is>
      </c>
      <c r="B403" s="4" t="inlineStr">
        <is>
          <t>PCCP</t>
        </is>
      </c>
      <c r="C403" s="4" t="inlineStr">
        <is>
          <t>2610N</t>
        </is>
      </c>
      <c r="D403" s="4" t="inlineStr">
        <is>
          <t>202610120600</t>
        </is>
      </c>
      <c r="E403" s="4" t="inlineStr"/>
      <c r="F403" s="4" t="inlineStr">
        <is>
          <t>THLCH</t>
        </is>
      </c>
      <c r="G403" s="4" t="inlineStr">
        <is>
          <t>JPTMK</t>
        </is>
      </c>
      <c r="H403" s="4" t="inlineStr">
        <is>
          <t xml:space="preserve">R40Hx1 </t>
        </is>
      </c>
      <c r="I403" s="4" t="inlineStr">
        <is>
          <t>LCH27</t>
        </is>
      </c>
      <c r="J403" s="4" t="inlineStr">
        <is>
          <t xml:space="preserve">HAST Logistics Co.,Ltd. </t>
        </is>
      </c>
      <c r="K403" s="4" t="inlineStr">
        <is>
          <t>20261008</t>
        </is>
      </c>
      <c r="L403" s="4" t="inlineStr">
        <is>
          <t>LOGMAN INTERNATIONAL CO., LTD.</t>
        </is>
      </c>
      <c r="M403" s="4" t="inlineStr">
        <is>
          <t>THAI NIPPON FOODS CO. , LTD.</t>
        </is>
      </c>
      <c r="N403" s="4" t="inlineStr">
        <is>
          <t>FROZEN CHICKEN</t>
        </is>
      </c>
      <c r="O403" s="4" t="inlineStr">
        <is>
          <t>(Temp -20.0℃ / Vent Close) 
REQ: NEW AND CLEAN CONTAINER NO SEAFOOD AND GARLIC</t>
        </is>
      </c>
      <c r="P403" s="4" t="inlineStr">
        <is>
          <t xml:space="preserve">[FIX]Pickup : 2026-10-08, Return : 2026-10-09 (Temp -20.0 / Vent Close) 
 CLS TIME 10/10 @12.00 [1ST RTN 09/10 W/O RENT &amp; ELECTRIC] 
 </t>
        </is>
      </c>
      <c r="Q403" s="4" t="n">
        <v>0</v>
      </c>
      <c r="R403" s="4" t="n">
        <v>0</v>
      </c>
      <c r="S403" s="4" t="n">
        <v>0</v>
      </c>
      <c r="T403" s="4" t="n">
        <v>0</v>
      </c>
      <c r="U403" s="4" t="n">
        <v>1</v>
      </c>
      <c r="V403" s="4" t="n">
        <v>0</v>
      </c>
      <c r="W403" s="4" t="n">
        <v>0</v>
      </c>
      <c r="X403" s="4" t="n">
        <v>0</v>
      </c>
      <c r="Y403" s="4" t="n">
        <v>0</v>
      </c>
      <c r="Z403" s="4" t="n">
        <v>0</v>
      </c>
      <c r="AA403" s="4" t="n">
        <v>0</v>
      </c>
      <c r="AB403" s="4">
        <f>SUM(Q403:Y403)-Z403</f>
        <v/>
      </c>
      <c r="AC403" s="4">
        <f>IF(I403="","",IF(OR(LEFT(I403,3)="BKK",I403="LCH55"),"BKK",IF(LEFT(I403,3)="LCH","LCH","OTHER")))</f>
        <v/>
      </c>
      <c r="AD403" s="4">
        <f>MAX(0,Q403-MAX(0,Z403))</f>
        <v/>
      </c>
      <c r="AE403" s="4">
        <f>MAX(0,R403-MAX(0,Z403-SUM(Q403:Q403)))</f>
        <v/>
      </c>
      <c r="AF403" s="4">
        <f>MAX(0,S403-MAX(0,Z403-SUM(Q403:R403)))</f>
        <v/>
      </c>
      <c r="AG403" s="4">
        <f>MAX(0,T403-MAX(0,Z403-SUM(Q403:S403)))</f>
        <v/>
      </c>
      <c r="AH403" s="4">
        <f>MAX(0,U403-MAX(0,Z403-SUM(Q403:T403)))</f>
        <v/>
      </c>
      <c r="AI403" s="4">
        <f>MAX(0,V403-MAX(0,Z403-SUM(Q403:U403)))</f>
        <v/>
      </c>
      <c r="AJ403" s="4">
        <f>MAX(0,W403-MAX(0,Z403-SUM(Q403:V403)))</f>
        <v/>
      </c>
      <c r="AK403" s="4">
        <f>MAX(0,X403-MAX(0,Z403-SUM(Q403:W403)))</f>
        <v/>
      </c>
      <c r="AL403" s="4">
        <f>MAX(0,Y403-MAX(0,Z403-SUM(Q403:X403)))</f>
        <v/>
      </c>
    </row>
    <row r="404">
      <c r="A404" s="4" t="inlineStr">
        <is>
          <t>HASLS22260900107</t>
        </is>
      </c>
      <c r="B404" s="4" t="inlineStr">
        <is>
          <t>HAB</t>
        </is>
      </c>
      <c r="C404" s="4" t="inlineStr">
        <is>
          <t>2612N</t>
        </is>
      </c>
      <c r="D404" s="4" t="inlineStr">
        <is>
          <t>202610251800</t>
        </is>
      </c>
      <c r="E404" s="4" t="inlineStr"/>
      <c r="F404" s="4" t="inlineStr">
        <is>
          <t>THLCH</t>
        </is>
      </c>
      <c r="G404" s="4" t="inlineStr">
        <is>
          <t>CNSHA</t>
        </is>
      </c>
      <c r="H404" s="4" t="inlineStr">
        <is>
          <t xml:space="preserve">20'x10 </t>
        </is>
      </c>
      <c r="I404" s="4" t="inlineStr">
        <is>
          <t>LCH27</t>
        </is>
      </c>
      <c r="J404" s="4" t="inlineStr">
        <is>
          <t xml:space="preserve">HAST Logistics Co.,Ltd. </t>
        </is>
      </c>
      <c r="K404" s="4" t="inlineStr">
        <is>
          <t>20260914</t>
        </is>
      </c>
      <c r="L404" s="4" t="inlineStr">
        <is>
          <t>INTENTION FREIGHT CO., LTD.</t>
        </is>
      </c>
      <c r="M404" s="4" t="inlineStr">
        <is>
          <t>EIAM THONGCHAI INDUSTRY CO.,LTD.</t>
        </is>
      </c>
      <c r="N404" s="4" t="inlineStr">
        <is>
          <t>STARCH</t>
        </is>
      </c>
      <c r="O404" s="4" t="inlineStr">
        <is>
          <t>REQ : FOOD GRADE CONTAINER CLEAR &amp;DRY NO OIL NO RUSTY</t>
        </is>
      </c>
      <c r="P404" s="4" t="inlineStr">
        <is>
          <t>Pickup : 2026-09-14, Return : 2026-09-16</t>
        </is>
      </c>
      <c r="Q404" s="4" t="n">
        <v>10</v>
      </c>
      <c r="R404" s="4" t="n">
        <v>0</v>
      </c>
      <c r="S404" s="4" t="n">
        <v>0</v>
      </c>
      <c r="T404" s="4" t="n">
        <v>0</v>
      </c>
      <c r="U404" s="4" t="n">
        <v>0</v>
      </c>
      <c r="V404" s="4" t="n">
        <v>0</v>
      </c>
      <c r="W404" s="4" t="n">
        <v>0</v>
      </c>
      <c r="X404" s="4" t="n">
        <v>0</v>
      </c>
      <c r="Y404" s="4" t="n">
        <v>0</v>
      </c>
      <c r="Z404" s="4" t="n">
        <v>0</v>
      </c>
      <c r="AA404" s="4" t="n">
        <v>0</v>
      </c>
      <c r="AB404" s="4">
        <f>SUM(Q404:Y404)-Z404</f>
        <v/>
      </c>
      <c r="AC404" s="4">
        <f>IF(I404="","",IF(OR(LEFT(I404,3)="BKK",I404="LCH55"),"BKK",IF(LEFT(I404,3)="LCH","LCH","OTHER")))</f>
        <v/>
      </c>
      <c r="AD404" s="4">
        <f>MAX(0,Q404-MAX(0,Z404))</f>
        <v/>
      </c>
      <c r="AE404" s="4">
        <f>MAX(0,R404-MAX(0,Z404-SUM(Q404:Q404)))</f>
        <v/>
      </c>
      <c r="AF404" s="4">
        <f>MAX(0,S404-MAX(0,Z404-SUM(Q404:R404)))</f>
        <v/>
      </c>
      <c r="AG404" s="4">
        <f>MAX(0,T404-MAX(0,Z404-SUM(Q404:S404)))</f>
        <v/>
      </c>
      <c r="AH404" s="4">
        <f>MAX(0,U404-MAX(0,Z404-SUM(Q404:T404)))</f>
        <v/>
      </c>
      <c r="AI404" s="4">
        <f>MAX(0,V404-MAX(0,Z404-SUM(Q404:U404)))</f>
        <v/>
      </c>
      <c r="AJ404" s="4">
        <f>MAX(0,W404-MAX(0,Z404-SUM(Q404:V404)))</f>
        <v/>
      </c>
      <c r="AK404" s="4">
        <f>MAX(0,X404-MAX(0,Z404-SUM(Q404:W404)))</f>
        <v/>
      </c>
      <c r="AL404" s="4">
        <f>MAX(0,Y404-MAX(0,Z404-SUM(Q404:X404)))</f>
        <v/>
      </c>
    </row>
    <row r="405">
      <c r="A405" s="4" t="inlineStr">
        <is>
          <t>HASLS22260900208</t>
        </is>
      </c>
      <c r="B405" s="4" t="inlineStr">
        <is>
          <t>SWVG</t>
        </is>
      </c>
      <c r="C405" s="4" t="inlineStr">
        <is>
          <t>2612N</t>
        </is>
      </c>
      <c r="D405" s="4" t="inlineStr">
        <is>
          <t>202610070330</t>
        </is>
      </c>
      <c r="E405" s="4" t="inlineStr"/>
      <c r="F405" s="4" t="inlineStr">
        <is>
          <t>THLCH</t>
        </is>
      </c>
      <c r="G405" s="4" t="inlineStr">
        <is>
          <t>CNSHA</t>
        </is>
      </c>
      <c r="H405" s="4" t="inlineStr">
        <is>
          <t xml:space="preserve">20'x1 </t>
        </is>
      </c>
      <c r="I405" s="4" t="inlineStr">
        <is>
          <t>LCH27</t>
        </is>
      </c>
      <c r="J405" s="4" t="inlineStr">
        <is>
          <t xml:space="preserve">HAST Logistics Co.,Ltd. </t>
        </is>
      </c>
      <c r="K405" s="4" t="inlineStr">
        <is>
          <t>20261005</t>
        </is>
      </c>
      <c r="L405" s="4" t="inlineStr">
        <is>
          <t>EXPEDITORS (THAILAND) LTD.</t>
        </is>
      </c>
      <c r="M405" s="4" t="inlineStr">
        <is>
          <t>SCGJWD LOGISTICS PUBLIC COMPANY LIMITED</t>
        </is>
      </c>
      <c r="N405" s="4" t="inlineStr">
        <is>
          <t>POLY(ETHYLENE TEREPHTHALATE)</t>
        </is>
      </c>
      <c r="O405" s="4" t="inlineStr">
        <is>
          <t>Special Remark : Request well clean and dry cntrs ,</t>
        </is>
      </c>
      <c r="P405" s="4" t="inlineStr">
        <is>
          <t xml:space="preserve">Pickup : 2026-10-05, Return : 2026-10-05 
 ** PLEASE CHECK OPEN GATE BEFORE RETURN CNTR **
</t>
        </is>
      </c>
      <c r="Q405" s="4" t="n">
        <v>1</v>
      </c>
      <c r="R405" s="4" t="n">
        <v>0</v>
      </c>
      <c r="S405" s="4" t="n">
        <v>0</v>
      </c>
      <c r="T405" s="4" t="n">
        <v>0</v>
      </c>
      <c r="U405" s="4" t="n">
        <v>0</v>
      </c>
      <c r="V405" s="4" t="n">
        <v>0</v>
      </c>
      <c r="W405" s="4" t="n">
        <v>0</v>
      </c>
      <c r="X405" s="4" t="n">
        <v>0</v>
      </c>
      <c r="Y405" s="4" t="n">
        <v>0</v>
      </c>
      <c r="Z405" s="4" t="n">
        <v>0</v>
      </c>
      <c r="AA405" s="4" t="n">
        <v>0</v>
      </c>
      <c r="AB405" s="4">
        <f>SUM(Q405:Y405)-Z405</f>
        <v/>
      </c>
      <c r="AC405" s="4">
        <f>IF(I405="","",IF(OR(LEFT(I405,3)="BKK",I405="LCH55"),"BKK",IF(LEFT(I405,3)="LCH","LCH","OTHER")))</f>
        <v/>
      </c>
      <c r="AD405" s="4">
        <f>MAX(0,Q405-MAX(0,Z405))</f>
        <v/>
      </c>
      <c r="AE405" s="4">
        <f>MAX(0,R405-MAX(0,Z405-SUM(Q405:Q405)))</f>
        <v/>
      </c>
      <c r="AF405" s="4">
        <f>MAX(0,S405-MAX(0,Z405-SUM(Q405:R405)))</f>
        <v/>
      </c>
      <c r="AG405" s="4">
        <f>MAX(0,T405-MAX(0,Z405-SUM(Q405:S405)))</f>
        <v/>
      </c>
      <c r="AH405" s="4">
        <f>MAX(0,U405-MAX(0,Z405-SUM(Q405:T405)))</f>
        <v/>
      </c>
      <c r="AI405" s="4">
        <f>MAX(0,V405-MAX(0,Z405-SUM(Q405:U405)))</f>
        <v/>
      </c>
      <c r="AJ405" s="4">
        <f>MAX(0,W405-MAX(0,Z405-SUM(Q405:V405)))</f>
        <v/>
      </c>
      <c r="AK405" s="4">
        <f>MAX(0,X405-MAX(0,Z405-SUM(Q405:W405)))</f>
        <v/>
      </c>
      <c r="AL405" s="4">
        <f>MAX(0,Y405-MAX(0,Z405-SUM(Q405:X405)))</f>
        <v/>
      </c>
    </row>
    <row r="406">
      <c r="A406" s="4" t="inlineStr">
        <is>
          <t>HASLS22260900212</t>
        </is>
      </c>
      <c r="B406" s="4" t="inlineStr">
        <is>
          <t>PCCP</t>
        </is>
      </c>
      <c r="C406" s="4" t="inlineStr">
        <is>
          <t>2610N</t>
        </is>
      </c>
      <c r="D406" s="4" t="inlineStr">
        <is>
          <t>202610120600</t>
        </is>
      </c>
      <c r="E406" s="4" t="inlineStr"/>
      <c r="F406" s="4" t="inlineStr">
        <is>
          <t>THLCH</t>
        </is>
      </c>
      <c r="G406" s="4" t="inlineStr">
        <is>
          <t>VNSGN</t>
        </is>
      </c>
      <c r="H406" s="4" t="inlineStr">
        <is>
          <t xml:space="preserve">40Hx1 </t>
        </is>
      </c>
      <c r="I406" s="4" t="inlineStr">
        <is>
          <t>LCH27</t>
        </is>
      </c>
      <c r="J406" s="4" t="inlineStr">
        <is>
          <t xml:space="preserve">HAST Logistics Co.,Ltd. </t>
        </is>
      </c>
      <c r="K406" s="4" t="inlineStr">
        <is>
          <t>20261006</t>
        </is>
      </c>
      <c r="L406" s="4" t="inlineStr">
        <is>
          <t>CMS LOGISTICS GROUP (THAILAND) CO., LTD.</t>
        </is>
      </c>
      <c r="M406" s="4" t="inlineStr">
        <is>
          <t>SIAM INDUSTRY ADHESIVE TAPES CO., LTD.</t>
        </is>
      </c>
      <c r="N406" s="4" t="inlineStr">
        <is>
          <t>INSULATION FOAM</t>
        </is>
      </c>
      <c r="O406" s="4" t="inlineStr">
        <is>
          <t>REQUEST CONTAINER CLEAN &amp; GOOD.</t>
        </is>
      </c>
      <c r="P406" s="4" t="inlineStr">
        <is>
          <t>Pickup : 2026-10-06, Return : 2026-10-07</t>
        </is>
      </c>
      <c r="Q406" s="4" t="n">
        <v>0</v>
      </c>
      <c r="R406" s="4" t="n">
        <v>0</v>
      </c>
      <c r="S406" s="4" t="n">
        <v>1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>
        <f>SUM(Q406:Y406)-Z406</f>
        <v/>
      </c>
      <c r="AC406" s="4">
        <f>IF(I406="","",IF(OR(LEFT(I406,3)="BKK",I406="LCH55"),"BKK",IF(LEFT(I406,3)="LCH","LCH","OTHER")))</f>
        <v/>
      </c>
      <c r="AD406" s="4">
        <f>MAX(0,Q406-MAX(0,Z406))</f>
        <v/>
      </c>
      <c r="AE406" s="4">
        <f>MAX(0,R406-MAX(0,Z406-SUM(Q406:Q406)))</f>
        <v/>
      </c>
      <c r="AF406" s="4">
        <f>MAX(0,S406-MAX(0,Z406-SUM(Q406:R406)))</f>
        <v/>
      </c>
      <c r="AG406" s="4">
        <f>MAX(0,T406-MAX(0,Z406-SUM(Q406:S406)))</f>
        <v/>
      </c>
      <c r="AH406" s="4">
        <f>MAX(0,U406-MAX(0,Z406-SUM(Q406:T406)))</f>
        <v/>
      </c>
      <c r="AI406" s="4">
        <f>MAX(0,V406-MAX(0,Z406-SUM(Q406:U406)))</f>
        <v/>
      </c>
      <c r="AJ406" s="4">
        <f>MAX(0,W406-MAX(0,Z406-SUM(Q406:V406)))</f>
        <v/>
      </c>
      <c r="AK406" s="4">
        <f>MAX(0,X406-MAX(0,Z406-SUM(Q406:W406)))</f>
        <v/>
      </c>
      <c r="AL406" s="4">
        <f>MAX(0,Y406-MAX(0,Z406-SUM(Q406:X406)))</f>
        <v/>
      </c>
    </row>
    <row r="407">
      <c r="A407" s="4" t="inlineStr">
        <is>
          <t>HASLS22260900213</t>
        </is>
      </c>
      <c r="B407" s="4" t="inlineStr">
        <is>
          <t>KJT</t>
        </is>
      </c>
      <c r="C407" s="4" t="inlineStr">
        <is>
          <t>2611N</t>
        </is>
      </c>
      <c r="D407" s="4" t="inlineStr">
        <is>
          <t>202610151100</t>
        </is>
      </c>
      <c r="E407" s="4" t="inlineStr"/>
      <c r="F407" s="4" t="inlineStr">
        <is>
          <t>THLCH</t>
        </is>
      </c>
      <c r="G407" s="4" t="inlineStr">
        <is>
          <t>TWKEL</t>
        </is>
      </c>
      <c r="H407" s="4" t="inlineStr">
        <is>
          <t xml:space="preserve">20'x1 </t>
        </is>
      </c>
      <c r="I407" s="4" t="inlineStr">
        <is>
          <t>LCH27</t>
        </is>
      </c>
      <c r="J407" s="4" t="inlineStr">
        <is>
          <t xml:space="preserve">HAST Logistics Co.,Ltd. </t>
        </is>
      </c>
      <c r="K407" s="4" t="inlineStr">
        <is>
          <t>20261009</t>
        </is>
      </c>
      <c r="L407" s="4" t="inlineStr">
        <is>
          <t>MOL LOGISTICS (THAILAND) CO., LTD.</t>
        </is>
      </c>
      <c r="M407" s="4" t="inlineStr">
        <is>
          <t>KURARAY ADVANCED CHEMICALS (THAILAND) CO., LTD.</t>
        </is>
      </c>
      <c r="N407" s="4" t="inlineStr">
        <is>
          <t>MPD (NON DG)</t>
        </is>
      </c>
      <c r="O407" s="4" t="inlineStr">
        <is>
          <t>REQ GOOD AND CLEAN CONTAINER</t>
        </is>
      </c>
      <c r="P407" s="4" t="inlineStr">
        <is>
          <t xml:space="preserve">Pickup : 2026-10-09, Return : 2026-10-09 
 ** PLEASE CHECK OPEN GATE BEFORE RETURN CNTR **
</t>
        </is>
      </c>
      <c r="Q407" s="4" t="n">
        <v>1</v>
      </c>
      <c r="R407" s="4" t="n">
        <v>0</v>
      </c>
      <c r="S407" s="4" t="n">
        <v>0</v>
      </c>
      <c r="T407" s="4" t="n">
        <v>0</v>
      </c>
      <c r="U407" s="4" t="n">
        <v>0</v>
      </c>
      <c r="V407" s="4" t="n">
        <v>0</v>
      </c>
      <c r="W407" s="4" t="n">
        <v>0</v>
      </c>
      <c r="X407" s="4" t="n">
        <v>0</v>
      </c>
      <c r="Y407" s="4" t="n">
        <v>0</v>
      </c>
      <c r="Z407" s="4" t="n">
        <v>0</v>
      </c>
      <c r="AA407" s="4" t="n">
        <v>0</v>
      </c>
      <c r="AB407" s="4">
        <f>SUM(Q407:Y407)-Z407</f>
        <v/>
      </c>
      <c r="AC407" s="4">
        <f>IF(I407="","",IF(OR(LEFT(I407,3)="BKK",I407="LCH55"),"BKK",IF(LEFT(I407,3)="LCH","LCH","OTHER")))</f>
        <v/>
      </c>
      <c r="AD407" s="4">
        <f>MAX(0,Q407-MAX(0,Z407))</f>
        <v/>
      </c>
      <c r="AE407" s="4">
        <f>MAX(0,R407-MAX(0,Z407-SUM(Q407:Q407)))</f>
        <v/>
      </c>
      <c r="AF407" s="4">
        <f>MAX(0,S407-MAX(0,Z407-SUM(Q407:R407)))</f>
        <v/>
      </c>
      <c r="AG407" s="4">
        <f>MAX(0,T407-MAX(0,Z407-SUM(Q407:S407)))</f>
        <v/>
      </c>
      <c r="AH407" s="4">
        <f>MAX(0,U407-MAX(0,Z407-SUM(Q407:T407)))</f>
        <v/>
      </c>
      <c r="AI407" s="4">
        <f>MAX(0,V407-MAX(0,Z407-SUM(Q407:U407)))</f>
        <v/>
      </c>
      <c r="AJ407" s="4">
        <f>MAX(0,W407-MAX(0,Z407-SUM(Q407:V407)))</f>
        <v/>
      </c>
      <c r="AK407" s="4">
        <f>MAX(0,X407-MAX(0,Z407-SUM(Q407:W407)))</f>
        <v/>
      </c>
      <c r="AL407" s="4">
        <f>MAX(0,Y407-MAX(0,Z407-SUM(Q407:X407)))</f>
        <v/>
      </c>
    </row>
    <row r="408">
      <c r="A408" s="4" t="inlineStr">
        <is>
          <t>HASLS22260900254</t>
        </is>
      </c>
      <c r="B408" s="4" t="inlineStr">
        <is>
          <t>KUS</t>
        </is>
      </c>
      <c r="C408" s="4" t="inlineStr">
        <is>
          <t>2616N</t>
        </is>
      </c>
      <c r="D408" s="4" t="inlineStr">
        <is>
          <t>202610150400</t>
        </is>
      </c>
      <c r="E408" s="4" t="inlineStr"/>
      <c r="F408" s="4" t="inlineStr">
        <is>
          <t>THLCH</t>
        </is>
      </c>
      <c r="G408" s="4" t="inlineStr">
        <is>
          <t>JPHSM</t>
        </is>
      </c>
      <c r="H408" s="4" t="inlineStr">
        <is>
          <t xml:space="preserve">40Hx1 </t>
        </is>
      </c>
      <c r="I408" s="4" t="inlineStr">
        <is>
          <t>LCH27</t>
        </is>
      </c>
      <c r="J408" s="4" t="inlineStr">
        <is>
          <t xml:space="preserve">HAST Logistics Co.,Ltd. </t>
        </is>
      </c>
      <c r="K408" s="4" t="inlineStr">
        <is>
          <t>20261005</t>
        </is>
      </c>
      <c r="L408" s="4" t="inlineStr">
        <is>
          <t>WHA GC LOGISTICS COMPANY LIMITED</t>
        </is>
      </c>
      <c r="M408" s="4" t="inlineStr">
        <is>
          <t>PTT GLOBAL CHEMICAL PUBLIC COMPANY LIMITED</t>
        </is>
      </c>
      <c r="N408" s="4" t="inlineStr">
        <is>
          <t>RESIN</t>
        </is>
      </c>
      <c r="O408" s="4" t="inlineStr">
        <is>
          <t>GOOD AND CLEAN CTNR</t>
        </is>
      </c>
      <c r="P408" s="4" t="inlineStr">
        <is>
          <t>CY-RTN 05-08/10/26 
*PLS CHECK OPEN GATE BEFORE RETURN CTNR*</t>
        </is>
      </c>
      <c r="Q408" s="4" t="n">
        <v>0</v>
      </c>
      <c r="R408" s="4" t="n">
        <v>0</v>
      </c>
      <c r="S408" s="4" t="n">
        <v>1</v>
      </c>
      <c r="T408" s="4" t="n">
        <v>0</v>
      </c>
      <c r="U408" s="4" t="n">
        <v>0</v>
      </c>
      <c r="V408" s="4" t="n">
        <v>0</v>
      </c>
      <c r="W408" s="4" t="n">
        <v>0</v>
      </c>
      <c r="X408" s="4" t="n">
        <v>0</v>
      </c>
      <c r="Y408" s="4" t="n">
        <v>0</v>
      </c>
      <c r="Z408" s="4" t="n">
        <v>0</v>
      </c>
      <c r="AA408" s="4" t="n">
        <v>0</v>
      </c>
      <c r="AB408" s="4">
        <f>SUM(Q408:Y408)-Z408</f>
        <v/>
      </c>
      <c r="AC408" s="4">
        <f>IF(I408="","",IF(OR(LEFT(I408,3)="BKK",I408="LCH55"),"BKK",IF(LEFT(I408,3)="LCH","LCH","OTHER")))</f>
        <v/>
      </c>
      <c r="AD408" s="4">
        <f>MAX(0,Q408-MAX(0,Z408))</f>
        <v/>
      </c>
      <c r="AE408" s="4">
        <f>MAX(0,R408-MAX(0,Z408-SUM(Q408:Q408)))</f>
        <v/>
      </c>
      <c r="AF408" s="4">
        <f>MAX(0,S408-MAX(0,Z408-SUM(Q408:R408)))</f>
        <v/>
      </c>
      <c r="AG408" s="4">
        <f>MAX(0,T408-MAX(0,Z408-SUM(Q408:S408)))</f>
        <v/>
      </c>
      <c r="AH408" s="4">
        <f>MAX(0,U408-MAX(0,Z408-SUM(Q408:T408)))</f>
        <v/>
      </c>
      <c r="AI408" s="4">
        <f>MAX(0,V408-MAX(0,Z408-SUM(Q408:U408)))</f>
        <v/>
      </c>
      <c r="AJ408" s="4">
        <f>MAX(0,W408-MAX(0,Z408-SUM(Q408:V408)))</f>
        <v/>
      </c>
      <c r="AK408" s="4">
        <f>MAX(0,X408-MAX(0,Z408-SUM(Q408:W408)))</f>
        <v/>
      </c>
      <c r="AL408" s="4">
        <f>MAX(0,Y408-MAX(0,Z408-SUM(Q408:X408)))</f>
        <v/>
      </c>
    </row>
    <row r="409">
      <c r="A409" s="4" t="inlineStr">
        <is>
          <t>HASLS22260900339</t>
        </is>
      </c>
      <c r="B409" s="4" t="inlineStr">
        <is>
          <t>KMTP</t>
        </is>
      </c>
      <c r="C409" s="4" t="inlineStr">
        <is>
          <t>2612N</t>
        </is>
      </c>
      <c r="D409" s="4" t="inlineStr">
        <is>
          <t>202610122200</t>
        </is>
      </c>
      <c r="E409" s="4" t="inlineStr"/>
      <c r="F409" s="4" t="inlineStr">
        <is>
          <t>THLCH</t>
        </is>
      </c>
      <c r="G409" s="4" t="inlineStr">
        <is>
          <t>JPAXT</t>
        </is>
      </c>
      <c r="H409" s="4" t="inlineStr">
        <is>
          <t xml:space="preserve">20'x1 </t>
        </is>
      </c>
      <c r="I409" s="4" t="inlineStr">
        <is>
          <t>LCH27</t>
        </is>
      </c>
      <c r="J409" s="4" t="inlineStr">
        <is>
          <t xml:space="preserve">HAST Logistics Co.,Ltd. </t>
        </is>
      </c>
      <c r="K409" s="4" t="inlineStr">
        <is>
          <t>20261005</t>
        </is>
      </c>
      <c r="L409" s="4" t="inlineStr">
        <is>
          <t>ACCORD PILOT LOGISTICS (THAILAND) CO., LTD.</t>
        </is>
      </c>
      <c r="M409" s="4" t="inlineStr">
        <is>
          <t>ALUCON PUBLIC COMPANY LIMITED</t>
        </is>
      </c>
      <c r="N409" s="4" t="inlineStr">
        <is>
          <t>ALUMINIUM SLUG</t>
        </is>
      </c>
      <c r="O409" s="4" t="inlineStr">
        <is>
          <t>GOOD AND CLEAN CONTAINER</t>
        </is>
      </c>
      <c r="P409" s="4" t="inlineStr">
        <is>
          <t>Pickup : 2026-10-05, Return : 2026-10-06</t>
        </is>
      </c>
      <c r="Q409" s="4" t="n">
        <v>1</v>
      </c>
      <c r="R409" s="4" t="n">
        <v>0</v>
      </c>
      <c r="S409" s="4" t="n">
        <v>0</v>
      </c>
      <c r="T409" s="4" t="n">
        <v>0</v>
      </c>
      <c r="U409" s="4" t="n">
        <v>0</v>
      </c>
      <c r="V409" s="4" t="n">
        <v>0</v>
      </c>
      <c r="W409" s="4" t="n">
        <v>0</v>
      </c>
      <c r="X409" s="4" t="n">
        <v>0</v>
      </c>
      <c r="Y409" s="4" t="n">
        <v>0</v>
      </c>
      <c r="Z409" s="4" t="n">
        <v>0</v>
      </c>
      <c r="AA409" s="4" t="n">
        <v>0</v>
      </c>
      <c r="AB409" s="4">
        <f>SUM(Q409:Y409)-Z409</f>
        <v/>
      </c>
      <c r="AC409" s="4">
        <f>IF(I409="","",IF(OR(LEFT(I409,3)="BKK",I409="LCH55"),"BKK",IF(LEFT(I409,3)="LCH","LCH","OTHER")))</f>
        <v/>
      </c>
      <c r="AD409" s="4">
        <f>MAX(0,Q409-MAX(0,Z409))</f>
        <v/>
      </c>
      <c r="AE409" s="4">
        <f>MAX(0,R409-MAX(0,Z409-SUM(Q409:Q409)))</f>
        <v/>
      </c>
      <c r="AF409" s="4">
        <f>MAX(0,S409-MAX(0,Z409-SUM(Q409:R409)))</f>
        <v/>
      </c>
      <c r="AG409" s="4">
        <f>MAX(0,T409-MAX(0,Z409-SUM(Q409:S409)))</f>
        <v/>
      </c>
      <c r="AH409" s="4">
        <f>MAX(0,U409-MAX(0,Z409-SUM(Q409:T409)))</f>
        <v/>
      </c>
      <c r="AI409" s="4">
        <f>MAX(0,V409-MAX(0,Z409-SUM(Q409:U409)))</f>
        <v/>
      </c>
      <c r="AJ409" s="4">
        <f>MAX(0,W409-MAX(0,Z409-SUM(Q409:V409)))</f>
        <v/>
      </c>
      <c r="AK409" s="4">
        <f>MAX(0,X409-MAX(0,Z409-SUM(Q409:W409)))</f>
        <v/>
      </c>
      <c r="AL409" s="4">
        <f>MAX(0,Y409-MAX(0,Z409-SUM(Q409:X409)))</f>
        <v/>
      </c>
    </row>
    <row r="410">
      <c r="A410" s="4" t="inlineStr">
        <is>
          <t>HASLS22260900381</t>
        </is>
      </c>
      <c r="B410" s="4" t="inlineStr">
        <is>
          <t>YSVY</t>
        </is>
      </c>
      <c r="C410" s="4" t="inlineStr">
        <is>
          <t>2608S</t>
        </is>
      </c>
      <c r="D410" s="4" t="inlineStr">
        <is>
          <t>202610190700</t>
        </is>
      </c>
      <c r="E410" s="4" t="inlineStr"/>
      <c r="F410" s="4" t="inlineStr">
        <is>
          <t>THLCH</t>
        </is>
      </c>
      <c r="G410" s="4" t="inlineStr">
        <is>
          <t>IDJKT</t>
        </is>
      </c>
      <c r="H410" s="4" t="inlineStr">
        <is>
          <t xml:space="preserve">20'x1 </t>
        </is>
      </c>
      <c r="I410" s="4" t="inlineStr">
        <is>
          <t>LCH27</t>
        </is>
      </c>
      <c r="J410" s="4" t="inlineStr">
        <is>
          <t xml:space="preserve">HAST Logistics Co.,Ltd. </t>
        </is>
      </c>
      <c r="K410" s="4" t="inlineStr">
        <is>
          <t>20261015</t>
        </is>
      </c>
      <c r="L410" s="4" t="inlineStr">
        <is>
          <t>EUROFREIGHT INTERNATIONAL CO.,LTD.</t>
        </is>
      </c>
      <c r="M410" s="4" t="inlineStr">
        <is>
          <t>GRIPM ADVANCED MATERIALS (THAILAND) CO., LTD.</t>
        </is>
      </c>
      <c r="N410" s="4" t="inlineStr">
        <is>
          <t>ELECTROLYTIC COPPER POWDER</t>
        </is>
      </c>
      <c r="O410" s="4" t="inlineStr">
        <is>
          <t>REQUEST GOOD AND CLEAN CONTAINER</t>
        </is>
      </c>
      <c r="P410" s="4" t="inlineStr">
        <is>
          <t>Pickup : 2026-10-15, Return : 2026-10-16</t>
        </is>
      </c>
      <c r="Q410" s="4" t="n">
        <v>1</v>
      </c>
      <c r="R410" s="4" t="n">
        <v>0</v>
      </c>
      <c r="S410" s="4" t="n">
        <v>0</v>
      </c>
      <c r="T410" s="4" t="n">
        <v>0</v>
      </c>
      <c r="U410" s="4" t="n">
        <v>0</v>
      </c>
      <c r="V410" s="4" t="n">
        <v>0</v>
      </c>
      <c r="W410" s="4" t="n">
        <v>0</v>
      </c>
      <c r="X410" s="4" t="n">
        <v>0</v>
      </c>
      <c r="Y410" s="4" t="n">
        <v>0</v>
      </c>
      <c r="Z410" s="4" t="n">
        <v>0</v>
      </c>
      <c r="AA410" s="4" t="n">
        <v>0</v>
      </c>
      <c r="AB410" s="4">
        <f>SUM(Q410:Y410)-Z410</f>
        <v/>
      </c>
      <c r="AC410" s="4">
        <f>IF(I410="","",IF(OR(LEFT(I410,3)="BKK",I410="LCH55"),"BKK",IF(LEFT(I410,3)="LCH","LCH","OTHER")))</f>
        <v/>
      </c>
      <c r="AD410" s="4">
        <f>MAX(0,Q410-MAX(0,Z410))</f>
        <v/>
      </c>
      <c r="AE410" s="4">
        <f>MAX(0,R410-MAX(0,Z410-SUM(Q410:Q410)))</f>
        <v/>
      </c>
      <c r="AF410" s="4">
        <f>MAX(0,S410-MAX(0,Z410-SUM(Q410:R410)))</f>
        <v/>
      </c>
      <c r="AG410" s="4">
        <f>MAX(0,T410-MAX(0,Z410-SUM(Q410:S410)))</f>
        <v/>
      </c>
      <c r="AH410" s="4">
        <f>MAX(0,U410-MAX(0,Z410-SUM(Q410:T410)))</f>
        <v/>
      </c>
      <c r="AI410" s="4">
        <f>MAX(0,V410-MAX(0,Z410-SUM(Q410:U410)))</f>
        <v/>
      </c>
      <c r="AJ410" s="4">
        <f>MAX(0,W410-MAX(0,Z410-SUM(Q410:V410)))</f>
        <v/>
      </c>
      <c r="AK410" s="4">
        <f>MAX(0,X410-MAX(0,Z410-SUM(Q410:W410)))</f>
        <v/>
      </c>
      <c r="AL410" s="4">
        <f>MAX(0,Y410-MAX(0,Z410-SUM(Q410:X410)))</f>
        <v/>
      </c>
    </row>
    <row r="411">
      <c r="A411" s="4" t="inlineStr">
        <is>
          <t>HASLS22260900413</t>
        </is>
      </c>
      <c r="B411" s="4" t="inlineStr">
        <is>
          <t>KXM</t>
        </is>
      </c>
      <c r="C411" s="4" t="inlineStr">
        <is>
          <t>2608S</t>
        </is>
      </c>
      <c r="D411" s="4" t="inlineStr">
        <is>
          <t>202610100500</t>
        </is>
      </c>
      <c r="E411" s="4" t="inlineStr"/>
      <c r="F411" s="4" t="inlineStr">
        <is>
          <t>THLCH</t>
        </is>
      </c>
      <c r="G411" s="4" t="inlineStr">
        <is>
          <t>IDJKT</t>
        </is>
      </c>
      <c r="H411" s="4" t="inlineStr">
        <is>
          <t xml:space="preserve">40Hx1 </t>
        </is>
      </c>
      <c r="I411" s="4" t="inlineStr">
        <is>
          <t>LCH27</t>
        </is>
      </c>
      <c r="J411" s="4" t="inlineStr">
        <is>
          <t xml:space="preserve">HAST Logistics Co.,Ltd. </t>
        </is>
      </c>
      <c r="K411" s="4" t="inlineStr">
        <is>
          <t>20260925</t>
        </is>
      </c>
      <c r="L411" s="4" t="inlineStr">
        <is>
          <t>ILOGS GLOBAL CO.,LTD.</t>
        </is>
      </c>
      <c r="M411" s="4" t="inlineStr">
        <is>
          <t>MAJESTY HOLDINGS (ASIA) CO.,LTD.</t>
        </is>
      </c>
      <c r="N411" s="4" t="inlineStr">
        <is>
          <t>PIPE</t>
        </is>
      </c>
      <c r="O411" s="4" t="inlineStr">
        <is>
          <t>goog and clean</t>
        </is>
      </c>
      <c r="P411" s="4" t="inlineStr">
        <is>
          <t>Pickup : 2026-09-25, Return : 2026-09-25</t>
        </is>
      </c>
      <c r="Q411" s="4" t="n">
        <v>0</v>
      </c>
      <c r="R411" s="4" t="n">
        <v>0</v>
      </c>
      <c r="S411" s="4" t="n">
        <v>1</v>
      </c>
      <c r="T411" s="4" t="n">
        <v>0</v>
      </c>
      <c r="U411" s="4" t="n">
        <v>0</v>
      </c>
      <c r="V411" s="4" t="n">
        <v>0</v>
      </c>
      <c r="W411" s="4" t="n">
        <v>0</v>
      </c>
      <c r="X411" s="4" t="n">
        <v>0</v>
      </c>
      <c r="Y411" s="4" t="n">
        <v>0</v>
      </c>
      <c r="Z411" s="4" t="n">
        <v>0</v>
      </c>
      <c r="AA411" s="4" t="n">
        <v>0</v>
      </c>
      <c r="AB411" s="4">
        <f>SUM(Q411:Y411)-Z411</f>
        <v/>
      </c>
      <c r="AC411" s="4">
        <f>IF(I411="","",IF(OR(LEFT(I411,3)="BKK",I411="LCH55"),"BKK",IF(LEFT(I411,3)="LCH","LCH","OTHER")))</f>
        <v/>
      </c>
      <c r="AD411" s="4">
        <f>MAX(0,Q411-MAX(0,Z411))</f>
        <v/>
      </c>
      <c r="AE411" s="4">
        <f>MAX(0,R411-MAX(0,Z411-SUM(Q411:Q411)))</f>
        <v/>
      </c>
      <c r="AF411" s="4">
        <f>MAX(0,S411-MAX(0,Z411-SUM(Q411:R411)))</f>
        <v/>
      </c>
      <c r="AG411" s="4">
        <f>MAX(0,T411-MAX(0,Z411-SUM(Q411:S411)))</f>
        <v/>
      </c>
      <c r="AH411" s="4">
        <f>MAX(0,U411-MAX(0,Z411-SUM(Q411:T411)))</f>
        <v/>
      </c>
      <c r="AI411" s="4">
        <f>MAX(0,V411-MAX(0,Z411-SUM(Q411:U411)))</f>
        <v/>
      </c>
      <c r="AJ411" s="4">
        <f>MAX(0,W411-MAX(0,Z411-SUM(Q411:V411)))</f>
        <v/>
      </c>
      <c r="AK411" s="4">
        <f>MAX(0,X411-MAX(0,Z411-SUM(Q411:W411)))</f>
        <v/>
      </c>
      <c r="AL411" s="4">
        <f>MAX(0,Y411-MAX(0,Z411-SUM(Q411:X411)))</f>
        <v/>
      </c>
    </row>
    <row r="412">
      <c r="A412" s="4" t="inlineStr">
        <is>
          <t>HASLS22260900415</t>
        </is>
      </c>
      <c r="B412" s="4" t="inlineStr">
        <is>
          <t>KMBK</t>
        </is>
      </c>
      <c r="C412" s="4" t="inlineStr">
        <is>
          <t>2611N</t>
        </is>
      </c>
      <c r="D412" s="4" t="inlineStr">
        <is>
          <t>202610040100</t>
        </is>
      </c>
      <c r="E412" s="4" t="inlineStr"/>
      <c r="F412" s="4" t="inlineStr">
        <is>
          <t>THLCH</t>
        </is>
      </c>
      <c r="G412" s="4" t="inlineStr">
        <is>
          <t>VNSGN</t>
        </is>
      </c>
      <c r="H412" s="4" t="inlineStr">
        <is>
          <t xml:space="preserve">20'x1 </t>
        </is>
      </c>
      <c r="I412" s="4" t="inlineStr">
        <is>
          <t>LCH27</t>
        </is>
      </c>
      <c r="J412" s="4" t="inlineStr">
        <is>
          <t xml:space="preserve">HAST Logistics Co.,Ltd. </t>
        </is>
      </c>
      <c r="K412" s="4" t="inlineStr">
        <is>
          <t>20260929</t>
        </is>
      </c>
      <c r="L412" s="4" t="inlineStr">
        <is>
          <t>STAR CONCORD (THAILAND) CO., LTD.</t>
        </is>
      </c>
      <c r="M412" s="4" t="inlineStr">
        <is>
          <t>SIAM COATED ABRASIVE CO., LTD.</t>
        </is>
      </c>
      <c r="N412" s="4" t="inlineStr">
        <is>
          <t>ABRASIVE CLOTH ROLL</t>
        </is>
      </c>
      <c r="O412" s="4" t="inlineStr">
        <is>
          <t>REQ GOOD CLEAN CONTAINER, NO RUST, NO SMELL, NO DENTS.</t>
        </is>
      </c>
      <c r="P412" s="4" t="inlineStr">
        <is>
          <t>Pickup : 2026-09-29, Return : 2026-09-30</t>
        </is>
      </c>
      <c r="Q412" s="4" t="n">
        <v>1</v>
      </c>
      <c r="R412" s="4" t="n">
        <v>0</v>
      </c>
      <c r="S412" s="4" t="n">
        <v>0</v>
      </c>
      <c r="T412" s="4" t="n">
        <v>0</v>
      </c>
      <c r="U412" s="4" t="n">
        <v>0</v>
      </c>
      <c r="V412" s="4" t="n">
        <v>0</v>
      </c>
      <c r="W412" s="4" t="n">
        <v>0</v>
      </c>
      <c r="X412" s="4" t="n">
        <v>0</v>
      </c>
      <c r="Y412" s="4" t="n">
        <v>0</v>
      </c>
      <c r="Z412" s="4" t="n">
        <v>0</v>
      </c>
      <c r="AA412" s="4" t="n">
        <v>0</v>
      </c>
      <c r="AB412" s="4">
        <f>SUM(Q412:Y412)-Z412</f>
        <v/>
      </c>
      <c r="AC412" s="4">
        <f>IF(I412="","",IF(OR(LEFT(I412,3)="BKK",I412="LCH55"),"BKK",IF(LEFT(I412,3)="LCH","LCH","OTHER")))</f>
        <v/>
      </c>
      <c r="AD412" s="4">
        <f>MAX(0,Q412-MAX(0,Z412))</f>
        <v/>
      </c>
      <c r="AE412" s="4">
        <f>MAX(0,R412-MAX(0,Z412-SUM(Q412:Q412)))</f>
        <v/>
      </c>
      <c r="AF412" s="4">
        <f>MAX(0,S412-MAX(0,Z412-SUM(Q412:R412)))</f>
        <v/>
      </c>
      <c r="AG412" s="4">
        <f>MAX(0,T412-MAX(0,Z412-SUM(Q412:S412)))</f>
        <v/>
      </c>
      <c r="AH412" s="4">
        <f>MAX(0,U412-MAX(0,Z412-SUM(Q412:T412)))</f>
        <v/>
      </c>
      <c r="AI412" s="4">
        <f>MAX(0,V412-MAX(0,Z412-SUM(Q412:U412)))</f>
        <v/>
      </c>
      <c r="AJ412" s="4">
        <f>MAX(0,W412-MAX(0,Z412-SUM(Q412:V412)))</f>
        <v/>
      </c>
      <c r="AK412" s="4">
        <f>MAX(0,X412-MAX(0,Z412-SUM(Q412:W412)))</f>
        <v/>
      </c>
      <c r="AL412" s="4">
        <f>MAX(0,Y412-MAX(0,Z412-SUM(Q412:X412)))</f>
        <v/>
      </c>
    </row>
    <row r="413">
      <c r="A413" s="4" t="inlineStr">
        <is>
          <t>HASLS22260900423</t>
        </is>
      </c>
      <c r="B413" s="4" t="inlineStr">
        <is>
          <t>SWSP</t>
        </is>
      </c>
      <c r="C413" s="4" t="inlineStr">
        <is>
          <t>2609N</t>
        </is>
      </c>
      <c r="D413" s="4" t="inlineStr">
        <is>
          <t>202610080830</t>
        </is>
      </c>
      <c r="E413" s="4" t="inlineStr"/>
      <c r="F413" s="4" t="inlineStr">
        <is>
          <t>THLCH</t>
        </is>
      </c>
      <c r="G413" s="4" t="inlineStr">
        <is>
          <t>VNSGN</t>
        </is>
      </c>
      <c r="H413" s="4" t="inlineStr">
        <is>
          <t xml:space="preserve">40Hx7 </t>
        </is>
      </c>
      <c r="I413" s="4" t="inlineStr">
        <is>
          <t>LCH27</t>
        </is>
      </c>
      <c r="J413" s="4" t="inlineStr">
        <is>
          <t xml:space="preserve">HAST Logistics Co.,Ltd. </t>
        </is>
      </c>
      <c r="K413" s="4" t="inlineStr">
        <is>
          <t>20260924</t>
        </is>
      </c>
      <c r="L413" s="4" t="inlineStr">
        <is>
          <t>GGS LINES (THAILAND) CO., LTD.</t>
        </is>
      </c>
      <c r="M413" s="4" t="inlineStr">
        <is>
          <t>BERLI JUCKER CELLOX LIMITED</t>
        </is>
      </c>
      <c r="N413" s="4" t="inlineStr">
        <is>
          <t>TISSUE</t>
        </is>
      </c>
      <c r="O413" s="4" t="inlineStr">
        <is>
          <t>Request good container</t>
        </is>
      </c>
      <c r="P413" s="4" t="inlineStr">
        <is>
          <t xml:space="preserve">Pickup : 2026-09-24, Return : 2026-09-25 [1ST RTN 29/09/2026 W/O RENT]
** PLEASE CHECK OPEN GATE BEFORE RETURN CONTAINER **  </t>
        </is>
      </c>
      <c r="Q413" s="4" t="n">
        <v>0</v>
      </c>
      <c r="R413" s="4" t="n">
        <v>0</v>
      </c>
      <c r="S413" s="4" t="n">
        <v>7</v>
      </c>
      <c r="T413" s="4" t="n">
        <v>0</v>
      </c>
      <c r="U413" s="4" t="n">
        <v>0</v>
      </c>
      <c r="V413" s="4" t="n">
        <v>0</v>
      </c>
      <c r="W413" s="4" t="n">
        <v>0</v>
      </c>
      <c r="X413" s="4" t="n">
        <v>0</v>
      </c>
      <c r="Y413" s="4" t="n">
        <v>0</v>
      </c>
      <c r="Z413" s="4" t="n">
        <v>0</v>
      </c>
      <c r="AA413" s="4" t="n">
        <v>0</v>
      </c>
      <c r="AB413" s="4">
        <f>SUM(Q413:Y413)-Z413</f>
        <v/>
      </c>
      <c r="AC413" s="4">
        <f>IF(I413="","",IF(OR(LEFT(I413,3)="BKK",I413="LCH55"),"BKK",IF(LEFT(I413,3)="LCH","LCH","OTHER")))</f>
        <v/>
      </c>
      <c r="AD413" s="4">
        <f>MAX(0,Q413-MAX(0,Z413))</f>
        <v/>
      </c>
      <c r="AE413" s="4">
        <f>MAX(0,R413-MAX(0,Z413-SUM(Q413:Q413)))</f>
        <v/>
      </c>
      <c r="AF413" s="4">
        <f>MAX(0,S413-MAX(0,Z413-SUM(Q413:R413)))</f>
        <v/>
      </c>
      <c r="AG413" s="4">
        <f>MAX(0,T413-MAX(0,Z413-SUM(Q413:S413)))</f>
        <v/>
      </c>
      <c r="AH413" s="4">
        <f>MAX(0,U413-MAX(0,Z413-SUM(Q413:T413)))</f>
        <v/>
      </c>
      <c r="AI413" s="4">
        <f>MAX(0,V413-MAX(0,Z413-SUM(Q413:U413)))</f>
        <v/>
      </c>
      <c r="AJ413" s="4">
        <f>MAX(0,W413-MAX(0,Z413-SUM(Q413:V413)))</f>
        <v/>
      </c>
      <c r="AK413" s="4">
        <f>MAX(0,X413-MAX(0,Z413-SUM(Q413:W413)))</f>
        <v/>
      </c>
      <c r="AL413" s="4">
        <f>MAX(0,Y413-MAX(0,Z413-SUM(Q413:X413)))</f>
        <v/>
      </c>
    </row>
    <row r="414">
      <c r="A414" s="4" t="inlineStr">
        <is>
          <t>HASLS22260900460</t>
        </is>
      </c>
      <c r="B414" s="4" t="inlineStr">
        <is>
          <t>SWSP</t>
        </is>
      </c>
      <c r="C414" s="4" t="inlineStr">
        <is>
          <t>2609N</t>
        </is>
      </c>
      <c r="D414" s="4" t="inlineStr">
        <is>
          <t>202610080830</t>
        </is>
      </c>
      <c r="E414" s="4" t="inlineStr"/>
      <c r="F414" s="4" t="inlineStr">
        <is>
          <t>THLCH</t>
        </is>
      </c>
      <c r="G414" s="4" t="inlineStr">
        <is>
          <t>VNSGN</t>
        </is>
      </c>
      <c r="H414" s="4" t="inlineStr">
        <is>
          <t xml:space="preserve">40Hx5 </t>
        </is>
      </c>
      <c r="I414" s="4" t="inlineStr">
        <is>
          <t>LCH27</t>
        </is>
      </c>
      <c r="J414" s="4" t="inlineStr">
        <is>
          <t xml:space="preserve">HAST Logistics Co.,Ltd. </t>
        </is>
      </c>
      <c r="K414" s="4" t="inlineStr">
        <is>
          <t>20260923</t>
        </is>
      </c>
      <c r="L414" s="4" t="inlineStr">
        <is>
          <t>WHA GC LOGISTICS COMPANY LIMITED</t>
        </is>
      </c>
      <c r="M414" s="4" t="inlineStr">
        <is>
          <t>PTT GLOBAL CHEMICAL PUBLIC COMPANY LIMITED</t>
        </is>
      </c>
      <c r="N414" s="4" t="inlineStr">
        <is>
          <t>RESIN</t>
        </is>
      </c>
      <c r="O414" s="4" t="inlineStr">
        <is>
          <t>GOOD AND CLEAN CTNR</t>
        </is>
      </c>
      <c r="P414" s="4" t="inlineStr">
        <is>
          <t xml:space="preserve">CY-RTN 23-26/09/26
</t>
        </is>
      </c>
      <c r="Q414" s="4" t="n">
        <v>0</v>
      </c>
      <c r="R414" s="4" t="n">
        <v>0</v>
      </c>
      <c r="S414" s="4" t="n">
        <v>5</v>
      </c>
      <c r="T414" s="4" t="n">
        <v>0</v>
      </c>
      <c r="U414" s="4" t="n">
        <v>0</v>
      </c>
      <c r="V414" s="4" t="n">
        <v>0</v>
      </c>
      <c r="W414" s="4" t="n">
        <v>0</v>
      </c>
      <c r="X414" s="4" t="n">
        <v>0</v>
      </c>
      <c r="Y414" s="4" t="n">
        <v>0</v>
      </c>
      <c r="Z414" s="4" t="n">
        <v>0</v>
      </c>
      <c r="AA414" s="4" t="n">
        <v>0</v>
      </c>
      <c r="AB414" s="4">
        <f>SUM(Q414:Y414)-Z414</f>
        <v/>
      </c>
      <c r="AC414" s="4">
        <f>IF(I414="","",IF(OR(LEFT(I414,3)="BKK",I414="LCH55"),"BKK",IF(LEFT(I414,3)="LCH","LCH","OTHER")))</f>
        <v/>
      </c>
      <c r="AD414" s="4">
        <f>MAX(0,Q414-MAX(0,Z414))</f>
        <v/>
      </c>
      <c r="AE414" s="4">
        <f>MAX(0,R414-MAX(0,Z414-SUM(Q414:Q414)))</f>
        <v/>
      </c>
      <c r="AF414" s="4">
        <f>MAX(0,S414-MAX(0,Z414-SUM(Q414:R414)))</f>
        <v/>
      </c>
      <c r="AG414" s="4">
        <f>MAX(0,T414-MAX(0,Z414-SUM(Q414:S414)))</f>
        <v/>
      </c>
      <c r="AH414" s="4">
        <f>MAX(0,U414-MAX(0,Z414-SUM(Q414:T414)))</f>
        <v/>
      </c>
      <c r="AI414" s="4">
        <f>MAX(0,V414-MAX(0,Z414-SUM(Q414:U414)))</f>
        <v/>
      </c>
      <c r="AJ414" s="4">
        <f>MAX(0,W414-MAX(0,Z414-SUM(Q414:V414)))</f>
        <v/>
      </c>
      <c r="AK414" s="4">
        <f>MAX(0,X414-MAX(0,Z414-SUM(Q414:W414)))</f>
        <v/>
      </c>
      <c r="AL414" s="4">
        <f>MAX(0,Y414-MAX(0,Z414-SUM(Q414:X414)))</f>
        <v/>
      </c>
    </row>
    <row r="415">
      <c r="A415" s="4" t="inlineStr">
        <is>
          <t>HASLS22260900461</t>
        </is>
      </c>
      <c r="B415" s="4" t="inlineStr">
        <is>
          <t>PCCP</t>
        </is>
      </c>
      <c r="C415" s="4" t="inlineStr">
        <is>
          <t>2610N</t>
        </is>
      </c>
      <c r="D415" s="4" t="inlineStr">
        <is>
          <t>202610120600</t>
        </is>
      </c>
      <c r="E415" s="4" t="inlineStr"/>
      <c r="F415" s="4" t="inlineStr">
        <is>
          <t>THLCH</t>
        </is>
      </c>
      <c r="G415" s="4" t="inlineStr">
        <is>
          <t>VNSGN</t>
        </is>
      </c>
      <c r="H415" s="4" t="inlineStr">
        <is>
          <t xml:space="preserve">20'x6 </t>
        </is>
      </c>
      <c r="I415" s="4" t="inlineStr">
        <is>
          <t>LCH27</t>
        </is>
      </c>
      <c r="J415" s="4" t="inlineStr">
        <is>
          <t xml:space="preserve">HAST Logistics Co.,Ltd. </t>
        </is>
      </c>
      <c r="K415" s="4" t="inlineStr">
        <is>
          <t>20260923</t>
        </is>
      </c>
      <c r="L415" s="4" t="inlineStr">
        <is>
          <t>WHA GC LOGISTICS COMPANY LIMITED</t>
        </is>
      </c>
      <c r="M415" s="4" t="inlineStr">
        <is>
          <t>PTT GLOBAL CHEMICAL PUBLIC COMPANY LIMITED</t>
        </is>
      </c>
      <c r="N415" s="4" t="inlineStr">
        <is>
          <t>RESIN</t>
        </is>
      </c>
      <c r="O415" s="4" t="inlineStr">
        <is>
          <t>GOOD AND CLEAN CTNR</t>
        </is>
      </c>
      <c r="P415" s="4" t="inlineStr">
        <is>
          <t xml:space="preserve">CY-RTN 23-26/09/26 / FIRST DATE CAN RETURN CNTR DD.05/10 
**CHECK OPEN GATE BEFORE RETURN CNTR **
</t>
        </is>
      </c>
      <c r="Q415" s="4" t="n">
        <v>6</v>
      </c>
      <c r="R415" s="4" t="n">
        <v>0</v>
      </c>
      <c r="S415" s="4" t="n">
        <v>0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>
        <f>SUM(Q415:Y415)-Z415</f>
        <v/>
      </c>
      <c r="AC415" s="4">
        <f>IF(I415="","",IF(OR(LEFT(I415,3)="BKK",I415="LCH55"),"BKK",IF(LEFT(I415,3)="LCH","LCH","OTHER")))</f>
        <v/>
      </c>
      <c r="AD415" s="4">
        <f>MAX(0,Q415-MAX(0,Z415))</f>
        <v/>
      </c>
      <c r="AE415" s="4">
        <f>MAX(0,R415-MAX(0,Z415-SUM(Q415:Q415)))</f>
        <v/>
      </c>
      <c r="AF415" s="4">
        <f>MAX(0,S415-MAX(0,Z415-SUM(Q415:R415)))</f>
        <v/>
      </c>
      <c r="AG415" s="4">
        <f>MAX(0,T415-MAX(0,Z415-SUM(Q415:S415)))</f>
        <v/>
      </c>
      <c r="AH415" s="4">
        <f>MAX(0,U415-MAX(0,Z415-SUM(Q415:T415)))</f>
        <v/>
      </c>
      <c r="AI415" s="4">
        <f>MAX(0,V415-MAX(0,Z415-SUM(Q415:U415)))</f>
        <v/>
      </c>
      <c r="AJ415" s="4">
        <f>MAX(0,W415-MAX(0,Z415-SUM(Q415:V415)))</f>
        <v/>
      </c>
      <c r="AK415" s="4">
        <f>MAX(0,X415-MAX(0,Z415-SUM(Q415:W415)))</f>
        <v/>
      </c>
      <c r="AL415" s="4">
        <f>MAX(0,Y415-MAX(0,Z415-SUM(Q415:X415)))</f>
        <v/>
      </c>
    </row>
    <row r="416">
      <c r="A416" s="4" t="inlineStr">
        <is>
          <t>HASLS22260900462</t>
        </is>
      </c>
      <c r="B416" s="4" t="inlineStr">
        <is>
          <t>SWIC</t>
        </is>
      </c>
      <c r="C416" s="4" t="inlineStr">
        <is>
          <t>2611N</t>
        </is>
      </c>
      <c r="D416" s="4" t="inlineStr">
        <is>
          <t>202610132300</t>
        </is>
      </c>
      <c r="E416" s="4" t="inlineStr"/>
      <c r="F416" s="4" t="inlineStr">
        <is>
          <t>THLCH</t>
        </is>
      </c>
      <c r="G416" s="4" t="inlineStr">
        <is>
          <t>VNSGN</t>
        </is>
      </c>
      <c r="H416" s="4" t="inlineStr">
        <is>
          <t xml:space="preserve">40Hx10 </t>
        </is>
      </c>
      <c r="I416" s="4" t="inlineStr">
        <is>
          <t>LCH27</t>
        </is>
      </c>
      <c r="J416" s="4" t="inlineStr">
        <is>
          <t xml:space="preserve">HAST Logistics Co.,Ltd. </t>
        </is>
      </c>
      <c r="K416" s="4" t="inlineStr">
        <is>
          <t>20261001</t>
        </is>
      </c>
      <c r="L416" s="4" t="inlineStr">
        <is>
          <t>WHA GC LOGISTICS COMPANY LIMITED</t>
        </is>
      </c>
      <c r="M416" s="4" t="inlineStr">
        <is>
          <t>PTT GLOBAL CHEMICAL PUBLIC COMPANY LIMITED</t>
        </is>
      </c>
      <c r="N416" s="4" t="inlineStr">
        <is>
          <t>RESIN</t>
        </is>
      </c>
      <c r="O416" s="4" t="inlineStr">
        <is>
          <t>GOOD AND CLEAN CTNR</t>
        </is>
      </c>
      <c r="P416" s="4" t="inlineStr">
        <is>
          <t xml:space="preserve">CY-RTN 01-06/10/26
</t>
        </is>
      </c>
      <c r="Q416" s="4" t="n">
        <v>0</v>
      </c>
      <c r="R416" s="4" t="n">
        <v>0</v>
      </c>
      <c r="S416" s="4" t="n">
        <v>10</v>
      </c>
      <c r="T416" s="4" t="n">
        <v>0</v>
      </c>
      <c r="U416" s="4" t="n">
        <v>0</v>
      </c>
      <c r="V416" s="4" t="n">
        <v>0</v>
      </c>
      <c r="W416" s="4" t="n">
        <v>0</v>
      </c>
      <c r="X416" s="4" t="n">
        <v>0</v>
      </c>
      <c r="Y416" s="4" t="n">
        <v>0</v>
      </c>
      <c r="Z416" s="4" t="n">
        <v>0</v>
      </c>
      <c r="AA416" s="4" t="n">
        <v>0</v>
      </c>
      <c r="AB416" s="4">
        <f>SUM(Q416:Y416)-Z416</f>
        <v/>
      </c>
      <c r="AC416" s="4">
        <f>IF(I416="","",IF(OR(LEFT(I416,3)="BKK",I416="LCH55"),"BKK",IF(LEFT(I416,3)="LCH","LCH","OTHER")))</f>
        <v/>
      </c>
      <c r="AD416" s="4">
        <f>MAX(0,Q416-MAX(0,Z416))</f>
        <v/>
      </c>
      <c r="AE416" s="4">
        <f>MAX(0,R416-MAX(0,Z416-SUM(Q416:Q416)))</f>
        <v/>
      </c>
      <c r="AF416" s="4">
        <f>MAX(0,S416-MAX(0,Z416-SUM(Q416:R416)))</f>
        <v/>
      </c>
      <c r="AG416" s="4">
        <f>MAX(0,T416-MAX(0,Z416-SUM(Q416:S416)))</f>
        <v/>
      </c>
      <c r="AH416" s="4">
        <f>MAX(0,U416-MAX(0,Z416-SUM(Q416:T416)))</f>
        <v/>
      </c>
      <c r="AI416" s="4">
        <f>MAX(0,V416-MAX(0,Z416-SUM(Q416:U416)))</f>
        <v/>
      </c>
      <c r="AJ416" s="4">
        <f>MAX(0,W416-MAX(0,Z416-SUM(Q416:V416)))</f>
        <v/>
      </c>
      <c r="AK416" s="4">
        <f>MAX(0,X416-MAX(0,Z416-SUM(Q416:W416)))</f>
        <v/>
      </c>
      <c r="AL416" s="4">
        <f>MAX(0,Y416-MAX(0,Z416-SUM(Q416:X416)))</f>
        <v/>
      </c>
    </row>
    <row r="417">
      <c r="A417" s="4" t="inlineStr">
        <is>
          <t>HASLS22260900464</t>
        </is>
      </c>
      <c r="B417" s="4" t="inlineStr">
        <is>
          <t>HAHM</t>
        </is>
      </c>
      <c r="C417" s="4" t="inlineStr">
        <is>
          <t>2612N</t>
        </is>
      </c>
      <c r="D417" s="4" t="inlineStr">
        <is>
          <t>202610221000</t>
        </is>
      </c>
      <c r="E417" s="4" t="inlineStr"/>
      <c r="F417" s="4" t="inlineStr">
        <is>
          <t>THLCH</t>
        </is>
      </c>
      <c r="G417" s="4" t="inlineStr">
        <is>
          <t>VNSGN</t>
        </is>
      </c>
      <c r="H417" s="4" t="inlineStr">
        <is>
          <t xml:space="preserve">20'x20 </t>
        </is>
      </c>
      <c r="I417" s="4" t="inlineStr">
        <is>
          <t>LCH27</t>
        </is>
      </c>
      <c r="J417" s="4" t="inlineStr">
        <is>
          <t xml:space="preserve">HAST Logistics Co.,Ltd. </t>
        </is>
      </c>
      <c r="K417" s="4" t="inlineStr">
        <is>
          <t>20261001</t>
        </is>
      </c>
      <c r="L417" s="4" t="inlineStr">
        <is>
          <t>WHA GC LOGISTICS COMPANY LIMITED</t>
        </is>
      </c>
      <c r="M417" s="4" t="inlineStr">
        <is>
          <t>PTT GLOBAL CHEMICAL PUBLIC COMPANY LIMITED</t>
        </is>
      </c>
      <c r="N417" s="4" t="inlineStr">
        <is>
          <t>RESIN</t>
        </is>
      </c>
      <c r="O417" s="4" t="inlineStr">
        <is>
          <t>GOOD AND CLEAN CTNR</t>
        </is>
      </c>
      <c r="P417" s="4" t="inlineStr">
        <is>
          <t xml:space="preserve">CY-RTN 13/10 16/10/26
</t>
        </is>
      </c>
      <c r="Q417" s="4" t="n">
        <v>20</v>
      </c>
      <c r="R417" s="4" t="n">
        <v>0</v>
      </c>
      <c r="S417" s="4" t="n">
        <v>0</v>
      </c>
      <c r="T417" s="4" t="n">
        <v>0</v>
      </c>
      <c r="U417" s="4" t="n">
        <v>0</v>
      </c>
      <c r="V417" s="4" t="n">
        <v>0</v>
      </c>
      <c r="W417" s="4" t="n">
        <v>0</v>
      </c>
      <c r="X417" s="4" t="n">
        <v>0</v>
      </c>
      <c r="Y417" s="4" t="n">
        <v>0</v>
      </c>
      <c r="Z417" s="4" t="n">
        <v>0</v>
      </c>
      <c r="AA417" s="4" t="n">
        <v>0</v>
      </c>
      <c r="AB417" s="4">
        <f>SUM(Q417:Y417)-Z417</f>
        <v/>
      </c>
      <c r="AC417" s="4">
        <f>IF(I417="","",IF(OR(LEFT(I417,3)="BKK",I417="LCH55"),"BKK",IF(LEFT(I417,3)="LCH","LCH","OTHER")))</f>
        <v/>
      </c>
      <c r="AD417" s="4">
        <f>MAX(0,Q417-MAX(0,Z417))</f>
        <v/>
      </c>
      <c r="AE417" s="4">
        <f>MAX(0,R417-MAX(0,Z417-SUM(Q417:Q417)))</f>
        <v/>
      </c>
      <c r="AF417" s="4">
        <f>MAX(0,S417-MAX(0,Z417-SUM(Q417:R417)))</f>
        <v/>
      </c>
      <c r="AG417" s="4">
        <f>MAX(0,T417-MAX(0,Z417-SUM(Q417:S417)))</f>
        <v/>
      </c>
      <c r="AH417" s="4">
        <f>MAX(0,U417-MAX(0,Z417-SUM(Q417:T417)))</f>
        <v/>
      </c>
      <c r="AI417" s="4">
        <f>MAX(0,V417-MAX(0,Z417-SUM(Q417:U417)))</f>
        <v/>
      </c>
      <c r="AJ417" s="4">
        <f>MAX(0,W417-MAX(0,Z417-SUM(Q417:V417)))</f>
        <v/>
      </c>
      <c r="AK417" s="4">
        <f>MAX(0,X417-MAX(0,Z417-SUM(Q417:W417)))</f>
        <v/>
      </c>
      <c r="AL417" s="4">
        <f>MAX(0,Y417-MAX(0,Z417-SUM(Q417:X417)))</f>
        <v/>
      </c>
    </row>
    <row r="418">
      <c r="A418" s="4" t="inlineStr">
        <is>
          <t>HASLS22260900465</t>
        </is>
      </c>
      <c r="B418" s="4" t="inlineStr">
        <is>
          <t>SWMM</t>
        </is>
      </c>
      <c r="C418" s="4" t="inlineStr">
        <is>
          <t>2610N</t>
        </is>
      </c>
      <c r="D418" s="4" t="inlineStr">
        <is>
          <t>202610212100</t>
        </is>
      </c>
      <c r="E418" s="4" t="inlineStr"/>
      <c r="F418" s="4" t="inlineStr">
        <is>
          <t>THLCH</t>
        </is>
      </c>
      <c r="G418" s="4" t="inlineStr">
        <is>
          <t>VNSGN</t>
        </is>
      </c>
      <c r="H418" s="4" t="inlineStr">
        <is>
          <t xml:space="preserve">40Hx10 </t>
        </is>
      </c>
      <c r="I418" s="4" t="inlineStr">
        <is>
          <t>LCH27</t>
        </is>
      </c>
      <c r="J418" s="4" t="inlineStr">
        <is>
          <t xml:space="preserve">HAST Logistics Co.,Ltd. </t>
        </is>
      </c>
      <c r="K418" s="4" t="inlineStr">
        <is>
          <t>20261008</t>
        </is>
      </c>
      <c r="L418" s="4" t="inlineStr">
        <is>
          <t>WHA GC LOGISTICS COMPANY LIMITED</t>
        </is>
      </c>
      <c r="M418" s="4" t="inlineStr">
        <is>
          <t>PTT GLOBAL CHEMICAL PUBLIC COMPANY LIMITED</t>
        </is>
      </c>
      <c r="N418" s="4" t="inlineStr">
        <is>
          <t>RESIN</t>
        </is>
      </c>
      <c r="O418" s="4" t="inlineStr">
        <is>
          <t>GOOD AND CLEAN CTNR</t>
        </is>
      </c>
      <c r="P418" s="4" t="inlineStr">
        <is>
          <t xml:space="preserve">CY-RTN 08-13/10/26
</t>
        </is>
      </c>
      <c r="Q418" s="4" t="n">
        <v>0</v>
      </c>
      <c r="R418" s="4" t="n">
        <v>0</v>
      </c>
      <c r="S418" s="4" t="n">
        <v>10</v>
      </c>
      <c r="T418" s="4" t="n">
        <v>0</v>
      </c>
      <c r="U418" s="4" t="n">
        <v>0</v>
      </c>
      <c r="V418" s="4" t="n">
        <v>0</v>
      </c>
      <c r="W418" s="4" t="n">
        <v>0</v>
      </c>
      <c r="X418" s="4" t="n">
        <v>0</v>
      </c>
      <c r="Y418" s="4" t="n">
        <v>0</v>
      </c>
      <c r="Z418" s="4" t="n">
        <v>0</v>
      </c>
      <c r="AA418" s="4" t="n">
        <v>0</v>
      </c>
      <c r="AB418" s="4">
        <f>SUM(Q418:Y418)-Z418</f>
        <v/>
      </c>
      <c r="AC418" s="4">
        <f>IF(I418="","",IF(OR(LEFT(I418,3)="BKK",I418="LCH55"),"BKK",IF(LEFT(I418,3)="LCH","LCH","OTHER")))</f>
        <v/>
      </c>
      <c r="AD418" s="4">
        <f>MAX(0,Q418-MAX(0,Z418))</f>
        <v/>
      </c>
      <c r="AE418" s="4">
        <f>MAX(0,R418-MAX(0,Z418-SUM(Q418:Q418)))</f>
        <v/>
      </c>
      <c r="AF418" s="4">
        <f>MAX(0,S418-MAX(0,Z418-SUM(Q418:R418)))</f>
        <v/>
      </c>
      <c r="AG418" s="4">
        <f>MAX(0,T418-MAX(0,Z418-SUM(Q418:S418)))</f>
        <v/>
      </c>
      <c r="AH418" s="4">
        <f>MAX(0,U418-MAX(0,Z418-SUM(Q418:T418)))</f>
        <v/>
      </c>
      <c r="AI418" s="4">
        <f>MAX(0,V418-MAX(0,Z418-SUM(Q418:U418)))</f>
        <v/>
      </c>
      <c r="AJ418" s="4">
        <f>MAX(0,W418-MAX(0,Z418-SUM(Q418:V418)))</f>
        <v/>
      </c>
      <c r="AK418" s="4">
        <f>MAX(0,X418-MAX(0,Z418-SUM(Q418:W418)))</f>
        <v/>
      </c>
      <c r="AL418" s="4">
        <f>MAX(0,Y418-MAX(0,Z418-SUM(Q418:X418)))</f>
        <v/>
      </c>
    </row>
    <row r="419">
      <c r="A419" s="4" t="inlineStr">
        <is>
          <t>HASLS22260900466</t>
        </is>
      </c>
      <c r="B419" s="4" t="inlineStr">
        <is>
          <t>SWMM</t>
        </is>
      </c>
      <c r="C419" s="4" t="inlineStr">
        <is>
          <t>2610N</t>
        </is>
      </c>
      <c r="D419" s="4" t="inlineStr">
        <is>
          <t>202610212100</t>
        </is>
      </c>
      <c r="E419" s="4" t="inlineStr"/>
      <c r="F419" s="4" t="inlineStr">
        <is>
          <t>THLCH</t>
        </is>
      </c>
      <c r="G419" s="4" t="inlineStr">
        <is>
          <t>VNSGN</t>
        </is>
      </c>
      <c r="H419" s="4" t="inlineStr">
        <is>
          <t xml:space="preserve">20'x20 </t>
        </is>
      </c>
      <c r="I419" s="4" t="inlineStr">
        <is>
          <t>LCH27</t>
        </is>
      </c>
      <c r="J419" s="4" t="inlineStr">
        <is>
          <t xml:space="preserve">HAST Logistics Co.,Ltd. </t>
        </is>
      </c>
      <c r="K419" s="4" t="inlineStr">
        <is>
          <t>20261008</t>
        </is>
      </c>
      <c r="L419" s="4" t="inlineStr">
        <is>
          <t>WHA GC LOGISTICS COMPANY LIMITED</t>
        </is>
      </c>
      <c r="M419" s="4" t="inlineStr">
        <is>
          <t>PTT GLOBAL CHEMICAL PUBLIC COMPANY LIMITED</t>
        </is>
      </c>
      <c r="N419" s="4" t="inlineStr">
        <is>
          <t>RESIN</t>
        </is>
      </c>
      <c r="O419" s="4" t="inlineStr">
        <is>
          <t>GOOD AND CLEAN CTNR</t>
        </is>
      </c>
      <c r="P419" s="4" t="inlineStr">
        <is>
          <t xml:space="preserve">CY-RTN 08-13/10/26
</t>
        </is>
      </c>
      <c r="Q419" s="4" t="n">
        <v>20</v>
      </c>
      <c r="R419" s="4" t="n">
        <v>0</v>
      </c>
      <c r="S419" s="4" t="n">
        <v>0</v>
      </c>
      <c r="T419" s="4" t="n">
        <v>0</v>
      </c>
      <c r="U419" s="4" t="n">
        <v>0</v>
      </c>
      <c r="V419" s="4" t="n">
        <v>0</v>
      </c>
      <c r="W419" s="4" t="n">
        <v>0</v>
      </c>
      <c r="X419" s="4" t="n">
        <v>0</v>
      </c>
      <c r="Y419" s="4" t="n">
        <v>0</v>
      </c>
      <c r="Z419" s="4" t="n">
        <v>0</v>
      </c>
      <c r="AA419" s="4" t="n">
        <v>0</v>
      </c>
      <c r="AB419" s="4">
        <f>SUM(Q419:Y419)-Z419</f>
        <v/>
      </c>
      <c r="AC419" s="4">
        <f>IF(I419="","",IF(OR(LEFT(I419,3)="BKK",I419="LCH55"),"BKK",IF(LEFT(I419,3)="LCH","LCH","OTHER")))</f>
        <v/>
      </c>
      <c r="AD419" s="4">
        <f>MAX(0,Q419-MAX(0,Z419))</f>
        <v/>
      </c>
      <c r="AE419" s="4">
        <f>MAX(0,R419-MAX(0,Z419-SUM(Q419:Q419)))</f>
        <v/>
      </c>
      <c r="AF419" s="4">
        <f>MAX(0,S419-MAX(0,Z419-SUM(Q419:R419)))</f>
        <v/>
      </c>
      <c r="AG419" s="4">
        <f>MAX(0,T419-MAX(0,Z419-SUM(Q419:S419)))</f>
        <v/>
      </c>
      <c r="AH419" s="4">
        <f>MAX(0,U419-MAX(0,Z419-SUM(Q419:T419)))</f>
        <v/>
      </c>
      <c r="AI419" s="4">
        <f>MAX(0,V419-MAX(0,Z419-SUM(Q419:U419)))</f>
        <v/>
      </c>
      <c r="AJ419" s="4">
        <f>MAX(0,W419-MAX(0,Z419-SUM(Q419:V419)))</f>
        <v/>
      </c>
      <c r="AK419" s="4">
        <f>MAX(0,X419-MAX(0,Z419-SUM(Q419:W419)))</f>
        <v/>
      </c>
      <c r="AL419" s="4">
        <f>MAX(0,Y419-MAX(0,Z419-SUM(Q419:X419)))</f>
        <v/>
      </c>
    </row>
    <row r="420">
      <c r="A420" s="4" t="inlineStr">
        <is>
          <t>HASLS22260900467</t>
        </is>
      </c>
      <c r="B420" s="4" t="inlineStr">
        <is>
          <t>SWSP</t>
        </is>
      </c>
      <c r="C420" s="4" t="inlineStr">
        <is>
          <t>2610N</t>
        </is>
      </c>
      <c r="D420" s="4" t="inlineStr">
        <is>
          <t>202610290930</t>
        </is>
      </c>
      <c r="E420" s="4" t="inlineStr"/>
      <c r="F420" s="4" t="inlineStr">
        <is>
          <t>THLCH</t>
        </is>
      </c>
      <c r="G420" s="4" t="inlineStr">
        <is>
          <t>VNSGN</t>
        </is>
      </c>
      <c r="H420" s="4" t="inlineStr">
        <is>
          <t xml:space="preserve">40Hx10 </t>
        </is>
      </c>
      <c r="I420" s="4" t="inlineStr">
        <is>
          <t>LCH27</t>
        </is>
      </c>
      <c r="J420" s="4" t="inlineStr">
        <is>
          <t xml:space="preserve">HAST Logistics Co.,Ltd. </t>
        </is>
      </c>
      <c r="K420" s="4" t="inlineStr">
        <is>
          <t>20261015</t>
        </is>
      </c>
      <c r="L420" s="4" t="inlineStr">
        <is>
          <t>WHA GC LOGISTICS COMPANY LIMITED</t>
        </is>
      </c>
      <c r="M420" s="4" t="inlineStr">
        <is>
          <t>PTT GLOBAL CHEMICAL PUBLIC COMPANY LIMITED</t>
        </is>
      </c>
      <c r="N420" s="4" t="inlineStr">
        <is>
          <t>RESIN</t>
        </is>
      </c>
      <c r="O420" s="4" t="inlineStr">
        <is>
          <t>GOOD AND CLEAN CTNR</t>
        </is>
      </c>
      <c r="P420" s="4" t="inlineStr">
        <is>
          <t xml:space="preserve">CY-RTN 15-18/10/26
</t>
        </is>
      </c>
      <c r="Q420" s="4" t="n">
        <v>0</v>
      </c>
      <c r="R420" s="4" t="n">
        <v>0</v>
      </c>
      <c r="S420" s="4" t="n">
        <v>10</v>
      </c>
      <c r="T420" s="4" t="n">
        <v>0</v>
      </c>
      <c r="U420" s="4" t="n">
        <v>0</v>
      </c>
      <c r="V420" s="4" t="n">
        <v>0</v>
      </c>
      <c r="W420" s="4" t="n">
        <v>0</v>
      </c>
      <c r="X420" s="4" t="n">
        <v>0</v>
      </c>
      <c r="Y420" s="4" t="n">
        <v>0</v>
      </c>
      <c r="Z420" s="4" t="n">
        <v>0</v>
      </c>
      <c r="AA420" s="4" t="n">
        <v>0</v>
      </c>
      <c r="AB420" s="4">
        <f>SUM(Q420:Y420)-Z420</f>
        <v/>
      </c>
      <c r="AC420" s="4">
        <f>IF(I420="","",IF(OR(LEFT(I420,3)="BKK",I420="LCH55"),"BKK",IF(LEFT(I420,3)="LCH","LCH","OTHER")))</f>
        <v/>
      </c>
      <c r="AD420" s="4">
        <f>MAX(0,Q420-MAX(0,Z420))</f>
        <v/>
      </c>
      <c r="AE420" s="4">
        <f>MAX(0,R420-MAX(0,Z420-SUM(Q420:Q420)))</f>
        <v/>
      </c>
      <c r="AF420" s="4">
        <f>MAX(0,S420-MAX(0,Z420-SUM(Q420:R420)))</f>
        <v/>
      </c>
      <c r="AG420" s="4">
        <f>MAX(0,T420-MAX(0,Z420-SUM(Q420:S420)))</f>
        <v/>
      </c>
      <c r="AH420" s="4">
        <f>MAX(0,U420-MAX(0,Z420-SUM(Q420:T420)))</f>
        <v/>
      </c>
      <c r="AI420" s="4">
        <f>MAX(0,V420-MAX(0,Z420-SUM(Q420:U420)))</f>
        <v/>
      </c>
      <c r="AJ420" s="4">
        <f>MAX(0,W420-MAX(0,Z420-SUM(Q420:V420)))</f>
        <v/>
      </c>
      <c r="AK420" s="4">
        <f>MAX(0,X420-MAX(0,Z420-SUM(Q420:W420)))</f>
        <v/>
      </c>
      <c r="AL420" s="4">
        <f>MAX(0,Y420-MAX(0,Z420-SUM(Q420:X420)))</f>
        <v/>
      </c>
    </row>
    <row r="421">
      <c r="A421" s="4" t="inlineStr">
        <is>
          <t>HASLS22260900469</t>
        </is>
      </c>
      <c r="B421" s="4" t="inlineStr">
        <is>
          <t>SWSP</t>
        </is>
      </c>
      <c r="C421" s="4" t="inlineStr">
        <is>
          <t>2610N</t>
        </is>
      </c>
      <c r="D421" s="4" t="inlineStr">
        <is>
          <t>202610290930</t>
        </is>
      </c>
      <c r="E421" s="4" t="inlineStr"/>
      <c r="F421" s="4" t="inlineStr">
        <is>
          <t>THLCH</t>
        </is>
      </c>
      <c r="G421" s="4" t="inlineStr">
        <is>
          <t>VNSGN</t>
        </is>
      </c>
      <c r="H421" s="4" t="inlineStr">
        <is>
          <t xml:space="preserve">20'x20 </t>
        </is>
      </c>
      <c r="I421" s="4" t="inlineStr">
        <is>
          <t>LCH27</t>
        </is>
      </c>
      <c r="J421" s="4" t="inlineStr">
        <is>
          <t xml:space="preserve">HAST Logistics Co.,Ltd. </t>
        </is>
      </c>
      <c r="K421" s="4" t="inlineStr">
        <is>
          <t>20261015</t>
        </is>
      </c>
      <c r="L421" s="4" t="inlineStr">
        <is>
          <t>WHA GC LOGISTICS COMPANY LIMITED</t>
        </is>
      </c>
      <c r="M421" s="4" t="inlineStr">
        <is>
          <t>PTT GLOBAL CHEMICAL PUBLIC COMPANY LIMITED</t>
        </is>
      </c>
      <c r="N421" s="4" t="inlineStr">
        <is>
          <t>RESIN</t>
        </is>
      </c>
      <c r="O421" s="4" t="inlineStr">
        <is>
          <t>GOOD AND CLEAN CTNR</t>
        </is>
      </c>
      <c r="P421" s="4" t="inlineStr">
        <is>
          <t xml:space="preserve">CY-RTN 15-18/10/26
</t>
        </is>
      </c>
      <c r="Q421" s="4" t="n">
        <v>20</v>
      </c>
      <c r="R421" s="4" t="n">
        <v>0</v>
      </c>
      <c r="S421" s="4" t="n">
        <v>0</v>
      </c>
      <c r="T421" s="4" t="n">
        <v>0</v>
      </c>
      <c r="U421" s="4" t="n">
        <v>0</v>
      </c>
      <c r="V421" s="4" t="n">
        <v>0</v>
      </c>
      <c r="W421" s="4" t="n">
        <v>0</v>
      </c>
      <c r="X421" s="4" t="n">
        <v>0</v>
      </c>
      <c r="Y421" s="4" t="n">
        <v>0</v>
      </c>
      <c r="Z421" s="4" t="n">
        <v>0</v>
      </c>
      <c r="AA421" s="4" t="n">
        <v>0</v>
      </c>
      <c r="AB421" s="4">
        <f>SUM(Q421:Y421)-Z421</f>
        <v/>
      </c>
      <c r="AC421" s="4">
        <f>IF(I421="","",IF(OR(LEFT(I421,3)="BKK",I421="LCH55"),"BKK",IF(LEFT(I421,3)="LCH","LCH","OTHER")))</f>
        <v/>
      </c>
      <c r="AD421" s="4">
        <f>MAX(0,Q421-MAX(0,Z421))</f>
        <v/>
      </c>
      <c r="AE421" s="4">
        <f>MAX(0,R421-MAX(0,Z421-SUM(Q421:Q421)))</f>
        <v/>
      </c>
      <c r="AF421" s="4">
        <f>MAX(0,S421-MAX(0,Z421-SUM(Q421:R421)))</f>
        <v/>
      </c>
      <c r="AG421" s="4">
        <f>MAX(0,T421-MAX(0,Z421-SUM(Q421:S421)))</f>
        <v/>
      </c>
      <c r="AH421" s="4">
        <f>MAX(0,U421-MAX(0,Z421-SUM(Q421:T421)))</f>
        <v/>
      </c>
      <c r="AI421" s="4">
        <f>MAX(0,V421-MAX(0,Z421-SUM(Q421:U421)))</f>
        <v/>
      </c>
      <c r="AJ421" s="4">
        <f>MAX(0,W421-MAX(0,Z421-SUM(Q421:V421)))</f>
        <v/>
      </c>
      <c r="AK421" s="4">
        <f>MAX(0,X421-MAX(0,Z421-SUM(Q421:W421)))</f>
        <v/>
      </c>
      <c r="AL421" s="4">
        <f>MAX(0,Y421-MAX(0,Z421-SUM(Q421:X421)))</f>
        <v/>
      </c>
    </row>
    <row r="422">
      <c r="A422" s="4" t="inlineStr">
        <is>
          <t>HASLS22260900495</t>
        </is>
      </c>
      <c r="B422" s="4" t="inlineStr">
        <is>
          <t>SWAT</t>
        </is>
      </c>
      <c r="C422" s="4" t="inlineStr">
        <is>
          <t>2610N</t>
        </is>
      </c>
      <c r="D422" s="4" t="inlineStr">
        <is>
          <t>202610081000</t>
        </is>
      </c>
      <c r="E422" s="4" t="inlineStr"/>
      <c r="F422" s="4" t="inlineStr">
        <is>
          <t>THLCH</t>
        </is>
      </c>
      <c r="G422" s="4" t="inlineStr">
        <is>
          <t>HKHKG</t>
        </is>
      </c>
      <c r="H422" s="4" t="inlineStr">
        <is>
          <t xml:space="preserve">20'x1 </t>
        </is>
      </c>
      <c r="I422" s="4" t="inlineStr">
        <is>
          <t>LCH27</t>
        </is>
      </c>
      <c r="J422" s="4" t="inlineStr">
        <is>
          <t xml:space="preserve">HAST Logistics Co.,Ltd. </t>
        </is>
      </c>
      <c r="K422" s="4" t="inlineStr">
        <is>
          <t>20261002</t>
        </is>
      </c>
      <c r="L422" s="4" t="inlineStr">
        <is>
          <t>KWE-KINTETSU WORLD EXPRESS (THAILAND) CO., LTD.</t>
        </is>
      </c>
      <c r="M422" s="4" t="inlineStr">
        <is>
          <t>ELNA (THAILAND) CO.,LTD.</t>
        </is>
      </c>
      <c r="N422" s="4" t="inlineStr">
        <is>
          <t>ELECTROLYTIC CONDENSER SOLUTION</t>
        </is>
      </c>
      <c r="O422" s="4" t="inlineStr">
        <is>
          <t>**REQ GOOD, CLEAN, NO LEAK AND GRADE A CONTAINER*</t>
        </is>
      </c>
      <c r="P422" s="4" t="inlineStr">
        <is>
          <t>Pickup : 2026-10-02, Return : 2026-10-03 [1ST RTN 30/09/2026 W/O RENT]</t>
        </is>
      </c>
      <c r="Q422" s="4" t="n">
        <v>1</v>
      </c>
      <c r="R422" s="4" t="n">
        <v>0</v>
      </c>
      <c r="S422" s="4" t="n">
        <v>0</v>
      </c>
      <c r="T422" s="4" t="n">
        <v>0</v>
      </c>
      <c r="U422" s="4" t="n">
        <v>0</v>
      </c>
      <c r="V422" s="4" t="n">
        <v>0</v>
      </c>
      <c r="W422" s="4" t="n">
        <v>0</v>
      </c>
      <c r="X422" s="4" t="n">
        <v>0</v>
      </c>
      <c r="Y422" s="4" t="n">
        <v>0</v>
      </c>
      <c r="Z422" s="4" t="n">
        <v>0</v>
      </c>
      <c r="AA422" s="4" t="n">
        <v>0</v>
      </c>
      <c r="AB422" s="4">
        <f>SUM(Q422:Y422)-Z422</f>
        <v/>
      </c>
      <c r="AC422" s="4">
        <f>IF(I422="","",IF(OR(LEFT(I422,3)="BKK",I422="LCH55"),"BKK",IF(LEFT(I422,3)="LCH","LCH","OTHER")))</f>
        <v/>
      </c>
      <c r="AD422" s="4">
        <f>MAX(0,Q422-MAX(0,Z422))</f>
        <v/>
      </c>
      <c r="AE422" s="4">
        <f>MAX(0,R422-MAX(0,Z422-SUM(Q422:Q422)))</f>
        <v/>
      </c>
      <c r="AF422" s="4">
        <f>MAX(0,S422-MAX(0,Z422-SUM(Q422:R422)))</f>
        <v/>
      </c>
      <c r="AG422" s="4">
        <f>MAX(0,T422-MAX(0,Z422-SUM(Q422:S422)))</f>
        <v/>
      </c>
      <c r="AH422" s="4">
        <f>MAX(0,U422-MAX(0,Z422-SUM(Q422:T422)))</f>
        <v/>
      </c>
      <c r="AI422" s="4">
        <f>MAX(0,V422-MAX(0,Z422-SUM(Q422:U422)))</f>
        <v/>
      </c>
      <c r="AJ422" s="4">
        <f>MAX(0,W422-MAX(0,Z422-SUM(Q422:V422)))</f>
        <v/>
      </c>
      <c r="AK422" s="4">
        <f>MAX(0,X422-MAX(0,Z422-SUM(Q422:W422)))</f>
        <v/>
      </c>
      <c r="AL422" s="4">
        <f>MAX(0,Y422-MAX(0,Z422-SUM(Q422:X422)))</f>
        <v/>
      </c>
    </row>
    <row r="423">
      <c r="A423" s="4" t="inlineStr">
        <is>
          <t>HASLS22260900579</t>
        </is>
      </c>
      <c r="B423" s="4" t="inlineStr">
        <is>
          <t>SWIC</t>
        </is>
      </c>
      <c r="C423" s="4" t="inlineStr">
        <is>
          <t>2611N</t>
        </is>
      </c>
      <c r="D423" s="4" t="inlineStr">
        <is>
          <t>202610132300</t>
        </is>
      </c>
      <c r="E423" s="4" t="inlineStr"/>
      <c r="F423" s="4" t="inlineStr">
        <is>
          <t>THLCH</t>
        </is>
      </c>
      <c r="G423" s="4" t="inlineStr">
        <is>
          <t>KRUSN</t>
        </is>
      </c>
      <c r="H423" s="4" t="inlineStr">
        <is>
          <t xml:space="preserve">20'x3 </t>
        </is>
      </c>
      <c r="I423" s="4" t="inlineStr">
        <is>
          <t>LCH27</t>
        </is>
      </c>
      <c r="J423" s="4" t="inlineStr">
        <is>
          <t xml:space="preserve">HAST Logistics Co.,Ltd. </t>
        </is>
      </c>
      <c r="K423" s="4" t="inlineStr">
        <is>
          <t>20261007</t>
        </is>
      </c>
      <c r="L423" s="4" t="inlineStr">
        <is>
          <t>MJ LOGISTICS (THAILAND) CO., LTD.</t>
        </is>
      </c>
      <c r="M423" s="4" t="inlineStr">
        <is>
          <t>UNITEX RUBBER CO.,LTD</t>
        </is>
      </c>
      <c r="N423" s="4" t="inlineStr">
        <is>
          <t>LATEX 60%</t>
        </is>
      </c>
      <c r="O423" s="4" t="inlineStr">
        <is>
          <t>**APPROVED BY MJ CHANG DD.28/09/26** *FLEXIBAG ONDECK*
Survey : 2026-10-07</t>
        </is>
      </c>
      <c r="P423" s="4" t="inlineStr">
        <is>
          <t>**APPROVED BY MJ CHANG DD.28/09/26** *FLEXIBAG ONDECK*
Survey : 2026-10-07 , Pickup : 2026-10-08, Return : 2026-10-09</t>
        </is>
      </c>
      <c r="Q423" s="4" t="n">
        <v>3</v>
      </c>
      <c r="R423" s="4" t="n">
        <v>0</v>
      </c>
      <c r="S423" s="4" t="n">
        <v>0</v>
      </c>
      <c r="T423" s="4" t="n">
        <v>0</v>
      </c>
      <c r="U423" s="4" t="n">
        <v>0</v>
      </c>
      <c r="V423" s="4" t="n">
        <v>0</v>
      </c>
      <c r="W423" s="4" t="n">
        <v>0</v>
      </c>
      <c r="X423" s="4" t="n">
        <v>0</v>
      </c>
      <c r="Y423" s="4" t="n">
        <v>0</v>
      </c>
      <c r="Z423" s="4" t="n">
        <v>0</v>
      </c>
      <c r="AA423" s="4" t="n">
        <v>0</v>
      </c>
      <c r="AB423" s="4">
        <f>SUM(Q423:Y423)-Z423</f>
        <v/>
      </c>
      <c r="AC423" s="4">
        <f>IF(I423="","",IF(OR(LEFT(I423,3)="BKK",I423="LCH55"),"BKK",IF(LEFT(I423,3)="LCH","LCH","OTHER")))</f>
        <v/>
      </c>
      <c r="AD423" s="4">
        <f>MAX(0,Q423-MAX(0,Z423))</f>
        <v/>
      </c>
      <c r="AE423" s="4">
        <f>MAX(0,R423-MAX(0,Z423-SUM(Q423:Q423)))</f>
        <v/>
      </c>
      <c r="AF423" s="4">
        <f>MAX(0,S423-MAX(0,Z423-SUM(Q423:R423)))</f>
        <v/>
      </c>
      <c r="AG423" s="4">
        <f>MAX(0,T423-MAX(0,Z423-SUM(Q423:S423)))</f>
        <v/>
      </c>
      <c r="AH423" s="4">
        <f>MAX(0,U423-MAX(0,Z423-SUM(Q423:T423)))</f>
        <v/>
      </c>
      <c r="AI423" s="4">
        <f>MAX(0,V423-MAX(0,Z423-SUM(Q423:U423)))</f>
        <v/>
      </c>
      <c r="AJ423" s="4">
        <f>MAX(0,W423-MAX(0,Z423-SUM(Q423:V423)))</f>
        <v/>
      </c>
      <c r="AK423" s="4">
        <f>MAX(0,X423-MAX(0,Z423-SUM(Q423:W423)))</f>
        <v/>
      </c>
      <c r="AL423" s="4">
        <f>MAX(0,Y423-MAX(0,Z423-SUM(Q423:X423)))</f>
        <v/>
      </c>
    </row>
    <row r="424">
      <c r="A424" s="4" t="inlineStr">
        <is>
          <t>HASLS22260900607</t>
        </is>
      </c>
      <c r="B424" s="4" t="inlineStr">
        <is>
          <t>SWSP</t>
        </is>
      </c>
      <c r="C424" s="4" t="inlineStr">
        <is>
          <t>2609N</t>
        </is>
      </c>
      <c r="D424" s="4" t="inlineStr">
        <is>
          <t>202610080830</t>
        </is>
      </c>
      <c r="E424" s="4" t="inlineStr"/>
      <c r="F424" s="4" t="inlineStr">
        <is>
          <t>THLCH</t>
        </is>
      </c>
      <c r="G424" s="4" t="inlineStr">
        <is>
          <t>VNSGN</t>
        </is>
      </c>
      <c r="H424" s="4" t="inlineStr">
        <is>
          <t xml:space="preserve">40Hx1 </t>
        </is>
      </c>
      <c r="I424" s="4" t="inlineStr">
        <is>
          <t>LCH27</t>
        </is>
      </c>
      <c r="J424" s="4" t="inlineStr">
        <is>
          <t xml:space="preserve">HAST Logistics Co.,Ltd. </t>
        </is>
      </c>
      <c r="K424" s="4" t="inlineStr">
        <is>
          <t>20260928</t>
        </is>
      </c>
      <c r="L424" s="4" t="inlineStr">
        <is>
          <t>BEE LOGISTICS (THAILAND) CO., LTD.</t>
        </is>
      </c>
      <c r="M424" s="4" t="inlineStr">
        <is>
          <t>MAXXIS INTERNATIONAL (THAILAND) CO., LTD.</t>
        </is>
      </c>
      <c r="N424" s="4" t="inlineStr">
        <is>
          <t xml:space="preserve">TYPES </t>
        </is>
      </c>
      <c r="O424" s="4" t="inlineStr">
        <is>
          <t>GOOD AND CLEAN CONTAINER</t>
        </is>
      </c>
      <c r="P424" s="4" t="inlineStr">
        <is>
          <t>Pickup : 2026-09-28, Return : 2026-09-30</t>
        </is>
      </c>
      <c r="Q424" s="4" t="n">
        <v>0</v>
      </c>
      <c r="R424" s="4" t="n">
        <v>0</v>
      </c>
      <c r="S424" s="4" t="n">
        <v>1</v>
      </c>
      <c r="T424" s="4" t="n">
        <v>0</v>
      </c>
      <c r="U424" s="4" t="n">
        <v>0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>
        <f>SUM(Q424:Y424)-Z424</f>
        <v/>
      </c>
      <c r="AC424" s="4">
        <f>IF(I424="","",IF(OR(LEFT(I424,3)="BKK",I424="LCH55"),"BKK",IF(LEFT(I424,3)="LCH","LCH","OTHER")))</f>
        <v/>
      </c>
      <c r="AD424" s="4">
        <f>MAX(0,Q424-MAX(0,Z424))</f>
        <v/>
      </c>
      <c r="AE424" s="4">
        <f>MAX(0,R424-MAX(0,Z424-SUM(Q424:Q424)))</f>
        <v/>
      </c>
      <c r="AF424" s="4">
        <f>MAX(0,S424-MAX(0,Z424-SUM(Q424:R424)))</f>
        <v/>
      </c>
      <c r="AG424" s="4">
        <f>MAX(0,T424-MAX(0,Z424-SUM(Q424:S424)))</f>
        <v/>
      </c>
      <c r="AH424" s="4">
        <f>MAX(0,U424-MAX(0,Z424-SUM(Q424:T424)))</f>
        <v/>
      </c>
      <c r="AI424" s="4">
        <f>MAX(0,V424-MAX(0,Z424-SUM(Q424:U424)))</f>
        <v/>
      </c>
      <c r="AJ424" s="4">
        <f>MAX(0,W424-MAX(0,Z424-SUM(Q424:V424)))</f>
        <v/>
      </c>
      <c r="AK424" s="4">
        <f>MAX(0,X424-MAX(0,Z424-SUM(Q424:W424)))</f>
        <v/>
      </c>
      <c r="AL424" s="4">
        <f>MAX(0,Y424-MAX(0,Z424-SUM(Q424:X424)))</f>
        <v/>
      </c>
    </row>
    <row r="425">
      <c r="A425" s="4" t="inlineStr">
        <is>
          <t>HASLS22260900663</t>
        </is>
      </c>
      <c r="B425" s="4" t="inlineStr">
        <is>
          <t>KJT</t>
        </is>
      </c>
      <c r="C425" s="4" t="inlineStr">
        <is>
          <t>2611N</t>
        </is>
      </c>
      <c r="D425" s="4" t="inlineStr">
        <is>
          <t>202610151100</t>
        </is>
      </c>
      <c r="E425" s="4" t="inlineStr"/>
      <c r="F425" s="4" t="inlineStr">
        <is>
          <t>THLCH</t>
        </is>
      </c>
      <c r="G425" s="4" t="inlineStr">
        <is>
          <t>HKHKG</t>
        </is>
      </c>
      <c r="H425" s="4" t="inlineStr">
        <is>
          <t xml:space="preserve">40Hx1 </t>
        </is>
      </c>
      <c r="I425" s="4" t="inlineStr">
        <is>
          <t>LCH27</t>
        </is>
      </c>
      <c r="J425" s="4" t="inlineStr">
        <is>
          <t xml:space="preserve">HAST Logistics Co.,Ltd. </t>
        </is>
      </c>
      <c r="K425" s="4" t="inlineStr">
        <is>
          <t>20261012</t>
        </is>
      </c>
      <c r="L425" s="4" t="inlineStr">
        <is>
          <t>ELIJAH INTER FREIGHT CO., LTD.</t>
        </is>
      </c>
      <c r="M425" s="4" t="inlineStr">
        <is>
          <t>THAI LOTTE CO., LTD.</t>
        </is>
      </c>
      <c r="N425" s="4" t="inlineStr">
        <is>
          <t>BISCUIT</t>
        </is>
      </c>
      <c r="O425" s="4" t="inlineStr">
        <is>
          <t>REQUEST CONTAINER GRADE A</t>
        </is>
      </c>
      <c r="P425" s="4" t="inlineStr">
        <is>
          <t xml:space="preserve">Pickup : 2026-10-12, Return : 2026-10-13 
 ** PLEASE CHECK OPEN GATE BEFORE RETURN CNTR **
</t>
        </is>
      </c>
      <c r="Q425" s="4" t="n">
        <v>0</v>
      </c>
      <c r="R425" s="4" t="n">
        <v>0</v>
      </c>
      <c r="S425" s="4" t="n">
        <v>1</v>
      </c>
      <c r="T425" s="4" t="n">
        <v>0</v>
      </c>
      <c r="U425" s="4" t="n">
        <v>0</v>
      </c>
      <c r="V425" s="4" t="n">
        <v>0</v>
      </c>
      <c r="W425" s="4" t="n">
        <v>0</v>
      </c>
      <c r="X425" s="4" t="n">
        <v>0</v>
      </c>
      <c r="Y425" s="4" t="n">
        <v>0</v>
      </c>
      <c r="Z425" s="4" t="n">
        <v>0</v>
      </c>
      <c r="AA425" s="4" t="n">
        <v>0</v>
      </c>
      <c r="AB425" s="4">
        <f>SUM(Q425:Y425)-Z425</f>
        <v/>
      </c>
      <c r="AC425" s="4">
        <f>IF(I425="","",IF(OR(LEFT(I425,3)="BKK",I425="LCH55"),"BKK",IF(LEFT(I425,3)="LCH","LCH","OTHER")))</f>
        <v/>
      </c>
      <c r="AD425" s="4">
        <f>MAX(0,Q425-MAX(0,Z425))</f>
        <v/>
      </c>
      <c r="AE425" s="4">
        <f>MAX(0,R425-MAX(0,Z425-SUM(Q425:Q425)))</f>
        <v/>
      </c>
      <c r="AF425" s="4">
        <f>MAX(0,S425-MAX(0,Z425-SUM(Q425:R425)))</f>
        <v/>
      </c>
      <c r="AG425" s="4">
        <f>MAX(0,T425-MAX(0,Z425-SUM(Q425:S425)))</f>
        <v/>
      </c>
      <c r="AH425" s="4">
        <f>MAX(0,U425-MAX(0,Z425-SUM(Q425:T425)))</f>
        <v/>
      </c>
      <c r="AI425" s="4">
        <f>MAX(0,V425-MAX(0,Z425-SUM(Q425:U425)))</f>
        <v/>
      </c>
      <c r="AJ425" s="4">
        <f>MAX(0,W425-MAX(0,Z425-SUM(Q425:V425)))</f>
        <v/>
      </c>
      <c r="AK425" s="4">
        <f>MAX(0,X425-MAX(0,Z425-SUM(Q425:W425)))</f>
        <v/>
      </c>
      <c r="AL425" s="4">
        <f>MAX(0,Y425-MAX(0,Z425-SUM(Q425:X425)))</f>
        <v/>
      </c>
    </row>
    <row r="426">
      <c r="A426" s="4" t="inlineStr">
        <is>
          <t>HASLS22260900690</t>
        </is>
      </c>
      <c r="B426" s="4" t="inlineStr">
        <is>
          <t>SWDN</t>
        </is>
      </c>
      <c r="C426" s="4" t="inlineStr">
        <is>
          <t>2610N</t>
        </is>
      </c>
      <c r="D426" s="4" t="inlineStr">
        <is>
          <t>202610070300</t>
        </is>
      </c>
      <c r="E426" s="4" t="inlineStr"/>
      <c r="F426" s="4" t="inlineStr">
        <is>
          <t>THLCH</t>
        </is>
      </c>
      <c r="G426" s="4" t="inlineStr">
        <is>
          <t>HKHKG</t>
        </is>
      </c>
      <c r="H426" s="4" t="inlineStr">
        <is>
          <t xml:space="preserve">20'x1 </t>
        </is>
      </c>
      <c r="I426" s="4" t="inlineStr">
        <is>
          <t>LCH27</t>
        </is>
      </c>
      <c r="J426" s="4" t="inlineStr">
        <is>
          <t xml:space="preserve">HAST Logistics Co.,Ltd. </t>
        </is>
      </c>
      <c r="K426" s="4" t="inlineStr">
        <is>
          <t>20261002</t>
        </is>
      </c>
      <c r="L426" s="4" t="inlineStr">
        <is>
          <t>CARGO CARE LOGISTICS CO., LTD.</t>
        </is>
      </c>
      <c r="M426" s="4" t="inlineStr">
        <is>
          <t>SIAM DEL MONTE CO., LTD.</t>
        </is>
      </c>
      <c r="N426" s="4" t="inlineStr">
        <is>
          <t>SWEET CORN</t>
        </is>
      </c>
      <c r="O426" s="4" t="inlineStr">
        <is>
          <t>Good and Clean Container (Food Grade)
(No leaks, no odors, and no oil stains.)</t>
        </is>
      </c>
      <c r="P426" s="4" t="inlineStr">
        <is>
          <t xml:space="preserve">Pickup : 2026-10-02, Return : 2026-10-03 
 ** PLEASE CHECK OPEN GATE BEFORE RETURN CNTR **
</t>
        </is>
      </c>
      <c r="Q426" s="4" t="n">
        <v>1</v>
      </c>
      <c r="R426" s="4" t="n">
        <v>0</v>
      </c>
      <c r="S426" s="4" t="n">
        <v>0</v>
      </c>
      <c r="T426" s="4" t="n">
        <v>0</v>
      </c>
      <c r="U426" s="4" t="n">
        <v>0</v>
      </c>
      <c r="V426" s="4" t="n">
        <v>0</v>
      </c>
      <c r="W426" s="4" t="n">
        <v>0</v>
      </c>
      <c r="X426" s="4" t="n">
        <v>0</v>
      </c>
      <c r="Y426" s="4" t="n">
        <v>0</v>
      </c>
      <c r="Z426" s="4" t="n">
        <v>0</v>
      </c>
      <c r="AA426" s="4" t="n">
        <v>0</v>
      </c>
      <c r="AB426" s="4">
        <f>SUM(Q426:Y426)-Z426</f>
        <v/>
      </c>
      <c r="AC426" s="4">
        <f>IF(I426="","",IF(OR(LEFT(I426,3)="BKK",I426="LCH55"),"BKK",IF(LEFT(I426,3)="LCH","LCH","OTHER")))</f>
        <v/>
      </c>
      <c r="AD426" s="4">
        <f>MAX(0,Q426-MAX(0,Z426))</f>
        <v/>
      </c>
      <c r="AE426" s="4">
        <f>MAX(0,R426-MAX(0,Z426-SUM(Q426:Q426)))</f>
        <v/>
      </c>
      <c r="AF426" s="4">
        <f>MAX(0,S426-MAX(0,Z426-SUM(Q426:R426)))</f>
        <v/>
      </c>
      <c r="AG426" s="4">
        <f>MAX(0,T426-MAX(0,Z426-SUM(Q426:S426)))</f>
        <v/>
      </c>
      <c r="AH426" s="4">
        <f>MAX(0,U426-MAX(0,Z426-SUM(Q426:T426)))</f>
        <v/>
      </c>
      <c r="AI426" s="4">
        <f>MAX(0,V426-MAX(0,Z426-SUM(Q426:U426)))</f>
        <v/>
      </c>
      <c r="AJ426" s="4">
        <f>MAX(0,W426-MAX(0,Z426-SUM(Q426:V426)))</f>
        <v/>
      </c>
      <c r="AK426" s="4">
        <f>MAX(0,X426-MAX(0,Z426-SUM(Q426:W426)))</f>
        <v/>
      </c>
      <c r="AL426" s="4">
        <f>MAX(0,Y426-MAX(0,Z426-SUM(Q426:X426)))</f>
        <v/>
      </c>
    </row>
    <row r="427">
      <c r="A427" s="4" t="inlineStr">
        <is>
          <t>HASLS22260900701</t>
        </is>
      </c>
      <c r="B427" s="4" t="inlineStr">
        <is>
          <t>SWSR</t>
        </is>
      </c>
      <c r="C427" s="4" t="inlineStr">
        <is>
          <t>2611N</t>
        </is>
      </c>
      <c r="D427" s="4" t="inlineStr">
        <is>
          <t>202610112000</t>
        </is>
      </c>
      <c r="E427" s="4" t="inlineStr"/>
      <c r="F427" s="4" t="inlineStr">
        <is>
          <t>THLCH</t>
        </is>
      </c>
      <c r="G427" s="4" t="inlineStr">
        <is>
          <t>HKHKG</t>
        </is>
      </c>
      <c r="H427" s="4" t="inlineStr">
        <is>
          <t xml:space="preserve">40Hx7 </t>
        </is>
      </c>
      <c r="I427" s="4" t="inlineStr">
        <is>
          <t>LCH27</t>
        </is>
      </c>
      <c r="J427" s="4" t="inlineStr">
        <is>
          <t xml:space="preserve">HAST Logistics Co.,Ltd. </t>
        </is>
      </c>
      <c r="K427" s="4" t="inlineStr">
        <is>
          <t>20261006</t>
        </is>
      </c>
      <c r="L427" s="4" t="inlineStr">
        <is>
          <t>YUSEN LOGISTICS (THAILAND) CO., LTD.</t>
        </is>
      </c>
      <c r="M427" s="4" t="inlineStr">
        <is>
          <t>KURARAY GC ADVANCED MATERIALS CO.,LTD.</t>
        </is>
      </c>
      <c r="N427" s="4" t="inlineStr">
        <is>
          <t>GENESTAR</t>
        </is>
      </c>
      <c r="O427" s="4" t="inlineStr">
        <is>
          <t>Good dry and clean container</t>
        </is>
      </c>
      <c r="P427" s="4" t="inlineStr">
        <is>
          <t>Pickup : 2026-10-06, Return : 2026-10-07 (1ST RTN 07/10  W/O RENT) 
 ** PLEASE CHECK OPEN GATE BEFORE RETURN CNTR **</t>
        </is>
      </c>
      <c r="Q427" s="4" t="n">
        <v>0</v>
      </c>
      <c r="R427" s="4" t="n">
        <v>0</v>
      </c>
      <c r="S427" s="4" t="n">
        <v>7</v>
      </c>
      <c r="T427" s="4" t="n">
        <v>0</v>
      </c>
      <c r="U427" s="4" t="n">
        <v>0</v>
      </c>
      <c r="V427" s="4" t="n">
        <v>0</v>
      </c>
      <c r="W427" s="4" t="n">
        <v>0</v>
      </c>
      <c r="X427" s="4" t="n">
        <v>0</v>
      </c>
      <c r="Y427" s="4" t="n">
        <v>0</v>
      </c>
      <c r="Z427" s="4" t="n">
        <v>0</v>
      </c>
      <c r="AA427" s="4" t="n">
        <v>0</v>
      </c>
      <c r="AB427" s="4">
        <f>SUM(Q427:Y427)-Z427</f>
        <v/>
      </c>
      <c r="AC427" s="4">
        <f>IF(I427="","",IF(OR(LEFT(I427,3)="BKK",I427="LCH55"),"BKK",IF(LEFT(I427,3)="LCH","LCH","OTHER")))</f>
        <v/>
      </c>
      <c r="AD427" s="4">
        <f>MAX(0,Q427-MAX(0,Z427))</f>
        <v/>
      </c>
      <c r="AE427" s="4">
        <f>MAX(0,R427-MAX(0,Z427-SUM(Q427:Q427)))</f>
        <v/>
      </c>
      <c r="AF427" s="4">
        <f>MAX(0,S427-MAX(0,Z427-SUM(Q427:R427)))</f>
        <v/>
      </c>
      <c r="AG427" s="4">
        <f>MAX(0,T427-MAX(0,Z427-SUM(Q427:S427)))</f>
        <v/>
      </c>
      <c r="AH427" s="4">
        <f>MAX(0,U427-MAX(0,Z427-SUM(Q427:T427)))</f>
        <v/>
      </c>
      <c r="AI427" s="4">
        <f>MAX(0,V427-MAX(0,Z427-SUM(Q427:U427)))</f>
        <v/>
      </c>
      <c r="AJ427" s="4">
        <f>MAX(0,W427-MAX(0,Z427-SUM(Q427:V427)))</f>
        <v/>
      </c>
      <c r="AK427" s="4">
        <f>MAX(0,X427-MAX(0,Z427-SUM(Q427:W427)))</f>
        <v/>
      </c>
      <c r="AL427" s="4">
        <f>MAX(0,Y427-MAX(0,Z427-SUM(Q427:X427)))</f>
        <v/>
      </c>
    </row>
    <row r="428">
      <c r="A428" s="4" t="inlineStr">
        <is>
          <t>HASLS22260900705</t>
        </is>
      </c>
      <c r="B428" s="4" t="inlineStr">
        <is>
          <t>SWSR</t>
        </is>
      </c>
      <c r="C428" s="4" t="inlineStr">
        <is>
          <t>2611N</t>
        </is>
      </c>
      <c r="D428" s="4" t="inlineStr">
        <is>
          <t>202610112000</t>
        </is>
      </c>
      <c r="E428" s="4" t="inlineStr"/>
      <c r="F428" s="4" t="inlineStr">
        <is>
          <t>THLCH</t>
        </is>
      </c>
      <c r="G428" s="4" t="inlineStr">
        <is>
          <t>HKHKG</t>
        </is>
      </c>
      <c r="H428" s="4" t="inlineStr">
        <is>
          <t xml:space="preserve">20'x1 </t>
        </is>
      </c>
      <c r="I428" s="4" t="inlineStr">
        <is>
          <t>LCH27</t>
        </is>
      </c>
      <c r="J428" s="4" t="inlineStr">
        <is>
          <t xml:space="preserve">HAST Logistics Co.,Ltd. </t>
        </is>
      </c>
      <c r="K428" s="4" t="inlineStr">
        <is>
          <t>20261005</t>
        </is>
      </c>
      <c r="L428" s="4" t="inlineStr">
        <is>
          <t>YUSEN LOGISTICS (THAILAND) CO., LTD.</t>
        </is>
      </c>
      <c r="M428" s="4" t="inlineStr">
        <is>
          <t>DAITO INTERNATIONAL (THAILAND) CO., LTD.</t>
        </is>
      </c>
      <c r="N428" s="4" t="inlineStr">
        <is>
          <t>RUBBER COMPOUND</t>
        </is>
      </c>
      <c r="O428" s="4" t="inlineStr">
        <is>
          <t>Good dry and clean container</t>
        </is>
      </c>
      <c r="P428" s="4" t="inlineStr">
        <is>
          <t xml:space="preserve">Pickup : 2026-10-05, Return : 2026-10-05 
 ** PLEASE CHECK OPEN GATE BEFORE RETURN CNTR **
</t>
        </is>
      </c>
      <c r="Q428" s="4" t="n">
        <v>1</v>
      </c>
      <c r="R428" s="4" t="n">
        <v>0</v>
      </c>
      <c r="S428" s="4" t="n">
        <v>0</v>
      </c>
      <c r="T428" s="4" t="n">
        <v>0</v>
      </c>
      <c r="U428" s="4" t="n">
        <v>0</v>
      </c>
      <c r="V428" s="4" t="n">
        <v>0</v>
      </c>
      <c r="W428" s="4" t="n">
        <v>0</v>
      </c>
      <c r="X428" s="4" t="n">
        <v>0</v>
      </c>
      <c r="Y428" s="4" t="n">
        <v>0</v>
      </c>
      <c r="Z428" s="4" t="n">
        <v>0</v>
      </c>
      <c r="AA428" s="4" t="n">
        <v>0</v>
      </c>
      <c r="AB428" s="4">
        <f>SUM(Q428:Y428)-Z428</f>
        <v/>
      </c>
      <c r="AC428" s="4">
        <f>IF(I428="","",IF(OR(LEFT(I428,3)="BKK",I428="LCH55"),"BKK",IF(LEFT(I428,3)="LCH","LCH","OTHER")))</f>
        <v/>
      </c>
      <c r="AD428" s="4">
        <f>MAX(0,Q428-MAX(0,Z428))</f>
        <v/>
      </c>
      <c r="AE428" s="4">
        <f>MAX(0,R428-MAX(0,Z428-SUM(Q428:Q428)))</f>
        <v/>
      </c>
      <c r="AF428" s="4">
        <f>MAX(0,S428-MAX(0,Z428-SUM(Q428:R428)))</f>
        <v/>
      </c>
      <c r="AG428" s="4">
        <f>MAX(0,T428-MAX(0,Z428-SUM(Q428:S428)))</f>
        <v/>
      </c>
      <c r="AH428" s="4">
        <f>MAX(0,U428-MAX(0,Z428-SUM(Q428:T428)))</f>
        <v/>
      </c>
      <c r="AI428" s="4">
        <f>MAX(0,V428-MAX(0,Z428-SUM(Q428:U428)))</f>
        <v/>
      </c>
      <c r="AJ428" s="4">
        <f>MAX(0,W428-MAX(0,Z428-SUM(Q428:V428)))</f>
        <v/>
      </c>
      <c r="AK428" s="4">
        <f>MAX(0,X428-MAX(0,Z428-SUM(Q428:W428)))</f>
        <v/>
      </c>
      <c r="AL428" s="4">
        <f>MAX(0,Y428-MAX(0,Z428-SUM(Q428:X428)))</f>
        <v/>
      </c>
    </row>
    <row r="429">
      <c r="A429" s="4" t="inlineStr">
        <is>
          <t>HASLS22260900719</t>
        </is>
      </c>
      <c r="B429" s="4" t="inlineStr">
        <is>
          <t>KMBK</t>
        </is>
      </c>
      <c r="C429" s="4" t="inlineStr">
        <is>
          <t>2611N</t>
        </is>
      </c>
      <c r="D429" s="4" t="inlineStr">
        <is>
          <t>202610040100</t>
        </is>
      </c>
      <c r="E429" s="4" t="inlineStr"/>
      <c r="F429" s="4" t="inlineStr">
        <is>
          <t>THLCH</t>
        </is>
      </c>
      <c r="G429" s="4" t="inlineStr">
        <is>
          <t>VNSGN</t>
        </is>
      </c>
      <c r="H429" s="4" t="inlineStr">
        <is>
          <t xml:space="preserve">20'x3 </t>
        </is>
      </c>
      <c r="I429" s="4" t="inlineStr">
        <is>
          <t>LCH27</t>
        </is>
      </c>
      <c r="J429" s="4" t="inlineStr">
        <is>
          <t xml:space="preserve">HAST Logistics Co.,Ltd. </t>
        </is>
      </c>
      <c r="K429" s="4" t="inlineStr">
        <is>
          <t>20260928</t>
        </is>
      </c>
      <c r="L429" s="4" t="inlineStr">
        <is>
          <t>FAIR AND FAST COMPANY LIMITED</t>
        </is>
      </c>
      <c r="M429" s="4" t="inlineStr">
        <is>
          <t>PACIFIC SUGAR CORPORATION LIMITED</t>
        </is>
      </c>
      <c r="N429" s="4" t="inlineStr">
        <is>
          <t>Sugar</t>
        </is>
      </c>
      <c r="O429" s="4" t="inlineStr">
        <is>
          <t>REQUEST GOOD AND CLEAN CONTAINER FOR FOOD</t>
        </is>
      </c>
      <c r="P429" s="4" t="inlineStr">
        <is>
          <t xml:space="preserve">Pickup : 2026-09-28, Return : 2026-09-29 (1ST RTN 30/09 W/O RENT) 
 ** PLEASE CHECK OPEN GATE BEFORE RETURN CNTR **
</t>
        </is>
      </c>
      <c r="Q429" s="4" t="n">
        <v>3</v>
      </c>
      <c r="R429" s="4" t="n">
        <v>0</v>
      </c>
      <c r="S429" s="4" t="n">
        <v>0</v>
      </c>
      <c r="T429" s="4" t="n">
        <v>0</v>
      </c>
      <c r="U429" s="4" t="n">
        <v>0</v>
      </c>
      <c r="V429" s="4" t="n">
        <v>0</v>
      </c>
      <c r="W429" s="4" t="n">
        <v>0</v>
      </c>
      <c r="X429" s="4" t="n">
        <v>0</v>
      </c>
      <c r="Y429" s="4" t="n">
        <v>0</v>
      </c>
      <c r="Z429" s="4" t="n">
        <v>2</v>
      </c>
      <c r="AA429" s="4" t="n">
        <v>0</v>
      </c>
      <c r="AB429" s="4">
        <f>SUM(Q429:Y429)-Z429</f>
        <v/>
      </c>
      <c r="AC429" s="4">
        <f>IF(I429="","",IF(OR(LEFT(I429,3)="BKK",I429="LCH55"),"BKK",IF(LEFT(I429,3)="LCH","LCH","OTHER")))</f>
        <v/>
      </c>
      <c r="AD429" s="4">
        <f>MAX(0,Q429-MAX(0,Z429))</f>
        <v/>
      </c>
      <c r="AE429" s="4">
        <f>MAX(0,R429-MAX(0,Z429-SUM(Q429:Q429)))</f>
        <v/>
      </c>
      <c r="AF429" s="4">
        <f>MAX(0,S429-MAX(0,Z429-SUM(Q429:R429)))</f>
        <v/>
      </c>
      <c r="AG429" s="4">
        <f>MAX(0,T429-MAX(0,Z429-SUM(Q429:S429)))</f>
        <v/>
      </c>
      <c r="AH429" s="4">
        <f>MAX(0,U429-MAX(0,Z429-SUM(Q429:T429)))</f>
        <v/>
      </c>
      <c r="AI429" s="4">
        <f>MAX(0,V429-MAX(0,Z429-SUM(Q429:U429)))</f>
        <v/>
      </c>
      <c r="AJ429" s="4">
        <f>MAX(0,W429-MAX(0,Z429-SUM(Q429:V429)))</f>
        <v/>
      </c>
      <c r="AK429" s="4">
        <f>MAX(0,X429-MAX(0,Z429-SUM(Q429:W429)))</f>
        <v/>
      </c>
      <c r="AL429" s="4">
        <f>MAX(0,Y429-MAX(0,Z429-SUM(Q429:X429)))</f>
        <v/>
      </c>
    </row>
    <row r="430">
      <c r="A430" s="4" t="inlineStr">
        <is>
          <t>HASLS22260900766</t>
        </is>
      </c>
      <c r="B430" s="4" t="inlineStr">
        <is>
          <t>SWDN</t>
        </is>
      </c>
      <c r="C430" s="4" t="inlineStr">
        <is>
          <t>2610N</t>
        </is>
      </c>
      <c r="D430" s="4" t="inlineStr">
        <is>
          <t>202610070300</t>
        </is>
      </c>
      <c r="E430" s="4" t="inlineStr"/>
      <c r="F430" s="4" t="inlineStr">
        <is>
          <t>THLCH</t>
        </is>
      </c>
      <c r="G430" s="4" t="inlineStr">
        <is>
          <t>CNXMN</t>
        </is>
      </c>
      <c r="H430" s="4" t="inlineStr">
        <is>
          <t xml:space="preserve">R40Hx1 </t>
        </is>
      </c>
      <c r="I430" s="4" t="inlineStr">
        <is>
          <t>LCH27</t>
        </is>
      </c>
      <c r="J430" s="4" t="inlineStr">
        <is>
          <t xml:space="preserve">HAST Logistics Co.,Ltd. </t>
        </is>
      </c>
      <c r="K430" s="4" t="inlineStr">
        <is>
          <t>20260925</t>
        </is>
      </c>
      <c r="L430" s="4" t="inlineStr">
        <is>
          <t>HAPPY SHIPPING SERVICE CO.,LTD.</t>
        </is>
      </c>
      <c r="M430" s="4" t="inlineStr">
        <is>
          <t>HI HAPPY TRADING CO.,LTD.</t>
        </is>
      </c>
      <c r="N430" s="4" t="inlineStr">
        <is>
          <t>FRESH LONGAN</t>
        </is>
      </c>
      <c r="O430" s="4" t="inlineStr">
        <is>
          <t>RF45REx1 (Temp +2.0℃ / Vent 15% Open)</t>
        </is>
      </c>
      <c r="P430" s="4" t="inlineStr">
        <is>
          <t xml:space="preserve">Pickup : 2026-09-25, Return : 2026-09-28 (Temp +2.0 / Vent 15% Open)  ON DECK
 CLS TIME 29/09 @12.00 [1ST RTN 28/09 W/O RENT &amp; ELECTRIC] </t>
        </is>
      </c>
      <c r="Q430" s="4" t="n">
        <v>0</v>
      </c>
      <c r="R430" s="4" t="n">
        <v>0</v>
      </c>
      <c r="S430" s="4" t="n">
        <v>0</v>
      </c>
      <c r="T430" s="4" t="n">
        <v>0</v>
      </c>
      <c r="U430" s="4" t="n">
        <v>1</v>
      </c>
      <c r="V430" s="4" t="n">
        <v>0</v>
      </c>
      <c r="W430" s="4" t="n">
        <v>0</v>
      </c>
      <c r="X430" s="4" t="n">
        <v>0</v>
      </c>
      <c r="Y430" s="4" t="n">
        <v>0</v>
      </c>
      <c r="Z430" s="4" t="n">
        <v>0</v>
      </c>
      <c r="AA430" s="4" t="n">
        <v>0</v>
      </c>
      <c r="AB430" s="4">
        <f>SUM(Q430:Y430)-Z430</f>
        <v/>
      </c>
      <c r="AC430" s="4">
        <f>IF(I430="","",IF(OR(LEFT(I430,3)="BKK",I430="LCH55"),"BKK",IF(LEFT(I430,3)="LCH","LCH","OTHER")))</f>
        <v/>
      </c>
      <c r="AD430" s="4">
        <f>MAX(0,Q430-MAX(0,Z430))</f>
        <v/>
      </c>
      <c r="AE430" s="4">
        <f>MAX(0,R430-MAX(0,Z430-SUM(Q430:Q430)))</f>
        <v/>
      </c>
      <c r="AF430" s="4">
        <f>MAX(0,S430-MAX(0,Z430-SUM(Q430:R430)))</f>
        <v/>
      </c>
      <c r="AG430" s="4">
        <f>MAX(0,T430-MAX(0,Z430-SUM(Q430:S430)))</f>
        <v/>
      </c>
      <c r="AH430" s="4">
        <f>MAX(0,U430-MAX(0,Z430-SUM(Q430:T430)))</f>
        <v/>
      </c>
      <c r="AI430" s="4">
        <f>MAX(0,V430-MAX(0,Z430-SUM(Q430:U430)))</f>
        <v/>
      </c>
      <c r="AJ430" s="4">
        <f>MAX(0,W430-MAX(0,Z430-SUM(Q430:V430)))</f>
        <v/>
      </c>
      <c r="AK430" s="4">
        <f>MAX(0,X430-MAX(0,Z430-SUM(Q430:W430)))</f>
        <v/>
      </c>
      <c r="AL430" s="4">
        <f>MAX(0,Y430-MAX(0,Z430-SUM(Q430:X430)))</f>
        <v/>
      </c>
    </row>
    <row r="431">
      <c r="A431" s="4" t="inlineStr">
        <is>
          <t>HASLS22260900778</t>
        </is>
      </c>
      <c r="B431" s="4" t="inlineStr">
        <is>
          <t>SWSP</t>
        </is>
      </c>
      <c r="C431" s="4" t="inlineStr">
        <is>
          <t>2609N</t>
        </is>
      </c>
      <c r="D431" s="4" t="inlineStr">
        <is>
          <t>202610080830</t>
        </is>
      </c>
      <c r="E431" s="4" t="inlineStr"/>
      <c r="F431" s="4" t="inlineStr">
        <is>
          <t>THLCH</t>
        </is>
      </c>
      <c r="G431" s="4" t="inlineStr">
        <is>
          <t>VNSGN</t>
        </is>
      </c>
      <c r="H431" s="4" t="inlineStr">
        <is>
          <t xml:space="preserve">R40Hx2 </t>
        </is>
      </c>
      <c r="I431" s="4" t="inlineStr">
        <is>
          <t>LCH27</t>
        </is>
      </c>
      <c r="J431" s="4" t="inlineStr">
        <is>
          <t xml:space="preserve">HAST Logistics Co.,Ltd. </t>
        </is>
      </c>
      <c r="K431" s="4" t="inlineStr">
        <is>
          <t>20261003</t>
        </is>
      </c>
      <c r="L431" s="4" t="inlineStr">
        <is>
          <t>FOCUS FREIGHT &amp; LOGISTICS CO., LTD.</t>
        </is>
      </c>
      <c r="M431" s="4" t="inlineStr">
        <is>
          <t>UNITED MUSHROOM CENTER CO., LTD.</t>
        </is>
      </c>
      <c r="N431" s="4" t="inlineStr">
        <is>
          <t>GOLDEN MUSHROOM</t>
        </is>
      </c>
      <c r="O431" s="4" t="inlineStr">
        <is>
          <t>(Temp +0.0℃ / Vent Close) REQ CLEAN &amp; GOOD CONTAINER FOR FOODS</t>
        </is>
      </c>
      <c r="P431" s="4" t="inlineStr">
        <is>
          <t xml:space="preserve">Pickup : 2026-10-03, Return : 2026-10-06 (Temp +0.0 / Vent Close)
 CLS TIME 07/10 @16.00 [1ST RTN 06/10 W/O RENT &amp; ELECTRIC] 
 </t>
        </is>
      </c>
      <c r="Q431" s="4" t="n">
        <v>0</v>
      </c>
      <c r="R431" s="4" t="n">
        <v>0</v>
      </c>
      <c r="S431" s="4" t="n">
        <v>0</v>
      </c>
      <c r="T431" s="4" t="n">
        <v>0</v>
      </c>
      <c r="U431" s="4" t="n">
        <v>2</v>
      </c>
      <c r="V431" s="4" t="n">
        <v>0</v>
      </c>
      <c r="W431" s="4" t="n">
        <v>0</v>
      </c>
      <c r="X431" s="4" t="n">
        <v>0</v>
      </c>
      <c r="Y431" s="4" t="n">
        <v>0</v>
      </c>
      <c r="Z431" s="4" t="n">
        <v>0</v>
      </c>
      <c r="AA431" s="4" t="n">
        <v>0</v>
      </c>
      <c r="AB431" s="4">
        <f>SUM(Q431:Y431)-Z431</f>
        <v/>
      </c>
      <c r="AC431" s="4">
        <f>IF(I431="","",IF(OR(LEFT(I431,3)="BKK",I431="LCH55"),"BKK",IF(LEFT(I431,3)="LCH","LCH","OTHER")))</f>
        <v/>
      </c>
      <c r="AD431" s="4">
        <f>MAX(0,Q431-MAX(0,Z431))</f>
        <v/>
      </c>
      <c r="AE431" s="4">
        <f>MAX(0,R431-MAX(0,Z431-SUM(Q431:Q431)))</f>
        <v/>
      </c>
      <c r="AF431" s="4">
        <f>MAX(0,S431-MAX(0,Z431-SUM(Q431:R431)))</f>
        <v/>
      </c>
      <c r="AG431" s="4">
        <f>MAX(0,T431-MAX(0,Z431-SUM(Q431:S431)))</f>
        <v/>
      </c>
      <c r="AH431" s="4">
        <f>MAX(0,U431-MAX(0,Z431-SUM(Q431:T431)))</f>
        <v/>
      </c>
      <c r="AI431" s="4">
        <f>MAX(0,V431-MAX(0,Z431-SUM(Q431:U431)))</f>
        <v/>
      </c>
      <c r="AJ431" s="4">
        <f>MAX(0,W431-MAX(0,Z431-SUM(Q431:V431)))</f>
        <v/>
      </c>
      <c r="AK431" s="4">
        <f>MAX(0,X431-MAX(0,Z431-SUM(Q431:W431)))</f>
        <v/>
      </c>
      <c r="AL431" s="4">
        <f>MAX(0,Y431-MAX(0,Z431-SUM(Q431:X431)))</f>
        <v/>
      </c>
    </row>
    <row r="432">
      <c r="A432" s="4" t="inlineStr">
        <is>
          <t>HASLS22260900805</t>
        </is>
      </c>
      <c r="B432" s="4" t="inlineStr">
        <is>
          <t>SWVG</t>
        </is>
      </c>
      <c r="C432" s="4" t="inlineStr">
        <is>
          <t>2612N</t>
        </is>
      </c>
      <c r="D432" s="4" t="inlineStr">
        <is>
          <t>202610070330</t>
        </is>
      </c>
      <c r="E432" s="4" t="inlineStr"/>
      <c r="F432" s="4" t="inlineStr">
        <is>
          <t>THLCH</t>
        </is>
      </c>
      <c r="G432" s="4" t="inlineStr">
        <is>
          <t>CNSHA</t>
        </is>
      </c>
      <c r="H432" s="4" t="inlineStr">
        <is>
          <t xml:space="preserve">20'x5 </t>
        </is>
      </c>
      <c r="I432" s="4" t="inlineStr">
        <is>
          <t>LCH27</t>
        </is>
      </c>
      <c r="J432" s="4" t="inlineStr">
        <is>
          <t xml:space="preserve">HAST Logistics Co.,Ltd. </t>
        </is>
      </c>
      <c r="K432" s="4" t="inlineStr">
        <is>
          <t>20260930</t>
        </is>
      </c>
      <c r="L432" s="4" t="inlineStr">
        <is>
          <t>THAI POLYCARBONATE CO., LTD.</t>
        </is>
      </c>
      <c r="M432" s="4" t="inlineStr">
        <is>
          <t>THAI POLYCARBONATE CO., LTD.</t>
        </is>
      </c>
      <c r="N432" s="4" t="inlineStr">
        <is>
          <t>POLYCARBONATE RESIN</t>
        </is>
      </c>
      <c r="O432" s="4" t="inlineStr">
        <is>
          <t>This shipment will be loaded with pallet, loading by forklift, so we required good condition container with strong floorboard for this shipment</t>
        </is>
      </c>
      <c r="P432" s="4" t="inlineStr">
        <is>
          <t xml:space="preserve">Pickup : 2026-09-30, Return : 2026-10-02 (1ST RTN 03/10 W/O RENT)  
 ** PLEASE CHECK OPEN GATE BEFORE RETURN CNTR **
 </t>
        </is>
      </c>
      <c r="Q432" s="4" t="n">
        <v>5</v>
      </c>
      <c r="R432" s="4" t="n">
        <v>0</v>
      </c>
      <c r="S432" s="4" t="n">
        <v>0</v>
      </c>
      <c r="T432" s="4" t="n">
        <v>0</v>
      </c>
      <c r="U432" s="4" t="n">
        <v>0</v>
      </c>
      <c r="V432" s="4" t="n">
        <v>0</v>
      </c>
      <c r="W432" s="4" t="n">
        <v>0</v>
      </c>
      <c r="X432" s="4" t="n">
        <v>0</v>
      </c>
      <c r="Y432" s="4" t="n">
        <v>0</v>
      </c>
      <c r="Z432" s="4" t="n">
        <v>0</v>
      </c>
      <c r="AA432" s="4" t="n">
        <v>0</v>
      </c>
      <c r="AB432" s="4">
        <f>SUM(Q432:Y432)-Z432</f>
        <v/>
      </c>
      <c r="AC432" s="4">
        <f>IF(I432="","",IF(OR(LEFT(I432,3)="BKK",I432="LCH55"),"BKK",IF(LEFT(I432,3)="LCH","LCH","OTHER")))</f>
        <v/>
      </c>
      <c r="AD432" s="4">
        <f>MAX(0,Q432-MAX(0,Z432))</f>
        <v/>
      </c>
      <c r="AE432" s="4">
        <f>MAX(0,R432-MAX(0,Z432-SUM(Q432:Q432)))</f>
        <v/>
      </c>
      <c r="AF432" s="4">
        <f>MAX(0,S432-MAX(0,Z432-SUM(Q432:R432)))</f>
        <v/>
      </c>
      <c r="AG432" s="4">
        <f>MAX(0,T432-MAX(0,Z432-SUM(Q432:S432)))</f>
        <v/>
      </c>
      <c r="AH432" s="4">
        <f>MAX(0,U432-MAX(0,Z432-SUM(Q432:T432)))</f>
        <v/>
      </c>
      <c r="AI432" s="4">
        <f>MAX(0,V432-MAX(0,Z432-SUM(Q432:U432)))</f>
        <v/>
      </c>
      <c r="AJ432" s="4">
        <f>MAX(0,W432-MAX(0,Z432-SUM(Q432:V432)))</f>
        <v/>
      </c>
      <c r="AK432" s="4">
        <f>MAX(0,X432-MAX(0,Z432-SUM(Q432:W432)))</f>
        <v/>
      </c>
      <c r="AL432" s="4">
        <f>MAX(0,Y432-MAX(0,Z432-SUM(Q432:X432)))</f>
        <v/>
      </c>
    </row>
    <row r="433">
      <c r="A433" s="4" t="inlineStr">
        <is>
          <t>HASLS22260900898</t>
        </is>
      </c>
      <c r="B433" s="4" t="inlineStr">
        <is>
          <t>SWAT</t>
        </is>
      </c>
      <c r="C433" s="4" t="inlineStr">
        <is>
          <t>2610N</t>
        </is>
      </c>
      <c r="D433" s="4" t="inlineStr">
        <is>
          <t>202610081000</t>
        </is>
      </c>
      <c r="E433" s="4" t="inlineStr"/>
      <c r="F433" s="4" t="inlineStr">
        <is>
          <t>THLCH</t>
        </is>
      </c>
      <c r="G433" s="4" t="inlineStr">
        <is>
          <t>CNSHK</t>
        </is>
      </c>
      <c r="H433" s="4" t="inlineStr">
        <is>
          <t xml:space="preserve">R40Hx1 </t>
        </is>
      </c>
      <c r="I433" s="4" t="inlineStr">
        <is>
          <t>LCH27</t>
        </is>
      </c>
      <c r="J433" s="4" t="inlineStr">
        <is>
          <t xml:space="preserve">HAST Logistics Co.,Ltd. </t>
        </is>
      </c>
      <c r="K433" s="4" t="inlineStr">
        <is>
          <t>20260921</t>
        </is>
      </c>
      <c r="L433" s="4" t="inlineStr">
        <is>
          <t>YODA LOGISTICS CO., LTD.</t>
        </is>
      </c>
      <c r="M433" s="4" t="inlineStr">
        <is>
          <t>YOGO XINTAI TRADING CO.,LTD.</t>
        </is>
      </c>
      <c r="N433" s="4" t="inlineStr">
        <is>
          <t>FRESH COCONUT</t>
        </is>
      </c>
      <c r="O433" s="4" t="inlineStr">
        <is>
          <t>RF45REx1 (Temp +2.0℃ / Vent 10% Open) ON DECK /CLEAN CONTAINER/NO SMELL</t>
        </is>
      </c>
      <c r="P433" s="4" t="inlineStr">
        <is>
          <t>Pickup : 2026-09-21, Return : 2026-09-28 RF45REx1 (Temp +2.0 / Vent 10% Open) 
CLS TIME : 03/10/2026 @20.00 [1ST RTN 02/10/2026 W/O ELECTRIC]</t>
        </is>
      </c>
      <c r="Q433" s="4" t="n">
        <v>0</v>
      </c>
      <c r="R433" s="4" t="n">
        <v>0</v>
      </c>
      <c r="S433" s="4" t="n">
        <v>0</v>
      </c>
      <c r="T433" s="4" t="n">
        <v>0</v>
      </c>
      <c r="U433" s="4" t="n">
        <v>1</v>
      </c>
      <c r="V433" s="4" t="n">
        <v>0</v>
      </c>
      <c r="W433" s="4" t="n">
        <v>0</v>
      </c>
      <c r="X433" s="4" t="n">
        <v>0</v>
      </c>
      <c r="Y433" s="4" t="n">
        <v>0</v>
      </c>
      <c r="Z433" s="4" t="n">
        <v>0</v>
      </c>
      <c r="AA433" s="4" t="n">
        <v>0</v>
      </c>
      <c r="AB433" s="4">
        <f>SUM(Q433:Y433)-Z433</f>
        <v/>
      </c>
      <c r="AC433" s="4">
        <f>IF(I433="","",IF(OR(LEFT(I433,3)="BKK",I433="LCH55"),"BKK",IF(LEFT(I433,3)="LCH","LCH","OTHER")))</f>
        <v/>
      </c>
      <c r="AD433" s="4">
        <f>MAX(0,Q433-MAX(0,Z433))</f>
        <v/>
      </c>
      <c r="AE433" s="4">
        <f>MAX(0,R433-MAX(0,Z433-SUM(Q433:Q433)))</f>
        <v/>
      </c>
      <c r="AF433" s="4">
        <f>MAX(0,S433-MAX(0,Z433-SUM(Q433:R433)))</f>
        <v/>
      </c>
      <c r="AG433" s="4">
        <f>MAX(0,T433-MAX(0,Z433-SUM(Q433:S433)))</f>
        <v/>
      </c>
      <c r="AH433" s="4">
        <f>MAX(0,U433-MAX(0,Z433-SUM(Q433:T433)))</f>
        <v/>
      </c>
      <c r="AI433" s="4">
        <f>MAX(0,V433-MAX(0,Z433-SUM(Q433:U433)))</f>
        <v/>
      </c>
      <c r="AJ433" s="4">
        <f>MAX(0,W433-MAX(0,Z433-SUM(Q433:V433)))</f>
        <v/>
      </c>
      <c r="AK433" s="4">
        <f>MAX(0,X433-MAX(0,Z433-SUM(Q433:W433)))</f>
        <v/>
      </c>
      <c r="AL433" s="4">
        <f>MAX(0,Y433-MAX(0,Z433-SUM(Q433:X433)))</f>
        <v/>
      </c>
    </row>
    <row r="434">
      <c r="A434" s="4" t="inlineStr">
        <is>
          <t>HASLS22260900900</t>
        </is>
      </c>
      <c r="B434" s="4" t="inlineStr">
        <is>
          <t>PCCP</t>
        </is>
      </c>
      <c r="C434" s="4" t="inlineStr">
        <is>
          <t>2610N</t>
        </is>
      </c>
      <c r="D434" s="4" t="inlineStr">
        <is>
          <t>202610120600</t>
        </is>
      </c>
      <c r="E434" s="4" t="inlineStr"/>
      <c r="F434" s="4" t="inlineStr">
        <is>
          <t>THLCH</t>
        </is>
      </c>
      <c r="G434" s="4" t="inlineStr">
        <is>
          <t>JPIYM</t>
        </is>
      </c>
      <c r="H434" s="4" t="inlineStr">
        <is>
          <t xml:space="preserve">20'x7 </t>
        </is>
      </c>
      <c r="I434" s="4" t="inlineStr">
        <is>
          <t>LCH27</t>
        </is>
      </c>
      <c r="J434" s="4" t="inlineStr">
        <is>
          <t xml:space="preserve">HAST Logistics Co.,Ltd. </t>
        </is>
      </c>
      <c r="K434" s="4" t="inlineStr">
        <is>
          <t>20260925</t>
        </is>
      </c>
      <c r="L434" s="4" t="inlineStr">
        <is>
          <t>WHA GC LOGISTICS COMPANY LIMITED</t>
        </is>
      </c>
      <c r="M434" s="4" t="inlineStr">
        <is>
          <t>PTT GLOBAL CHEMICAL PUBLIC COMPANY LIMITED</t>
        </is>
      </c>
      <c r="N434" s="4" t="inlineStr">
        <is>
          <t>RESIN</t>
        </is>
      </c>
      <c r="O434" s="4" t="inlineStr">
        <is>
          <t>*** REQ. GOOD &amp; CLEAN  CONT. .( NO SMELL)  ***</t>
        </is>
      </c>
      <c r="P434" s="4" t="inlineStr">
        <is>
          <t>CY-RTN 25-27/09/26 (PR2610002905)
*PLS CHECK OPEN GATE BEFORE RETURN CTNR*</t>
        </is>
      </c>
      <c r="Q434" s="4" t="n">
        <v>7</v>
      </c>
      <c r="R434" s="4" t="n">
        <v>0</v>
      </c>
      <c r="S434" s="4" t="n">
        <v>0</v>
      </c>
      <c r="T434" s="4" t="n">
        <v>0</v>
      </c>
      <c r="U434" s="4" t="n">
        <v>0</v>
      </c>
      <c r="V434" s="4" t="n">
        <v>0</v>
      </c>
      <c r="W434" s="4" t="n">
        <v>0</v>
      </c>
      <c r="X434" s="4" t="n">
        <v>0</v>
      </c>
      <c r="Y434" s="4" t="n">
        <v>0</v>
      </c>
      <c r="Z434" s="4" t="n">
        <v>0</v>
      </c>
      <c r="AA434" s="4" t="n">
        <v>0</v>
      </c>
      <c r="AB434" s="4">
        <f>SUM(Q434:Y434)-Z434</f>
        <v/>
      </c>
      <c r="AC434" s="4">
        <f>IF(I434="","",IF(OR(LEFT(I434,3)="BKK",I434="LCH55"),"BKK",IF(LEFT(I434,3)="LCH","LCH","OTHER")))</f>
        <v/>
      </c>
      <c r="AD434" s="4">
        <f>MAX(0,Q434-MAX(0,Z434))</f>
        <v/>
      </c>
      <c r="AE434" s="4">
        <f>MAX(0,R434-MAX(0,Z434-SUM(Q434:Q434)))</f>
        <v/>
      </c>
      <c r="AF434" s="4">
        <f>MAX(0,S434-MAX(0,Z434-SUM(Q434:R434)))</f>
        <v/>
      </c>
      <c r="AG434" s="4">
        <f>MAX(0,T434-MAX(0,Z434-SUM(Q434:S434)))</f>
        <v/>
      </c>
      <c r="AH434" s="4">
        <f>MAX(0,U434-MAX(0,Z434-SUM(Q434:T434)))</f>
        <v/>
      </c>
      <c r="AI434" s="4">
        <f>MAX(0,V434-MAX(0,Z434-SUM(Q434:U434)))</f>
        <v/>
      </c>
      <c r="AJ434" s="4">
        <f>MAX(0,W434-MAX(0,Z434-SUM(Q434:V434)))</f>
        <v/>
      </c>
      <c r="AK434" s="4">
        <f>MAX(0,X434-MAX(0,Z434-SUM(Q434:W434)))</f>
        <v/>
      </c>
      <c r="AL434" s="4">
        <f>MAX(0,Y434-MAX(0,Z434-SUM(Q434:X434)))</f>
        <v/>
      </c>
    </row>
    <row r="435">
      <c r="A435" s="4" t="inlineStr">
        <is>
          <t>HASLS22260900906</t>
        </is>
      </c>
      <c r="B435" s="4" t="inlineStr">
        <is>
          <t>SWAT</t>
        </is>
      </c>
      <c r="C435" s="4" t="inlineStr">
        <is>
          <t>2610N</t>
        </is>
      </c>
      <c r="D435" s="4" t="inlineStr">
        <is>
          <t>202610081000</t>
        </is>
      </c>
      <c r="E435" s="4" t="inlineStr"/>
      <c r="F435" s="4" t="inlineStr">
        <is>
          <t>THLCH</t>
        </is>
      </c>
      <c r="G435" s="4" t="inlineStr">
        <is>
          <t>CNSHK</t>
        </is>
      </c>
      <c r="H435" s="4" t="inlineStr">
        <is>
          <t xml:space="preserve">20'x1 </t>
        </is>
      </c>
      <c r="I435" s="4" t="inlineStr">
        <is>
          <t>LCH27</t>
        </is>
      </c>
      <c r="J435" s="4" t="inlineStr">
        <is>
          <t xml:space="preserve">HAST Logistics Co.,Ltd. </t>
        </is>
      </c>
      <c r="K435" s="4" t="inlineStr">
        <is>
          <t>20260929</t>
        </is>
      </c>
      <c r="L435" s="4" t="inlineStr">
        <is>
          <t>THAI POLYCARBONATE CO., LTD.</t>
        </is>
      </c>
      <c r="M435" s="4" t="inlineStr">
        <is>
          <t>THAI POLYACETAL CO., LTD.</t>
        </is>
      </c>
      <c r="N435" s="4" t="inlineStr">
        <is>
          <t>POLYACETAL RESIN , HS CODEIS 3907.10</t>
        </is>
      </c>
      <c r="O435" s="4" t="inlineStr">
        <is>
          <t>PLEASE PROVIDE GOOD AND CLEAN CONTAINER, NO RUST, NO HOLE, NO SMELL WITH STRONG FLOORBOARD (LOAD BY FORKLIFT) AND BULLET SEAL TO THIS SHIPMENT</t>
        </is>
      </c>
      <c r="P435" s="4" t="inlineStr">
        <is>
          <t xml:space="preserve">Pickup : 2026-09-29, Return : 2026-10-01 
 ** PLEASE CHECK OPEN GATE BEFORE RETURN CNTR **
</t>
        </is>
      </c>
      <c r="Q435" s="4" t="n">
        <v>1</v>
      </c>
      <c r="R435" s="4" t="n">
        <v>0</v>
      </c>
      <c r="S435" s="4" t="n">
        <v>0</v>
      </c>
      <c r="T435" s="4" t="n">
        <v>0</v>
      </c>
      <c r="U435" s="4" t="n">
        <v>0</v>
      </c>
      <c r="V435" s="4" t="n">
        <v>0</v>
      </c>
      <c r="W435" s="4" t="n">
        <v>0</v>
      </c>
      <c r="X435" s="4" t="n">
        <v>0</v>
      </c>
      <c r="Y435" s="4" t="n">
        <v>0</v>
      </c>
      <c r="Z435" s="4" t="n">
        <v>0</v>
      </c>
      <c r="AA435" s="4" t="n">
        <v>0</v>
      </c>
      <c r="AB435" s="4">
        <f>SUM(Q435:Y435)-Z435</f>
        <v/>
      </c>
      <c r="AC435" s="4">
        <f>IF(I435="","",IF(OR(LEFT(I435,3)="BKK",I435="LCH55"),"BKK",IF(LEFT(I435,3)="LCH","LCH","OTHER")))</f>
        <v/>
      </c>
      <c r="AD435" s="4">
        <f>MAX(0,Q435-MAX(0,Z435))</f>
        <v/>
      </c>
      <c r="AE435" s="4">
        <f>MAX(0,R435-MAX(0,Z435-SUM(Q435:Q435)))</f>
        <v/>
      </c>
      <c r="AF435" s="4">
        <f>MAX(0,S435-MAX(0,Z435-SUM(Q435:R435)))</f>
        <v/>
      </c>
      <c r="AG435" s="4">
        <f>MAX(0,T435-MAX(0,Z435-SUM(Q435:S435)))</f>
        <v/>
      </c>
      <c r="AH435" s="4">
        <f>MAX(0,U435-MAX(0,Z435-SUM(Q435:T435)))</f>
        <v/>
      </c>
      <c r="AI435" s="4">
        <f>MAX(0,V435-MAX(0,Z435-SUM(Q435:U435)))</f>
        <v/>
      </c>
      <c r="AJ435" s="4">
        <f>MAX(0,W435-MAX(0,Z435-SUM(Q435:V435)))</f>
        <v/>
      </c>
      <c r="AK435" s="4">
        <f>MAX(0,X435-MAX(0,Z435-SUM(Q435:W435)))</f>
        <v/>
      </c>
      <c r="AL435" s="4">
        <f>MAX(0,Y435-MAX(0,Z435-SUM(Q435:X435)))</f>
        <v/>
      </c>
    </row>
    <row r="436">
      <c r="A436" s="4" t="inlineStr">
        <is>
          <t>HASLS22260900907</t>
        </is>
      </c>
      <c r="B436" s="4" t="inlineStr">
        <is>
          <t>KMBK</t>
        </is>
      </c>
      <c r="C436" s="4" t="inlineStr">
        <is>
          <t>2611N</t>
        </is>
      </c>
      <c r="D436" s="4" t="inlineStr">
        <is>
          <t>202610040100</t>
        </is>
      </c>
      <c r="E436" s="4" t="inlineStr"/>
      <c r="F436" s="4" t="inlineStr">
        <is>
          <t>THLCH</t>
        </is>
      </c>
      <c r="G436" s="4" t="inlineStr">
        <is>
          <t>JPKIJ</t>
        </is>
      </c>
      <c r="H436" s="4" t="inlineStr">
        <is>
          <t xml:space="preserve">20'x3 </t>
        </is>
      </c>
      <c r="I436" s="4" t="inlineStr">
        <is>
          <t>LCH27</t>
        </is>
      </c>
      <c r="J436" s="4" t="inlineStr">
        <is>
          <t xml:space="preserve">HAST Logistics Co.,Ltd. </t>
        </is>
      </c>
      <c r="K436" s="4" t="inlineStr">
        <is>
          <t>20260929</t>
        </is>
      </c>
      <c r="L436" s="4" t="inlineStr">
        <is>
          <t>THAI KAWANISHI LIMITED</t>
        </is>
      </c>
      <c r="M436" s="4" t="inlineStr">
        <is>
          <t>SMC FOOD (THAILAND) CO.,LTD.</t>
        </is>
      </c>
      <c r="N436" s="4" t="inlineStr">
        <is>
          <t>Sugar</t>
        </is>
      </c>
      <c r="O436" s="4" t="inlineStr">
        <is>
          <t>REQUEST FOOD GRADE / SMOOTH FLOOR / NO SMELL / NO RUST / UNDER DECK</t>
        </is>
      </c>
      <c r="P436" s="4" t="inlineStr">
        <is>
          <t>Pickup : 2026-09-29, Return : 2026-09-29</t>
        </is>
      </c>
      <c r="Q436" s="4" t="n">
        <v>3</v>
      </c>
      <c r="R436" s="4" t="n">
        <v>0</v>
      </c>
      <c r="S436" s="4" t="n">
        <v>0</v>
      </c>
      <c r="T436" s="4" t="n">
        <v>0</v>
      </c>
      <c r="U436" s="4" t="n">
        <v>0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>
        <f>SUM(Q436:Y436)-Z436</f>
        <v/>
      </c>
      <c r="AC436" s="4">
        <f>IF(I436="","",IF(OR(LEFT(I436,3)="BKK",I436="LCH55"),"BKK",IF(LEFT(I436,3)="LCH","LCH","OTHER")))</f>
        <v/>
      </c>
      <c r="AD436" s="4">
        <f>MAX(0,Q436-MAX(0,Z436))</f>
        <v/>
      </c>
      <c r="AE436" s="4">
        <f>MAX(0,R436-MAX(0,Z436-SUM(Q436:Q436)))</f>
        <v/>
      </c>
      <c r="AF436" s="4">
        <f>MAX(0,S436-MAX(0,Z436-SUM(Q436:R436)))</f>
        <v/>
      </c>
      <c r="AG436" s="4">
        <f>MAX(0,T436-MAX(0,Z436-SUM(Q436:S436)))</f>
        <v/>
      </c>
      <c r="AH436" s="4">
        <f>MAX(0,U436-MAX(0,Z436-SUM(Q436:T436)))</f>
        <v/>
      </c>
      <c r="AI436" s="4">
        <f>MAX(0,V436-MAX(0,Z436-SUM(Q436:U436)))</f>
        <v/>
      </c>
      <c r="AJ436" s="4">
        <f>MAX(0,W436-MAX(0,Z436-SUM(Q436:V436)))</f>
        <v/>
      </c>
      <c r="AK436" s="4">
        <f>MAX(0,X436-MAX(0,Z436-SUM(Q436:W436)))</f>
        <v/>
      </c>
      <c r="AL436" s="4">
        <f>MAX(0,Y436-MAX(0,Z436-SUM(Q436:X436)))</f>
        <v/>
      </c>
    </row>
    <row r="437">
      <c r="A437" s="4" t="inlineStr">
        <is>
          <t>HASLS22260900917</t>
        </is>
      </c>
      <c r="B437" s="4" t="inlineStr">
        <is>
          <t>SWDN</t>
        </is>
      </c>
      <c r="C437" s="4" t="inlineStr">
        <is>
          <t>2610N</t>
        </is>
      </c>
      <c r="D437" s="4" t="inlineStr">
        <is>
          <t>202610070300</t>
        </is>
      </c>
      <c r="E437" s="4" t="inlineStr"/>
      <c r="F437" s="4" t="inlineStr">
        <is>
          <t>THLCH</t>
        </is>
      </c>
      <c r="G437" s="4" t="inlineStr">
        <is>
          <t>HKHKG</t>
        </is>
      </c>
      <c r="H437" s="4" t="inlineStr">
        <is>
          <t xml:space="preserve">R40Hx1 </t>
        </is>
      </c>
      <c r="I437" s="4" t="inlineStr">
        <is>
          <t>LCH27</t>
        </is>
      </c>
      <c r="J437" s="4" t="inlineStr">
        <is>
          <t xml:space="preserve">HAST Logistics Co.,Ltd. </t>
        </is>
      </c>
      <c r="K437" s="4" t="inlineStr">
        <is>
          <t>20260928</t>
        </is>
      </c>
      <c r="L437" s="4" t="inlineStr">
        <is>
          <t>DYNAMIC INTERTRANSPORT CO., LTD.</t>
        </is>
      </c>
      <c r="M437" s="4" t="inlineStr">
        <is>
          <t>CP-MEIJI CO., LTD.</t>
        </is>
      </c>
      <c r="N437" s="4" t="inlineStr">
        <is>
          <t>FRESH MILK AND MILK PRODUCT</t>
        </is>
      </c>
      <c r="O437" s="4" t="inlineStr">
        <is>
          <t>(Temp +0.0℃ / Vent Close)   
REQUEST : CLEAN AND GOOD CONTAINER FOR MILK PRODUCT</t>
        </is>
      </c>
      <c r="P437" s="4" t="inlineStr">
        <is>
          <t>Pickup : 2026-09-28, Return : 2026-09-29 (Temp +0.0 / Vent Close) 
CLS TIME 29/09/26 @18.00</t>
        </is>
      </c>
      <c r="Q437" s="4" t="n">
        <v>0</v>
      </c>
      <c r="R437" s="4" t="n">
        <v>0</v>
      </c>
      <c r="S437" s="4" t="n">
        <v>0</v>
      </c>
      <c r="T437" s="4" t="n">
        <v>0</v>
      </c>
      <c r="U437" s="4" t="n">
        <v>1</v>
      </c>
      <c r="V437" s="4" t="n">
        <v>0</v>
      </c>
      <c r="W437" s="4" t="n">
        <v>0</v>
      </c>
      <c r="X437" s="4" t="n">
        <v>0</v>
      </c>
      <c r="Y437" s="4" t="n">
        <v>0</v>
      </c>
      <c r="Z437" s="4" t="n">
        <v>0</v>
      </c>
      <c r="AA437" s="4" t="n">
        <v>0</v>
      </c>
      <c r="AB437" s="4">
        <f>SUM(Q437:Y437)-Z437</f>
        <v/>
      </c>
      <c r="AC437" s="4">
        <f>IF(I437="","",IF(OR(LEFT(I437,3)="BKK",I437="LCH55"),"BKK",IF(LEFT(I437,3)="LCH","LCH","OTHER")))</f>
        <v/>
      </c>
      <c r="AD437" s="4">
        <f>MAX(0,Q437-MAX(0,Z437))</f>
        <v/>
      </c>
      <c r="AE437" s="4">
        <f>MAX(0,R437-MAX(0,Z437-SUM(Q437:Q437)))</f>
        <v/>
      </c>
      <c r="AF437" s="4">
        <f>MAX(0,S437-MAX(0,Z437-SUM(Q437:R437)))</f>
        <v/>
      </c>
      <c r="AG437" s="4">
        <f>MAX(0,T437-MAX(0,Z437-SUM(Q437:S437)))</f>
        <v/>
      </c>
      <c r="AH437" s="4">
        <f>MAX(0,U437-MAX(0,Z437-SUM(Q437:T437)))</f>
        <v/>
      </c>
      <c r="AI437" s="4">
        <f>MAX(0,V437-MAX(0,Z437-SUM(Q437:U437)))</f>
        <v/>
      </c>
      <c r="AJ437" s="4">
        <f>MAX(0,W437-MAX(0,Z437-SUM(Q437:V437)))</f>
        <v/>
      </c>
      <c r="AK437" s="4">
        <f>MAX(0,X437-MAX(0,Z437-SUM(Q437:W437)))</f>
        <v/>
      </c>
      <c r="AL437" s="4">
        <f>MAX(0,Y437-MAX(0,Z437-SUM(Q437:X437)))</f>
        <v/>
      </c>
    </row>
    <row r="438">
      <c r="A438" s="4" t="inlineStr">
        <is>
          <t>HASLS22260900918</t>
        </is>
      </c>
      <c r="B438" s="4" t="inlineStr">
        <is>
          <t>SWDN</t>
        </is>
      </c>
      <c r="C438" s="4" t="inlineStr">
        <is>
          <t>2610N</t>
        </is>
      </c>
      <c r="D438" s="4" t="inlineStr">
        <is>
          <t>202610070300</t>
        </is>
      </c>
      <c r="E438" s="4" t="inlineStr"/>
      <c r="F438" s="4" t="inlineStr">
        <is>
          <t>THLCH</t>
        </is>
      </c>
      <c r="G438" s="4" t="inlineStr">
        <is>
          <t>HKHKG</t>
        </is>
      </c>
      <c r="H438" s="4" t="inlineStr">
        <is>
          <t xml:space="preserve">R40Hx1 </t>
        </is>
      </c>
      <c r="I438" s="4" t="inlineStr">
        <is>
          <t>LCH27</t>
        </is>
      </c>
      <c r="J438" s="4" t="inlineStr">
        <is>
          <t xml:space="preserve">HAST Logistics Co.,Ltd. </t>
        </is>
      </c>
      <c r="K438" s="4" t="inlineStr">
        <is>
          <t>20260928</t>
        </is>
      </c>
      <c r="L438" s="4" t="inlineStr">
        <is>
          <t>DYNAMIC INTERTRANSPORT CO., LTD.</t>
        </is>
      </c>
      <c r="M438" s="4" t="inlineStr">
        <is>
          <t>CP-MEIJI CO., LTD.</t>
        </is>
      </c>
      <c r="N438" s="4" t="inlineStr">
        <is>
          <t>FRESH MILK AND MILK PRODUCT</t>
        </is>
      </c>
      <c r="O438" s="4" t="inlineStr">
        <is>
          <t>(Temp +0.0℃ / Vent Close)   
REQUEST : CLEAN AND GOOD CONTAINER FOR MILK PRODUCT</t>
        </is>
      </c>
      <c r="P438" s="4" t="inlineStr">
        <is>
          <t>Pickup : 2026-09-28, Return : 2026-09-29 (Temp +0.0 / Vent Close) 
CLS TIME 29/09/26 @18.00</t>
        </is>
      </c>
      <c r="Q438" s="4" t="n">
        <v>0</v>
      </c>
      <c r="R438" s="4" t="n">
        <v>0</v>
      </c>
      <c r="S438" s="4" t="n">
        <v>0</v>
      </c>
      <c r="T438" s="4" t="n">
        <v>0</v>
      </c>
      <c r="U438" s="4" t="n">
        <v>1</v>
      </c>
      <c r="V438" s="4" t="n">
        <v>0</v>
      </c>
      <c r="W438" s="4" t="n">
        <v>0</v>
      </c>
      <c r="X438" s="4" t="n">
        <v>0</v>
      </c>
      <c r="Y438" s="4" t="n">
        <v>0</v>
      </c>
      <c r="Z438" s="4" t="n">
        <v>0</v>
      </c>
      <c r="AA438" s="4" t="n">
        <v>0</v>
      </c>
      <c r="AB438" s="4">
        <f>SUM(Q438:Y438)-Z438</f>
        <v/>
      </c>
      <c r="AC438" s="4">
        <f>IF(I438="","",IF(OR(LEFT(I438,3)="BKK",I438="LCH55"),"BKK",IF(LEFT(I438,3)="LCH","LCH","OTHER")))</f>
        <v/>
      </c>
      <c r="AD438" s="4">
        <f>MAX(0,Q438-MAX(0,Z438))</f>
        <v/>
      </c>
      <c r="AE438" s="4">
        <f>MAX(0,R438-MAX(0,Z438-SUM(Q438:Q438)))</f>
        <v/>
      </c>
      <c r="AF438" s="4">
        <f>MAX(0,S438-MAX(0,Z438-SUM(Q438:R438)))</f>
        <v/>
      </c>
      <c r="AG438" s="4">
        <f>MAX(0,T438-MAX(0,Z438-SUM(Q438:S438)))</f>
        <v/>
      </c>
      <c r="AH438" s="4">
        <f>MAX(0,U438-MAX(0,Z438-SUM(Q438:T438)))</f>
        <v/>
      </c>
      <c r="AI438" s="4">
        <f>MAX(0,V438-MAX(0,Z438-SUM(Q438:U438)))</f>
        <v/>
      </c>
      <c r="AJ438" s="4">
        <f>MAX(0,W438-MAX(0,Z438-SUM(Q438:V438)))</f>
        <v/>
      </c>
      <c r="AK438" s="4">
        <f>MAX(0,X438-MAX(0,Z438-SUM(Q438:W438)))</f>
        <v/>
      </c>
      <c r="AL438" s="4">
        <f>MAX(0,Y438-MAX(0,Z438-SUM(Q438:X438)))</f>
        <v/>
      </c>
    </row>
    <row r="439">
      <c r="A439" s="4" t="inlineStr">
        <is>
          <t>HASLS22260900987</t>
        </is>
      </c>
      <c r="B439" s="4" t="inlineStr">
        <is>
          <t>SWRG</t>
        </is>
      </c>
      <c r="C439" s="4" t="inlineStr">
        <is>
          <t>2609N</t>
        </is>
      </c>
      <c r="D439" s="4" t="inlineStr">
        <is>
          <t>202610131130</t>
        </is>
      </c>
      <c r="E439" s="4" t="inlineStr"/>
      <c r="F439" s="4" t="inlineStr">
        <is>
          <t>THLCH</t>
        </is>
      </c>
      <c r="G439" s="4" t="inlineStr">
        <is>
          <t>CNSHA</t>
        </is>
      </c>
      <c r="H439" s="4" t="inlineStr">
        <is>
          <t xml:space="preserve">20'x2 </t>
        </is>
      </c>
      <c r="I439" s="4" t="inlineStr">
        <is>
          <t>LCH27</t>
        </is>
      </c>
      <c r="J439" s="4" t="inlineStr">
        <is>
          <t xml:space="preserve">HAST Logistics Co.,Ltd. </t>
        </is>
      </c>
      <c r="K439" s="4" t="inlineStr">
        <is>
          <t>20261001</t>
        </is>
      </c>
      <c r="L439" s="4" t="inlineStr">
        <is>
          <t>L.A.1 CO.,LTD.</t>
        </is>
      </c>
      <c r="M439" s="4" t="inlineStr">
        <is>
          <t>TANATEX CHEMICALS (THAILAND) CO., LTD.</t>
        </is>
      </c>
      <c r="N439" s="4" t="inlineStr">
        <is>
          <t>CHEMICALS PRODUCT (NON DG)</t>
        </is>
      </c>
      <c r="O439" s="4" t="inlineStr">
        <is>
          <t>GOOD AND CLEAN CONTAINER</t>
        </is>
      </c>
      <c r="P439" s="4" t="inlineStr">
        <is>
          <t>Pickup : 2026-10-01, Return : 2026-10-02 [1ST RTN 03/10/2026 WO RENT]</t>
        </is>
      </c>
      <c r="Q439" s="4" t="n">
        <v>2</v>
      </c>
      <c r="R439" s="4" t="n">
        <v>0</v>
      </c>
      <c r="S439" s="4" t="n">
        <v>0</v>
      </c>
      <c r="T439" s="4" t="n">
        <v>0</v>
      </c>
      <c r="U439" s="4" t="n">
        <v>0</v>
      </c>
      <c r="V439" s="4" t="n">
        <v>0</v>
      </c>
      <c r="W439" s="4" t="n">
        <v>0</v>
      </c>
      <c r="X439" s="4" t="n">
        <v>0</v>
      </c>
      <c r="Y439" s="4" t="n">
        <v>0</v>
      </c>
      <c r="Z439" s="4" t="n">
        <v>0</v>
      </c>
      <c r="AA439" s="4" t="n">
        <v>0</v>
      </c>
      <c r="AB439" s="4">
        <f>SUM(Q439:Y439)-Z439</f>
        <v/>
      </c>
      <c r="AC439" s="4">
        <f>IF(I439="","",IF(OR(LEFT(I439,3)="BKK",I439="LCH55"),"BKK",IF(LEFT(I439,3)="LCH","LCH","OTHER")))</f>
        <v/>
      </c>
      <c r="AD439" s="4">
        <f>MAX(0,Q439-MAX(0,Z439))</f>
        <v/>
      </c>
      <c r="AE439" s="4">
        <f>MAX(0,R439-MAX(0,Z439-SUM(Q439:Q439)))</f>
        <v/>
      </c>
      <c r="AF439" s="4">
        <f>MAX(0,S439-MAX(0,Z439-SUM(Q439:R439)))</f>
        <v/>
      </c>
      <c r="AG439" s="4">
        <f>MAX(0,T439-MAX(0,Z439-SUM(Q439:S439)))</f>
        <v/>
      </c>
      <c r="AH439" s="4">
        <f>MAX(0,U439-MAX(0,Z439-SUM(Q439:T439)))</f>
        <v/>
      </c>
      <c r="AI439" s="4">
        <f>MAX(0,V439-MAX(0,Z439-SUM(Q439:U439)))</f>
        <v/>
      </c>
      <c r="AJ439" s="4">
        <f>MAX(0,W439-MAX(0,Z439-SUM(Q439:V439)))</f>
        <v/>
      </c>
      <c r="AK439" s="4">
        <f>MAX(0,X439-MAX(0,Z439-SUM(Q439:W439)))</f>
        <v/>
      </c>
      <c r="AL439" s="4">
        <f>MAX(0,Y439-MAX(0,Z439-SUM(Q439:X439)))</f>
        <v/>
      </c>
    </row>
    <row r="440">
      <c r="A440" s="4" t="inlineStr">
        <is>
          <t>HASLS22260900988</t>
        </is>
      </c>
      <c r="B440" s="4" t="inlineStr">
        <is>
          <t>SWRG</t>
        </is>
      </c>
      <c r="C440" s="4" t="inlineStr">
        <is>
          <t>2609N</t>
        </is>
      </c>
      <c r="D440" s="4" t="inlineStr">
        <is>
          <t>202610131130</t>
        </is>
      </c>
      <c r="E440" s="4" t="inlineStr"/>
      <c r="F440" s="4" t="inlineStr">
        <is>
          <t>THLCH</t>
        </is>
      </c>
      <c r="G440" s="4" t="inlineStr">
        <is>
          <t>CNSHA</t>
        </is>
      </c>
      <c r="H440" s="4" t="inlineStr">
        <is>
          <t xml:space="preserve">20'x2 </t>
        </is>
      </c>
      <c r="I440" s="4" t="inlineStr">
        <is>
          <t>LCH27</t>
        </is>
      </c>
      <c r="J440" s="4" t="inlineStr">
        <is>
          <t xml:space="preserve">HAST Logistics Co.,Ltd. </t>
        </is>
      </c>
      <c r="K440" s="4" t="inlineStr">
        <is>
          <t>20261007</t>
        </is>
      </c>
      <c r="L440" s="4" t="inlineStr">
        <is>
          <t>L.A.1 CO.,LTD.</t>
        </is>
      </c>
      <c r="M440" s="4" t="inlineStr">
        <is>
          <t>TANATEX CHEMICALS (THAILAND) CO., LTD.</t>
        </is>
      </c>
      <c r="N440" s="4" t="inlineStr">
        <is>
          <t>CHEMICALS PRODUCT (NON DG)</t>
        </is>
      </c>
      <c r="O440" s="4" t="inlineStr">
        <is>
          <t>GOOD AND CLEAN CONTAINER</t>
        </is>
      </c>
      <c r="P440" s="4" t="inlineStr">
        <is>
          <t>Pickup : 2026-10-07, Return : 2026-10-08</t>
        </is>
      </c>
      <c r="Q440" s="4" t="n">
        <v>2</v>
      </c>
      <c r="R440" s="4" t="n">
        <v>0</v>
      </c>
      <c r="S440" s="4" t="n">
        <v>0</v>
      </c>
      <c r="T440" s="4" t="n">
        <v>0</v>
      </c>
      <c r="U440" s="4" t="n">
        <v>0</v>
      </c>
      <c r="V440" s="4" t="n">
        <v>0</v>
      </c>
      <c r="W440" s="4" t="n">
        <v>0</v>
      </c>
      <c r="X440" s="4" t="n">
        <v>0</v>
      </c>
      <c r="Y440" s="4" t="n">
        <v>0</v>
      </c>
      <c r="Z440" s="4" t="n">
        <v>0</v>
      </c>
      <c r="AA440" s="4" t="n">
        <v>0</v>
      </c>
      <c r="AB440" s="4">
        <f>SUM(Q440:Y440)-Z440</f>
        <v/>
      </c>
      <c r="AC440" s="4">
        <f>IF(I440="","",IF(OR(LEFT(I440,3)="BKK",I440="LCH55"),"BKK",IF(LEFT(I440,3)="LCH","LCH","OTHER")))</f>
        <v/>
      </c>
      <c r="AD440" s="4">
        <f>MAX(0,Q440-MAX(0,Z440))</f>
        <v/>
      </c>
      <c r="AE440" s="4">
        <f>MAX(0,R440-MAX(0,Z440-SUM(Q440:Q440)))</f>
        <v/>
      </c>
      <c r="AF440" s="4">
        <f>MAX(0,S440-MAX(0,Z440-SUM(Q440:R440)))</f>
        <v/>
      </c>
      <c r="AG440" s="4">
        <f>MAX(0,T440-MAX(0,Z440-SUM(Q440:S440)))</f>
        <v/>
      </c>
      <c r="AH440" s="4">
        <f>MAX(0,U440-MAX(0,Z440-SUM(Q440:T440)))</f>
        <v/>
      </c>
      <c r="AI440" s="4">
        <f>MAX(0,V440-MAX(0,Z440-SUM(Q440:U440)))</f>
        <v/>
      </c>
      <c r="AJ440" s="4">
        <f>MAX(0,W440-MAX(0,Z440-SUM(Q440:V440)))</f>
        <v/>
      </c>
      <c r="AK440" s="4">
        <f>MAX(0,X440-MAX(0,Z440-SUM(Q440:W440)))</f>
        <v/>
      </c>
      <c r="AL440" s="4">
        <f>MAX(0,Y440-MAX(0,Z440-SUM(Q440:X440)))</f>
        <v/>
      </c>
    </row>
    <row r="441">
      <c r="A441" s="4" t="inlineStr">
        <is>
          <t>HASLS22260901015</t>
        </is>
      </c>
      <c r="B441" s="4" t="inlineStr">
        <is>
          <t>SWDN</t>
        </is>
      </c>
      <c r="C441" s="4" t="inlineStr">
        <is>
          <t>2610N</t>
        </is>
      </c>
      <c r="D441" s="4" t="inlineStr">
        <is>
          <t>202610070300</t>
        </is>
      </c>
      <c r="E441" s="4" t="inlineStr"/>
      <c r="F441" s="4" t="inlineStr">
        <is>
          <t>THLCH</t>
        </is>
      </c>
      <c r="G441" s="4" t="inlineStr">
        <is>
          <t>CNXMN</t>
        </is>
      </c>
      <c r="H441" s="4" t="inlineStr">
        <is>
          <t xml:space="preserve">20'x1 </t>
        </is>
      </c>
      <c r="I441" s="4" t="inlineStr">
        <is>
          <t>LCH27</t>
        </is>
      </c>
      <c r="J441" s="4" t="inlineStr">
        <is>
          <t xml:space="preserve">HAST Logistics Co.,Ltd. </t>
        </is>
      </c>
      <c r="K441" s="4" t="inlineStr">
        <is>
          <t>20260924</t>
        </is>
      </c>
      <c r="L441" s="4" t="inlineStr">
        <is>
          <t>THAI POLYCARBONATE CO., LTD.</t>
        </is>
      </c>
      <c r="M441" s="4" t="inlineStr">
        <is>
          <t>THAI POLYCARBONATE CO., LTD.</t>
        </is>
      </c>
      <c r="N441" s="4" t="inlineStr">
        <is>
          <t>POLYCARBONATE RESIN , HS CODEIS 3907.40</t>
        </is>
      </c>
      <c r="O441" s="4" t="inlineStr">
        <is>
          <t>GOOD AND CLEAN CONTAINER, NO RUST, NO HOLE, NO SMELL WITH STRONG FLOORBOARD (LOAD BY FORKLIFT)</t>
        </is>
      </c>
      <c r="P441" s="4" t="inlineStr">
        <is>
          <t xml:space="preserve">Pickup : 2026-09-24, Return : 2026-09-25 (1ST RTN 26/09 W/O RENT) 
 ** PLEASE CHECK OPEN GATE BEFORE RETURN CNTR **
</t>
        </is>
      </c>
      <c r="Q441" s="4" t="n">
        <v>1</v>
      </c>
      <c r="R441" s="4" t="n">
        <v>0</v>
      </c>
      <c r="S441" s="4" t="n">
        <v>0</v>
      </c>
      <c r="T441" s="4" t="n">
        <v>0</v>
      </c>
      <c r="U441" s="4" t="n">
        <v>0</v>
      </c>
      <c r="V441" s="4" t="n">
        <v>0</v>
      </c>
      <c r="W441" s="4" t="n">
        <v>0</v>
      </c>
      <c r="X441" s="4" t="n">
        <v>0</v>
      </c>
      <c r="Y441" s="4" t="n">
        <v>0</v>
      </c>
      <c r="Z441" s="4" t="n">
        <v>0</v>
      </c>
      <c r="AA441" s="4" t="n">
        <v>0</v>
      </c>
      <c r="AB441" s="4">
        <f>SUM(Q441:Y441)-Z441</f>
        <v/>
      </c>
      <c r="AC441" s="4">
        <f>IF(I441="","",IF(OR(LEFT(I441,3)="BKK",I441="LCH55"),"BKK",IF(LEFT(I441,3)="LCH","LCH","OTHER")))</f>
        <v/>
      </c>
      <c r="AD441" s="4">
        <f>MAX(0,Q441-MAX(0,Z441))</f>
        <v/>
      </c>
      <c r="AE441" s="4">
        <f>MAX(0,R441-MAX(0,Z441-SUM(Q441:Q441)))</f>
        <v/>
      </c>
      <c r="AF441" s="4">
        <f>MAX(0,S441-MAX(0,Z441-SUM(Q441:R441)))</f>
        <v/>
      </c>
      <c r="AG441" s="4">
        <f>MAX(0,T441-MAX(0,Z441-SUM(Q441:S441)))</f>
        <v/>
      </c>
      <c r="AH441" s="4">
        <f>MAX(0,U441-MAX(0,Z441-SUM(Q441:T441)))</f>
        <v/>
      </c>
      <c r="AI441" s="4">
        <f>MAX(0,V441-MAX(0,Z441-SUM(Q441:U441)))</f>
        <v/>
      </c>
      <c r="AJ441" s="4">
        <f>MAX(0,W441-MAX(0,Z441-SUM(Q441:V441)))</f>
        <v/>
      </c>
      <c r="AK441" s="4">
        <f>MAX(0,X441-MAX(0,Z441-SUM(Q441:W441)))</f>
        <v/>
      </c>
      <c r="AL441" s="4">
        <f>MAX(0,Y441-MAX(0,Z441-SUM(Q441:X441)))</f>
        <v/>
      </c>
    </row>
    <row r="442">
      <c r="A442" s="4" t="inlineStr">
        <is>
          <t>HASLS22260901029</t>
        </is>
      </c>
      <c r="B442" s="4" t="inlineStr">
        <is>
          <t>SWDN</t>
        </is>
      </c>
      <c r="C442" s="4" t="inlineStr">
        <is>
          <t>2610N</t>
        </is>
      </c>
      <c r="D442" s="4" t="inlineStr">
        <is>
          <t>202610070300</t>
        </is>
      </c>
      <c r="E442" s="4" t="inlineStr"/>
      <c r="F442" s="4" t="inlineStr">
        <is>
          <t>THLCH</t>
        </is>
      </c>
      <c r="G442" s="4" t="inlineStr">
        <is>
          <t>CNXMN</t>
        </is>
      </c>
      <c r="H442" s="4" t="inlineStr">
        <is>
          <t xml:space="preserve">20'x3 </t>
        </is>
      </c>
      <c r="I442" s="4" t="inlineStr">
        <is>
          <t>LCH27</t>
        </is>
      </c>
      <c r="J442" s="4" t="inlineStr">
        <is>
          <t xml:space="preserve">HAST Logistics Co.,Ltd. </t>
        </is>
      </c>
      <c r="K442" s="4" t="inlineStr">
        <is>
          <t>20260923</t>
        </is>
      </c>
      <c r="L442" s="4" t="inlineStr">
        <is>
          <t>THAI POLYCARBONATE CO., LTD.</t>
        </is>
      </c>
      <c r="M442" s="4" t="inlineStr">
        <is>
          <t>THAI POLYCARBONATE CO., LTD.</t>
        </is>
      </c>
      <c r="N442" s="4" t="inlineStr">
        <is>
          <t>POLYCARBONATE RESIN (HS CODE. 3907.40)</t>
        </is>
      </c>
      <c r="O442" s="4" t="inlineStr">
        <is>
          <t>Loading with pallet-by forklift, required good container with strong floorboard and bullet seal to this shipment</t>
        </is>
      </c>
      <c r="P442" s="4" t="inlineStr">
        <is>
          <t>Pickup : 2026-09-23, Return : 2026-09-25 [1ST RTN 26/09/2026 W/O RENT]
** PLEASE CHECK OPEN GATE BEFORE RETURN CONTAINER **</t>
        </is>
      </c>
      <c r="Q442" s="4" t="n">
        <v>3</v>
      </c>
      <c r="R442" s="4" t="n">
        <v>0</v>
      </c>
      <c r="S442" s="4" t="n">
        <v>0</v>
      </c>
      <c r="T442" s="4" t="n">
        <v>0</v>
      </c>
      <c r="U442" s="4" t="n">
        <v>0</v>
      </c>
      <c r="V442" s="4" t="n">
        <v>0</v>
      </c>
      <c r="W442" s="4" t="n">
        <v>0</v>
      </c>
      <c r="X442" s="4" t="n">
        <v>0</v>
      </c>
      <c r="Y442" s="4" t="n">
        <v>0</v>
      </c>
      <c r="Z442" s="4" t="n">
        <v>0</v>
      </c>
      <c r="AA442" s="4" t="n">
        <v>0</v>
      </c>
      <c r="AB442" s="4">
        <f>SUM(Q442:Y442)-Z442</f>
        <v/>
      </c>
      <c r="AC442" s="4">
        <f>IF(I442="","",IF(OR(LEFT(I442,3)="BKK",I442="LCH55"),"BKK",IF(LEFT(I442,3)="LCH","LCH","OTHER")))</f>
        <v/>
      </c>
      <c r="AD442" s="4">
        <f>MAX(0,Q442-MAX(0,Z442))</f>
        <v/>
      </c>
      <c r="AE442" s="4">
        <f>MAX(0,R442-MAX(0,Z442-SUM(Q442:Q442)))</f>
        <v/>
      </c>
      <c r="AF442" s="4">
        <f>MAX(0,S442-MAX(0,Z442-SUM(Q442:R442)))</f>
        <v/>
      </c>
      <c r="AG442" s="4">
        <f>MAX(0,T442-MAX(0,Z442-SUM(Q442:S442)))</f>
        <v/>
      </c>
      <c r="AH442" s="4">
        <f>MAX(0,U442-MAX(0,Z442-SUM(Q442:T442)))</f>
        <v/>
      </c>
      <c r="AI442" s="4">
        <f>MAX(0,V442-MAX(0,Z442-SUM(Q442:U442)))</f>
        <v/>
      </c>
      <c r="AJ442" s="4">
        <f>MAX(0,W442-MAX(0,Z442-SUM(Q442:V442)))</f>
        <v/>
      </c>
      <c r="AK442" s="4">
        <f>MAX(0,X442-MAX(0,Z442-SUM(Q442:W442)))</f>
        <v/>
      </c>
      <c r="AL442" s="4">
        <f>MAX(0,Y442-MAX(0,Z442-SUM(Q442:X442)))</f>
        <v/>
      </c>
    </row>
    <row r="443">
      <c r="A443" s="4" t="inlineStr">
        <is>
          <t>HASLS22260901093</t>
        </is>
      </c>
      <c r="B443" s="4" t="inlineStr">
        <is>
          <t>SWAL</t>
        </is>
      </c>
      <c r="C443" s="4" t="inlineStr">
        <is>
          <t>2609N</t>
        </is>
      </c>
      <c r="D443" s="4" t="inlineStr">
        <is>
          <t>202610200800</t>
        </is>
      </c>
      <c r="E443" s="4" t="inlineStr"/>
      <c r="F443" s="4" t="inlineStr">
        <is>
          <t>THLCH</t>
        </is>
      </c>
      <c r="G443" s="4" t="inlineStr">
        <is>
          <t>VNSGN</t>
        </is>
      </c>
      <c r="H443" s="4" t="inlineStr">
        <is>
          <t xml:space="preserve">40Hx1 </t>
        </is>
      </c>
      <c r="I443" s="4" t="inlineStr">
        <is>
          <t>LCH27</t>
        </is>
      </c>
      <c r="J443" s="4" t="inlineStr">
        <is>
          <t xml:space="preserve">HAST Logistics Co.,Ltd. </t>
        </is>
      </c>
      <c r="K443" s="4" t="inlineStr">
        <is>
          <t>20261015</t>
        </is>
      </c>
      <c r="L443" s="4" t="inlineStr">
        <is>
          <t>DSV AIR &amp; SEA LTD.</t>
        </is>
      </c>
      <c r="M443" s="4" t="inlineStr">
        <is>
          <t>GEMPACK ASIA LIMITED</t>
        </is>
      </c>
      <c r="N443" s="4" t="inlineStr">
        <is>
          <t>PLASTIC CLOSURES</t>
        </is>
      </c>
      <c r="O443" s="4" t="inlineStr">
        <is>
          <t>Good container</t>
        </is>
      </c>
      <c r="P443" s="4" t="inlineStr">
        <is>
          <t>Pickup : 2026-10-15, Return : 2026-10-15 [1ST RTN 16/10/2026 W/O RENT]
** PLEASE CHECK OPEN GATE BEFORE RETURN CONTAINER **</t>
        </is>
      </c>
      <c r="Q443" s="4" t="n">
        <v>0</v>
      </c>
      <c r="R443" s="4" t="n">
        <v>0</v>
      </c>
      <c r="S443" s="4" t="n">
        <v>1</v>
      </c>
      <c r="T443" s="4" t="n">
        <v>0</v>
      </c>
      <c r="U443" s="4" t="n">
        <v>0</v>
      </c>
      <c r="V443" s="4" t="n">
        <v>0</v>
      </c>
      <c r="W443" s="4" t="n">
        <v>0</v>
      </c>
      <c r="X443" s="4" t="n">
        <v>0</v>
      </c>
      <c r="Y443" s="4" t="n">
        <v>0</v>
      </c>
      <c r="Z443" s="4" t="n">
        <v>0</v>
      </c>
      <c r="AA443" s="4" t="n">
        <v>0</v>
      </c>
      <c r="AB443" s="4">
        <f>SUM(Q443:Y443)-Z443</f>
        <v/>
      </c>
      <c r="AC443" s="4">
        <f>IF(I443="","",IF(OR(LEFT(I443,3)="BKK",I443="LCH55"),"BKK",IF(LEFT(I443,3)="LCH","LCH","OTHER")))</f>
        <v/>
      </c>
      <c r="AD443" s="4">
        <f>MAX(0,Q443-MAX(0,Z443))</f>
        <v/>
      </c>
      <c r="AE443" s="4">
        <f>MAX(0,R443-MAX(0,Z443-SUM(Q443:Q443)))</f>
        <v/>
      </c>
      <c r="AF443" s="4">
        <f>MAX(0,S443-MAX(0,Z443-SUM(Q443:R443)))</f>
        <v/>
      </c>
      <c r="AG443" s="4">
        <f>MAX(0,T443-MAX(0,Z443-SUM(Q443:S443)))</f>
        <v/>
      </c>
      <c r="AH443" s="4">
        <f>MAX(0,U443-MAX(0,Z443-SUM(Q443:T443)))</f>
        <v/>
      </c>
      <c r="AI443" s="4">
        <f>MAX(0,V443-MAX(0,Z443-SUM(Q443:U443)))</f>
        <v/>
      </c>
      <c r="AJ443" s="4">
        <f>MAX(0,W443-MAX(0,Z443-SUM(Q443:V443)))</f>
        <v/>
      </c>
      <c r="AK443" s="4">
        <f>MAX(0,X443-MAX(0,Z443-SUM(Q443:W443)))</f>
        <v/>
      </c>
      <c r="AL443" s="4">
        <f>MAX(0,Y443-MAX(0,Z443-SUM(Q443:X443)))</f>
        <v/>
      </c>
    </row>
    <row r="444">
      <c r="A444" s="4" t="inlineStr">
        <is>
          <t>HASLS22260901109</t>
        </is>
      </c>
      <c r="B444" s="4" t="inlineStr">
        <is>
          <t>SWAL</t>
        </is>
      </c>
      <c r="C444" s="4" t="inlineStr">
        <is>
          <t>2609N</t>
        </is>
      </c>
      <c r="D444" s="4" t="inlineStr">
        <is>
          <t>202610200800</t>
        </is>
      </c>
      <c r="E444" s="4" t="inlineStr"/>
      <c r="F444" s="4" t="inlineStr">
        <is>
          <t>THLCH</t>
        </is>
      </c>
      <c r="G444" s="4" t="inlineStr">
        <is>
          <t>VNSGN</t>
        </is>
      </c>
      <c r="H444" s="4" t="inlineStr">
        <is>
          <t xml:space="preserve">40Hx2 </t>
        </is>
      </c>
      <c r="I444" s="4" t="inlineStr">
        <is>
          <t>LCH27</t>
        </is>
      </c>
      <c r="J444" s="4" t="inlineStr">
        <is>
          <t xml:space="preserve">HAST Logistics Co.,Ltd. </t>
        </is>
      </c>
      <c r="K444" s="4" t="inlineStr">
        <is>
          <t>20261015</t>
        </is>
      </c>
      <c r="L444" s="4" t="inlineStr">
        <is>
          <t>YUSEN LOGISTICS (THAILAND) CO., LTD.</t>
        </is>
      </c>
      <c r="M444" s="4" t="inlineStr">
        <is>
          <t>SENNICS (THAILAND) CO., LTD.</t>
        </is>
      </c>
      <c r="N444" s="4" t="inlineStr">
        <is>
          <t>SIRANTOX 6PPD(4020)</t>
        </is>
      </c>
      <c r="O444" s="4" t="inlineStr">
        <is>
          <t>GOOD DRY AND CLEAN CONTAINER</t>
        </is>
      </c>
      <c r="P444" s="4" t="inlineStr">
        <is>
          <t xml:space="preserve">Pickup : 2026-10-15, Return : 2026-10-16 </t>
        </is>
      </c>
      <c r="Q444" s="4" t="n">
        <v>0</v>
      </c>
      <c r="R444" s="4" t="n">
        <v>0</v>
      </c>
      <c r="S444" s="4" t="n">
        <v>2</v>
      </c>
      <c r="T444" s="4" t="n">
        <v>0</v>
      </c>
      <c r="U444" s="4" t="n">
        <v>0</v>
      </c>
      <c r="V444" s="4" t="n">
        <v>0</v>
      </c>
      <c r="W444" s="4" t="n">
        <v>0</v>
      </c>
      <c r="X444" s="4" t="n">
        <v>0</v>
      </c>
      <c r="Y444" s="4" t="n">
        <v>0</v>
      </c>
      <c r="Z444" s="4" t="n">
        <v>0</v>
      </c>
      <c r="AA444" s="4" t="n">
        <v>0</v>
      </c>
      <c r="AB444" s="4">
        <f>SUM(Q444:Y444)-Z444</f>
        <v/>
      </c>
      <c r="AC444" s="4">
        <f>IF(I444="","",IF(OR(LEFT(I444,3)="BKK",I444="LCH55"),"BKK",IF(LEFT(I444,3)="LCH","LCH","OTHER")))</f>
        <v/>
      </c>
      <c r="AD444" s="4">
        <f>MAX(0,Q444-MAX(0,Z444))</f>
        <v/>
      </c>
      <c r="AE444" s="4">
        <f>MAX(0,R444-MAX(0,Z444-SUM(Q444:Q444)))</f>
        <v/>
      </c>
      <c r="AF444" s="4">
        <f>MAX(0,S444-MAX(0,Z444-SUM(Q444:R444)))</f>
        <v/>
      </c>
      <c r="AG444" s="4">
        <f>MAX(0,T444-MAX(0,Z444-SUM(Q444:S444)))</f>
        <v/>
      </c>
      <c r="AH444" s="4">
        <f>MAX(0,U444-MAX(0,Z444-SUM(Q444:T444)))</f>
        <v/>
      </c>
      <c r="AI444" s="4">
        <f>MAX(0,V444-MAX(0,Z444-SUM(Q444:U444)))</f>
        <v/>
      </c>
      <c r="AJ444" s="4">
        <f>MAX(0,W444-MAX(0,Z444-SUM(Q444:V444)))</f>
        <v/>
      </c>
      <c r="AK444" s="4">
        <f>MAX(0,X444-MAX(0,Z444-SUM(Q444:W444)))</f>
        <v/>
      </c>
      <c r="AL444" s="4">
        <f>MAX(0,Y444-MAX(0,Z444-SUM(Q444:X444)))</f>
        <v/>
      </c>
    </row>
    <row r="445">
      <c r="A445" s="4" t="inlineStr">
        <is>
          <t>HASLS22260901124</t>
        </is>
      </c>
      <c r="B445" s="4" t="inlineStr">
        <is>
          <t>SWSR</t>
        </is>
      </c>
      <c r="C445" s="4" t="inlineStr">
        <is>
          <t>2611N</t>
        </is>
      </c>
      <c r="D445" s="4" t="inlineStr">
        <is>
          <t>202610112000</t>
        </is>
      </c>
      <c r="E445" s="4" t="inlineStr"/>
      <c r="F445" s="4" t="inlineStr">
        <is>
          <t>THLCH</t>
        </is>
      </c>
      <c r="G445" s="4" t="inlineStr">
        <is>
          <t>HKHKG</t>
        </is>
      </c>
      <c r="H445" s="4" t="inlineStr">
        <is>
          <t xml:space="preserve">R40Hx1 </t>
        </is>
      </c>
      <c r="I445" s="4" t="inlineStr">
        <is>
          <t>LCH27</t>
        </is>
      </c>
      <c r="J445" s="4" t="inlineStr">
        <is>
          <t xml:space="preserve">HAST Logistics Co.,Ltd. </t>
        </is>
      </c>
      <c r="K445" s="4" t="inlineStr">
        <is>
          <t>20261005</t>
        </is>
      </c>
      <c r="L445" s="4" t="inlineStr">
        <is>
          <t>DYNAMIC INTERTRANSPORT CO., LTD.</t>
        </is>
      </c>
      <c r="M445" s="4" t="inlineStr">
        <is>
          <t>CP-MEIJI CO., LTD.</t>
        </is>
      </c>
      <c r="N445" s="4" t="inlineStr">
        <is>
          <t>FRESH MILK AND MILK PRODUCT</t>
        </is>
      </c>
      <c r="O445" s="4" t="inlineStr">
        <is>
          <t>RF45REx1 (Temp +0.0℃ / Vent Close)  CLEAN AND GOOD CONTAINER FOR MILK PRODUCT</t>
        </is>
      </c>
      <c r="P445" s="4" t="inlineStr">
        <is>
          <t xml:space="preserve">Pickup : 2026-10-05, Return : 2026-10-06 (Temp +0.0 / Vent Close)
 CLS TIME 07/10 @22.00 </t>
        </is>
      </c>
      <c r="Q445" s="4" t="n">
        <v>0</v>
      </c>
      <c r="R445" s="4" t="n">
        <v>0</v>
      </c>
      <c r="S445" s="4" t="n">
        <v>0</v>
      </c>
      <c r="T445" s="4" t="n">
        <v>0</v>
      </c>
      <c r="U445" s="4" t="n">
        <v>1</v>
      </c>
      <c r="V445" s="4" t="n">
        <v>0</v>
      </c>
      <c r="W445" s="4" t="n">
        <v>0</v>
      </c>
      <c r="X445" s="4" t="n">
        <v>0</v>
      </c>
      <c r="Y445" s="4" t="n">
        <v>0</v>
      </c>
      <c r="Z445" s="4" t="n">
        <v>0</v>
      </c>
      <c r="AA445" s="4" t="n">
        <v>0</v>
      </c>
      <c r="AB445" s="4">
        <f>SUM(Q445:Y445)-Z445</f>
        <v/>
      </c>
      <c r="AC445" s="4">
        <f>IF(I445="","",IF(OR(LEFT(I445,3)="BKK",I445="LCH55"),"BKK",IF(LEFT(I445,3)="LCH","LCH","OTHER")))</f>
        <v/>
      </c>
      <c r="AD445" s="4">
        <f>MAX(0,Q445-MAX(0,Z445))</f>
        <v/>
      </c>
      <c r="AE445" s="4">
        <f>MAX(0,R445-MAX(0,Z445-SUM(Q445:Q445)))</f>
        <v/>
      </c>
      <c r="AF445" s="4">
        <f>MAX(0,S445-MAX(0,Z445-SUM(Q445:R445)))</f>
        <v/>
      </c>
      <c r="AG445" s="4">
        <f>MAX(0,T445-MAX(0,Z445-SUM(Q445:S445)))</f>
        <v/>
      </c>
      <c r="AH445" s="4">
        <f>MAX(0,U445-MAX(0,Z445-SUM(Q445:T445)))</f>
        <v/>
      </c>
      <c r="AI445" s="4">
        <f>MAX(0,V445-MAX(0,Z445-SUM(Q445:U445)))</f>
        <v/>
      </c>
      <c r="AJ445" s="4">
        <f>MAX(0,W445-MAX(0,Z445-SUM(Q445:V445)))</f>
        <v/>
      </c>
      <c r="AK445" s="4">
        <f>MAX(0,X445-MAX(0,Z445-SUM(Q445:W445)))</f>
        <v/>
      </c>
      <c r="AL445" s="4">
        <f>MAX(0,Y445-MAX(0,Z445-SUM(Q445:X445)))</f>
        <v/>
      </c>
    </row>
    <row r="446">
      <c r="A446" s="4" t="inlineStr">
        <is>
          <t>HASLS22260901125</t>
        </is>
      </c>
      <c r="B446" s="4" t="inlineStr">
        <is>
          <t>SWSR</t>
        </is>
      </c>
      <c r="C446" s="4" t="inlineStr">
        <is>
          <t>2611N</t>
        </is>
      </c>
      <c r="D446" s="4" t="inlineStr">
        <is>
          <t>202610112000</t>
        </is>
      </c>
      <c r="E446" s="4" t="inlineStr"/>
      <c r="F446" s="4" t="inlineStr">
        <is>
          <t>THLCH</t>
        </is>
      </c>
      <c r="G446" s="4" t="inlineStr">
        <is>
          <t>HKHKG</t>
        </is>
      </c>
      <c r="H446" s="4" t="inlineStr">
        <is>
          <t xml:space="preserve">R40Hx1 </t>
        </is>
      </c>
      <c r="I446" s="4" t="inlineStr">
        <is>
          <t>LCH27</t>
        </is>
      </c>
      <c r="J446" s="4" t="inlineStr">
        <is>
          <t xml:space="preserve">HAST Logistics Co.,Ltd. </t>
        </is>
      </c>
      <c r="K446" s="4" t="inlineStr">
        <is>
          <t>20261005</t>
        </is>
      </c>
      <c r="L446" s="4" t="inlineStr">
        <is>
          <t>DYNAMIC INTERTRANSPORT CO., LTD.</t>
        </is>
      </c>
      <c r="M446" s="4" t="inlineStr">
        <is>
          <t>CP-MEIJI CO., LTD.</t>
        </is>
      </c>
      <c r="N446" s="4" t="inlineStr">
        <is>
          <t>FRESH MILK AND MILK PRODUCT</t>
        </is>
      </c>
      <c r="O446" s="4" t="inlineStr">
        <is>
          <t>RF45REx1 (Temp +0.0℃ / Vent Close) CLEAN AND GOOD CONTAINER FOR MILK PRODUCT</t>
        </is>
      </c>
      <c r="P446" s="4" t="inlineStr">
        <is>
          <t xml:space="preserve">Pickup : 2026-10-05, Return : 2026-10-06 (Temp +0.0 / Vent Close)
 CLS TIME 07/10 @22.00 </t>
        </is>
      </c>
      <c r="Q446" s="4" t="n">
        <v>0</v>
      </c>
      <c r="R446" s="4" t="n">
        <v>0</v>
      </c>
      <c r="S446" s="4" t="n">
        <v>0</v>
      </c>
      <c r="T446" s="4" t="n">
        <v>0</v>
      </c>
      <c r="U446" s="4" t="n">
        <v>1</v>
      </c>
      <c r="V446" s="4" t="n">
        <v>0</v>
      </c>
      <c r="W446" s="4" t="n">
        <v>0</v>
      </c>
      <c r="X446" s="4" t="n">
        <v>0</v>
      </c>
      <c r="Y446" s="4" t="n">
        <v>0</v>
      </c>
      <c r="Z446" s="4" t="n">
        <v>0</v>
      </c>
      <c r="AA446" s="4" t="n">
        <v>0</v>
      </c>
      <c r="AB446" s="4">
        <f>SUM(Q446:Y446)-Z446</f>
        <v/>
      </c>
      <c r="AC446" s="4">
        <f>IF(I446="","",IF(OR(LEFT(I446,3)="BKK",I446="LCH55"),"BKK",IF(LEFT(I446,3)="LCH","LCH","OTHER")))</f>
        <v/>
      </c>
      <c r="AD446" s="4">
        <f>MAX(0,Q446-MAX(0,Z446))</f>
        <v/>
      </c>
      <c r="AE446" s="4">
        <f>MAX(0,R446-MAX(0,Z446-SUM(Q446:Q446)))</f>
        <v/>
      </c>
      <c r="AF446" s="4">
        <f>MAX(0,S446-MAX(0,Z446-SUM(Q446:R446)))</f>
        <v/>
      </c>
      <c r="AG446" s="4">
        <f>MAX(0,T446-MAX(0,Z446-SUM(Q446:S446)))</f>
        <v/>
      </c>
      <c r="AH446" s="4">
        <f>MAX(0,U446-MAX(0,Z446-SUM(Q446:T446)))</f>
        <v/>
      </c>
      <c r="AI446" s="4">
        <f>MAX(0,V446-MAX(0,Z446-SUM(Q446:U446)))</f>
        <v/>
      </c>
      <c r="AJ446" s="4">
        <f>MAX(0,W446-MAX(0,Z446-SUM(Q446:V446)))</f>
        <v/>
      </c>
      <c r="AK446" s="4">
        <f>MAX(0,X446-MAX(0,Z446-SUM(Q446:W446)))</f>
        <v/>
      </c>
      <c r="AL446" s="4">
        <f>MAX(0,Y446-MAX(0,Z446-SUM(Q446:X446)))</f>
        <v/>
      </c>
    </row>
    <row r="447">
      <c r="A447" s="4" t="inlineStr">
        <is>
          <t>HASLS22260901165</t>
        </is>
      </c>
      <c r="B447" s="4" t="inlineStr">
        <is>
          <t>DJCF</t>
        </is>
      </c>
      <c r="C447" s="4" t="inlineStr">
        <is>
          <t>0152N</t>
        </is>
      </c>
      <c r="D447" s="4" t="inlineStr">
        <is>
          <t>202610120400</t>
        </is>
      </c>
      <c r="E447" s="4" t="inlineStr"/>
      <c r="F447" s="4" t="inlineStr">
        <is>
          <t>THLCH</t>
        </is>
      </c>
      <c r="G447" s="4" t="inlineStr">
        <is>
          <t>KRPTK</t>
        </is>
      </c>
      <c r="H447" s="4" t="inlineStr">
        <is>
          <t xml:space="preserve">40Hx3 </t>
        </is>
      </c>
      <c r="I447" s="4" t="inlineStr">
        <is>
          <t>LCH27</t>
        </is>
      </c>
      <c r="J447" s="4" t="inlineStr">
        <is>
          <t xml:space="preserve">HAST Logistics Co.,Ltd. </t>
        </is>
      </c>
      <c r="K447" s="4" t="inlineStr">
        <is>
          <t>20261005</t>
        </is>
      </c>
      <c r="L447" s="4" t="inlineStr">
        <is>
          <t>SDS-ACUTECH CO., LTD.</t>
        </is>
      </c>
      <c r="M447" s="4" t="inlineStr">
        <is>
          <t>TPV TECHNOLOGY (THAILAND) CO., LTD.</t>
        </is>
      </c>
      <c r="N447" s="4" t="inlineStr">
        <is>
          <t>MONITOR SCREEN</t>
        </is>
      </c>
      <c r="O447" s="4" t="inlineStr">
        <is>
          <t>GOOD AND CLEAN CONTAINER</t>
        </is>
      </c>
      <c r="P447" s="4" t="inlineStr">
        <is>
          <t xml:space="preserve">Pickup : 2026-10-05, Return : 2026-10-06
** PLEASE CHECK OPEN GATE BEFORE RETURN CONTAINER ** </t>
        </is>
      </c>
      <c r="Q447" s="4" t="n">
        <v>0</v>
      </c>
      <c r="R447" s="4" t="n">
        <v>0</v>
      </c>
      <c r="S447" s="4" t="n">
        <v>3</v>
      </c>
      <c r="T447" s="4" t="n">
        <v>0</v>
      </c>
      <c r="U447" s="4" t="n">
        <v>0</v>
      </c>
      <c r="V447" s="4" t="n">
        <v>0</v>
      </c>
      <c r="W447" s="4" t="n">
        <v>0</v>
      </c>
      <c r="X447" s="4" t="n">
        <v>0</v>
      </c>
      <c r="Y447" s="4" t="n">
        <v>0</v>
      </c>
      <c r="Z447" s="4" t="n">
        <v>0</v>
      </c>
      <c r="AA447" s="4" t="n">
        <v>0</v>
      </c>
      <c r="AB447" s="4">
        <f>SUM(Q447:Y447)-Z447</f>
        <v/>
      </c>
      <c r="AC447" s="4">
        <f>IF(I447="","",IF(OR(LEFT(I447,3)="BKK",I447="LCH55"),"BKK",IF(LEFT(I447,3)="LCH","LCH","OTHER")))</f>
        <v/>
      </c>
      <c r="AD447" s="4">
        <f>MAX(0,Q447-MAX(0,Z447))</f>
        <v/>
      </c>
      <c r="AE447" s="4">
        <f>MAX(0,R447-MAX(0,Z447-SUM(Q447:Q447)))</f>
        <v/>
      </c>
      <c r="AF447" s="4">
        <f>MAX(0,S447-MAX(0,Z447-SUM(Q447:R447)))</f>
        <v/>
      </c>
      <c r="AG447" s="4">
        <f>MAX(0,T447-MAX(0,Z447-SUM(Q447:S447)))</f>
        <v/>
      </c>
      <c r="AH447" s="4">
        <f>MAX(0,U447-MAX(0,Z447-SUM(Q447:T447)))</f>
        <v/>
      </c>
      <c r="AI447" s="4">
        <f>MAX(0,V447-MAX(0,Z447-SUM(Q447:U447)))</f>
        <v/>
      </c>
      <c r="AJ447" s="4">
        <f>MAX(0,W447-MAX(0,Z447-SUM(Q447:V447)))</f>
        <v/>
      </c>
      <c r="AK447" s="4">
        <f>MAX(0,X447-MAX(0,Z447-SUM(Q447:W447)))</f>
        <v/>
      </c>
      <c r="AL447" s="4">
        <f>MAX(0,Y447-MAX(0,Z447-SUM(Q447:X447)))</f>
        <v/>
      </c>
    </row>
    <row r="448">
      <c r="A448" s="4" t="inlineStr">
        <is>
          <t>HASLS22260901169</t>
        </is>
      </c>
      <c r="B448" s="4" t="inlineStr">
        <is>
          <t>SWAT</t>
        </is>
      </c>
      <c r="C448" s="4" t="inlineStr">
        <is>
          <t>2610N</t>
        </is>
      </c>
      <c r="D448" s="4" t="inlineStr">
        <is>
          <t>202610081000</t>
        </is>
      </c>
      <c r="E448" s="4" t="inlineStr"/>
      <c r="F448" s="4" t="inlineStr">
        <is>
          <t>THLCH</t>
        </is>
      </c>
      <c r="G448" s="4" t="inlineStr">
        <is>
          <t>TWKEL</t>
        </is>
      </c>
      <c r="H448" s="4" t="inlineStr">
        <is>
          <t xml:space="preserve">40Hx1 </t>
        </is>
      </c>
      <c r="I448" s="4" t="inlineStr">
        <is>
          <t>LCH27</t>
        </is>
      </c>
      <c r="J448" s="4" t="inlineStr">
        <is>
          <t xml:space="preserve">HAST Logistics Co.,Ltd. </t>
        </is>
      </c>
      <c r="K448" s="4" t="inlineStr">
        <is>
          <t>20260930</t>
        </is>
      </c>
      <c r="L448" s="4" t="inlineStr">
        <is>
          <t>TOP INTER FREIGHT CO., LTD.</t>
        </is>
      </c>
      <c r="M448" s="4" t="inlineStr">
        <is>
          <t>KURARAY GC ADVANCED MATERIALS CO.,LTD.</t>
        </is>
      </c>
      <c r="N448" s="4" t="inlineStr">
        <is>
          <t>SEPTON 8851 OFF , SEPTON 8851 WIDE</t>
        </is>
      </c>
      <c r="O448" s="4" t="inlineStr">
        <is>
          <t>RQST GOOD CLEAN &amp; DRY CONT.</t>
        </is>
      </c>
      <c r="P448" s="4" t="inlineStr">
        <is>
          <t xml:space="preserve">Pickup : 2026-09-30, Return : 2026-10-01 // CLS TIME 02/10 @23.59 
 ** PLEASE CHECK OPEN GATE BEFORE RETURN CNTR **
 </t>
        </is>
      </c>
      <c r="Q448" s="4" t="n">
        <v>0</v>
      </c>
      <c r="R448" s="4" t="n">
        <v>0</v>
      </c>
      <c r="S448" s="4" t="n">
        <v>1</v>
      </c>
      <c r="T448" s="4" t="n">
        <v>0</v>
      </c>
      <c r="U448" s="4" t="n">
        <v>0</v>
      </c>
      <c r="V448" s="4" t="n">
        <v>0</v>
      </c>
      <c r="W448" s="4" t="n">
        <v>0</v>
      </c>
      <c r="X448" s="4" t="n">
        <v>0</v>
      </c>
      <c r="Y448" s="4" t="n">
        <v>0</v>
      </c>
      <c r="Z448" s="4" t="n">
        <v>0</v>
      </c>
      <c r="AA448" s="4" t="n">
        <v>0</v>
      </c>
      <c r="AB448" s="4">
        <f>SUM(Q448:Y448)-Z448</f>
        <v/>
      </c>
      <c r="AC448" s="4">
        <f>IF(I448="","",IF(OR(LEFT(I448,3)="BKK",I448="LCH55"),"BKK",IF(LEFT(I448,3)="LCH","LCH","OTHER")))</f>
        <v/>
      </c>
      <c r="AD448" s="4">
        <f>MAX(0,Q448-MAX(0,Z448))</f>
        <v/>
      </c>
      <c r="AE448" s="4">
        <f>MAX(0,R448-MAX(0,Z448-SUM(Q448:Q448)))</f>
        <v/>
      </c>
      <c r="AF448" s="4">
        <f>MAX(0,S448-MAX(0,Z448-SUM(Q448:R448)))</f>
        <v/>
      </c>
      <c r="AG448" s="4">
        <f>MAX(0,T448-MAX(0,Z448-SUM(Q448:S448)))</f>
        <v/>
      </c>
      <c r="AH448" s="4">
        <f>MAX(0,U448-MAX(0,Z448-SUM(Q448:T448)))</f>
        <v/>
      </c>
      <c r="AI448" s="4">
        <f>MAX(0,V448-MAX(0,Z448-SUM(Q448:U448)))</f>
        <v/>
      </c>
      <c r="AJ448" s="4">
        <f>MAX(0,W448-MAX(0,Z448-SUM(Q448:V448)))</f>
        <v/>
      </c>
      <c r="AK448" s="4">
        <f>MAX(0,X448-MAX(0,Z448-SUM(Q448:W448)))</f>
        <v/>
      </c>
      <c r="AL448" s="4">
        <f>MAX(0,Y448-MAX(0,Z448-SUM(Q448:X448)))</f>
        <v/>
      </c>
    </row>
    <row r="449">
      <c r="A449" s="4" t="inlineStr">
        <is>
          <t>HASLS22260901193</t>
        </is>
      </c>
      <c r="B449" s="4" t="inlineStr">
        <is>
          <t>SWVG</t>
        </is>
      </c>
      <c r="C449" s="4" t="inlineStr">
        <is>
          <t>2612N</t>
        </is>
      </c>
      <c r="D449" s="4" t="inlineStr">
        <is>
          <t>202610070330</t>
        </is>
      </c>
      <c r="E449" s="4" t="inlineStr"/>
      <c r="F449" s="4" t="inlineStr">
        <is>
          <t>THLCH</t>
        </is>
      </c>
      <c r="G449" s="4" t="inlineStr">
        <is>
          <t>CNSHA</t>
        </is>
      </c>
      <c r="H449" s="4" t="inlineStr">
        <is>
          <t xml:space="preserve">20'x1 </t>
        </is>
      </c>
      <c r="I449" s="4" t="inlineStr">
        <is>
          <t>LCH27</t>
        </is>
      </c>
      <c r="J449" s="4" t="inlineStr">
        <is>
          <t xml:space="preserve">HAST Logistics Co.,Ltd. </t>
        </is>
      </c>
      <c r="K449" s="4" t="inlineStr">
        <is>
          <t>20261001</t>
        </is>
      </c>
      <c r="L449" s="4" t="inlineStr">
        <is>
          <t>YUSEN LOGISTICS (THAILAND) CO., LTD.</t>
        </is>
      </c>
      <c r="M449" s="4" t="inlineStr">
        <is>
          <t>THAI NOK CO.,LTD.</t>
        </is>
      </c>
      <c r="N449" s="4" t="inlineStr">
        <is>
          <t>RADIATOR GASKET, RUBBER ONLY</t>
        </is>
      </c>
      <c r="O449" s="4" t="inlineStr">
        <is>
          <t>GOOD DRY AND CLEAN CONTAINER</t>
        </is>
      </c>
      <c r="P449" s="4" t="inlineStr">
        <is>
          <t xml:space="preserve">Pickup : 2026-10-01, Return : 2026-10-02 </t>
        </is>
      </c>
      <c r="Q449" s="4" t="n">
        <v>1</v>
      </c>
      <c r="R449" s="4" t="n">
        <v>0</v>
      </c>
      <c r="S449" s="4" t="n">
        <v>0</v>
      </c>
      <c r="T449" s="4" t="n">
        <v>0</v>
      </c>
      <c r="U449" s="4" t="n">
        <v>0</v>
      </c>
      <c r="V449" s="4" t="n">
        <v>0</v>
      </c>
      <c r="W449" s="4" t="n">
        <v>0</v>
      </c>
      <c r="X449" s="4" t="n">
        <v>0</v>
      </c>
      <c r="Y449" s="4" t="n">
        <v>0</v>
      </c>
      <c r="Z449" s="4" t="n">
        <v>0</v>
      </c>
      <c r="AA449" s="4" t="n">
        <v>0</v>
      </c>
      <c r="AB449" s="4">
        <f>SUM(Q449:Y449)-Z449</f>
        <v/>
      </c>
      <c r="AC449" s="4">
        <f>IF(I449="","",IF(OR(LEFT(I449,3)="BKK",I449="LCH55"),"BKK",IF(LEFT(I449,3)="LCH","LCH","OTHER")))</f>
        <v/>
      </c>
      <c r="AD449" s="4">
        <f>MAX(0,Q449-MAX(0,Z449))</f>
        <v/>
      </c>
      <c r="AE449" s="4">
        <f>MAX(0,R449-MAX(0,Z449-SUM(Q449:Q449)))</f>
        <v/>
      </c>
      <c r="AF449" s="4">
        <f>MAX(0,S449-MAX(0,Z449-SUM(Q449:R449)))</f>
        <v/>
      </c>
      <c r="AG449" s="4">
        <f>MAX(0,T449-MAX(0,Z449-SUM(Q449:S449)))</f>
        <v/>
      </c>
      <c r="AH449" s="4">
        <f>MAX(0,U449-MAX(0,Z449-SUM(Q449:T449)))</f>
        <v/>
      </c>
      <c r="AI449" s="4">
        <f>MAX(0,V449-MAX(0,Z449-SUM(Q449:U449)))</f>
        <v/>
      </c>
      <c r="AJ449" s="4">
        <f>MAX(0,W449-MAX(0,Z449-SUM(Q449:V449)))</f>
        <v/>
      </c>
      <c r="AK449" s="4">
        <f>MAX(0,X449-MAX(0,Z449-SUM(Q449:W449)))</f>
        <v/>
      </c>
      <c r="AL449" s="4">
        <f>MAX(0,Y449-MAX(0,Z449-SUM(Q449:X449)))</f>
        <v/>
      </c>
    </row>
    <row r="450">
      <c r="A450" s="4" t="inlineStr">
        <is>
          <t>HASLS22260901206</t>
        </is>
      </c>
      <c r="B450" s="4" t="inlineStr">
        <is>
          <t>SWMM</t>
        </is>
      </c>
      <c r="C450" s="4" t="inlineStr">
        <is>
          <t>2610N</t>
        </is>
      </c>
      <c r="D450" s="4" t="inlineStr">
        <is>
          <t>202610212100</t>
        </is>
      </c>
      <c r="E450" s="4" t="inlineStr"/>
      <c r="F450" s="4" t="inlineStr">
        <is>
          <t>THLCH</t>
        </is>
      </c>
      <c r="G450" s="4" t="inlineStr">
        <is>
          <t>JPSDJ</t>
        </is>
      </c>
      <c r="H450" s="4" t="inlineStr">
        <is>
          <t xml:space="preserve">20'x1 </t>
        </is>
      </c>
      <c r="I450" s="4" t="inlineStr">
        <is>
          <t>LCH27</t>
        </is>
      </c>
      <c r="J450" s="4" t="inlineStr">
        <is>
          <t xml:space="preserve">HAST Logistics Co.,Ltd. </t>
        </is>
      </c>
      <c r="K450" s="4" t="inlineStr">
        <is>
          <t>20261015</t>
        </is>
      </c>
      <c r="L450" s="4" t="inlineStr">
        <is>
          <t>ACCORD PILOT LOGISTICS (THAILAND) CO., LTD.</t>
        </is>
      </c>
      <c r="M450" s="4" t="inlineStr">
        <is>
          <t>PROTERIAL THAI ENAMEL WIRE CO., LTD.</t>
        </is>
      </c>
      <c r="N450" s="4" t="inlineStr">
        <is>
          <t xml:space="preserve">ENAMELED COPPER WIRE /  HS CODE 854411 </t>
        </is>
      </c>
      <c r="O450" s="4" t="inlineStr">
        <is>
          <t>GOOD AND CLEAN CONTAINER</t>
        </is>
      </c>
      <c r="P450" s="4" t="inlineStr">
        <is>
          <t xml:space="preserve">Pickup : 2026-10-15, Return : 2026-10-16  
** PLEASE CHECK OPEN GATE BEFORE RETURN CONTAINER ** </t>
        </is>
      </c>
      <c r="Q450" s="4" t="n">
        <v>1</v>
      </c>
      <c r="R450" s="4" t="n">
        <v>0</v>
      </c>
      <c r="S450" s="4" t="n">
        <v>0</v>
      </c>
      <c r="T450" s="4" t="n">
        <v>0</v>
      </c>
      <c r="U450" s="4" t="n">
        <v>0</v>
      </c>
      <c r="V450" s="4" t="n">
        <v>0</v>
      </c>
      <c r="W450" s="4" t="n">
        <v>0</v>
      </c>
      <c r="X450" s="4" t="n">
        <v>0</v>
      </c>
      <c r="Y450" s="4" t="n">
        <v>0</v>
      </c>
      <c r="Z450" s="4" t="n">
        <v>0</v>
      </c>
      <c r="AA450" s="4" t="n">
        <v>0</v>
      </c>
      <c r="AB450" s="4">
        <f>SUM(Q450:Y450)-Z450</f>
        <v/>
      </c>
      <c r="AC450" s="4">
        <f>IF(I450="","",IF(OR(LEFT(I450,3)="BKK",I450="LCH55"),"BKK",IF(LEFT(I450,3)="LCH","LCH","OTHER")))</f>
        <v/>
      </c>
      <c r="AD450" s="4">
        <f>MAX(0,Q450-MAX(0,Z450))</f>
        <v/>
      </c>
      <c r="AE450" s="4">
        <f>MAX(0,R450-MAX(0,Z450-SUM(Q450:Q450)))</f>
        <v/>
      </c>
      <c r="AF450" s="4">
        <f>MAX(0,S450-MAX(0,Z450-SUM(Q450:R450)))</f>
        <v/>
      </c>
      <c r="AG450" s="4">
        <f>MAX(0,T450-MAX(0,Z450-SUM(Q450:S450)))</f>
        <v/>
      </c>
      <c r="AH450" s="4">
        <f>MAX(0,U450-MAX(0,Z450-SUM(Q450:T450)))</f>
        <v/>
      </c>
      <c r="AI450" s="4">
        <f>MAX(0,V450-MAX(0,Z450-SUM(Q450:U450)))</f>
        <v/>
      </c>
      <c r="AJ450" s="4">
        <f>MAX(0,W450-MAX(0,Z450-SUM(Q450:V450)))</f>
        <v/>
      </c>
      <c r="AK450" s="4">
        <f>MAX(0,X450-MAX(0,Z450-SUM(Q450:W450)))</f>
        <v/>
      </c>
      <c r="AL450" s="4">
        <f>MAX(0,Y450-MAX(0,Z450-SUM(Q450:X450)))</f>
        <v/>
      </c>
    </row>
    <row r="451">
      <c r="A451" s="4" t="inlineStr">
        <is>
          <t>HASLS22260901211</t>
        </is>
      </c>
      <c r="B451" s="4" t="inlineStr">
        <is>
          <t>SWDN</t>
        </is>
      </c>
      <c r="C451" s="4" t="inlineStr">
        <is>
          <t>2610N</t>
        </is>
      </c>
      <c r="D451" s="4" t="inlineStr">
        <is>
          <t>202610070300</t>
        </is>
      </c>
      <c r="E451" s="4" t="inlineStr"/>
      <c r="F451" s="4" t="inlineStr">
        <is>
          <t>THLCH</t>
        </is>
      </c>
      <c r="G451" s="4" t="inlineStr">
        <is>
          <t>CNXMN</t>
        </is>
      </c>
      <c r="H451" s="4" t="inlineStr">
        <is>
          <t xml:space="preserve">R40Hx1 </t>
        </is>
      </c>
      <c r="I451" s="4" t="inlineStr">
        <is>
          <t>LCH27</t>
        </is>
      </c>
      <c r="J451" s="4" t="inlineStr">
        <is>
          <t xml:space="preserve">HAST Logistics Co.,Ltd. </t>
        </is>
      </c>
      <c r="K451" s="4" t="inlineStr">
        <is>
          <t>20260924</t>
        </is>
      </c>
      <c r="L451" s="4" t="inlineStr">
        <is>
          <t>SG LOGISTICS (THAILAND) COMPANY LIMITED</t>
        </is>
      </c>
      <c r="M451" s="4" t="inlineStr">
        <is>
          <t>SG LOGISTICS (THAILAND) COMPANY LIMITED</t>
        </is>
      </c>
      <c r="N451" s="4" t="inlineStr">
        <is>
          <t>FRESH LONGAN</t>
        </is>
      </c>
      <c r="O451" s="4" t="inlineStr">
        <is>
          <t>RF45REx1 (Temp +2.0℃ / Vent 10% Open) NEW VAN, ON DECK</t>
        </is>
      </c>
      <c r="P451" s="4" t="inlineStr">
        <is>
          <t xml:space="preserve">Pickup : 2026-09-24, Return : 2026-09-29 (Temp +2.0 / Vent 10% Open) 
 CLS TIME 30/09 @10.00 [1ST RTN 29/09 W/O ELECTRIC] 
 </t>
        </is>
      </c>
      <c r="Q451" s="4" t="n">
        <v>0</v>
      </c>
      <c r="R451" s="4" t="n">
        <v>0</v>
      </c>
      <c r="S451" s="4" t="n">
        <v>0</v>
      </c>
      <c r="T451" s="4" t="n">
        <v>0</v>
      </c>
      <c r="U451" s="4" t="n">
        <v>1</v>
      </c>
      <c r="V451" s="4" t="n">
        <v>0</v>
      </c>
      <c r="W451" s="4" t="n">
        <v>0</v>
      </c>
      <c r="X451" s="4" t="n">
        <v>0</v>
      </c>
      <c r="Y451" s="4" t="n">
        <v>0</v>
      </c>
      <c r="Z451" s="4" t="n">
        <v>0</v>
      </c>
      <c r="AA451" s="4" t="n">
        <v>0</v>
      </c>
      <c r="AB451" s="4">
        <f>SUM(Q451:Y451)-Z451</f>
        <v/>
      </c>
      <c r="AC451" s="4">
        <f>IF(I451="","",IF(OR(LEFT(I451,3)="BKK",I451="LCH55"),"BKK",IF(LEFT(I451,3)="LCH","LCH","OTHER")))</f>
        <v/>
      </c>
      <c r="AD451" s="4">
        <f>MAX(0,Q451-MAX(0,Z451))</f>
        <v/>
      </c>
      <c r="AE451" s="4">
        <f>MAX(0,R451-MAX(0,Z451-SUM(Q451:Q451)))</f>
        <v/>
      </c>
      <c r="AF451" s="4">
        <f>MAX(0,S451-MAX(0,Z451-SUM(Q451:R451)))</f>
        <v/>
      </c>
      <c r="AG451" s="4">
        <f>MAX(0,T451-MAX(0,Z451-SUM(Q451:S451)))</f>
        <v/>
      </c>
      <c r="AH451" s="4">
        <f>MAX(0,U451-MAX(0,Z451-SUM(Q451:T451)))</f>
        <v/>
      </c>
      <c r="AI451" s="4">
        <f>MAX(0,V451-MAX(0,Z451-SUM(Q451:U451)))</f>
        <v/>
      </c>
      <c r="AJ451" s="4">
        <f>MAX(0,W451-MAX(0,Z451-SUM(Q451:V451)))</f>
        <v/>
      </c>
      <c r="AK451" s="4">
        <f>MAX(0,X451-MAX(0,Z451-SUM(Q451:W451)))</f>
        <v/>
      </c>
      <c r="AL451" s="4">
        <f>MAX(0,Y451-MAX(0,Z451-SUM(Q451:X451)))</f>
        <v/>
      </c>
    </row>
    <row r="452">
      <c r="A452" s="4" t="inlineStr">
        <is>
          <t>HASLS22260901212</t>
        </is>
      </c>
      <c r="B452" s="4" t="inlineStr">
        <is>
          <t>SWDN</t>
        </is>
      </c>
      <c r="C452" s="4" t="inlineStr">
        <is>
          <t>2610N</t>
        </is>
      </c>
      <c r="D452" s="4" t="inlineStr">
        <is>
          <t>202610070300</t>
        </is>
      </c>
      <c r="E452" s="4" t="inlineStr"/>
      <c r="F452" s="4" t="inlineStr">
        <is>
          <t>THLCH</t>
        </is>
      </c>
      <c r="G452" s="4" t="inlineStr">
        <is>
          <t>CNXMN</t>
        </is>
      </c>
      <c r="H452" s="4" t="inlineStr">
        <is>
          <t xml:space="preserve">R40Hx1 </t>
        </is>
      </c>
      <c r="I452" s="4" t="inlineStr">
        <is>
          <t>LCH27</t>
        </is>
      </c>
      <c r="J452" s="4" t="inlineStr">
        <is>
          <t xml:space="preserve">HAST Logistics Co.,Ltd. </t>
        </is>
      </c>
      <c r="K452" s="4" t="inlineStr">
        <is>
          <t>20260924</t>
        </is>
      </c>
      <c r="L452" s="4" t="inlineStr">
        <is>
          <t>SG LOGISTICS (THAILAND) COMPANY LIMITED</t>
        </is>
      </c>
      <c r="M452" s="4" t="inlineStr">
        <is>
          <t>SG LOGISTICS (THAILAND) COMPANY LIMITED</t>
        </is>
      </c>
      <c r="N452" s="4" t="inlineStr">
        <is>
          <t>FRESH LONGAN</t>
        </is>
      </c>
      <c r="O452" s="4" t="inlineStr">
        <is>
          <t>RF45REx1 (Temp +2.0℃ / Vent 10% Open) NEW VAN, ON DECK</t>
        </is>
      </c>
      <c r="P452" s="4" t="inlineStr">
        <is>
          <t xml:space="preserve">Pickup : 2026-09-24, Return : 2026-09-29 (Temp +2.0 / Vent 10% Open)
 CLS TIME 30/09 @10.00 [1ST RTN 29/09 W/O ELECTRIC] 
 </t>
        </is>
      </c>
      <c r="Q452" s="4" t="n">
        <v>0</v>
      </c>
      <c r="R452" s="4" t="n">
        <v>0</v>
      </c>
      <c r="S452" s="4" t="n">
        <v>0</v>
      </c>
      <c r="T452" s="4" t="n">
        <v>0</v>
      </c>
      <c r="U452" s="4" t="n">
        <v>1</v>
      </c>
      <c r="V452" s="4" t="n">
        <v>0</v>
      </c>
      <c r="W452" s="4" t="n">
        <v>0</v>
      </c>
      <c r="X452" s="4" t="n">
        <v>0</v>
      </c>
      <c r="Y452" s="4" t="n">
        <v>0</v>
      </c>
      <c r="Z452" s="4" t="n">
        <v>0</v>
      </c>
      <c r="AA452" s="4" t="n">
        <v>0</v>
      </c>
      <c r="AB452" s="4">
        <f>SUM(Q452:Y452)-Z452</f>
        <v/>
      </c>
      <c r="AC452" s="4">
        <f>IF(I452="","",IF(OR(LEFT(I452,3)="BKK",I452="LCH55"),"BKK",IF(LEFT(I452,3)="LCH","LCH","OTHER")))</f>
        <v/>
      </c>
      <c r="AD452" s="4">
        <f>MAX(0,Q452-MAX(0,Z452))</f>
        <v/>
      </c>
      <c r="AE452" s="4">
        <f>MAX(0,R452-MAX(0,Z452-SUM(Q452:Q452)))</f>
        <v/>
      </c>
      <c r="AF452" s="4">
        <f>MAX(0,S452-MAX(0,Z452-SUM(Q452:R452)))</f>
        <v/>
      </c>
      <c r="AG452" s="4">
        <f>MAX(0,T452-MAX(0,Z452-SUM(Q452:S452)))</f>
        <v/>
      </c>
      <c r="AH452" s="4">
        <f>MAX(0,U452-MAX(0,Z452-SUM(Q452:T452)))</f>
        <v/>
      </c>
      <c r="AI452" s="4">
        <f>MAX(0,V452-MAX(0,Z452-SUM(Q452:U452)))</f>
        <v/>
      </c>
      <c r="AJ452" s="4">
        <f>MAX(0,W452-MAX(0,Z452-SUM(Q452:V452)))</f>
        <v/>
      </c>
      <c r="AK452" s="4">
        <f>MAX(0,X452-MAX(0,Z452-SUM(Q452:W452)))</f>
        <v/>
      </c>
      <c r="AL452" s="4">
        <f>MAX(0,Y452-MAX(0,Z452-SUM(Q452:X452)))</f>
        <v/>
      </c>
    </row>
    <row r="453">
      <c r="A453" s="4" t="inlineStr">
        <is>
          <t>HASLS22260901219</t>
        </is>
      </c>
      <c r="B453" s="4" t="inlineStr">
        <is>
          <t>SWSR</t>
        </is>
      </c>
      <c r="C453" s="4" t="inlineStr">
        <is>
          <t>2611N</t>
        </is>
      </c>
      <c r="D453" s="4" t="inlineStr">
        <is>
          <t>202610112000</t>
        </is>
      </c>
      <c r="E453" s="4" t="inlineStr"/>
      <c r="F453" s="4" t="inlineStr">
        <is>
          <t>THLCH</t>
        </is>
      </c>
      <c r="G453" s="4" t="inlineStr">
        <is>
          <t>CNXMN</t>
        </is>
      </c>
      <c r="H453" s="4" t="inlineStr">
        <is>
          <t xml:space="preserve">R40Hx1 </t>
        </is>
      </c>
      <c r="I453" s="4" t="inlineStr">
        <is>
          <t>LCH27</t>
        </is>
      </c>
      <c r="J453" s="4" t="inlineStr">
        <is>
          <t xml:space="preserve">HAST Logistics Co.,Ltd. </t>
        </is>
      </c>
      <c r="K453" s="4" t="inlineStr">
        <is>
          <t>20261003</t>
        </is>
      </c>
      <c r="L453" s="4" t="inlineStr">
        <is>
          <t>SG LOGISTICS (THAILAND) COMPANY LIMITED</t>
        </is>
      </c>
      <c r="M453" s="4" t="inlineStr">
        <is>
          <t>SG LOGISTICS (THAILAND) COMPANY LIMITED</t>
        </is>
      </c>
      <c r="N453" s="4" t="inlineStr">
        <is>
          <t>FRESH LONGAN</t>
        </is>
      </c>
      <c r="O453" s="4" t="inlineStr">
        <is>
          <t>RF45REx1 (Temp +2.0℃ / Vent 10% Open) NEW VAN, ON DECK</t>
        </is>
      </c>
      <c r="P453" s="4" t="inlineStr">
        <is>
          <t xml:space="preserve">Pickup : 2026-10-03, Return : 2026-10-07 (Temp +2.0 / Vent 10% Open) 
 CLS TIME 08/10 @05.00 </t>
        </is>
      </c>
      <c r="Q453" s="4" t="n">
        <v>0</v>
      </c>
      <c r="R453" s="4" t="n">
        <v>0</v>
      </c>
      <c r="S453" s="4" t="n">
        <v>0</v>
      </c>
      <c r="T453" s="4" t="n">
        <v>0</v>
      </c>
      <c r="U453" s="4" t="n">
        <v>1</v>
      </c>
      <c r="V453" s="4" t="n">
        <v>0</v>
      </c>
      <c r="W453" s="4" t="n">
        <v>0</v>
      </c>
      <c r="X453" s="4" t="n">
        <v>0</v>
      </c>
      <c r="Y453" s="4" t="n">
        <v>0</v>
      </c>
      <c r="Z453" s="4" t="n">
        <v>0</v>
      </c>
      <c r="AA453" s="4" t="n">
        <v>0</v>
      </c>
      <c r="AB453" s="4">
        <f>SUM(Q453:Y453)-Z453</f>
        <v/>
      </c>
      <c r="AC453" s="4">
        <f>IF(I453="","",IF(OR(LEFT(I453,3)="BKK",I453="LCH55"),"BKK",IF(LEFT(I453,3)="LCH","LCH","OTHER")))</f>
        <v/>
      </c>
      <c r="AD453" s="4">
        <f>MAX(0,Q453-MAX(0,Z453))</f>
        <v/>
      </c>
      <c r="AE453" s="4">
        <f>MAX(0,R453-MAX(0,Z453-SUM(Q453:Q453)))</f>
        <v/>
      </c>
      <c r="AF453" s="4">
        <f>MAX(0,S453-MAX(0,Z453-SUM(Q453:R453)))</f>
        <v/>
      </c>
      <c r="AG453" s="4">
        <f>MAX(0,T453-MAX(0,Z453-SUM(Q453:S453)))</f>
        <v/>
      </c>
      <c r="AH453" s="4">
        <f>MAX(0,U453-MAX(0,Z453-SUM(Q453:T453)))</f>
        <v/>
      </c>
      <c r="AI453" s="4">
        <f>MAX(0,V453-MAX(0,Z453-SUM(Q453:U453)))</f>
        <v/>
      </c>
      <c r="AJ453" s="4">
        <f>MAX(0,W453-MAX(0,Z453-SUM(Q453:V453)))</f>
        <v/>
      </c>
      <c r="AK453" s="4">
        <f>MAX(0,X453-MAX(0,Z453-SUM(Q453:W453)))</f>
        <v/>
      </c>
      <c r="AL453" s="4">
        <f>MAX(0,Y453-MAX(0,Z453-SUM(Q453:X453)))</f>
        <v/>
      </c>
    </row>
    <row r="454">
      <c r="A454" s="4" t="inlineStr">
        <is>
          <t>HASLS22260901230</t>
        </is>
      </c>
      <c r="B454" s="4" t="inlineStr">
        <is>
          <t>KMTP</t>
        </is>
      </c>
      <c r="C454" s="4" t="inlineStr">
        <is>
          <t>2612N</t>
        </is>
      </c>
      <c r="D454" s="4" t="inlineStr">
        <is>
          <t>202610122200</t>
        </is>
      </c>
      <c r="E454" s="4" t="inlineStr"/>
      <c r="F454" s="4" t="inlineStr">
        <is>
          <t>THLCH</t>
        </is>
      </c>
      <c r="G454" s="4" t="inlineStr">
        <is>
          <t>CNXMN</t>
        </is>
      </c>
      <c r="H454" s="4" t="inlineStr">
        <is>
          <t xml:space="preserve">R40Hx1 </t>
        </is>
      </c>
      <c r="I454" s="4" t="inlineStr">
        <is>
          <t>LCH27</t>
        </is>
      </c>
      <c r="J454" s="4" t="inlineStr">
        <is>
          <t xml:space="preserve">HAST Logistics Co.,Ltd. </t>
        </is>
      </c>
      <c r="K454" s="4" t="inlineStr">
        <is>
          <t>20261007</t>
        </is>
      </c>
      <c r="L454" s="4" t="inlineStr">
        <is>
          <t>SG LOGISTICS (THAILAND) COMPANY LIMITED</t>
        </is>
      </c>
      <c r="M454" s="4" t="inlineStr">
        <is>
          <t>SG LOGISTICS (THAILAND) COMPANY LIMITED</t>
        </is>
      </c>
      <c r="N454" s="4" t="inlineStr">
        <is>
          <t>FRESH LONGAN</t>
        </is>
      </c>
      <c r="O454" s="4" t="inlineStr">
        <is>
          <t>RF45REx1 (Temp +2.0℃ / Vent 10% Open)NEW VAN, ON DECK</t>
        </is>
      </c>
      <c r="P454" s="4" t="inlineStr">
        <is>
          <t xml:space="preserve">Pickup : 2026-10-07, Return : 2026-10-11 (Temp +2.0 / Vent 10% Open)
 CSL TIME 11/10 @05.00 </t>
        </is>
      </c>
      <c r="Q454" s="4" t="n">
        <v>0</v>
      </c>
      <c r="R454" s="4" t="n">
        <v>0</v>
      </c>
      <c r="S454" s="4" t="n">
        <v>0</v>
      </c>
      <c r="T454" s="4" t="n">
        <v>0</v>
      </c>
      <c r="U454" s="4" t="n">
        <v>1</v>
      </c>
      <c r="V454" s="4" t="n">
        <v>0</v>
      </c>
      <c r="W454" s="4" t="n">
        <v>0</v>
      </c>
      <c r="X454" s="4" t="n">
        <v>0</v>
      </c>
      <c r="Y454" s="4" t="n">
        <v>0</v>
      </c>
      <c r="Z454" s="4" t="n">
        <v>0</v>
      </c>
      <c r="AA454" s="4" t="n">
        <v>0</v>
      </c>
      <c r="AB454" s="4">
        <f>SUM(Q454:Y454)-Z454</f>
        <v/>
      </c>
      <c r="AC454" s="4">
        <f>IF(I454="","",IF(OR(LEFT(I454,3)="BKK",I454="LCH55"),"BKK",IF(LEFT(I454,3)="LCH","LCH","OTHER")))</f>
        <v/>
      </c>
      <c r="AD454" s="4">
        <f>MAX(0,Q454-MAX(0,Z454))</f>
        <v/>
      </c>
      <c r="AE454" s="4">
        <f>MAX(0,R454-MAX(0,Z454-SUM(Q454:Q454)))</f>
        <v/>
      </c>
      <c r="AF454" s="4">
        <f>MAX(0,S454-MAX(0,Z454-SUM(Q454:R454)))</f>
        <v/>
      </c>
      <c r="AG454" s="4">
        <f>MAX(0,T454-MAX(0,Z454-SUM(Q454:S454)))</f>
        <v/>
      </c>
      <c r="AH454" s="4">
        <f>MAX(0,U454-MAX(0,Z454-SUM(Q454:T454)))</f>
        <v/>
      </c>
      <c r="AI454" s="4">
        <f>MAX(0,V454-MAX(0,Z454-SUM(Q454:U454)))</f>
        <v/>
      </c>
      <c r="AJ454" s="4">
        <f>MAX(0,W454-MAX(0,Z454-SUM(Q454:V454)))</f>
        <v/>
      </c>
      <c r="AK454" s="4">
        <f>MAX(0,X454-MAX(0,Z454-SUM(Q454:W454)))</f>
        <v/>
      </c>
      <c r="AL454" s="4">
        <f>MAX(0,Y454-MAX(0,Z454-SUM(Q454:X454)))</f>
        <v/>
      </c>
    </row>
    <row r="455">
      <c r="A455" s="4" t="inlineStr">
        <is>
          <t>HASLS22260901253</t>
        </is>
      </c>
      <c r="B455" s="4" t="inlineStr">
        <is>
          <t>SKOR</t>
        </is>
      </c>
      <c r="C455" s="4" t="inlineStr">
        <is>
          <t>2612N</t>
        </is>
      </c>
      <c r="D455" s="4" t="inlineStr">
        <is>
          <t>202610190700</t>
        </is>
      </c>
      <c r="E455" s="4" t="inlineStr"/>
      <c r="F455" s="4" t="inlineStr">
        <is>
          <t>THLCH</t>
        </is>
      </c>
      <c r="G455" s="4" t="inlineStr">
        <is>
          <t>CNXMN</t>
        </is>
      </c>
      <c r="H455" s="4" t="inlineStr">
        <is>
          <t xml:space="preserve">R40Hx1 </t>
        </is>
      </c>
      <c r="I455" s="4" t="inlineStr">
        <is>
          <t>LCH27</t>
        </is>
      </c>
      <c r="J455" s="4" t="inlineStr">
        <is>
          <t xml:space="preserve">HAST Logistics Co.,Ltd. </t>
        </is>
      </c>
      <c r="K455" s="4" t="inlineStr">
        <is>
          <t>20261012</t>
        </is>
      </c>
      <c r="L455" s="4" t="inlineStr">
        <is>
          <t>SG LOGISTICS (THAILAND) COMPANY LIMITED</t>
        </is>
      </c>
      <c r="M455" s="4" t="inlineStr">
        <is>
          <t>SG LOGISTICS (THAILAND) COMPANY LIMITED</t>
        </is>
      </c>
      <c r="N455" s="4" t="inlineStr">
        <is>
          <t>FRESH LONGAN</t>
        </is>
      </c>
      <c r="O455" s="4" t="inlineStr">
        <is>
          <t>RF45REx1 (Temp +2.0℃ / Vent 10% Open) NEW VAN, ON DECK</t>
        </is>
      </c>
      <c r="P455" s="4" t="inlineStr">
        <is>
          <t xml:space="preserve">Pickup : 2026-10-12, Return : 2026-10-16 (Temp +2.0 / Vent 10% Open)
 CSL TIME 17/10 @04.00 </t>
        </is>
      </c>
      <c r="Q455" s="4" t="n">
        <v>0</v>
      </c>
      <c r="R455" s="4" t="n">
        <v>0</v>
      </c>
      <c r="S455" s="4" t="n">
        <v>0</v>
      </c>
      <c r="T455" s="4" t="n">
        <v>0</v>
      </c>
      <c r="U455" s="4" t="n">
        <v>1</v>
      </c>
      <c r="V455" s="4" t="n">
        <v>0</v>
      </c>
      <c r="W455" s="4" t="n">
        <v>0</v>
      </c>
      <c r="X455" s="4" t="n">
        <v>0</v>
      </c>
      <c r="Y455" s="4" t="n">
        <v>0</v>
      </c>
      <c r="Z455" s="4" t="n">
        <v>0</v>
      </c>
      <c r="AA455" s="4" t="n">
        <v>0</v>
      </c>
      <c r="AB455" s="4">
        <f>SUM(Q455:Y455)-Z455</f>
        <v/>
      </c>
      <c r="AC455" s="4">
        <f>IF(I455="","",IF(OR(LEFT(I455,3)="BKK",I455="LCH55"),"BKK",IF(LEFT(I455,3)="LCH","LCH","OTHER")))</f>
        <v/>
      </c>
      <c r="AD455" s="4">
        <f>MAX(0,Q455-MAX(0,Z455))</f>
        <v/>
      </c>
      <c r="AE455" s="4">
        <f>MAX(0,R455-MAX(0,Z455-SUM(Q455:Q455)))</f>
        <v/>
      </c>
      <c r="AF455" s="4">
        <f>MAX(0,S455-MAX(0,Z455-SUM(Q455:R455)))</f>
        <v/>
      </c>
      <c r="AG455" s="4">
        <f>MAX(0,T455-MAX(0,Z455-SUM(Q455:S455)))</f>
        <v/>
      </c>
      <c r="AH455" s="4">
        <f>MAX(0,U455-MAX(0,Z455-SUM(Q455:T455)))</f>
        <v/>
      </c>
      <c r="AI455" s="4">
        <f>MAX(0,V455-MAX(0,Z455-SUM(Q455:U455)))</f>
        <v/>
      </c>
      <c r="AJ455" s="4">
        <f>MAX(0,W455-MAX(0,Z455-SUM(Q455:V455)))</f>
        <v/>
      </c>
      <c r="AK455" s="4">
        <f>MAX(0,X455-MAX(0,Z455-SUM(Q455:W455)))</f>
        <v/>
      </c>
      <c r="AL455" s="4">
        <f>MAX(0,Y455-MAX(0,Z455-SUM(Q455:X455)))</f>
        <v/>
      </c>
    </row>
    <row r="456">
      <c r="A456" s="4" t="inlineStr">
        <is>
          <t>HASLS22260901261</t>
        </is>
      </c>
      <c r="B456" s="4" t="inlineStr">
        <is>
          <t>KMTP</t>
        </is>
      </c>
      <c r="C456" s="4" t="inlineStr">
        <is>
          <t>2612N</t>
        </is>
      </c>
      <c r="D456" s="4" t="inlineStr">
        <is>
          <t>202610122200</t>
        </is>
      </c>
      <c r="E456" s="4" t="inlineStr"/>
      <c r="F456" s="4" t="inlineStr">
        <is>
          <t>THLCH</t>
        </is>
      </c>
      <c r="G456" s="4" t="inlineStr">
        <is>
          <t>CNXMN</t>
        </is>
      </c>
      <c r="H456" s="4" t="inlineStr">
        <is>
          <t xml:space="preserve">R40Hx1 </t>
        </is>
      </c>
      <c r="I456" s="4" t="inlineStr">
        <is>
          <t>LCH27</t>
        </is>
      </c>
      <c r="J456" s="4" t="inlineStr">
        <is>
          <t xml:space="preserve">HAST Logistics Co.,Ltd. </t>
        </is>
      </c>
      <c r="K456" s="4" t="inlineStr">
        <is>
          <t>20261007</t>
        </is>
      </c>
      <c r="L456" s="4" t="inlineStr">
        <is>
          <t>SG LOGISTICS (THAILAND) COMPANY LIMITED</t>
        </is>
      </c>
      <c r="M456" s="4" t="inlineStr">
        <is>
          <t>SG LOGISTICS (THAILAND) COMPANY LIMITED</t>
        </is>
      </c>
      <c r="N456" s="4" t="inlineStr">
        <is>
          <t>FRESH YOUNG COCONUT</t>
        </is>
      </c>
      <c r="O456" s="4" t="inlineStr">
        <is>
          <t>RF45REx1 (Temp +2.0℃ / Vent 10% Open)</t>
        </is>
      </c>
      <c r="P456" s="4" t="inlineStr">
        <is>
          <t xml:space="preserve">Pickup : 2026-10-07, Return : 2026-10-11 (Temp +2.0 / Vent 10% Open)
 CSL TIME 11/10 @05.00 </t>
        </is>
      </c>
      <c r="Q456" s="4" t="n">
        <v>0</v>
      </c>
      <c r="R456" s="4" t="n">
        <v>0</v>
      </c>
      <c r="S456" s="4" t="n">
        <v>0</v>
      </c>
      <c r="T456" s="4" t="n">
        <v>0</v>
      </c>
      <c r="U456" s="4" t="n">
        <v>1</v>
      </c>
      <c r="V456" s="4" t="n">
        <v>0</v>
      </c>
      <c r="W456" s="4" t="n">
        <v>0</v>
      </c>
      <c r="X456" s="4" t="n">
        <v>0</v>
      </c>
      <c r="Y456" s="4" t="n">
        <v>0</v>
      </c>
      <c r="Z456" s="4" t="n">
        <v>0</v>
      </c>
      <c r="AA456" s="4" t="n">
        <v>0</v>
      </c>
      <c r="AB456" s="4">
        <f>SUM(Q456:Y456)-Z456</f>
        <v/>
      </c>
      <c r="AC456" s="4">
        <f>IF(I456="","",IF(OR(LEFT(I456,3)="BKK",I456="LCH55"),"BKK",IF(LEFT(I456,3)="LCH","LCH","OTHER")))</f>
        <v/>
      </c>
      <c r="AD456" s="4">
        <f>MAX(0,Q456-MAX(0,Z456))</f>
        <v/>
      </c>
      <c r="AE456" s="4">
        <f>MAX(0,R456-MAX(0,Z456-SUM(Q456:Q456)))</f>
        <v/>
      </c>
      <c r="AF456" s="4">
        <f>MAX(0,S456-MAX(0,Z456-SUM(Q456:R456)))</f>
        <v/>
      </c>
      <c r="AG456" s="4">
        <f>MAX(0,T456-MAX(0,Z456-SUM(Q456:S456)))</f>
        <v/>
      </c>
      <c r="AH456" s="4">
        <f>MAX(0,U456-MAX(0,Z456-SUM(Q456:T456)))</f>
        <v/>
      </c>
      <c r="AI456" s="4">
        <f>MAX(0,V456-MAX(0,Z456-SUM(Q456:U456)))</f>
        <v/>
      </c>
      <c r="AJ456" s="4">
        <f>MAX(0,W456-MAX(0,Z456-SUM(Q456:V456)))</f>
        <v/>
      </c>
      <c r="AK456" s="4">
        <f>MAX(0,X456-MAX(0,Z456-SUM(Q456:W456)))</f>
        <v/>
      </c>
      <c r="AL456" s="4">
        <f>MAX(0,Y456-MAX(0,Z456-SUM(Q456:X456)))</f>
        <v/>
      </c>
    </row>
    <row r="457">
      <c r="A457" s="4" t="inlineStr">
        <is>
          <t>HASLS22260901265</t>
        </is>
      </c>
      <c r="B457" s="4" t="inlineStr">
        <is>
          <t>KMGY</t>
        </is>
      </c>
      <c r="C457" s="4" t="inlineStr">
        <is>
          <t>2611N</t>
        </is>
      </c>
      <c r="D457" s="4" t="inlineStr">
        <is>
          <t>202610210400</t>
        </is>
      </c>
      <c r="E457" s="4" t="inlineStr"/>
      <c r="F457" s="4" t="inlineStr">
        <is>
          <t>THLCH</t>
        </is>
      </c>
      <c r="G457" s="4" t="inlineStr">
        <is>
          <t>CNXMN</t>
        </is>
      </c>
      <c r="H457" s="4" t="inlineStr">
        <is>
          <t xml:space="preserve">R40Hx1 </t>
        </is>
      </c>
      <c r="I457" s="4" t="inlineStr">
        <is>
          <t>LCH27</t>
        </is>
      </c>
      <c r="J457" s="4" t="inlineStr">
        <is>
          <t xml:space="preserve">HAST Logistics Co.,Ltd. </t>
        </is>
      </c>
      <c r="K457" s="4" t="inlineStr">
        <is>
          <t>20261013</t>
        </is>
      </c>
      <c r="L457" s="4" t="inlineStr">
        <is>
          <t>SG LOGISTICS (THAILAND) COMPANY LIMITED</t>
        </is>
      </c>
      <c r="M457" s="4" t="inlineStr">
        <is>
          <t>SG LOGISTICS (THAILAND) COMPANY LIMITED</t>
        </is>
      </c>
      <c r="N457" s="4" t="inlineStr">
        <is>
          <t>FRESH LONGAN</t>
        </is>
      </c>
      <c r="O457" s="4" t="inlineStr">
        <is>
          <t>RF45REx1 (Temp +2.0℃ / Vent 10% Open) NEW VAN, ON DECK</t>
        </is>
      </c>
      <c r="P457" s="4" t="inlineStr">
        <is>
          <t xml:space="preserve">Pickup : 2026-10-13, Return : 2026-10-18 (Temp +2.0 / Vent 10% Open)
 CSL TIME 18/10 @17.00 </t>
        </is>
      </c>
      <c r="Q457" s="4" t="n">
        <v>0</v>
      </c>
      <c r="R457" s="4" t="n">
        <v>0</v>
      </c>
      <c r="S457" s="4" t="n">
        <v>0</v>
      </c>
      <c r="T457" s="4" t="n">
        <v>0</v>
      </c>
      <c r="U457" s="4" t="n">
        <v>1</v>
      </c>
      <c r="V457" s="4" t="n">
        <v>0</v>
      </c>
      <c r="W457" s="4" t="n">
        <v>0</v>
      </c>
      <c r="X457" s="4" t="n">
        <v>0</v>
      </c>
      <c r="Y457" s="4" t="n">
        <v>0</v>
      </c>
      <c r="Z457" s="4" t="n">
        <v>0</v>
      </c>
      <c r="AA457" s="4" t="n">
        <v>0</v>
      </c>
      <c r="AB457" s="4">
        <f>SUM(Q457:Y457)-Z457</f>
        <v/>
      </c>
      <c r="AC457" s="4">
        <f>IF(I457="","",IF(OR(LEFT(I457,3)="BKK",I457="LCH55"),"BKK",IF(LEFT(I457,3)="LCH","LCH","OTHER")))</f>
        <v/>
      </c>
      <c r="AD457" s="4">
        <f>MAX(0,Q457-MAX(0,Z457))</f>
        <v/>
      </c>
      <c r="AE457" s="4">
        <f>MAX(0,R457-MAX(0,Z457-SUM(Q457:Q457)))</f>
        <v/>
      </c>
      <c r="AF457" s="4">
        <f>MAX(0,S457-MAX(0,Z457-SUM(Q457:R457)))</f>
        <v/>
      </c>
      <c r="AG457" s="4">
        <f>MAX(0,T457-MAX(0,Z457-SUM(Q457:S457)))</f>
        <v/>
      </c>
      <c r="AH457" s="4">
        <f>MAX(0,U457-MAX(0,Z457-SUM(Q457:T457)))</f>
        <v/>
      </c>
      <c r="AI457" s="4">
        <f>MAX(0,V457-MAX(0,Z457-SUM(Q457:U457)))</f>
        <v/>
      </c>
      <c r="AJ457" s="4">
        <f>MAX(0,W457-MAX(0,Z457-SUM(Q457:V457)))</f>
        <v/>
      </c>
      <c r="AK457" s="4">
        <f>MAX(0,X457-MAX(0,Z457-SUM(Q457:W457)))</f>
        <v/>
      </c>
      <c r="AL457" s="4">
        <f>MAX(0,Y457-MAX(0,Z457-SUM(Q457:X457)))</f>
        <v/>
      </c>
    </row>
    <row r="458">
      <c r="A458" s="4" t="inlineStr">
        <is>
          <t>HASLS22260901267</t>
        </is>
      </c>
      <c r="B458" s="4" t="inlineStr">
        <is>
          <t>KMGY</t>
        </is>
      </c>
      <c r="C458" s="4" t="inlineStr">
        <is>
          <t>2611N</t>
        </is>
      </c>
      <c r="D458" s="4" t="inlineStr">
        <is>
          <t>202610210400</t>
        </is>
      </c>
      <c r="E458" s="4" t="inlineStr"/>
      <c r="F458" s="4" t="inlineStr">
        <is>
          <t>THLCH</t>
        </is>
      </c>
      <c r="G458" s="4" t="inlineStr">
        <is>
          <t>CNXMN</t>
        </is>
      </c>
      <c r="H458" s="4" t="inlineStr">
        <is>
          <t xml:space="preserve">R40Hx1 </t>
        </is>
      </c>
      <c r="I458" s="4" t="inlineStr">
        <is>
          <t>LCH27</t>
        </is>
      </c>
      <c r="J458" s="4" t="inlineStr">
        <is>
          <t xml:space="preserve">HAST Logistics Co.,Ltd. </t>
        </is>
      </c>
      <c r="K458" s="4" t="inlineStr">
        <is>
          <t>20261013</t>
        </is>
      </c>
      <c r="L458" s="4" t="inlineStr">
        <is>
          <t>SG LOGISTICS (THAILAND) COMPANY LIMITED</t>
        </is>
      </c>
      <c r="M458" s="4" t="inlineStr">
        <is>
          <t>SG LOGISTICS (THAILAND) COMPANY LIMITED</t>
        </is>
      </c>
      <c r="N458" s="4" t="inlineStr">
        <is>
          <t>FRESH LONGAN</t>
        </is>
      </c>
      <c r="O458" s="4" t="inlineStr">
        <is>
          <t>RF45REx1 (Temp +2.0℃ / Vent 10% Open) NEW VAN, ON DECK</t>
        </is>
      </c>
      <c r="P458" s="4" t="inlineStr">
        <is>
          <t xml:space="preserve">Pickup : 2026-10-13, Return : 2026-10-18 (Temp +2.0 / Vent 10% Open)
 CLS TIME 18/10 17.00 </t>
        </is>
      </c>
      <c r="Q458" s="4" t="n">
        <v>0</v>
      </c>
      <c r="R458" s="4" t="n">
        <v>0</v>
      </c>
      <c r="S458" s="4" t="n">
        <v>0</v>
      </c>
      <c r="T458" s="4" t="n">
        <v>0</v>
      </c>
      <c r="U458" s="4" t="n">
        <v>1</v>
      </c>
      <c r="V458" s="4" t="n">
        <v>0</v>
      </c>
      <c r="W458" s="4" t="n">
        <v>0</v>
      </c>
      <c r="X458" s="4" t="n">
        <v>0</v>
      </c>
      <c r="Y458" s="4" t="n">
        <v>0</v>
      </c>
      <c r="Z458" s="4" t="n">
        <v>0</v>
      </c>
      <c r="AA458" s="4" t="n">
        <v>0</v>
      </c>
      <c r="AB458" s="4">
        <f>SUM(Q458:Y458)-Z458</f>
        <v/>
      </c>
      <c r="AC458" s="4">
        <f>IF(I458="","",IF(OR(LEFT(I458,3)="BKK",I458="LCH55"),"BKK",IF(LEFT(I458,3)="LCH","LCH","OTHER")))</f>
        <v/>
      </c>
      <c r="AD458" s="4">
        <f>MAX(0,Q458-MAX(0,Z458))</f>
        <v/>
      </c>
      <c r="AE458" s="4">
        <f>MAX(0,R458-MAX(0,Z458-SUM(Q458:Q458)))</f>
        <v/>
      </c>
      <c r="AF458" s="4">
        <f>MAX(0,S458-MAX(0,Z458-SUM(Q458:R458)))</f>
        <v/>
      </c>
      <c r="AG458" s="4">
        <f>MAX(0,T458-MAX(0,Z458-SUM(Q458:S458)))</f>
        <v/>
      </c>
      <c r="AH458" s="4">
        <f>MAX(0,U458-MAX(0,Z458-SUM(Q458:T458)))</f>
        <v/>
      </c>
      <c r="AI458" s="4">
        <f>MAX(0,V458-MAX(0,Z458-SUM(Q458:U458)))</f>
        <v/>
      </c>
      <c r="AJ458" s="4">
        <f>MAX(0,W458-MAX(0,Z458-SUM(Q458:V458)))</f>
        <v/>
      </c>
      <c r="AK458" s="4">
        <f>MAX(0,X458-MAX(0,Z458-SUM(Q458:W458)))</f>
        <v/>
      </c>
      <c r="AL458" s="4">
        <f>MAX(0,Y458-MAX(0,Z458-SUM(Q458:X458)))</f>
        <v/>
      </c>
    </row>
    <row r="459">
      <c r="A459" s="4" t="inlineStr">
        <is>
          <t>HASLS22260901329</t>
        </is>
      </c>
      <c r="B459" s="4" t="inlineStr">
        <is>
          <t>SWBT</t>
        </is>
      </c>
      <c r="C459" s="4" t="inlineStr">
        <is>
          <t>2616N</t>
        </is>
      </c>
      <c r="D459" s="4" t="inlineStr">
        <is>
          <t>202610140000</t>
        </is>
      </c>
      <c r="E459" s="4" t="inlineStr"/>
      <c r="F459" s="4" t="inlineStr">
        <is>
          <t>THLCH</t>
        </is>
      </c>
      <c r="G459" s="4" t="inlineStr">
        <is>
          <t>VNSGN</t>
        </is>
      </c>
      <c r="H459" s="4" t="inlineStr">
        <is>
          <t xml:space="preserve">20'x4 </t>
        </is>
      </c>
      <c r="I459" s="4" t="inlineStr">
        <is>
          <t>LCH27</t>
        </is>
      </c>
      <c r="J459" s="4" t="inlineStr">
        <is>
          <t xml:space="preserve">HAST Logistics Co.,Ltd. </t>
        </is>
      </c>
      <c r="K459" s="4" t="inlineStr">
        <is>
          <t>20261005</t>
        </is>
      </c>
      <c r="L459" s="4" t="inlineStr">
        <is>
          <t>WHA GC LOGISTICS COMPANY LIMITED</t>
        </is>
      </c>
      <c r="M459" s="4" t="inlineStr">
        <is>
          <t>PTT GLOBAL CHEMICAL PUBLIC COMPANY LIMITED</t>
        </is>
      </c>
      <c r="N459" s="4" t="inlineStr">
        <is>
          <t>RESIN</t>
        </is>
      </c>
      <c r="O459" s="4" t="inlineStr">
        <is>
          <t>GOOD AND CLEAN CTNR</t>
        </is>
      </c>
      <c r="P459" s="4" t="inlineStr">
        <is>
          <t>CY-RTN 05-07/10/26 (PR2610002025)
*PLS CHECK OPEN GATE BEFORE RETURN CTNR*</t>
        </is>
      </c>
      <c r="Q459" s="4" t="n">
        <v>4</v>
      </c>
      <c r="R459" s="4" t="n">
        <v>0</v>
      </c>
      <c r="S459" s="4" t="n">
        <v>0</v>
      </c>
      <c r="T459" s="4" t="n">
        <v>0</v>
      </c>
      <c r="U459" s="4" t="n">
        <v>0</v>
      </c>
      <c r="V459" s="4" t="n">
        <v>0</v>
      </c>
      <c r="W459" s="4" t="n">
        <v>0</v>
      </c>
      <c r="X459" s="4" t="n">
        <v>0</v>
      </c>
      <c r="Y459" s="4" t="n">
        <v>0</v>
      </c>
      <c r="Z459" s="4" t="n">
        <v>0</v>
      </c>
      <c r="AA459" s="4" t="n">
        <v>0</v>
      </c>
      <c r="AB459" s="4">
        <f>SUM(Q459:Y459)-Z459</f>
        <v/>
      </c>
      <c r="AC459" s="4">
        <f>IF(I459="","",IF(OR(LEFT(I459,3)="BKK",I459="LCH55"),"BKK",IF(LEFT(I459,3)="LCH","LCH","OTHER")))</f>
        <v/>
      </c>
      <c r="AD459" s="4">
        <f>MAX(0,Q459-MAX(0,Z459))</f>
        <v/>
      </c>
      <c r="AE459" s="4">
        <f>MAX(0,R459-MAX(0,Z459-SUM(Q459:Q459)))</f>
        <v/>
      </c>
      <c r="AF459" s="4">
        <f>MAX(0,S459-MAX(0,Z459-SUM(Q459:R459)))</f>
        <v/>
      </c>
      <c r="AG459" s="4">
        <f>MAX(0,T459-MAX(0,Z459-SUM(Q459:S459)))</f>
        <v/>
      </c>
      <c r="AH459" s="4">
        <f>MAX(0,U459-MAX(0,Z459-SUM(Q459:T459)))</f>
        <v/>
      </c>
      <c r="AI459" s="4">
        <f>MAX(0,V459-MAX(0,Z459-SUM(Q459:U459)))</f>
        <v/>
      </c>
      <c r="AJ459" s="4">
        <f>MAX(0,W459-MAX(0,Z459-SUM(Q459:V459)))</f>
        <v/>
      </c>
      <c r="AK459" s="4">
        <f>MAX(0,X459-MAX(0,Z459-SUM(Q459:W459)))</f>
        <v/>
      </c>
      <c r="AL459" s="4">
        <f>MAX(0,Y459-MAX(0,Z459-SUM(Q459:X459)))</f>
        <v/>
      </c>
    </row>
    <row r="460">
      <c r="A460" s="4" t="inlineStr">
        <is>
          <t>HASLS22260901330</t>
        </is>
      </c>
      <c r="B460" s="4" t="inlineStr">
        <is>
          <t>SWBT</t>
        </is>
      </c>
      <c r="C460" s="4" t="inlineStr">
        <is>
          <t>2616N</t>
        </is>
      </c>
      <c r="D460" s="4" t="inlineStr">
        <is>
          <t>202610140000</t>
        </is>
      </c>
      <c r="E460" s="4" t="inlineStr"/>
      <c r="F460" s="4" t="inlineStr">
        <is>
          <t>THLCH</t>
        </is>
      </c>
      <c r="G460" s="4" t="inlineStr">
        <is>
          <t>VNSGN</t>
        </is>
      </c>
      <c r="H460" s="4" t="inlineStr">
        <is>
          <t xml:space="preserve">40Hx8 </t>
        </is>
      </c>
      <c r="I460" s="4" t="inlineStr">
        <is>
          <t>LCH27</t>
        </is>
      </c>
      <c r="J460" s="4" t="inlineStr">
        <is>
          <t xml:space="preserve">HAST Logistics Co.,Ltd. </t>
        </is>
      </c>
      <c r="K460" s="4" t="inlineStr">
        <is>
          <t>20261005</t>
        </is>
      </c>
      <c r="L460" s="4" t="inlineStr">
        <is>
          <t>WHA GC LOGISTICS COMPANY LIMITED</t>
        </is>
      </c>
      <c r="M460" s="4" t="inlineStr">
        <is>
          <t>PTT GLOBAL CHEMICAL PUBLIC COMPANY LIMITED</t>
        </is>
      </c>
      <c r="N460" s="4" t="inlineStr">
        <is>
          <t>RESIN</t>
        </is>
      </c>
      <c r="O460" s="4" t="inlineStr">
        <is>
          <t>GOOD AND CLEAN CTNR</t>
        </is>
      </c>
      <c r="P460" s="4" t="inlineStr">
        <is>
          <t>CY-RTN 05-07/10/26 (PR2610001889)
*PLS CHECK OPEN GATE BEFORE RETURN CTNR*</t>
        </is>
      </c>
      <c r="Q460" s="4" t="n">
        <v>0</v>
      </c>
      <c r="R460" s="4" t="n">
        <v>0</v>
      </c>
      <c r="S460" s="4" t="n">
        <v>8</v>
      </c>
      <c r="T460" s="4" t="n">
        <v>0</v>
      </c>
      <c r="U460" s="4" t="n">
        <v>0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>
        <f>SUM(Q460:Y460)-Z460</f>
        <v/>
      </c>
      <c r="AC460" s="4">
        <f>IF(I460="","",IF(OR(LEFT(I460,3)="BKK",I460="LCH55"),"BKK",IF(LEFT(I460,3)="LCH","LCH","OTHER")))</f>
        <v/>
      </c>
      <c r="AD460" s="4">
        <f>MAX(0,Q460-MAX(0,Z460))</f>
        <v/>
      </c>
      <c r="AE460" s="4">
        <f>MAX(0,R460-MAX(0,Z460-SUM(Q460:Q460)))</f>
        <v/>
      </c>
      <c r="AF460" s="4">
        <f>MAX(0,S460-MAX(0,Z460-SUM(Q460:R460)))</f>
        <v/>
      </c>
      <c r="AG460" s="4">
        <f>MAX(0,T460-MAX(0,Z460-SUM(Q460:S460)))</f>
        <v/>
      </c>
      <c r="AH460" s="4">
        <f>MAX(0,U460-MAX(0,Z460-SUM(Q460:T460)))</f>
        <v/>
      </c>
      <c r="AI460" s="4">
        <f>MAX(0,V460-MAX(0,Z460-SUM(Q460:U460)))</f>
        <v/>
      </c>
      <c r="AJ460" s="4">
        <f>MAX(0,W460-MAX(0,Z460-SUM(Q460:V460)))</f>
        <v/>
      </c>
      <c r="AK460" s="4">
        <f>MAX(0,X460-MAX(0,Z460-SUM(Q460:W460)))</f>
        <v/>
      </c>
      <c r="AL460" s="4">
        <f>MAX(0,Y460-MAX(0,Z460-SUM(Q460:X460)))</f>
        <v/>
      </c>
    </row>
    <row r="461">
      <c r="A461" s="4" t="inlineStr">
        <is>
          <t>HASLS22260901331</t>
        </is>
      </c>
      <c r="B461" s="4" t="inlineStr">
        <is>
          <t>SWVG</t>
        </is>
      </c>
      <c r="C461" s="4" t="inlineStr">
        <is>
          <t>2612N</t>
        </is>
      </c>
      <c r="D461" s="4" t="inlineStr">
        <is>
          <t>202610070330</t>
        </is>
      </c>
      <c r="E461" s="4" t="inlineStr"/>
      <c r="F461" s="4" t="inlineStr">
        <is>
          <t>THLCH</t>
        </is>
      </c>
      <c r="G461" s="4" t="inlineStr">
        <is>
          <t>JPTMK</t>
        </is>
      </c>
      <c r="H461" s="4" t="inlineStr">
        <is>
          <t xml:space="preserve">20'x1 </t>
        </is>
      </c>
      <c r="I461" s="4" t="inlineStr">
        <is>
          <t>LCH27</t>
        </is>
      </c>
      <c r="J461" s="4" t="inlineStr">
        <is>
          <t xml:space="preserve">HAST Logistics Co.,Ltd. </t>
        </is>
      </c>
      <c r="K461" s="4" t="inlineStr">
        <is>
          <t>20261002</t>
        </is>
      </c>
      <c r="L461" s="4" t="inlineStr">
        <is>
          <t>ROJANA DISTRIBUTION CENTER CO., LTD.</t>
        </is>
      </c>
      <c r="M461" s="4" t="inlineStr">
        <is>
          <t>NIPPON STEEL WELDING (THAILAND) CO., LTD.</t>
        </is>
      </c>
      <c r="N461" s="4" t="inlineStr">
        <is>
          <t>WELDING WIRE</t>
        </is>
      </c>
      <c r="O461" s="4" t="inlineStr">
        <is>
          <t>Container side walls must not collapse and must have no gaps.floor must be smooth, including all floor joints.clean and free from rust</t>
        </is>
      </c>
      <c r="P461" s="4" t="inlineStr">
        <is>
          <t>Pickup : 2026-10-02, Return : 2026-10-05</t>
        </is>
      </c>
      <c r="Q461" s="4" t="n">
        <v>1</v>
      </c>
      <c r="R461" s="4" t="n">
        <v>0</v>
      </c>
      <c r="S461" s="4" t="n">
        <v>0</v>
      </c>
      <c r="T461" s="4" t="n">
        <v>0</v>
      </c>
      <c r="U461" s="4" t="n">
        <v>0</v>
      </c>
      <c r="V461" s="4" t="n">
        <v>0</v>
      </c>
      <c r="W461" s="4" t="n">
        <v>0</v>
      </c>
      <c r="X461" s="4" t="n">
        <v>0</v>
      </c>
      <c r="Y461" s="4" t="n">
        <v>0</v>
      </c>
      <c r="Z461" s="4" t="n">
        <v>0</v>
      </c>
      <c r="AA461" s="4" t="n">
        <v>0</v>
      </c>
      <c r="AB461" s="4">
        <f>SUM(Q461:Y461)-Z461</f>
        <v/>
      </c>
      <c r="AC461" s="4">
        <f>IF(I461="","",IF(OR(LEFT(I461,3)="BKK",I461="LCH55"),"BKK",IF(LEFT(I461,3)="LCH","LCH","OTHER")))</f>
        <v/>
      </c>
      <c r="AD461" s="4">
        <f>MAX(0,Q461-MAX(0,Z461))</f>
        <v/>
      </c>
      <c r="AE461" s="4">
        <f>MAX(0,R461-MAX(0,Z461-SUM(Q461:Q461)))</f>
        <v/>
      </c>
      <c r="AF461" s="4">
        <f>MAX(0,S461-MAX(0,Z461-SUM(Q461:R461)))</f>
        <v/>
      </c>
      <c r="AG461" s="4">
        <f>MAX(0,T461-MAX(0,Z461-SUM(Q461:S461)))</f>
        <v/>
      </c>
      <c r="AH461" s="4">
        <f>MAX(0,U461-MAX(0,Z461-SUM(Q461:T461)))</f>
        <v/>
      </c>
      <c r="AI461" s="4">
        <f>MAX(0,V461-MAX(0,Z461-SUM(Q461:U461)))</f>
        <v/>
      </c>
      <c r="AJ461" s="4">
        <f>MAX(0,W461-MAX(0,Z461-SUM(Q461:V461)))</f>
        <v/>
      </c>
      <c r="AK461" s="4">
        <f>MAX(0,X461-MAX(0,Z461-SUM(Q461:W461)))</f>
        <v/>
      </c>
      <c r="AL461" s="4">
        <f>MAX(0,Y461-MAX(0,Z461-SUM(Q461:X461)))</f>
        <v/>
      </c>
    </row>
    <row r="462">
      <c r="A462" s="4" t="inlineStr">
        <is>
          <t>HASLS22260901339</t>
        </is>
      </c>
      <c r="B462" s="4" t="inlineStr">
        <is>
          <t>SWAT</t>
        </is>
      </c>
      <c r="C462" s="4" t="inlineStr">
        <is>
          <t>2610N</t>
        </is>
      </c>
      <c r="D462" s="4" t="inlineStr">
        <is>
          <t>202610081000</t>
        </is>
      </c>
      <c r="E462" s="4" t="inlineStr"/>
      <c r="F462" s="4" t="inlineStr">
        <is>
          <t>THLCH</t>
        </is>
      </c>
      <c r="G462" s="4" t="inlineStr">
        <is>
          <t>TWKEL</t>
        </is>
      </c>
      <c r="H462" s="4" t="inlineStr">
        <is>
          <t xml:space="preserve">20'x2 </t>
        </is>
      </c>
      <c r="I462" s="4" t="inlineStr">
        <is>
          <t>LCH27</t>
        </is>
      </c>
      <c r="J462" s="4" t="inlineStr">
        <is>
          <t xml:space="preserve">HAST Logistics Co.,Ltd. </t>
        </is>
      </c>
      <c r="K462" s="4" t="inlineStr">
        <is>
          <t>20261005</t>
        </is>
      </c>
      <c r="L462" s="4" t="inlineStr">
        <is>
          <t>MERCURIAL LOGISTICS  CO.,LTD</t>
        </is>
      </c>
      <c r="M462" s="4" t="inlineStr">
        <is>
          <t>ORIENTAL COPPER CO., LTD.</t>
        </is>
      </c>
      <c r="N462" s="4" t="inlineStr">
        <is>
          <t>COPPER</t>
        </is>
      </c>
      <c r="O462" s="4" t="inlineStr">
        <is>
          <t>GOOD AND CLEAN CONTAINER</t>
        </is>
      </c>
      <c r="P462" s="4" t="inlineStr">
        <is>
          <t xml:space="preserve">Pickup : 2026-10-05, Return : 2026-10-05 
** PLEASE CHECK OPEN GATE BEFORE RETURN CONTAINER ** </t>
        </is>
      </c>
      <c r="Q462" s="4" t="n">
        <v>2</v>
      </c>
      <c r="R462" s="4" t="n">
        <v>0</v>
      </c>
      <c r="S462" s="4" t="n">
        <v>0</v>
      </c>
      <c r="T462" s="4" t="n">
        <v>0</v>
      </c>
      <c r="U462" s="4" t="n">
        <v>0</v>
      </c>
      <c r="V462" s="4" t="n">
        <v>0</v>
      </c>
      <c r="W462" s="4" t="n">
        <v>0</v>
      </c>
      <c r="X462" s="4" t="n">
        <v>0</v>
      </c>
      <c r="Y462" s="4" t="n">
        <v>0</v>
      </c>
      <c r="Z462" s="4" t="n">
        <v>0</v>
      </c>
      <c r="AA462" s="4" t="n">
        <v>0</v>
      </c>
      <c r="AB462" s="4">
        <f>SUM(Q462:Y462)-Z462</f>
        <v/>
      </c>
      <c r="AC462" s="4">
        <f>IF(I462="","",IF(OR(LEFT(I462,3)="BKK",I462="LCH55"),"BKK",IF(LEFT(I462,3)="LCH","LCH","OTHER")))</f>
        <v/>
      </c>
      <c r="AD462" s="4">
        <f>MAX(0,Q462-MAX(0,Z462))</f>
        <v/>
      </c>
      <c r="AE462" s="4">
        <f>MAX(0,R462-MAX(0,Z462-SUM(Q462:Q462)))</f>
        <v/>
      </c>
      <c r="AF462" s="4">
        <f>MAX(0,S462-MAX(0,Z462-SUM(Q462:R462)))</f>
        <v/>
      </c>
      <c r="AG462" s="4">
        <f>MAX(0,T462-MAX(0,Z462-SUM(Q462:S462)))</f>
        <v/>
      </c>
      <c r="AH462" s="4">
        <f>MAX(0,U462-MAX(0,Z462-SUM(Q462:T462)))</f>
        <v/>
      </c>
      <c r="AI462" s="4">
        <f>MAX(0,V462-MAX(0,Z462-SUM(Q462:U462)))</f>
        <v/>
      </c>
      <c r="AJ462" s="4">
        <f>MAX(0,W462-MAX(0,Z462-SUM(Q462:V462)))</f>
        <v/>
      </c>
      <c r="AK462" s="4">
        <f>MAX(0,X462-MAX(0,Z462-SUM(Q462:W462)))</f>
        <v/>
      </c>
      <c r="AL462" s="4">
        <f>MAX(0,Y462-MAX(0,Z462-SUM(Q462:X462)))</f>
        <v/>
      </c>
    </row>
    <row r="463">
      <c r="A463" s="4" t="inlineStr">
        <is>
          <t>HASLS22260901340</t>
        </is>
      </c>
      <c r="B463" s="4" t="inlineStr">
        <is>
          <t>SWAT</t>
        </is>
      </c>
      <c r="C463" s="4" t="inlineStr">
        <is>
          <t>2610N</t>
        </is>
      </c>
      <c r="D463" s="4" t="inlineStr">
        <is>
          <t>202610081000</t>
        </is>
      </c>
      <c r="E463" s="4" t="inlineStr"/>
      <c r="F463" s="4" t="inlineStr">
        <is>
          <t>THLCH</t>
        </is>
      </c>
      <c r="G463" s="4" t="inlineStr">
        <is>
          <t>TWKEL</t>
        </is>
      </c>
      <c r="H463" s="4" t="inlineStr">
        <is>
          <t xml:space="preserve">20'x1 </t>
        </is>
      </c>
      <c r="I463" s="4" t="inlineStr">
        <is>
          <t>LCH27</t>
        </is>
      </c>
      <c r="J463" s="4" t="inlineStr">
        <is>
          <t xml:space="preserve">HAST Logistics Co.,Ltd. </t>
        </is>
      </c>
      <c r="K463" s="4" t="inlineStr">
        <is>
          <t>20261005</t>
        </is>
      </c>
      <c r="L463" s="4" t="inlineStr">
        <is>
          <t>MERCURIAL LOGISTICS  CO.,LTD</t>
        </is>
      </c>
      <c r="M463" s="4" t="inlineStr">
        <is>
          <t>ORIENTAL COPPER CO., LTD.</t>
        </is>
      </c>
      <c r="N463" s="4" t="inlineStr">
        <is>
          <t>COPPER</t>
        </is>
      </c>
      <c r="O463" s="4" t="inlineStr">
        <is>
          <t>GOOD AND CLEAN CONTAINER</t>
        </is>
      </c>
      <c r="P463" s="4" t="inlineStr">
        <is>
          <t xml:space="preserve">Pickup : 2026-10-05, Return : 2026-10-05
** PLEASE CHECK OPEN GATE BEFORE RETURN CONTAINER ** </t>
        </is>
      </c>
      <c r="Q463" s="4" t="n">
        <v>1</v>
      </c>
      <c r="R463" s="4" t="n">
        <v>0</v>
      </c>
      <c r="S463" s="4" t="n">
        <v>0</v>
      </c>
      <c r="T463" s="4" t="n">
        <v>0</v>
      </c>
      <c r="U463" s="4" t="n">
        <v>0</v>
      </c>
      <c r="V463" s="4" t="n">
        <v>0</v>
      </c>
      <c r="W463" s="4" t="n">
        <v>0</v>
      </c>
      <c r="X463" s="4" t="n">
        <v>0</v>
      </c>
      <c r="Y463" s="4" t="n">
        <v>0</v>
      </c>
      <c r="Z463" s="4" t="n">
        <v>0</v>
      </c>
      <c r="AA463" s="4" t="n">
        <v>0</v>
      </c>
      <c r="AB463" s="4">
        <f>SUM(Q463:Y463)-Z463</f>
        <v/>
      </c>
      <c r="AC463" s="4">
        <f>IF(I463="","",IF(OR(LEFT(I463,3)="BKK",I463="LCH55"),"BKK",IF(LEFT(I463,3)="LCH","LCH","OTHER")))</f>
        <v/>
      </c>
      <c r="AD463" s="4">
        <f>MAX(0,Q463-MAX(0,Z463))</f>
        <v/>
      </c>
      <c r="AE463" s="4">
        <f>MAX(0,R463-MAX(0,Z463-SUM(Q463:Q463)))</f>
        <v/>
      </c>
      <c r="AF463" s="4">
        <f>MAX(0,S463-MAX(0,Z463-SUM(Q463:R463)))</f>
        <v/>
      </c>
      <c r="AG463" s="4">
        <f>MAX(0,T463-MAX(0,Z463-SUM(Q463:S463)))</f>
        <v/>
      </c>
      <c r="AH463" s="4">
        <f>MAX(0,U463-MAX(0,Z463-SUM(Q463:T463)))</f>
        <v/>
      </c>
      <c r="AI463" s="4">
        <f>MAX(0,V463-MAX(0,Z463-SUM(Q463:U463)))</f>
        <v/>
      </c>
      <c r="AJ463" s="4">
        <f>MAX(0,W463-MAX(0,Z463-SUM(Q463:V463)))</f>
        <v/>
      </c>
      <c r="AK463" s="4">
        <f>MAX(0,X463-MAX(0,Z463-SUM(Q463:W463)))</f>
        <v/>
      </c>
      <c r="AL463" s="4">
        <f>MAX(0,Y463-MAX(0,Z463-SUM(Q463:X463)))</f>
        <v/>
      </c>
    </row>
    <row r="464">
      <c r="A464" s="4" t="inlineStr">
        <is>
          <t>HASLS22260901349</t>
        </is>
      </c>
      <c r="B464" s="4" t="inlineStr">
        <is>
          <t>KMGY</t>
        </is>
      </c>
      <c r="C464" s="4" t="inlineStr">
        <is>
          <t>2611N</t>
        </is>
      </c>
      <c r="D464" s="4" t="inlineStr">
        <is>
          <t>202610210400</t>
        </is>
      </c>
      <c r="E464" s="4" t="inlineStr"/>
      <c r="F464" s="4" t="inlineStr">
        <is>
          <t>THLCH</t>
        </is>
      </c>
      <c r="G464" s="4" t="inlineStr">
        <is>
          <t>CNXMN</t>
        </is>
      </c>
      <c r="H464" s="4" t="inlineStr">
        <is>
          <t xml:space="preserve">40Hx20 </t>
        </is>
      </c>
      <c r="I464" s="4" t="inlineStr">
        <is>
          <t>LCH27</t>
        </is>
      </c>
      <c r="J464" s="4" t="inlineStr">
        <is>
          <t xml:space="preserve">HAST Logistics Co.,Ltd. </t>
        </is>
      </c>
      <c r="K464" s="4" t="inlineStr">
        <is>
          <t>20261015</t>
        </is>
      </c>
      <c r="L464" s="4" t="inlineStr">
        <is>
          <t>SEA AND LAND LOGISTICS (THAILAND) CO.,LTD</t>
        </is>
      </c>
      <c r="M464" s="4" t="inlineStr">
        <is>
          <t>RUIHUA PULP &amp; PAPER CO., LTD.</t>
        </is>
      </c>
      <c r="N464" s="4" t="inlineStr">
        <is>
          <t>PAPER PULP</t>
        </is>
      </c>
      <c r="O464" s="4" t="inlineStr">
        <is>
          <t>RQST CONTAINER 32.5 TONS. // RQST GOOD AND CLEAN CONTAINER.</t>
        </is>
      </c>
      <c r="P464" s="4" t="inlineStr">
        <is>
          <t xml:space="preserve">Pickup : 2026-10-15, Return : 2026-10-16 
 ** PLEASE CHECK OPEN GATE BEFORE RETURN CNTR **
</t>
        </is>
      </c>
      <c r="Q464" s="4" t="n">
        <v>0</v>
      </c>
      <c r="R464" s="4" t="n">
        <v>0</v>
      </c>
      <c r="S464" s="4" t="n">
        <v>20</v>
      </c>
      <c r="T464" s="4" t="n">
        <v>0</v>
      </c>
      <c r="U464" s="4" t="n">
        <v>0</v>
      </c>
      <c r="V464" s="4" t="n">
        <v>0</v>
      </c>
      <c r="W464" s="4" t="n">
        <v>0</v>
      </c>
      <c r="X464" s="4" t="n">
        <v>0</v>
      </c>
      <c r="Y464" s="4" t="n">
        <v>0</v>
      </c>
      <c r="Z464" s="4" t="n">
        <v>0</v>
      </c>
      <c r="AA464" s="4" t="n">
        <v>0</v>
      </c>
      <c r="AB464" s="4">
        <f>SUM(Q464:Y464)-Z464</f>
        <v/>
      </c>
      <c r="AC464" s="4">
        <f>IF(I464="","",IF(OR(LEFT(I464,3)="BKK",I464="LCH55"),"BKK",IF(LEFT(I464,3)="LCH","LCH","OTHER")))</f>
        <v/>
      </c>
      <c r="AD464" s="4">
        <f>MAX(0,Q464-MAX(0,Z464))</f>
        <v/>
      </c>
      <c r="AE464" s="4">
        <f>MAX(0,R464-MAX(0,Z464-SUM(Q464:Q464)))</f>
        <v/>
      </c>
      <c r="AF464" s="4">
        <f>MAX(0,S464-MAX(0,Z464-SUM(Q464:R464)))</f>
        <v/>
      </c>
      <c r="AG464" s="4">
        <f>MAX(0,T464-MAX(0,Z464-SUM(Q464:S464)))</f>
        <v/>
      </c>
      <c r="AH464" s="4">
        <f>MAX(0,U464-MAX(0,Z464-SUM(Q464:T464)))</f>
        <v/>
      </c>
      <c r="AI464" s="4">
        <f>MAX(0,V464-MAX(0,Z464-SUM(Q464:U464)))</f>
        <v/>
      </c>
      <c r="AJ464" s="4">
        <f>MAX(0,W464-MAX(0,Z464-SUM(Q464:V464)))</f>
        <v/>
      </c>
      <c r="AK464" s="4">
        <f>MAX(0,X464-MAX(0,Z464-SUM(Q464:W464)))</f>
        <v/>
      </c>
      <c r="AL464" s="4">
        <f>MAX(0,Y464-MAX(0,Z464-SUM(Q464:X464)))</f>
        <v/>
      </c>
    </row>
    <row r="465">
      <c r="A465" s="4" t="inlineStr">
        <is>
          <t>HASLS22260901374</t>
        </is>
      </c>
      <c r="B465" s="4" t="inlineStr">
        <is>
          <t>KXM</t>
        </is>
      </c>
      <c r="C465" s="4" t="inlineStr">
        <is>
          <t>2608S</t>
        </is>
      </c>
      <c r="D465" s="4" t="inlineStr">
        <is>
          <t>202610100500</t>
        </is>
      </c>
      <c r="E465" s="4" t="inlineStr"/>
      <c r="F465" s="4" t="inlineStr">
        <is>
          <t>THLCH</t>
        </is>
      </c>
      <c r="G465" s="4" t="inlineStr">
        <is>
          <t>IDJKT</t>
        </is>
      </c>
      <c r="H465" s="4" t="inlineStr">
        <is>
          <t xml:space="preserve">20'x1 </t>
        </is>
      </c>
      <c r="I465" s="4" t="inlineStr">
        <is>
          <t>LCH27</t>
        </is>
      </c>
      <c r="J465" s="4" t="inlineStr">
        <is>
          <t xml:space="preserve">HAST Logistics Co.,Ltd. </t>
        </is>
      </c>
      <c r="K465" s="4" t="inlineStr">
        <is>
          <t>20261008</t>
        </is>
      </c>
      <c r="L465" s="4" t="inlineStr">
        <is>
          <t>LPK GLOBAL TRADE CO.,LTD.</t>
        </is>
      </c>
      <c r="M465" s="4" t="inlineStr">
        <is>
          <t>THAI KELLY CORP.,LTD.</t>
        </is>
      </c>
      <c r="N465" s="4" t="inlineStr">
        <is>
          <t>CHEMICAL</t>
        </is>
      </c>
      <c r="O465" s="4" t="inlineStr">
        <is>
          <t>DO NOT PICKUP CONTAINERS, STILL ON PROCESS OF GETTING APPROVAL.//DG (CLS 8 / UN 1760) CLEAN AND DRY CONTAINER</t>
        </is>
      </c>
      <c r="P465" s="4" t="inlineStr">
        <is>
          <t xml:space="preserve">DO NOT PICKUP CONTAINERS, STILL ON PROCESS OF GETTING APPROVAL.//DG (CLS 8 / UN 1760) 
Pickup : 2026-10-08, Return @ JWD : 2026-10-09 </t>
        </is>
      </c>
      <c r="Q465" s="4" t="n">
        <v>1</v>
      </c>
      <c r="R465" s="4" t="n">
        <v>0</v>
      </c>
      <c r="S465" s="4" t="n">
        <v>0</v>
      </c>
      <c r="T465" s="4" t="n">
        <v>0</v>
      </c>
      <c r="U465" s="4" t="n">
        <v>0</v>
      </c>
      <c r="V465" s="4" t="n">
        <v>0</v>
      </c>
      <c r="W465" s="4" t="n">
        <v>0</v>
      </c>
      <c r="X465" s="4" t="n">
        <v>0</v>
      </c>
      <c r="Y465" s="4" t="n">
        <v>0</v>
      </c>
      <c r="Z465" s="4" t="n">
        <v>0</v>
      </c>
      <c r="AA465" s="4" t="n">
        <v>0</v>
      </c>
      <c r="AB465" s="4">
        <f>SUM(Q465:Y465)-Z465</f>
        <v/>
      </c>
      <c r="AC465" s="4">
        <f>IF(I465="","",IF(OR(LEFT(I465,3)="BKK",I465="LCH55"),"BKK",IF(LEFT(I465,3)="LCH","LCH","OTHER")))</f>
        <v/>
      </c>
      <c r="AD465" s="4">
        <f>MAX(0,Q465-MAX(0,Z465))</f>
        <v/>
      </c>
      <c r="AE465" s="4">
        <f>MAX(0,R465-MAX(0,Z465-SUM(Q465:Q465)))</f>
        <v/>
      </c>
      <c r="AF465" s="4">
        <f>MAX(0,S465-MAX(0,Z465-SUM(Q465:R465)))</f>
        <v/>
      </c>
      <c r="AG465" s="4">
        <f>MAX(0,T465-MAX(0,Z465-SUM(Q465:S465)))</f>
        <v/>
      </c>
      <c r="AH465" s="4">
        <f>MAX(0,U465-MAX(0,Z465-SUM(Q465:T465)))</f>
        <v/>
      </c>
      <c r="AI465" s="4">
        <f>MAX(0,V465-MAX(0,Z465-SUM(Q465:U465)))</f>
        <v/>
      </c>
      <c r="AJ465" s="4">
        <f>MAX(0,W465-MAX(0,Z465-SUM(Q465:V465)))</f>
        <v/>
      </c>
      <c r="AK465" s="4">
        <f>MAX(0,X465-MAX(0,Z465-SUM(Q465:W465)))</f>
        <v/>
      </c>
      <c r="AL465" s="4">
        <f>MAX(0,Y465-MAX(0,Z465-SUM(Q465:X465)))</f>
        <v/>
      </c>
    </row>
    <row r="466">
      <c r="A466" s="4" t="inlineStr">
        <is>
          <t>HASLS22260901378</t>
        </is>
      </c>
      <c r="B466" s="4" t="inlineStr">
        <is>
          <t>PCCP</t>
        </is>
      </c>
      <c r="C466" s="4" t="inlineStr">
        <is>
          <t>2610N</t>
        </is>
      </c>
      <c r="D466" s="4" t="inlineStr">
        <is>
          <t>202610120600</t>
        </is>
      </c>
      <c r="E466" s="4" t="inlineStr"/>
      <c r="F466" s="4" t="inlineStr">
        <is>
          <t>THLCH</t>
        </is>
      </c>
      <c r="G466" s="4" t="inlineStr">
        <is>
          <t>VNSGN</t>
        </is>
      </c>
      <c r="H466" s="4" t="inlineStr">
        <is>
          <t xml:space="preserve">40Hx4 </t>
        </is>
      </c>
      <c r="I466" s="4" t="inlineStr">
        <is>
          <t>LCH27</t>
        </is>
      </c>
      <c r="J466" s="4" t="inlineStr">
        <is>
          <t xml:space="preserve">HAST Logistics Co.,Ltd. </t>
        </is>
      </c>
      <c r="K466" s="4" t="inlineStr">
        <is>
          <t>20261006</t>
        </is>
      </c>
      <c r="L466" s="4" t="inlineStr">
        <is>
          <t>LOGMAN INTERNATIONAL CO., LTD.</t>
        </is>
      </c>
      <c r="M466" s="4" t="inlineStr">
        <is>
          <t>MAXXIS INTERNATIONAL (THAILAND) CO., LTD.</t>
        </is>
      </c>
      <c r="N466" s="4" t="inlineStr">
        <is>
          <t>NEW TIRE</t>
        </is>
      </c>
      <c r="O466" s="4" t="inlineStr">
        <is>
          <t>REQUEST GOOD AND CLEAN CONTAINER</t>
        </is>
      </c>
      <c r="P466" s="4" t="inlineStr">
        <is>
          <t>Pickup : 2026-10-06, Return : 2026-10-07</t>
        </is>
      </c>
      <c r="Q466" s="4" t="n">
        <v>0</v>
      </c>
      <c r="R466" s="4" t="n">
        <v>0</v>
      </c>
      <c r="S466" s="4" t="n">
        <v>4</v>
      </c>
      <c r="T466" s="4" t="n">
        <v>0</v>
      </c>
      <c r="U466" s="4" t="n">
        <v>0</v>
      </c>
      <c r="V466" s="4" t="n">
        <v>0</v>
      </c>
      <c r="W466" s="4" t="n">
        <v>0</v>
      </c>
      <c r="X466" s="4" t="n">
        <v>0</v>
      </c>
      <c r="Y466" s="4" t="n">
        <v>0</v>
      </c>
      <c r="Z466" s="4" t="n">
        <v>0</v>
      </c>
      <c r="AA466" s="4" t="n">
        <v>0</v>
      </c>
      <c r="AB466" s="4">
        <f>SUM(Q466:Y466)-Z466</f>
        <v/>
      </c>
      <c r="AC466" s="4">
        <f>IF(I466="","",IF(OR(LEFT(I466,3)="BKK",I466="LCH55"),"BKK",IF(LEFT(I466,3)="LCH","LCH","OTHER")))</f>
        <v/>
      </c>
      <c r="AD466" s="4">
        <f>MAX(0,Q466-MAX(0,Z466))</f>
        <v/>
      </c>
      <c r="AE466" s="4">
        <f>MAX(0,R466-MAX(0,Z466-SUM(Q466:Q466)))</f>
        <v/>
      </c>
      <c r="AF466" s="4">
        <f>MAX(0,S466-MAX(0,Z466-SUM(Q466:R466)))</f>
        <v/>
      </c>
      <c r="AG466" s="4">
        <f>MAX(0,T466-MAX(0,Z466-SUM(Q466:S466)))</f>
        <v/>
      </c>
      <c r="AH466" s="4">
        <f>MAX(0,U466-MAX(0,Z466-SUM(Q466:T466)))</f>
        <v/>
      </c>
      <c r="AI466" s="4">
        <f>MAX(0,V466-MAX(0,Z466-SUM(Q466:U466)))</f>
        <v/>
      </c>
      <c r="AJ466" s="4">
        <f>MAX(0,W466-MAX(0,Z466-SUM(Q466:V466)))</f>
        <v/>
      </c>
      <c r="AK466" s="4">
        <f>MAX(0,X466-MAX(0,Z466-SUM(Q466:W466)))</f>
        <v/>
      </c>
      <c r="AL466" s="4">
        <f>MAX(0,Y466-MAX(0,Z466-SUM(Q466:X466)))</f>
        <v/>
      </c>
    </row>
    <row r="467">
      <c r="A467" s="4" t="inlineStr">
        <is>
          <t>HASLS22260901382</t>
        </is>
      </c>
      <c r="B467" s="4" t="inlineStr">
        <is>
          <t>KXM</t>
        </is>
      </c>
      <c r="C467" s="4" t="inlineStr">
        <is>
          <t>2608S</t>
        </is>
      </c>
      <c r="D467" s="4" t="inlineStr">
        <is>
          <t>202610100500</t>
        </is>
      </c>
      <c r="E467" s="4" t="inlineStr"/>
      <c r="F467" s="4" t="inlineStr">
        <is>
          <t>THLCH</t>
        </is>
      </c>
      <c r="G467" s="4" t="inlineStr">
        <is>
          <t>IDJKT</t>
        </is>
      </c>
      <c r="H467" s="4" t="inlineStr">
        <is>
          <t xml:space="preserve">20'x1 </t>
        </is>
      </c>
      <c r="I467" s="4" t="inlineStr">
        <is>
          <t>LCH27</t>
        </is>
      </c>
      <c r="J467" s="4" t="inlineStr">
        <is>
          <t xml:space="preserve">HAST Logistics Co.,Ltd. </t>
        </is>
      </c>
      <c r="K467" s="4" t="inlineStr">
        <is>
          <t>20261008</t>
        </is>
      </c>
      <c r="L467" s="4" t="inlineStr">
        <is>
          <t>CTI LOGISTICS CO., LTD.</t>
        </is>
      </c>
      <c r="M467" s="4" t="inlineStr">
        <is>
          <t>INGREDION (THAILAND) CO., LTD.</t>
        </is>
      </c>
      <c r="N467" s="4" t="inlineStr">
        <is>
          <t>MODIFIED TAPIOCA STARCH (GRADE : PURITY 21T</t>
        </is>
      </c>
      <c r="O467" s="4" t="inlineStr">
        <is>
          <t>REQUEST CLEAN CONTAINER</t>
        </is>
      </c>
      <c r="P467" s="4" t="inlineStr">
        <is>
          <t>Pickup : 2026-10-08, Return : 2026-10-08</t>
        </is>
      </c>
      <c r="Q467" s="4" t="n">
        <v>1</v>
      </c>
      <c r="R467" s="4" t="n">
        <v>0</v>
      </c>
      <c r="S467" s="4" t="n">
        <v>0</v>
      </c>
      <c r="T467" s="4" t="n">
        <v>0</v>
      </c>
      <c r="U467" s="4" t="n">
        <v>0</v>
      </c>
      <c r="V467" s="4" t="n">
        <v>0</v>
      </c>
      <c r="W467" s="4" t="n">
        <v>0</v>
      </c>
      <c r="X467" s="4" t="n">
        <v>0</v>
      </c>
      <c r="Y467" s="4" t="n">
        <v>0</v>
      </c>
      <c r="Z467" s="4" t="n">
        <v>0</v>
      </c>
      <c r="AA467" s="4" t="n">
        <v>0</v>
      </c>
      <c r="AB467" s="4">
        <f>SUM(Q467:Y467)-Z467</f>
        <v/>
      </c>
      <c r="AC467" s="4">
        <f>IF(I467="","",IF(OR(LEFT(I467,3)="BKK",I467="LCH55"),"BKK",IF(LEFT(I467,3)="LCH","LCH","OTHER")))</f>
        <v/>
      </c>
      <c r="AD467" s="4">
        <f>MAX(0,Q467-MAX(0,Z467))</f>
        <v/>
      </c>
      <c r="AE467" s="4">
        <f>MAX(0,R467-MAX(0,Z467-SUM(Q467:Q467)))</f>
        <v/>
      </c>
      <c r="AF467" s="4">
        <f>MAX(0,S467-MAX(0,Z467-SUM(Q467:R467)))</f>
        <v/>
      </c>
      <c r="AG467" s="4">
        <f>MAX(0,T467-MAX(0,Z467-SUM(Q467:S467)))</f>
        <v/>
      </c>
      <c r="AH467" s="4">
        <f>MAX(0,U467-MAX(0,Z467-SUM(Q467:T467)))</f>
        <v/>
      </c>
      <c r="AI467" s="4">
        <f>MAX(0,V467-MAX(0,Z467-SUM(Q467:U467)))</f>
        <v/>
      </c>
      <c r="AJ467" s="4">
        <f>MAX(0,W467-MAX(0,Z467-SUM(Q467:V467)))</f>
        <v/>
      </c>
      <c r="AK467" s="4">
        <f>MAX(0,X467-MAX(0,Z467-SUM(Q467:W467)))</f>
        <v/>
      </c>
      <c r="AL467" s="4">
        <f>MAX(0,Y467-MAX(0,Z467-SUM(Q467:X467)))</f>
        <v/>
      </c>
    </row>
    <row r="468">
      <c r="A468" s="4" t="inlineStr">
        <is>
          <t>HASLS22260901397</t>
        </is>
      </c>
      <c r="B468" s="4" t="inlineStr">
        <is>
          <t>SWSP</t>
        </is>
      </c>
      <c r="C468" s="4" t="inlineStr">
        <is>
          <t>2609N</t>
        </is>
      </c>
      <c r="D468" s="4" t="inlineStr">
        <is>
          <t>202610080830</t>
        </is>
      </c>
      <c r="E468" s="4" t="inlineStr"/>
      <c r="F468" s="4" t="inlineStr">
        <is>
          <t>THLCH</t>
        </is>
      </c>
      <c r="G468" s="4" t="inlineStr">
        <is>
          <t>VNSGN</t>
        </is>
      </c>
      <c r="H468" s="4" t="inlineStr">
        <is>
          <t xml:space="preserve">40Hx1 </t>
        </is>
      </c>
      <c r="I468" s="4" t="inlineStr">
        <is>
          <t>LCH27</t>
        </is>
      </c>
      <c r="J468" s="4" t="inlineStr">
        <is>
          <t xml:space="preserve">HAST Logistics Co.,Ltd. </t>
        </is>
      </c>
      <c r="K468" s="4" t="inlineStr">
        <is>
          <t>20261005</t>
        </is>
      </c>
      <c r="L468" s="4" t="inlineStr">
        <is>
          <t>FIBS LOGISTICS CO., LTD.</t>
        </is>
      </c>
      <c r="M468" s="4" t="inlineStr">
        <is>
          <t>YAMAMORI TRADING CO.,LTD</t>
        </is>
      </c>
      <c r="N468" s="4" t="inlineStr">
        <is>
          <t>SOY SAUCE</t>
        </is>
      </c>
      <c r="O468" s="4" t="inlineStr">
        <is>
          <t>REQUEST CLEAN CONTAINER AND GOOD CONDITION</t>
        </is>
      </c>
      <c r="P468" s="4" t="inlineStr">
        <is>
          <t xml:space="preserve">Pickup : 2026-10-05, Return : 2026-10-05 
** PLEASE CHECK OPEN GATE BEFORE RETURN CONTAINER ** </t>
        </is>
      </c>
      <c r="Q468" s="4" t="n">
        <v>0</v>
      </c>
      <c r="R468" s="4" t="n">
        <v>0</v>
      </c>
      <c r="S468" s="4" t="n">
        <v>1</v>
      </c>
      <c r="T468" s="4" t="n">
        <v>0</v>
      </c>
      <c r="U468" s="4" t="n">
        <v>0</v>
      </c>
      <c r="V468" s="4" t="n">
        <v>0</v>
      </c>
      <c r="W468" s="4" t="n">
        <v>0</v>
      </c>
      <c r="X468" s="4" t="n">
        <v>0</v>
      </c>
      <c r="Y468" s="4" t="n">
        <v>0</v>
      </c>
      <c r="Z468" s="4" t="n">
        <v>0</v>
      </c>
      <c r="AA468" s="4" t="n">
        <v>0</v>
      </c>
      <c r="AB468" s="4">
        <f>SUM(Q468:Y468)-Z468</f>
        <v/>
      </c>
      <c r="AC468" s="4">
        <f>IF(I468="","",IF(OR(LEFT(I468,3)="BKK",I468="LCH55"),"BKK",IF(LEFT(I468,3)="LCH","LCH","OTHER")))</f>
        <v/>
      </c>
      <c r="AD468" s="4">
        <f>MAX(0,Q468-MAX(0,Z468))</f>
        <v/>
      </c>
      <c r="AE468" s="4">
        <f>MAX(0,R468-MAX(0,Z468-SUM(Q468:Q468)))</f>
        <v/>
      </c>
      <c r="AF468" s="4">
        <f>MAX(0,S468-MAX(0,Z468-SUM(Q468:R468)))</f>
        <v/>
      </c>
      <c r="AG468" s="4">
        <f>MAX(0,T468-MAX(0,Z468-SUM(Q468:S468)))</f>
        <v/>
      </c>
      <c r="AH468" s="4">
        <f>MAX(0,U468-MAX(0,Z468-SUM(Q468:T468)))</f>
        <v/>
      </c>
      <c r="AI468" s="4">
        <f>MAX(0,V468-MAX(0,Z468-SUM(Q468:U468)))</f>
        <v/>
      </c>
      <c r="AJ468" s="4">
        <f>MAX(0,W468-MAX(0,Z468-SUM(Q468:V468)))</f>
        <v/>
      </c>
      <c r="AK468" s="4">
        <f>MAX(0,X468-MAX(0,Z468-SUM(Q468:W468)))</f>
        <v/>
      </c>
      <c r="AL468" s="4">
        <f>MAX(0,Y468-MAX(0,Z468-SUM(Q468:X468)))</f>
        <v/>
      </c>
    </row>
    <row r="469">
      <c r="A469" s="4" t="inlineStr">
        <is>
          <t>HASLS22260901408</t>
        </is>
      </c>
      <c r="B469" s="4" t="inlineStr">
        <is>
          <t>SWVG</t>
        </is>
      </c>
      <c r="C469" s="4" t="inlineStr">
        <is>
          <t>2612N</t>
        </is>
      </c>
      <c r="D469" s="4" t="inlineStr">
        <is>
          <t>202610070330</t>
        </is>
      </c>
      <c r="E469" s="4" t="inlineStr"/>
      <c r="F469" s="4" t="inlineStr">
        <is>
          <t>THLCH</t>
        </is>
      </c>
      <c r="G469" s="4" t="inlineStr">
        <is>
          <t>JPFKY</t>
        </is>
      </c>
      <c r="H469" s="4" t="inlineStr">
        <is>
          <t xml:space="preserve">20'x1 </t>
        </is>
      </c>
      <c r="I469" s="4" t="inlineStr">
        <is>
          <t>LCH27</t>
        </is>
      </c>
      <c r="J469" s="4" t="inlineStr">
        <is>
          <t xml:space="preserve">HAST Logistics Co.,Ltd. </t>
        </is>
      </c>
      <c r="K469" s="4" t="inlineStr">
        <is>
          <t>20261002</t>
        </is>
      </c>
      <c r="L469" s="4" t="inlineStr">
        <is>
          <t>ROJANA DISTRIBUTION CENTER CO., LTD.</t>
        </is>
      </c>
      <c r="M469" s="4" t="inlineStr">
        <is>
          <t>NIPPON STEEL WELDING (THAILAND) CO., LTD.</t>
        </is>
      </c>
      <c r="N469" s="4" t="inlineStr">
        <is>
          <t>WELDING WIRE</t>
        </is>
      </c>
      <c r="O469" s="4" t="inlineStr">
        <is>
          <t>Container side walls must not collapse and must have no gaps. floor must be smooth, including all floor joints. clean and free from rust and oil. not</t>
        </is>
      </c>
      <c r="P469" s="4" t="inlineStr">
        <is>
          <t>Pickup : 2026-10-02, Return : 2026-10-05</t>
        </is>
      </c>
      <c r="Q469" s="4" t="n">
        <v>1</v>
      </c>
      <c r="R469" s="4" t="n">
        <v>0</v>
      </c>
      <c r="S469" s="4" t="n">
        <v>0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>
        <f>SUM(Q469:Y469)-Z469</f>
        <v/>
      </c>
      <c r="AC469" s="4">
        <f>IF(I469="","",IF(OR(LEFT(I469,3)="BKK",I469="LCH55"),"BKK",IF(LEFT(I469,3)="LCH","LCH","OTHER")))</f>
        <v/>
      </c>
      <c r="AD469" s="4">
        <f>MAX(0,Q469-MAX(0,Z469))</f>
        <v/>
      </c>
      <c r="AE469" s="4">
        <f>MAX(0,R469-MAX(0,Z469-SUM(Q469:Q469)))</f>
        <v/>
      </c>
      <c r="AF469" s="4">
        <f>MAX(0,S469-MAX(0,Z469-SUM(Q469:R469)))</f>
        <v/>
      </c>
      <c r="AG469" s="4">
        <f>MAX(0,T469-MAX(0,Z469-SUM(Q469:S469)))</f>
        <v/>
      </c>
      <c r="AH469" s="4">
        <f>MAX(0,U469-MAX(0,Z469-SUM(Q469:T469)))</f>
        <v/>
      </c>
      <c r="AI469" s="4">
        <f>MAX(0,V469-MAX(0,Z469-SUM(Q469:U469)))</f>
        <v/>
      </c>
      <c r="AJ469" s="4">
        <f>MAX(0,W469-MAX(0,Z469-SUM(Q469:V469)))</f>
        <v/>
      </c>
      <c r="AK469" s="4">
        <f>MAX(0,X469-MAX(0,Z469-SUM(Q469:W469)))</f>
        <v/>
      </c>
      <c r="AL469" s="4">
        <f>MAX(0,Y469-MAX(0,Z469-SUM(Q469:X469)))</f>
        <v/>
      </c>
    </row>
    <row r="470">
      <c r="A470" s="4" t="inlineStr">
        <is>
          <t>HASLS22260901432</t>
        </is>
      </c>
      <c r="B470" s="4" t="inlineStr">
        <is>
          <t>SWVG</t>
        </is>
      </c>
      <c r="C470" s="4" t="inlineStr">
        <is>
          <t>2612N</t>
        </is>
      </c>
      <c r="D470" s="4" t="inlineStr">
        <is>
          <t>202610070330</t>
        </is>
      </c>
      <c r="E470" s="4" t="inlineStr"/>
      <c r="F470" s="4" t="inlineStr">
        <is>
          <t>THLCH</t>
        </is>
      </c>
      <c r="G470" s="4" t="inlineStr">
        <is>
          <t>CNSHA</t>
        </is>
      </c>
      <c r="H470" s="4" t="inlineStr">
        <is>
          <t xml:space="preserve">40Hx1 </t>
        </is>
      </c>
      <c r="I470" s="4" t="inlineStr">
        <is>
          <t>LCH27</t>
        </is>
      </c>
      <c r="J470" s="4" t="inlineStr">
        <is>
          <t xml:space="preserve">HAST Logistics Co.,Ltd. </t>
        </is>
      </c>
      <c r="K470" s="4" t="inlineStr">
        <is>
          <t>20261002</t>
        </is>
      </c>
      <c r="L470" s="4" t="inlineStr">
        <is>
          <t>AGC VINYTHAI PUBLIC COMPANY LIMITED</t>
        </is>
      </c>
      <c r="M470" s="4" t="inlineStr">
        <is>
          <t>AGC VINYTHAI PUBLIC COMPANY LIMITED</t>
        </is>
      </c>
      <c r="N470" s="4" t="inlineStr">
        <is>
          <t>PVC RESIN</t>
        </is>
      </c>
      <c r="O470" s="4" t="inlineStr">
        <is>
          <t>new cntr, grade A</t>
        </is>
      </c>
      <c r="P470" s="4" t="inlineStr">
        <is>
          <t xml:space="preserve">Pickup : 2026-10-02, Return : 2026-10-03 (1ST RTN 04/10 W/O RENT) 
 ** PLEASE CHECK OPEN GATE BEFORE RETURN CNTR **
 </t>
        </is>
      </c>
      <c r="Q470" s="4" t="n">
        <v>0</v>
      </c>
      <c r="R470" s="4" t="n">
        <v>0</v>
      </c>
      <c r="S470" s="4" t="n">
        <v>1</v>
      </c>
      <c r="T470" s="4" t="n">
        <v>0</v>
      </c>
      <c r="U470" s="4" t="n">
        <v>0</v>
      </c>
      <c r="V470" s="4" t="n">
        <v>0</v>
      </c>
      <c r="W470" s="4" t="n">
        <v>0</v>
      </c>
      <c r="X470" s="4" t="n">
        <v>0</v>
      </c>
      <c r="Y470" s="4" t="n">
        <v>0</v>
      </c>
      <c r="Z470" s="4" t="n">
        <v>0</v>
      </c>
      <c r="AA470" s="4" t="n">
        <v>0</v>
      </c>
      <c r="AB470" s="4">
        <f>SUM(Q470:Y470)-Z470</f>
        <v/>
      </c>
      <c r="AC470" s="4">
        <f>IF(I470="","",IF(OR(LEFT(I470,3)="BKK",I470="LCH55"),"BKK",IF(LEFT(I470,3)="LCH","LCH","OTHER")))</f>
        <v/>
      </c>
      <c r="AD470" s="4">
        <f>MAX(0,Q470-MAX(0,Z470))</f>
        <v/>
      </c>
      <c r="AE470" s="4">
        <f>MAX(0,R470-MAX(0,Z470-SUM(Q470:Q470)))</f>
        <v/>
      </c>
      <c r="AF470" s="4">
        <f>MAX(0,S470-MAX(0,Z470-SUM(Q470:R470)))</f>
        <v/>
      </c>
      <c r="AG470" s="4">
        <f>MAX(0,T470-MAX(0,Z470-SUM(Q470:S470)))</f>
        <v/>
      </c>
      <c r="AH470" s="4">
        <f>MAX(0,U470-MAX(0,Z470-SUM(Q470:T470)))</f>
        <v/>
      </c>
      <c r="AI470" s="4">
        <f>MAX(0,V470-MAX(0,Z470-SUM(Q470:U470)))</f>
        <v/>
      </c>
      <c r="AJ470" s="4">
        <f>MAX(0,W470-MAX(0,Z470-SUM(Q470:V470)))</f>
        <v/>
      </c>
      <c r="AK470" s="4">
        <f>MAX(0,X470-MAX(0,Z470-SUM(Q470:W470)))</f>
        <v/>
      </c>
      <c r="AL470" s="4">
        <f>MAX(0,Y470-MAX(0,Z470-SUM(Q470:X470)))</f>
        <v/>
      </c>
    </row>
    <row r="471">
      <c r="A471" s="4" t="inlineStr">
        <is>
          <t>HASLS22260901544</t>
        </is>
      </c>
      <c r="B471" s="4" t="inlineStr">
        <is>
          <t>KXM</t>
        </is>
      </c>
      <c r="C471" s="4" t="inlineStr">
        <is>
          <t>2608S</t>
        </is>
      </c>
      <c r="D471" s="4" t="inlineStr">
        <is>
          <t>202610100500</t>
        </is>
      </c>
      <c r="E471" s="4" t="inlineStr"/>
      <c r="F471" s="4" t="inlineStr">
        <is>
          <t>THLCH</t>
        </is>
      </c>
      <c r="G471" s="4" t="inlineStr">
        <is>
          <t>IDJKT</t>
        </is>
      </c>
      <c r="H471" s="4" t="inlineStr">
        <is>
          <t xml:space="preserve">20'x1 </t>
        </is>
      </c>
      <c r="I471" s="4" t="inlineStr">
        <is>
          <t>LCH27</t>
        </is>
      </c>
      <c r="J471" s="4" t="inlineStr">
        <is>
          <t xml:space="preserve">HAST Logistics Co.,Ltd. </t>
        </is>
      </c>
      <c r="K471" s="4" t="inlineStr">
        <is>
          <t>20261007</t>
        </is>
      </c>
      <c r="L471" s="4" t="inlineStr">
        <is>
          <t>PENANSHIN SHIPPING (THAILAND) LTD.</t>
        </is>
      </c>
      <c r="M471" s="4" t="inlineStr">
        <is>
          <t>QUAKER HOUGHTON (THAILAND) CO., LTD.</t>
        </is>
      </c>
      <c r="N471" s="4" t="inlineStr">
        <is>
          <t>QUAKERCOOL 2770 PLUS</t>
        </is>
      </c>
      <c r="O471" s="4" t="inlineStr">
        <is>
          <t>APPROVAL BY Mr.Jeong-Yong UM DD.22/09/2026 // DG CARGO (CLS 9 / UN 3082)</t>
        </is>
      </c>
      <c r="P471" s="4" t="inlineStr">
        <is>
          <t xml:space="preserve">APPROVAL BY Mr.Jeong-Yong UM DD.22/09/2026 // DG CARGO  (CLS 9 / UN 3082) 
Pickup : 2026-10-07, Return @ JWD : 2026-10-08 </t>
        </is>
      </c>
      <c r="Q471" s="4" t="n">
        <v>1</v>
      </c>
      <c r="R471" s="4" t="n">
        <v>0</v>
      </c>
      <c r="S471" s="4" t="n">
        <v>0</v>
      </c>
      <c r="T471" s="4" t="n">
        <v>0</v>
      </c>
      <c r="U471" s="4" t="n">
        <v>0</v>
      </c>
      <c r="V471" s="4" t="n">
        <v>0</v>
      </c>
      <c r="W471" s="4" t="n">
        <v>0</v>
      </c>
      <c r="X471" s="4" t="n">
        <v>0</v>
      </c>
      <c r="Y471" s="4" t="n">
        <v>0</v>
      </c>
      <c r="Z471" s="4" t="n">
        <v>0</v>
      </c>
      <c r="AA471" s="4" t="n">
        <v>0</v>
      </c>
      <c r="AB471" s="4">
        <f>SUM(Q471:Y471)-Z471</f>
        <v/>
      </c>
      <c r="AC471" s="4">
        <f>IF(I471="","",IF(OR(LEFT(I471,3)="BKK",I471="LCH55"),"BKK",IF(LEFT(I471,3)="LCH","LCH","OTHER")))</f>
        <v/>
      </c>
      <c r="AD471" s="4">
        <f>MAX(0,Q471-MAX(0,Z471))</f>
        <v/>
      </c>
      <c r="AE471" s="4">
        <f>MAX(0,R471-MAX(0,Z471-SUM(Q471:Q471)))</f>
        <v/>
      </c>
      <c r="AF471" s="4">
        <f>MAX(0,S471-MAX(0,Z471-SUM(Q471:R471)))</f>
        <v/>
      </c>
      <c r="AG471" s="4">
        <f>MAX(0,T471-MAX(0,Z471-SUM(Q471:S471)))</f>
        <v/>
      </c>
      <c r="AH471" s="4">
        <f>MAX(0,U471-MAX(0,Z471-SUM(Q471:T471)))</f>
        <v/>
      </c>
      <c r="AI471" s="4">
        <f>MAX(0,V471-MAX(0,Z471-SUM(Q471:U471)))</f>
        <v/>
      </c>
      <c r="AJ471" s="4">
        <f>MAX(0,W471-MAX(0,Z471-SUM(Q471:V471)))</f>
        <v/>
      </c>
      <c r="AK471" s="4">
        <f>MAX(0,X471-MAX(0,Z471-SUM(Q471:W471)))</f>
        <v/>
      </c>
      <c r="AL471" s="4">
        <f>MAX(0,Y471-MAX(0,Z471-SUM(Q471:X471)))</f>
        <v/>
      </c>
    </row>
    <row r="472">
      <c r="A472" s="4" t="inlineStr">
        <is>
          <t>HASLS22260901600</t>
        </is>
      </c>
      <c r="B472" s="4" t="inlineStr">
        <is>
          <t>SWDN</t>
        </is>
      </c>
      <c r="C472" s="4" t="inlineStr">
        <is>
          <t>2610N</t>
        </is>
      </c>
      <c r="D472" s="4" t="inlineStr">
        <is>
          <t>202610070300</t>
        </is>
      </c>
      <c r="E472" s="4" t="inlineStr"/>
      <c r="F472" s="4" t="inlineStr">
        <is>
          <t>THLCH</t>
        </is>
      </c>
      <c r="G472" s="4" t="inlineStr">
        <is>
          <t>KRINC</t>
        </is>
      </c>
      <c r="H472" s="4" t="inlineStr">
        <is>
          <t xml:space="preserve">40Hx3 </t>
        </is>
      </c>
      <c r="I472" s="4" t="inlineStr">
        <is>
          <t>LCH27</t>
        </is>
      </c>
      <c r="J472" s="4" t="inlineStr">
        <is>
          <t xml:space="preserve">HAST Logistics Co.,Ltd. </t>
        </is>
      </c>
      <c r="K472" s="4" t="inlineStr">
        <is>
          <t>20260930</t>
        </is>
      </c>
      <c r="L472" s="4" t="inlineStr">
        <is>
          <t>VANACHAI GROUP PUBLIC COMPANY LIMITED</t>
        </is>
      </c>
      <c r="M472" s="4" t="inlineStr">
        <is>
          <t>VANACHAI PANEL INDUSTRIES CO., LTD.</t>
        </is>
      </c>
      <c r="N472" s="4" t="inlineStr">
        <is>
          <t>PARTICLE BOARD</t>
        </is>
      </c>
      <c r="O472" s="4" t="inlineStr">
        <is>
          <t>RQST CNTR 32.5TONS</t>
        </is>
      </c>
      <c r="P472" s="4" t="inlineStr">
        <is>
          <t xml:space="preserve">CY 30/09/2026 - RTN 01/10/2026  (VI(MDF) – 2026/272(Z)
 ** PLEASE CHECK OPEN GATE BEFORE RETURN CNTR **
</t>
        </is>
      </c>
      <c r="Q472" s="4" t="n">
        <v>0</v>
      </c>
      <c r="R472" s="4" t="n">
        <v>0</v>
      </c>
      <c r="S472" s="4" t="n">
        <v>3</v>
      </c>
      <c r="T472" s="4" t="n">
        <v>0</v>
      </c>
      <c r="U472" s="4" t="n">
        <v>0</v>
      </c>
      <c r="V472" s="4" t="n">
        <v>0</v>
      </c>
      <c r="W472" s="4" t="n">
        <v>0</v>
      </c>
      <c r="X472" s="4" t="n">
        <v>0</v>
      </c>
      <c r="Y472" s="4" t="n">
        <v>0</v>
      </c>
      <c r="Z472" s="4" t="n">
        <v>0</v>
      </c>
      <c r="AA472" s="4" t="n">
        <v>0</v>
      </c>
      <c r="AB472" s="4">
        <f>SUM(Q472:Y472)-Z472</f>
        <v/>
      </c>
      <c r="AC472" s="4">
        <f>IF(I472="","",IF(OR(LEFT(I472,3)="BKK",I472="LCH55"),"BKK",IF(LEFT(I472,3)="LCH","LCH","OTHER")))</f>
        <v/>
      </c>
      <c r="AD472" s="4">
        <f>MAX(0,Q472-MAX(0,Z472))</f>
        <v/>
      </c>
      <c r="AE472" s="4">
        <f>MAX(0,R472-MAX(0,Z472-SUM(Q472:Q472)))</f>
        <v/>
      </c>
      <c r="AF472" s="4">
        <f>MAX(0,S472-MAX(0,Z472-SUM(Q472:R472)))</f>
        <v/>
      </c>
      <c r="AG472" s="4">
        <f>MAX(0,T472-MAX(0,Z472-SUM(Q472:S472)))</f>
        <v/>
      </c>
      <c r="AH472" s="4">
        <f>MAX(0,U472-MAX(0,Z472-SUM(Q472:T472)))</f>
        <v/>
      </c>
      <c r="AI472" s="4">
        <f>MAX(0,V472-MAX(0,Z472-SUM(Q472:U472)))</f>
        <v/>
      </c>
      <c r="AJ472" s="4">
        <f>MAX(0,W472-MAX(0,Z472-SUM(Q472:V472)))</f>
        <v/>
      </c>
      <c r="AK472" s="4">
        <f>MAX(0,X472-MAX(0,Z472-SUM(Q472:W472)))</f>
        <v/>
      </c>
      <c r="AL472" s="4">
        <f>MAX(0,Y472-MAX(0,Z472-SUM(Q472:X472)))</f>
        <v/>
      </c>
    </row>
    <row r="473">
      <c r="A473" s="4" t="inlineStr">
        <is>
          <t>HASLS22260901608</t>
        </is>
      </c>
      <c r="B473" s="4" t="inlineStr">
        <is>
          <t>SWDN</t>
        </is>
      </c>
      <c r="C473" s="4" t="inlineStr">
        <is>
          <t>2610N</t>
        </is>
      </c>
      <c r="D473" s="4" t="inlineStr">
        <is>
          <t>202610070300</t>
        </is>
      </c>
      <c r="E473" s="4" t="inlineStr"/>
      <c r="F473" s="4" t="inlineStr">
        <is>
          <t>THLCH</t>
        </is>
      </c>
      <c r="G473" s="4" t="inlineStr">
        <is>
          <t>KRINC</t>
        </is>
      </c>
      <c r="H473" s="4" t="inlineStr">
        <is>
          <t xml:space="preserve">40Hx3 </t>
        </is>
      </c>
      <c r="I473" s="4" t="inlineStr">
        <is>
          <t>LCH27</t>
        </is>
      </c>
      <c r="J473" s="4" t="inlineStr">
        <is>
          <t xml:space="preserve">HAST Logistics Co.,Ltd. </t>
        </is>
      </c>
      <c r="K473" s="4" t="inlineStr">
        <is>
          <t>20260930</t>
        </is>
      </c>
      <c r="L473" s="4" t="inlineStr">
        <is>
          <t>VANACHAI GROUP PUBLIC COMPANY LIMITED</t>
        </is>
      </c>
      <c r="M473" s="4" t="inlineStr">
        <is>
          <t>VANACHAI PANEL INDUSTRIES CO., LTD.</t>
        </is>
      </c>
      <c r="N473" s="4" t="inlineStr">
        <is>
          <t>PARTICLE BOARD</t>
        </is>
      </c>
      <c r="O473" s="4" t="inlineStr">
        <is>
          <t>RQST CNTR 32.5TONS</t>
        </is>
      </c>
      <c r="P473" s="4" t="inlineStr">
        <is>
          <t xml:space="preserve">CY 30/09/2026 - RTN 01/10/2026  (VI(MDF) – 2026/273(Z)
 ** PLEASE CHECK OPEN GATE BEFORE RETURN CNTR **
</t>
        </is>
      </c>
      <c r="Q473" s="4" t="n">
        <v>0</v>
      </c>
      <c r="R473" s="4" t="n">
        <v>0</v>
      </c>
      <c r="S473" s="4" t="n">
        <v>3</v>
      </c>
      <c r="T473" s="4" t="n">
        <v>0</v>
      </c>
      <c r="U473" s="4" t="n">
        <v>0</v>
      </c>
      <c r="V473" s="4" t="n">
        <v>0</v>
      </c>
      <c r="W473" s="4" t="n">
        <v>0</v>
      </c>
      <c r="X473" s="4" t="n">
        <v>0</v>
      </c>
      <c r="Y473" s="4" t="n">
        <v>0</v>
      </c>
      <c r="Z473" s="4" t="n">
        <v>0</v>
      </c>
      <c r="AA473" s="4" t="n">
        <v>0</v>
      </c>
      <c r="AB473" s="4">
        <f>SUM(Q473:Y473)-Z473</f>
        <v/>
      </c>
      <c r="AC473" s="4">
        <f>IF(I473="","",IF(OR(LEFT(I473,3)="BKK",I473="LCH55"),"BKK",IF(LEFT(I473,3)="LCH","LCH","OTHER")))</f>
        <v/>
      </c>
      <c r="AD473" s="4">
        <f>MAX(0,Q473-MAX(0,Z473))</f>
        <v/>
      </c>
      <c r="AE473" s="4">
        <f>MAX(0,R473-MAX(0,Z473-SUM(Q473:Q473)))</f>
        <v/>
      </c>
      <c r="AF473" s="4">
        <f>MAX(0,S473-MAX(0,Z473-SUM(Q473:R473)))</f>
        <v/>
      </c>
      <c r="AG473" s="4">
        <f>MAX(0,T473-MAX(0,Z473-SUM(Q473:S473)))</f>
        <v/>
      </c>
      <c r="AH473" s="4">
        <f>MAX(0,U473-MAX(0,Z473-SUM(Q473:T473)))</f>
        <v/>
      </c>
      <c r="AI473" s="4">
        <f>MAX(0,V473-MAX(0,Z473-SUM(Q473:U473)))</f>
        <v/>
      </c>
      <c r="AJ473" s="4">
        <f>MAX(0,W473-MAX(0,Z473-SUM(Q473:V473)))</f>
        <v/>
      </c>
      <c r="AK473" s="4">
        <f>MAX(0,X473-MAX(0,Z473-SUM(Q473:W473)))</f>
        <v/>
      </c>
      <c r="AL473" s="4">
        <f>MAX(0,Y473-MAX(0,Z473-SUM(Q473:X473)))</f>
        <v/>
      </c>
    </row>
    <row r="474">
      <c r="A474" s="4" t="inlineStr">
        <is>
          <t>HASLS22260901610</t>
        </is>
      </c>
      <c r="B474" s="4" t="inlineStr">
        <is>
          <t>SWDN</t>
        </is>
      </c>
      <c r="C474" s="4" t="inlineStr">
        <is>
          <t>2610N</t>
        </is>
      </c>
      <c r="D474" s="4" t="inlineStr">
        <is>
          <t>202610070300</t>
        </is>
      </c>
      <c r="E474" s="4" t="inlineStr"/>
      <c r="F474" s="4" t="inlineStr">
        <is>
          <t>THLCH</t>
        </is>
      </c>
      <c r="G474" s="4" t="inlineStr">
        <is>
          <t>KRINC</t>
        </is>
      </c>
      <c r="H474" s="4" t="inlineStr">
        <is>
          <t xml:space="preserve">40Hx2 </t>
        </is>
      </c>
      <c r="I474" s="4" t="inlineStr">
        <is>
          <t>LCH27</t>
        </is>
      </c>
      <c r="J474" s="4" t="inlineStr">
        <is>
          <t xml:space="preserve">HAST Logistics Co.,Ltd. </t>
        </is>
      </c>
      <c r="K474" s="4" t="inlineStr">
        <is>
          <t>20260930</t>
        </is>
      </c>
      <c r="L474" s="4" t="inlineStr">
        <is>
          <t>VANACHAI GROUP PUBLIC COMPANY LIMITED</t>
        </is>
      </c>
      <c r="M474" s="4" t="inlineStr">
        <is>
          <t>VANACHAI PANEL INDUSTRIES CO., LTD.</t>
        </is>
      </c>
      <c r="N474" s="4" t="inlineStr">
        <is>
          <t>PARTICLE BOARD</t>
        </is>
      </c>
      <c r="O474" s="4" t="inlineStr">
        <is>
          <t>RQST CNTR 32.5TONS</t>
        </is>
      </c>
      <c r="P474" s="4" t="inlineStr">
        <is>
          <t xml:space="preserve">CY 30/09/2026 - RTN 01/10/2026   (VI(MDF) – 2026/273(Z)
 ** PLEASE CHECK OPEN GATE BEFORE RETURN CNTR **
</t>
        </is>
      </c>
      <c r="Q474" s="4" t="n">
        <v>0</v>
      </c>
      <c r="R474" s="4" t="n">
        <v>0</v>
      </c>
      <c r="S474" s="4" t="n">
        <v>2</v>
      </c>
      <c r="T474" s="4" t="n">
        <v>0</v>
      </c>
      <c r="U474" s="4" t="n">
        <v>0</v>
      </c>
      <c r="V474" s="4" t="n">
        <v>0</v>
      </c>
      <c r="W474" s="4" t="n">
        <v>0</v>
      </c>
      <c r="X474" s="4" t="n">
        <v>0</v>
      </c>
      <c r="Y474" s="4" t="n">
        <v>0</v>
      </c>
      <c r="Z474" s="4" t="n">
        <v>0</v>
      </c>
      <c r="AA474" s="4" t="n">
        <v>0</v>
      </c>
      <c r="AB474" s="4">
        <f>SUM(Q474:Y474)-Z474</f>
        <v/>
      </c>
      <c r="AC474" s="4">
        <f>IF(I474="","",IF(OR(LEFT(I474,3)="BKK",I474="LCH55"),"BKK",IF(LEFT(I474,3)="LCH","LCH","OTHER")))</f>
        <v/>
      </c>
      <c r="AD474" s="4">
        <f>MAX(0,Q474-MAX(0,Z474))</f>
        <v/>
      </c>
      <c r="AE474" s="4">
        <f>MAX(0,R474-MAX(0,Z474-SUM(Q474:Q474)))</f>
        <v/>
      </c>
      <c r="AF474" s="4">
        <f>MAX(0,S474-MAX(0,Z474-SUM(Q474:R474)))</f>
        <v/>
      </c>
      <c r="AG474" s="4">
        <f>MAX(0,T474-MAX(0,Z474-SUM(Q474:S474)))</f>
        <v/>
      </c>
      <c r="AH474" s="4">
        <f>MAX(0,U474-MAX(0,Z474-SUM(Q474:T474)))</f>
        <v/>
      </c>
      <c r="AI474" s="4">
        <f>MAX(0,V474-MAX(0,Z474-SUM(Q474:U474)))</f>
        <v/>
      </c>
      <c r="AJ474" s="4">
        <f>MAX(0,W474-MAX(0,Z474-SUM(Q474:V474)))</f>
        <v/>
      </c>
      <c r="AK474" s="4">
        <f>MAX(0,X474-MAX(0,Z474-SUM(Q474:W474)))</f>
        <v/>
      </c>
      <c r="AL474" s="4">
        <f>MAX(0,Y474-MAX(0,Z474-SUM(Q474:X474)))</f>
        <v/>
      </c>
    </row>
    <row r="475">
      <c r="A475" s="4" t="inlineStr">
        <is>
          <t>HASLS22260901805</t>
        </is>
      </c>
      <c r="B475" s="4" t="inlineStr">
        <is>
          <t>YSVY</t>
        </is>
      </c>
      <c r="C475" s="4" t="inlineStr">
        <is>
          <t>2608S</t>
        </is>
      </c>
      <c r="D475" s="4" t="inlineStr">
        <is>
          <t>202610190700</t>
        </is>
      </c>
      <c r="E475" s="4" t="inlineStr"/>
      <c r="F475" s="4" t="inlineStr">
        <is>
          <t>THLCH</t>
        </is>
      </c>
      <c r="G475" s="4" t="inlineStr">
        <is>
          <t>IDJKT</t>
        </is>
      </c>
      <c r="H475" s="4" t="inlineStr">
        <is>
          <t xml:space="preserve">40Hx1 </t>
        </is>
      </c>
      <c r="I475" s="4" t="inlineStr">
        <is>
          <t>LCH27</t>
        </is>
      </c>
      <c r="J475" s="4" t="inlineStr">
        <is>
          <t xml:space="preserve">HAST Logistics Co.,Ltd. </t>
        </is>
      </c>
      <c r="K475" s="4" t="inlineStr">
        <is>
          <t>20261014</t>
        </is>
      </c>
      <c r="L475" s="4" t="inlineStr">
        <is>
          <t>CMS LOGISTICS GROUP (THAILAND) CO., LTD.</t>
        </is>
      </c>
      <c r="M475" s="4" t="inlineStr">
        <is>
          <t>CAM PLAS (THAILAND) CO.,LTD.</t>
        </is>
      </c>
      <c r="N475" s="4" t="inlineStr">
        <is>
          <t>PLASTIC</t>
        </is>
      </c>
      <c r="O475" s="4" t="inlineStr">
        <is>
          <t>GOOD AND CLEAN CONTAINER</t>
        </is>
      </c>
      <c r="P475" s="4" t="inlineStr">
        <is>
          <t>Pickup : 2026-10-14, Return : 2026-10-14</t>
        </is>
      </c>
      <c r="Q475" s="4" t="n">
        <v>0</v>
      </c>
      <c r="R475" s="4" t="n">
        <v>0</v>
      </c>
      <c r="S475" s="4" t="n">
        <v>1</v>
      </c>
      <c r="T475" s="4" t="n">
        <v>0</v>
      </c>
      <c r="U475" s="4" t="n">
        <v>0</v>
      </c>
      <c r="V475" s="4" t="n">
        <v>0</v>
      </c>
      <c r="W475" s="4" t="n">
        <v>0</v>
      </c>
      <c r="X475" s="4" t="n">
        <v>0</v>
      </c>
      <c r="Y475" s="4" t="n">
        <v>0</v>
      </c>
      <c r="Z475" s="4" t="n">
        <v>0</v>
      </c>
      <c r="AA475" s="4" t="n">
        <v>0</v>
      </c>
      <c r="AB475" s="4">
        <f>SUM(Q475:Y475)-Z475</f>
        <v/>
      </c>
      <c r="AC475" s="4">
        <f>IF(I475="","",IF(OR(LEFT(I475,3)="BKK",I475="LCH55"),"BKK",IF(LEFT(I475,3)="LCH","LCH","OTHER")))</f>
        <v/>
      </c>
      <c r="AD475" s="4">
        <f>MAX(0,Q475-MAX(0,Z475))</f>
        <v/>
      </c>
      <c r="AE475" s="4">
        <f>MAX(0,R475-MAX(0,Z475-SUM(Q475:Q475)))</f>
        <v/>
      </c>
      <c r="AF475" s="4">
        <f>MAX(0,S475-MAX(0,Z475-SUM(Q475:R475)))</f>
        <v/>
      </c>
      <c r="AG475" s="4">
        <f>MAX(0,T475-MAX(0,Z475-SUM(Q475:S475)))</f>
        <v/>
      </c>
      <c r="AH475" s="4">
        <f>MAX(0,U475-MAX(0,Z475-SUM(Q475:T475)))</f>
        <v/>
      </c>
      <c r="AI475" s="4">
        <f>MAX(0,V475-MAX(0,Z475-SUM(Q475:U475)))</f>
        <v/>
      </c>
      <c r="AJ475" s="4">
        <f>MAX(0,W475-MAX(0,Z475-SUM(Q475:V475)))</f>
        <v/>
      </c>
      <c r="AK475" s="4">
        <f>MAX(0,X475-MAX(0,Z475-SUM(Q475:W475)))</f>
        <v/>
      </c>
      <c r="AL475" s="4">
        <f>MAX(0,Y475-MAX(0,Z475-SUM(Q475:X475)))</f>
        <v/>
      </c>
    </row>
    <row r="476">
      <c r="A476" s="4" t="inlineStr">
        <is>
          <t>HASLS22260901810</t>
        </is>
      </c>
      <c r="B476" s="4" t="inlineStr">
        <is>
          <t>SWSP</t>
        </is>
      </c>
      <c r="C476" s="4" t="inlineStr">
        <is>
          <t>2609N</t>
        </is>
      </c>
      <c r="D476" s="4" t="inlineStr">
        <is>
          <t>202610080830</t>
        </is>
      </c>
      <c r="E476" s="4" t="inlineStr"/>
      <c r="F476" s="4" t="inlineStr">
        <is>
          <t>THLCH</t>
        </is>
      </c>
      <c r="G476" s="4" t="inlineStr">
        <is>
          <t>KRPUS</t>
        </is>
      </c>
      <c r="H476" s="4" t="inlineStr">
        <is>
          <t xml:space="preserve">R40Hx1 </t>
        </is>
      </c>
      <c r="I476" s="4" t="inlineStr">
        <is>
          <t>LCH27</t>
        </is>
      </c>
      <c r="J476" s="4" t="inlineStr">
        <is>
          <t xml:space="preserve">HAST Logistics Co.,Ltd. </t>
        </is>
      </c>
      <c r="K476" s="4" t="inlineStr">
        <is>
          <t>20261002</t>
        </is>
      </c>
      <c r="L476" s="4" t="inlineStr">
        <is>
          <t>PLA LOGISTICS CO., LTD.</t>
        </is>
      </c>
      <c r="M476" s="4" t="inlineStr">
        <is>
          <t>F &amp; F FOOD CO., LTD.</t>
        </is>
      </c>
      <c r="N476" s="4" t="inlineStr">
        <is>
          <t>FROZEN FRESH CHICKEN MEAT</t>
        </is>
      </c>
      <c r="O476" s="4" t="inlineStr">
        <is>
          <t>(Temp -18.0℃ / Vent Close)</t>
        </is>
      </c>
      <c r="P476" s="4" t="inlineStr">
        <is>
          <t>Pickup : 2026-10-02, Return : 2026-10-05  (Temp -18.0 / Vent Close) 
CLS TIME : 07/10/26 @12.00 (1ST RTN 05/10/2026 W/O ELECTRIC)</t>
        </is>
      </c>
      <c r="Q476" s="4" t="n">
        <v>0</v>
      </c>
      <c r="R476" s="4" t="n">
        <v>0</v>
      </c>
      <c r="S476" s="4" t="n">
        <v>0</v>
      </c>
      <c r="T476" s="4" t="n">
        <v>0</v>
      </c>
      <c r="U476" s="4" t="n">
        <v>1</v>
      </c>
      <c r="V476" s="4" t="n">
        <v>0</v>
      </c>
      <c r="W476" s="4" t="n">
        <v>0</v>
      </c>
      <c r="X476" s="4" t="n">
        <v>0</v>
      </c>
      <c r="Y476" s="4" t="n">
        <v>0</v>
      </c>
      <c r="Z476" s="4" t="n">
        <v>0</v>
      </c>
      <c r="AA476" s="4" t="n">
        <v>0</v>
      </c>
      <c r="AB476" s="4">
        <f>SUM(Q476:Y476)-Z476</f>
        <v/>
      </c>
      <c r="AC476" s="4">
        <f>IF(I476="","",IF(OR(LEFT(I476,3)="BKK",I476="LCH55"),"BKK",IF(LEFT(I476,3)="LCH","LCH","OTHER")))</f>
        <v/>
      </c>
      <c r="AD476" s="4">
        <f>MAX(0,Q476-MAX(0,Z476))</f>
        <v/>
      </c>
      <c r="AE476" s="4">
        <f>MAX(0,R476-MAX(0,Z476-SUM(Q476:Q476)))</f>
        <v/>
      </c>
      <c r="AF476" s="4">
        <f>MAX(0,S476-MAX(0,Z476-SUM(Q476:R476)))</f>
        <v/>
      </c>
      <c r="AG476" s="4">
        <f>MAX(0,T476-MAX(0,Z476-SUM(Q476:S476)))</f>
        <v/>
      </c>
      <c r="AH476" s="4">
        <f>MAX(0,U476-MAX(0,Z476-SUM(Q476:T476)))</f>
        <v/>
      </c>
      <c r="AI476" s="4">
        <f>MAX(0,V476-MAX(0,Z476-SUM(Q476:U476)))</f>
        <v/>
      </c>
      <c r="AJ476" s="4">
        <f>MAX(0,W476-MAX(0,Z476-SUM(Q476:V476)))</f>
        <v/>
      </c>
      <c r="AK476" s="4">
        <f>MAX(0,X476-MAX(0,Z476-SUM(Q476:W476)))</f>
        <v/>
      </c>
      <c r="AL476" s="4">
        <f>MAX(0,Y476-MAX(0,Z476-SUM(Q476:X476)))</f>
        <v/>
      </c>
    </row>
    <row r="477">
      <c r="A477" s="4" t="inlineStr">
        <is>
          <t>HASLS22260901833</t>
        </is>
      </c>
      <c r="B477" s="4" t="inlineStr">
        <is>
          <t>KXM</t>
        </is>
      </c>
      <c r="C477" s="4" t="inlineStr">
        <is>
          <t>2608S</t>
        </is>
      </c>
      <c r="D477" s="4" t="inlineStr">
        <is>
          <t>202610100500</t>
        </is>
      </c>
      <c r="E477" s="4" t="inlineStr"/>
      <c r="F477" s="4" t="inlineStr">
        <is>
          <t>THLCH</t>
        </is>
      </c>
      <c r="G477" s="4" t="inlineStr">
        <is>
          <t>IDJKT</t>
        </is>
      </c>
      <c r="H477" s="4" t="inlineStr">
        <is>
          <t xml:space="preserve">20'x1 </t>
        </is>
      </c>
      <c r="I477" s="4" t="inlineStr">
        <is>
          <t>LCH27</t>
        </is>
      </c>
      <c r="J477" s="4" t="inlineStr">
        <is>
          <t xml:space="preserve">HAST Logistics Co.,Ltd. </t>
        </is>
      </c>
      <c r="K477" s="4" t="inlineStr">
        <is>
          <t>20261005</t>
        </is>
      </c>
      <c r="L477" s="4" t="inlineStr">
        <is>
          <t>WISE GLOBAL LOGISTICS CO., LTD.</t>
        </is>
      </c>
      <c r="M477" s="4" t="inlineStr">
        <is>
          <t>ADVANCE ASIA FIBER CO., LTD.</t>
        </is>
      </c>
      <c r="N477" s="4" t="inlineStr">
        <is>
          <t>FIBREBOARD</t>
        </is>
      </c>
      <c r="O477" s="4" t="inlineStr">
        <is>
          <t>GOOD AND CLEAN CONTAINER</t>
        </is>
      </c>
      <c r="P477" s="4" t="inlineStr">
        <is>
          <t>Pickup : 2026-10-05, Return : 2026-10-06</t>
        </is>
      </c>
      <c r="Q477" s="4" t="n">
        <v>1</v>
      </c>
      <c r="R477" s="4" t="n">
        <v>0</v>
      </c>
      <c r="S477" s="4" t="n">
        <v>0</v>
      </c>
      <c r="T477" s="4" t="n">
        <v>0</v>
      </c>
      <c r="U477" s="4" t="n">
        <v>0</v>
      </c>
      <c r="V477" s="4" t="n">
        <v>0</v>
      </c>
      <c r="W477" s="4" t="n">
        <v>0</v>
      </c>
      <c r="X477" s="4" t="n">
        <v>0</v>
      </c>
      <c r="Y477" s="4" t="n">
        <v>0</v>
      </c>
      <c r="Z477" s="4" t="n">
        <v>0</v>
      </c>
      <c r="AA477" s="4" t="n">
        <v>0</v>
      </c>
      <c r="AB477" s="4">
        <f>SUM(Q477:Y477)-Z477</f>
        <v/>
      </c>
      <c r="AC477" s="4">
        <f>IF(I477="","",IF(OR(LEFT(I477,3)="BKK",I477="LCH55"),"BKK",IF(LEFT(I477,3)="LCH","LCH","OTHER")))</f>
        <v/>
      </c>
      <c r="AD477" s="4">
        <f>MAX(0,Q477-MAX(0,Z477))</f>
        <v/>
      </c>
      <c r="AE477" s="4">
        <f>MAX(0,R477-MAX(0,Z477-SUM(Q477:Q477)))</f>
        <v/>
      </c>
      <c r="AF477" s="4">
        <f>MAX(0,S477-MAX(0,Z477-SUM(Q477:R477)))</f>
        <v/>
      </c>
      <c r="AG477" s="4">
        <f>MAX(0,T477-MAX(0,Z477-SUM(Q477:S477)))</f>
        <v/>
      </c>
      <c r="AH477" s="4">
        <f>MAX(0,U477-MAX(0,Z477-SUM(Q477:T477)))</f>
        <v/>
      </c>
      <c r="AI477" s="4">
        <f>MAX(0,V477-MAX(0,Z477-SUM(Q477:U477)))</f>
        <v/>
      </c>
      <c r="AJ477" s="4">
        <f>MAX(0,W477-MAX(0,Z477-SUM(Q477:V477)))</f>
        <v/>
      </c>
      <c r="AK477" s="4">
        <f>MAX(0,X477-MAX(0,Z477-SUM(Q477:W477)))</f>
        <v/>
      </c>
      <c r="AL477" s="4">
        <f>MAX(0,Y477-MAX(0,Z477-SUM(Q477:X477)))</f>
        <v/>
      </c>
    </row>
    <row r="478">
      <c r="A478" s="4" t="inlineStr">
        <is>
          <t>HASLS22260901841</t>
        </is>
      </c>
      <c r="B478" s="4" t="inlineStr">
        <is>
          <t>KXM</t>
        </is>
      </c>
      <c r="C478" s="4" t="inlineStr">
        <is>
          <t>2608S</t>
        </is>
      </c>
      <c r="D478" s="4" t="inlineStr">
        <is>
          <t>202610100500</t>
        </is>
      </c>
      <c r="E478" s="4" t="inlineStr"/>
      <c r="F478" s="4" t="inlineStr">
        <is>
          <t>THLCH</t>
        </is>
      </c>
      <c r="G478" s="4" t="inlineStr">
        <is>
          <t>IDJKT</t>
        </is>
      </c>
      <c r="H478" s="4" t="inlineStr">
        <is>
          <t xml:space="preserve">20'x1 </t>
        </is>
      </c>
      <c r="I478" s="4" t="inlineStr">
        <is>
          <t>LCH27</t>
        </is>
      </c>
      <c r="J478" s="4" t="inlineStr">
        <is>
          <t xml:space="preserve">HAST Logistics Co.,Ltd. </t>
        </is>
      </c>
      <c r="K478" s="4" t="inlineStr">
        <is>
          <t>20261005</t>
        </is>
      </c>
      <c r="L478" s="4" t="inlineStr">
        <is>
          <t>MAINFREIGHT LOGISTICS (THAILAND) CO., LTD.</t>
        </is>
      </c>
      <c r="M478" s="4" t="inlineStr">
        <is>
          <t>NALCO INDUSTRIAL SERVICES (THAILAND) CO., LTD.</t>
        </is>
      </c>
      <c r="N478" s="4" t="inlineStr">
        <is>
          <t>3D TRASAR 3DT129 25KG</t>
        </is>
      </c>
      <c r="O478" s="4" t="inlineStr">
        <is>
          <t>APPROVAL BY Mr.Jeong-Yong UM DD.22/09/2026 // DG CARGO  (CLS 8 / UN 3264) 
Request good and clean container</t>
        </is>
      </c>
      <c r="P478" s="4" t="inlineStr">
        <is>
          <t>APPROVAL BY Mr.Jeong-Yong UM DD.22/09/2026 // DG CARGO (CLS 8 / UN 3264) 
Pickup : 2026-10-05, Return @ JWD : 2026-10-06</t>
        </is>
      </c>
      <c r="Q478" s="4" t="n">
        <v>1</v>
      </c>
      <c r="R478" s="4" t="n">
        <v>0</v>
      </c>
      <c r="S478" s="4" t="n">
        <v>0</v>
      </c>
      <c r="T478" s="4" t="n">
        <v>0</v>
      </c>
      <c r="U478" s="4" t="n">
        <v>0</v>
      </c>
      <c r="V478" s="4" t="n">
        <v>0</v>
      </c>
      <c r="W478" s="4" t="n">
        <v>0</v>
      </c>
      <c r="X478" s="4" t="n">
        <v>0</v>
      </c>
      <c r="Y478" s="4" t="n">
        <v>0</v>
      </c>
      <c r="Z478" s="4" t="n">
        <v>0</v>
      </c>
      <c r="AA478" s="4" t="n">
        <v>0</v>
      </c>
      <c r="AB478" s="4">
        <f>SUM(Q478:Y478)-Z478</f>
        <v/>
      </c>
      <c r="AC478" s="4">
        <f>IF(I478="","",IF(OR(LEFT(I478,3)="BKK",I478="LCH55"),"BKK",IF(LEFT(I478,3)="LCH","LCH","OTHER")))</f>
        <v/>
      </c>
      <c r="AD478" s="4">
        <f>MAX(0,Q478-MAX(0,Z478))</f>
        <v/>
      </c>
      <c r="AE478" s="4">
        <f>MAX(0,R478-MAX(0,Z478-SUM(Q478:Q478)))</f>
        <v/>
      </c>
      <c r="AF478" s="4">
        <f>MAX(0,S478-MAX(0,Z478-SUM(Q478:R478)))</f>
        <v/>
      </c>
      <c r="AG478" s="4">
        <f>MAX(0,T478-MAX(0,Z478-SUM(Q478:S478)))</f>
        <v/>
      </c>
      <c r="AH478" s="4">
        <f>MAX(0,U478-MAX(0,Z478-SUM(Q478:T478)))</f>
        <v/>
      </c>
      <c r="AI478" s="4">
        <f>MAX(0,V478-MAX(0,Z478-SUM(Q478:U478)))</f>
        <v/>
      </c>
      <c r="AJ478" s="4">
        <f>MAX(0,W478-MAX(0,Z478-SUM(Q478:V478)))</f>
        <v/>
      </c>
      <c r="AK478" s="4">
        <f>MAX(0,X478-MAX(0,Z478-SUM(Q478:W478)))</f>
        <v/>
      </c>
      <c r="AL478" s="4">
        <f>MAX(0,Y478-MAX(0,Z478-SUM(Q478:X478)))</f>
        <v/>
      </c>
    </row>
    <row r="479">
      <c r="A479" s="4" t="inlineStr">
        <is>
          <t>HASLS22260901864</t>
        </is>
      </c>
      <c r="B479" s="4" t="inlineStr">
        <is>
          <t>KMBK</t>
        </is>
      </c>
      <c r="C479" s="4" t="inlineStr">
        <is>
          <t>2611N</t>
        </is>
      </c>
      <c r="D479" s="4" t="inlineStr">
        <is>
          <t>202610040100</t>
        </is>
      </c>
      <c r="E479" s="4" t="inlineStr"/>
      <c r="F479" s="4" t="inlineStr">
        <is>
          <t>THLCH</t>
        </is>
      </c>
      <c r="G479" s="4" t="inlineStr">
        <is>
          <t>KRPUS</t>
        </is>
      </c>
      <c r="H479" s="4" t="inlineStr">
        <is>
          <t xml:space="preserve">R40Hx1 </t>
        </is>
      </c>
      <c r="I479" s="4" t="inlineStr">
        <is>
          <t>LCH27</t>
        </is>
      </c>
      <c r="J479" s="4" t="inlineStr">
        <is>
          <t xml:space="preserve">HAST Logistics Co.,Ltd. </t>
        </is>
      </c>
      <c r="K479" s="4" t="inlineStr">
        <is>
          <t>20260930</t>
        </is>
      </c>
      <c r="L479" s="4" t="inlineStr">
        <is>
          <t>CONNEXT LOG (THAILAND) CO.,LTD.</t>
        </is>
      </c>
      <c r="M479" s="4" t="inlineStr">
        <is>
          <t>LAEMTHONG POULTRY CO., LTD.</t>
        </is>
      </c>
      <c r="N479" s="4" t="inlineStr">
        <is>
          <t>FROZEN CHICKEN PRODUCTS</t>
        </is>
      </c>
      <c r="O479" s="4" t="inlineStr">
        <is>
          <t>(Temp -18.0℃ / Vent Close) 
REQUEST NO DAIKIN , NEW CONTAINER GRADE A</t>
        </is>
      </c>
      <c r="P479" s="4" t="inlineStr">
        <is>
          <t>Pickup : 2026-09-30, Return : 2026-10-01 (Temp -18.0 / Vent Close) 
CLS TIME 03/10/26 @12.00 (1ST DATE RTN 02/10/2026 W/O RENT,ELECTRIC)</t>
        </is>
      </c>
      <c r="Q479" s="4" t="n">
        <v>0</v>
      </c>
      <c r="R479" s="4" t="n">
        <v>0</v>
      </c>
      <c r="S479" s="4" t="n">
        <v>0</v>
      </c>
      <c r="T479" s="4" t="n">
        <v>0</v>
      </c>
      <c r="U479" s="4" t="n">
        <v>1</v>
      </c>
      <c r="V479" s="4" t="n">
        <v>0</v>
      </c>
      <c r="W479" s="4" t="n">
        <v>0</v>
      </c>
      <c r="X479" s="4" t="n">
        <v>0</v>
      </c>
      <c r="Y479" s="4" t="n">
        <v>0</v>
      </c>
      <c r="Z479" s="4" t="n">
        <v>0</v>
      </c>
      <c r="AA479" s="4" t="n">
        <v>0</v>
      </c>
      <c r="AB479" s="4">
        <f>SUM(Q479:Y479)-Z479</f>
        <v/>
      </c>
      <c r="AC479" s="4">
        <f>IF(I479="","",IF(OR(LEFT(I479,3)="BKK",I479="LCH55"),"BKK",IF(LEFT(I479,3)="LCH","LCH","OTHER")))</f>
        <v/>
      </c>
      <c r="AD479" s="4">
        <f>MAX(0,Q479-MAX(0,Z479))</f>
        <v/>
      </c>
      <c r="AE479" s="4">
        <f>MAX(0,R479-MAX(0,Z479-SUM(Q479:Q479)))</f>
        <v/>
      </c>
      <c r="AF479" s="4">
        <f>MAX(0,S479-MAX(0,Z479-SUM(Q479:R479)))</f>
        <v/>
      </c>
      <c r="AG479" s="4">
        <f>MAX(0,T479-MAX(0,Z479-SUM(Q479:S479)))</f>
        <v/>
      </c>
      <c r="AH479" s="4">
        <f>MAX(0,U479-MAX(0,Z479-SUM(Q479:T479)))</f>
        <v/>
      </c>
      <c r="AI479" s="4">
        <f>MAX(0,V479-MAX(0,Z479-SUM(Q479:U479)))</f>
        <v/>
      </c>
      <c r="AJ479" s="4">
        <f>MAX(0,W479-MAX(0,Z479-SUM(Q479:V479)))</f>
        <v/>
      </c>
      <c r="AK479" s="4">
        <f>MAX(0,X479-MAX(0,Z479-SUM(Q479:W479)))</f>
        <v/>
      </c>
      <c r="AL479" s="4">
        <f>MAX(0,Y479-MAX(0,Z479-SUM(Q479:X479)))</f>
        <v/>
      </c>
    </row>
    <row r="480">
      <c r="A480" s="4" t="inlineStr">
        <is>
          <t>HASLS22260901941</t>
        </is>
      </c>
      <c r="B480" s="4" t="inlineStr">
        <is>
          <t>SWDN</t>
        </is>
      </c>
      <c r="C480" s="4" t="inlineStr">
        <is>
          <t>2611N</t>
        </is>
      </c>
      <c r="D480" s="4" t="inlineStr">
        <is>
          <t>202610280300</t>
        </is>
      </c>
      <c r="E480" s="4" t="inlineStr"/>
      <c r="F480" s="4" t="inlineStr">
        <is>
          <t>THLCH</t>
        </is>
      </c>
      <c r="G480" s="4" t="inlineStr">
        <is>
          <t>CNXMN</t>
        </is>
      </c>
      <c r="H480" s="4" t="inlineStr">
        <is>
          <t xml:space="preserve">R40Hx1 </t>
        </is>
      </c>
      <c r="I480" s="4" t="inlineStr">
        <is>
          <t>LCH27</t>
        </is>
      </c>
      <c r="J480" s="4" t="inlineStr">
        <is>
          <t xml:space="preserve">HAST Logistics Co.,Ltd. </t>
        </is>
      </c>
      <c r="K480" s="4" t="inlineStr">
        <is>
          <t>20261014</t>
        </is>
      </c>
      <c r="L480" s="4" t="inlineStr">
        <is>
          <t>POSTMAN (THAILAND) CO.,LTD.</t>
        </is>
      </c>
      <c r="M480" s="4" t="inlineStr">
        <is>
          <t>POSTMAN (THAILAND) CO.,LTD.</t>
        </is>
      </c>
      <c r="N480" s="4" t="inlineStr">
        <is>
          <t>FRESH LONGAN</t>
        </is>
      </c>
      <c r="O480" s="4" t="inlineStr">
        <is>
          <t>RF45REx1 (Temp +2.0℃ / Vent 15% Open)</t>
        </is>
      </c>
      <c r="P480" s="4" t="inlineStr">
        <is>
          <t xml:space="preserve">Pickup : 2026-10-14, Return : 2026-10-22 (Temp +2.0℃ / Vent 15% Open)
 CLS TIME 24/10 @05.00 </t>
        </is>
      </c>
      <c r="Q480" s="4" t="n">
        <v>0</v>
      </c>
      <c r="R480" s="4" t="n">
        <v>0</v>
      </c>
      <c r="S480" s="4" t="n">
        <v>0</v>
      </c>
      <c r="T480" s="4" t="n">
        <v>0</v>
      </c>
      <c r="U480" s="4" t="n">
        <v>1</v>
      </c>
      <c r="V480" s="4" t="n">
        <v>0</v>
      </c>
      <c r="W480" s="4" t="n">
        <v>0</v>
      </c>
      <c r="X480" s="4" t="n">
        <v>0</v>
      </c>
      <c r="Y480" s="4" t="n">
        <v>0</v>
      </c>
      <c r="Z480" s="4" t="n">
        <v>0</v>
      </c>
      <c r="AA480" s="4" t="n">
        <v>0</v>
      </c>
      <c r="AB480" s="4">
        <f>SUM(Q480:Y480)-Z480</f>
        <v/>
      </c>
      <c r="AC480" s="4">
        <f>IF(I480="","",IF(OR(LEFT(I480,3)="BKK",I480="LCH55"),"BKK",IF(LEFT(I480,3)="LCH","LCH","OTHER")))</f>
        <v/>
      </c>
      <c r="AD480" s="4">
        <f>MAX(0,Q480-MAX(0,Z480))</f>
        <v/>
      </c>
      <c r="AE480" s="4">
        <f>MAX(0,R480-MAX(0,Z480-SUM(Q480:Q480)))</f>
        <v/>
      </c>
      <c r="AF480" s="4">
        <f>MAX(0,S480-MAX(0,Z480-SUM(Q480:R480)))</f>
        <v/>
      </c>
      <c r="AG480" s="4">
        <f>MAX(0,T480-MAX(0,Z480-SUM(Q480:S480)))</f>
        <v/>
      </c>
      <c r="AH480" s="4">
        <f>MAX(0,U480-MAX(0,Z480-SUM(Q480:T480)))</f>
        <v/>
      </c>
      <c r="AI480" s="4">
        <f>MAX(0,V480-MAX(0,Z480-SUM(Q480:U480)))</f>
        <v/>
      </c>
      <c r="AJ480" s="4">
        <f>MAX(0,W480-MAX(0,Z480-SUM(Q480:V480)))</f>
        <v/>
      </c>
      <c r="AK480" s="4">
        <f>MAX(0,X480-MAX(0,Z480-SUM(Q480:W480)))</f>
        <v/>
      </c>
      <c r="AL480" s="4">
        <f>MAX(0,Y480-MAX(0,Z480-SUM(Q480:X480)))</f>
        <v/>
      </c>
    </row>
    <row r="481">
      <c r="A481" s="4" t="inlineStr">
        <is>
          <t>HASLS22260901943</t>
        </is>
      </c>
      <c r="B481" s="4" t="inlineStr">
        <is>
          <t>SWSR</t>
        </is>
      </c>
      <c r="C481" s="4" t="inlineStr">
        <is>
          <t>2611N</t>
        </is>
      </c>
      <c r="D481" s="4" t="inlineStr">
        <is>
          <t>202610112000</t>
        </is>
      </c>
      <c r="E481" s="4" t="inlineStr"/>
      <c r="F481" s="4" t="inlineStr">
        <is>
          <t>THLCH</t>
        </is>
      </c>
      <c r="G481" s="4" t="inlineStr">
        <is>
          <t>CNXMN</t>
        </is>
      </c>
      <c r="H481" s="4" t="inlineStr">
        <is>
          <t xml:space="preserve">R40Hx1 </t>
        </is>
      </c>
      <c r="I481" s="4" t="inlineStr">
        <is>
          <t>LCH27</t>
        </is>
      </c>
      <c r="J481" s="4" t="inlineStr">
        <is>
          <t xml:space="preserve">HAST Logistics Co.,Ltd. </t>
        </is>
      </c>
      <c r="K481" s="4" t="inlineStr">
        <is>
          <t>20260930</t>
        </is>
      </c>
      <c r="L481" s="4" t="inlineStr">
        <is>
          <t>POSTMAN (THAILAND) CO.,LTD.</t>
        </is>
      </c>
      <c r="M481" s="4" t="inlineStr">
        <is>
          <t>POSTMAN (THAILAND) CO.,LTD.</t>
        </is>
      </c>
      <c r="N481" s="4" t="inlineStr">
        <is>
          <t>FRESH LONGAN</t>
        </is>
      </c>
      <c r="O481" s="4" t="inlineStr">
        <is>
          <t>RF45REx1 (Temp +2.0℃ / Vent 15% Open)</t>
        </is>
      </c>
      <c r="P481" s="4" t="inlineStr">
        <is>
          <t xml:space="preserve">Pickup : 2026-09-30, Return : 2026-10-08 (Temp +2.0℃ / Vent 15% Open)
 CLS TIME 10/10 @08.00 </t>
        </is>
      </c>
      <c r="Q481" s="4" t="n">
        <v>0</v>
      </c>
      <c r="R481" s="4" t="n">
        <v>0</v>
      </c>
      <c r="S481" s="4" t="n">
        <v>0</v>
      </c>
      <c r="T481" s="4" t="n">
        <v>0</v>
      </c>
      <c r="U481" s="4" t="n">
        <v>1</v>
      </c>
      <c r="V481" s="4" t="n">
        <v>0</v>
      </c>
      <c r="W481" s="4" t="n">
        <v>0</v>
      </c>
      <c r="X481" s="4" t="n">
        <v>0</v>
      </c>
      <c r="Y481" s="4" t="n">
        <v>0</v>
      </c>
      <c r="Z481" s="4" t="n">
        <v>0</v>
      </c>
      <c r="AA481" s="4" t="n">
        <v>0</v>
      </c>
      <c r="AB481" s="4">
        <f>SUM(Q481:Y481)-Z481</f>
        <v/>
      </c>
      <c r="AC481" s="4">
        <f>IF(I481="","",IF(OR(LEFT(I481,3)="BKK",I481="LCH55"),"BKK",IF(LEFT(I481,3)="LCH","LCH","OTHER")))</f>
        <v/>
      </c>
      <c r="AD481" s="4">
        <f>MAX(0,Q481-MAX(0,Z481))</f>
        <v/>
      </c>
      <c r="AE481" s="4">
        <f>MAX(0,R481-MAX(0,Z481-SUM(Q481:Q481)))</f>
        <v/>
      </c>
      <c r="AF481" s="4">
        <f>MAX(0,S481-MAX(0,Z481-SUM(Q481:R481)))</f>
        <v/>
      </c>
      <c r="AG481" s="4">
        <f>MAX(0,T481-MAX(0,Z481-SUM(Q481:S481)))</f>
        <v/>
      </c>
      <c r="AH481" s="4">
        <f>MAX(0,U481-MAX(0,Z481-SUM(Q481:T481)))</f>
        <v/>
      </c>
      <c r="AI481" s="4">
        <f>MAX(0,V481-MAX(0,Z481-SUM(Q481:U481)))</f>
        <v/>
      </c>
      <c r="AJ481" s="4">
        <f>MAX(0,W481-MAX(0,Z481-SUM(Q481:V481)))</f>
        <v/>
      </c>
      <c r="AK481" s="4">
        <f>MAX(0,X481-MAX(0,Z481-SUM(Q481:W481)))</f>
        <v/>
      </c>
      <c r="AL481" s="4">
        <f>MAX(0,Y481-MAX(0,Z481-SUM(Q481:X481)))</f>
        <v/>
      </c>
    </row>
    <row r="482">
      <c r="A482" s="4" t="inlineStr">
        <is>
          <t>HASLS22260901949</t>
        </is>
      </c>
      <c r="B482" s="4" t="inlineStr">
        <is>
          <t>KMTP</t>
        </is>
      </c>
      <c r="C482" s="4" t="inlineStr">
        <is>
          <t>2612N</t>
        </is>
      </c>
      <c r="D482" s="4" t="inlineStr">
        <is>
          <t>202610122200</t>
        </is>
      </c>
      <c r="E482" s="4" t="inlineStr"/>
      <c r="F482" s="4" t="inlineStr">
        <is>
          <t>THLCH</t>
        </is>
      </c>
      <c r="G482" s="4" t="inlineStr">
        <is>
          <t>CNXMN</t>
        </is>
      </c>
      <c r="H482" s="4" t="inlineStr">
        <is>
          <t xml:space="preserve">R40Hx1 </t>
        </is>
      </c>
      <c r="I482" s="4" t="inlineStr">
        <is>
          <t>LCH27</t>
        </is>
      </c>
      <c r="J482" s="4" t="inlineStr">
        <is>
          <t xml:space="preserve">HAST Logistics Co.,Ltd. </t>
        </is>
      </c>
      <c r="K482" s="4" t="inlineStr">
        <is>
          <t>20261002</t>
        </is>
      </c>
      <c r="L482" s="4" t="inlineStr">
        <is>
          <t>POSTMAN (THAILAND) CO.,LTD.</t>
        </is>
      </c>
      <c r="M482" s="4" t="inlineStr">
        <is>
          <t>POSTMAN (THAILAND) CO.,LTD.</t>
        </is>
      </c>
      <c r="N482" s="4" t="inlineStr">
        <is>
          <t>FRESH LONGAN</t>
        </is>
      </c>
      <c r="O482" s="4" t="inlineStr">
        <is>
          <t>RF45REx1 (Temp +2.0℃ / Vent 15% Open)</t>
        </is>
      </c>
      <c r="P482" s="4" t="inlineStr">
        <is>
          <t xml:space="preserve">Pickup : 2026-10-02, Return : 2026-10-10 (Temp +2.0℃ / Vent 15% Open)
 CLS TIME 11/10 @ 16.00 </t>
        </is>
      </c>
      <c r="Q482" s="4" t="n">
        <v>0</v>
      </c>
      <c r="R482" s="4" t="n">
        <v>0</v>
      </c>
      <c r="S482" s="4" t="n">
        <v>0</v>
      </c>
      <c r="T482" s="4" t="n">
        <v>0</v>
      </c>
      <c r="U482" s="4" t="n">
        <v>1</v>
      </c>
      <c r="V482" s="4" t="n">
        <v>0</v>
      </c>
      <c r="W482" s="4" t="n">
        <v>0</v>
      </c>
      <c r="X482" s="4" t="n">
        <v>0</v>
      </c>
      <c r="Y482" s="4" t="n">
        <v>0</v>
      </c>
      <c r="Z482" s="4" t="n">
        <v>0</v>
      </c>
      <c r="AA482" s="4" t="n">
        <v>0</v>
      </c>
      <c r="AB482" s="4">
        <f>SUM(Q482:Y482)-Z482</f>
        <v/>
      </c>
      <c r="AC482" s="4">
        <f>IF(I482="","",IF(OR(LEFT(I482,3)="BKK",I482="LCH55"),"BKK",IF(LEFT(I482,3)="LCH","LCH","OTHER")))</f>
        <v/>
      </c>
      <c r="AD482" s="4">
        <f>MAX(0,Q482-MAX(0,Z482))</f>
        <v/>
      </c>
      <c r="AE482" s="4">
        <f>MAX(0,R482-MAX(0,Z482-SUM(Q482:Q482)))</f>
        <v/>
      </c>
      <c r="AF482" s="4">
        <f>MAX(0,S482-MAX(0,Z482-SUM(Q482:R482)))</f>
        <v/>
      </c>
      <c r="AG482" s="4">
        <f>MAX(0,T482-MAX(0,Z482-SUM(Q482:S482)))</f>
        <v/>
      </c>
      <c r="AH482" s="4">
        <f>MAX(0,U482-MAX(0,Z482-SUM(Q482:T482)))</f>
        <v/>
      </c>
      <c r="AI482" s="4">
        <f>MAX(0,V482-MAX(0,Z482-SUM(Q482:U482)))</f>
        <v/>
      </c>
      <c r="AJ482" s="4">
        <f>MAX(0,W482-MAX(0,Z482-SUM(Q482:V482)))</f>
        <v/>
      </c>
      <c r="AK482" s="4">
        <f>MAX(0,X482-MAX(0,Z482-SUM(Q482:W482)))</f>
        <v/>
      </c>
      <c r="AL482" s="4">
        <f>MAX(0,Y482-MAX(0,Z482-SUM(Q482:X482)))</f>
        <v/>
      </c>
    </row>
    <row r="483">
      <c r="A483" s="4" t="inlineStr">
        <is>
          <t>HASLS22260901952</t>
        </is>
      </c>
      <c r="B483" s="4" t="inlineStr">
        <is>
          <t>SKOR</t>
        </is>
      </c>
      <c r="C483" s="4" t="inlineStr">
        <is>
          <t>2612N</t>
        </is>
      </c>
      <c r="D483" s="4" t="inlineStr">
        <is>
          <t>202610190700</t>
        </is>
      </c>
      <c r="E483" s="4" t="inlineStr"/>
      <c r="F483" s="4" t="inlineStr">
        <is>
          <t>THLCH</t>
        </is>
      </c>
      <c r="G483" s="4" t="inlineStr">
        <is>
          <t>CNXMN</t>
        </is>
      </c>
      <c r="H483" s="4" t="inlineStr">
        <is>
          <t xml:space="preserve">R40Hx1 </t>
        </is>
      </c>
      <c r="I483" s="4" t="inlineStr">
        <is>
          <t>LCH27</t>
        </is>
      </c>
      <c r="J483" s="4" t="inlineStr">
        <is>
          <t xml:space="preserve">HAST Logistics Co.,Ltd. </t>
        </is>
      </c>
      <c r="K483" s="4" t="inlineStr">
        <is>
          <t>20261007</t>
        </is>
      </c>
      <c r="L483" s="4" t="inlineStr">
        <is>
          <t>POSTMAN (THAILAND) CO.,LTD.</t>
        </is>
      </c>
      <c r="M483" s="4" t="inlineStr">
        <is>
          <t>POSTMAN (THAILAND) CO.,LTD.</t>
        </is>
      </c>
      <c r="N483" s="4" t="inlineStr">
        <is>
          <t>FRESH LONGAN</t>
        </is>
      </c>
      <c r="O483" s="4" t="inlineStr">
        <is>
          <t>RF45REx1 (Temp +2.0℃ / Vent 15% Open)</t>
        </is>
      </c>
      <c r="P483" s="4" t="inlineStr">
        <is>
          <t xml:space="preserve">Pickup : 2026-10-07, Return : 2026-10-15 (Temp +2.0℃ / Vent 15% Open) 
 CLS TIME 16/10 @22.00 </t>
        </is>
      </c>
      <c r="Q483" s="4" t="n">
        <v>0</v>
      </c>
      <c r="R483" s="4" t="n">
        <v>0</v>
      </c>
      <c r="S483" s="4" t="n">
        <v>0</v>
      </c>
      <c r="T483" s="4" t="n">
        <v>0</v>
      </c>
      <c r="U483" s="4" t="n">
        <v>1</v>
      </c>
      <c r="V483" s="4" t="n">
        <v>0</v>
      </c>
      <c r="W483" s="4" t="n">
        <v>0</v>
      </c>
      <c r="X483" s="4" t="n">
        <v>0</v>
      </c>
      <c r="Y483" s="4" t="n">
        <v>0</v>
      </c>
      <c r="Z483" s="4" t="n">
        <v>0</v>
      </c>
      <c r="AA483" s="4" t="n">
        <v>0</v>
      </c>
      <c r="AB483" s="4">
        <f>SUM(Q483:Y483)-Z483</f>
        <v/>
      </c>
      <c r="AC483" s="4">
        <f>IF(I483="","",IF(OR(LEFT(I483,3)="BKK",I483="LCH55"),"BKK",IF(LEFT(I483,3)="LCH","LCH","OTHER")))</f>
        <v/>
      </c>
      <c r="AD483" s="4">
        <f>MAX(0,Q483-MAX(0,Z483))</f>
        <v/>
      </c>
      <c r="AE483" s="4">
        <f>MAX(0,R483-MAX(0,Z483-SUM(Q483:Q483)))</f>
        <v/>
      </c>
      <c r="AF483" s="4">
        <f>MAX(0,S483-MAX(0,Z483-SUM(Q483:R483)))</f>
        <v/>
      </c>
      <c r="AG483" s="4">
        <f>MAX(0,T483-MAX(0,Z483-SUM(Q483:S483)))</f>
        <v/>
      </c>
      <c r="AH483" s="4">
        <f>MAX(0,U483-MAX(0,Z483-SUM(Q483:T483)))</f>
        <v/>
      </c>
      <c r="AI483" s="4">
        <f>MAX(0,V483-MAX(0,Z483-SUM(Q483:U483)))</f>
        <v/>
      </c>
      <c r="AJ483" s="4">
        <f>MAX(0,W483-MAX(0,Z483-SUM(Q483:V483)))</f>
        <v/>
      </c>
      <c r="AK483" s="4">
        <f>MAX(0,X483-MAX(0,Z483-SUM(Q483:W483)))</f>
        <v/>
      </c>
      <c r="AL483" s="4">
        <f>MAX(0,Y483-MAX(0,Z483-SUM(Q483:X483)))</f>
        <v/>
      </c>
    </row>
    <row r="484">
      <c r="A484" s="4" t="inlineStr">
        <is>
          <t>HASLS22260901967</t>
        </is>
      </c>
      <c r="B484" s="4" t="inlineStr">
        <is>
          <t>KMGY</t>
        </is>
      </c>
      <c r="C484" s="4" t="inlineStr">
        <is>
          <t>2611N</t>
        </is>
      </c>
      <c r="D484" s="4" t="inlineStr">
        <is>
          <t>202610210400</t>
        </is>
      </c>
      <c r="E484" s="4" t="inlineStr"/>
      <c r="F484" s="4" t="inlineStr">
        <is>
          <t>THLCH</t>
        </is>
      </c>
      <c r="G484" s="4" t="inlineStr">
        <is>
          <t>CNXMN</t>
        </is>
      </c>
      <c r="H484" s="4" t="inlineStr">
        <is>
          <t xml:space="preserve">R40Hx1 </t>
        </is>
      </c>
      <c r="I484" s="4" t="inlineStr">
        <is>
          <t>LCH27</t>
        </is>
      </c>
      <c r="J484" s="4" t="inlineStr">
        <is>
          <t xml:space="preserve">HAST Logistics Co.,Ltd. </t>
        </is>
      </c>
      <c r="K484" s="4" t="inlineStr">
        <is>
          <t>20261010</t>
        </is>
      </c>
      <c r="L484" s="4" t="inlineStr">
        <is>
          <t>POSTMAN (THAILAND) CO.,LTD.</t>
        </is>
      </c>
      <c r="M484" s="4" t="inlineStr">
        <is>
          <t>POSTMAN (THAILAND) CO.,LTD.</t>
        </is>
      </c>
      <c r="N484" s="4" t="inlineStr">
        <is>
          <t>FRESH LONGAN</t>
        </is>
      </c>
      <c r="O484" s="4" t="inlineStr">
        <is>
          <t>RF45REx1 (Temp +2.0℃ / Vent 15% Open)</t>
        </is>
      </c>
      <c r="P484" s="4" t="inlineStr">
        <is>
          <t xml:space="preserve">Pickup : 2026-10-10, Return : 2026-10-18 (Temp +2.0℃ / Vent 15% Open)
 CLS TIME 19/10 @21.00 </t>
        </is>
      </c>
      <c r="Q484" s="4" t="n">
        <v>0</v>
      </c>
      <c r="R484" s="4" t="n">
        <v>0</v>
      </c>
      <c r="S484" s="4" t="n">
        <v>0</v>
      </c>
      <c r="T484" s="4" t="n">
        <v>0</v>
      </c>
      <c r="U484" s="4" t="n">
        <v>1</v>
      </c>
      <c r="V484" s="4" t="n">
        <v>0</v>
      </c>
      <c r="W484" s="4" t="n">
        <v>0</v>
      </c>
      <c r="X484" s="4" t="n">
        <v>0</v>
      </c>
      <c r="Y484" s="4" t="n">
        <v>0</v>
      </c>
      <c r="Z484" s="4" t="n">
        <v>0</v>
      </c>
      <c r="AA484" s="4" t="n">
        <v>0</v>
      </c>
      <c r="AB484" s="4">
        <f>SUM(Q484:Y484)-Z484</f>
        <v/>
      </c>
      <c r="AC484" s="4">
        <f>IF(I484="","",IF(OR(LEFT(I484,3)="BKK",I484="LCH55"),"BKK",IF(LEFT(I484,3)="LCH","LCH","OTHER")))</f>
        <v/>
      </c>
      <c r="AD484" s="4">
        <f>MAX(0,Q484-MAX(0,Z484))</f>
        <v/>
      </c>
      <c r="AE484" s="4">
        <f>MAX(0,R484-MAX(0,Z484-SUM(Q484:Q484)))</f>
        <v/>
      </c>
      <c r="AF484" s="4">
        <f>MAX(0,S484-MAX(0,Z484-SUM(Q484:R484)))</f>
        <v/>
      </c>
      <c r="AG484" s="4">
        <f>MAX(0,T484-MAX(0,Z484-SUM(Q484:S484)))</f>
        <v/>
      </c>
      <c r="AH484" s="4">
        <f>MAX(0,U484-MAX(0,Z484-SUM(Q484:T484)))</f>
        <v/>
      </c>
      <c r="AI484" s="4">
        <f>MAX(0,V484-MAX(0,Z484-SUM(Q484:U484)))</f>
        <v/>
      </c>
      <c r="AJ484" s="4">
        <f>MAX(0,W484-MAX(0,Z484-SUM(Q484:V484)))</f>
        <v/>
      </c>
      <c r="AK484" s="4">
        <f>MAX(0,X484-MAX(0,Z484-SUM(Q484:W484)))</f>
        <v/>
      </c>
      <c r="AL484" s="4">
        <f>MAX(0,Y484-MAX(0,Z484-SUM(Q484:X484)))</f>
        <v/>
      </c>
    </row>
    <row r="485">
      <c r="A485" s="4" t="inlineStr">
        <is>
          <t>HASLS22260902081</t>
        </is>
      </c>
      <c r="B485" s="4" t="inlineStr">
        <is>
          <t>SWSP</t>
        </is>
      </c>
      <c r="C485" s="4" t="inlineStr">
        <is>
          <t>2609N</t>
        </is>
      </c>
      <c r="D485" s="4" t="inlineStr">
        <is>
          <t>202610080830</t>
        </is>
      </c>
      <c r="E485" s="4" t="inlineStr"/>
      <c r="F485" s="4" t="inlineStr">
        <is>
          <t>THLCH</t>
        </is>
      </c>
      <c r="G485" s="4" t="inlineStr">
        <is>
          <t>VNSGN</t>
        </is>
      </c>
      <c r="H485" s="4" t="inlineStr">
        <is>
          <t xml:space="preserve">20RFx1 </t>
        </is>
      </c>
      <c r="I485" s="4" t="inlineStr">
        <is>
          <t>LCH27</t>
        </is>
      </c>
      <c r="J485" s="4" t="inlineStr">
        <is>
          <t xml:space="preserve">HAST Logistics Co.,Ltd. </t>
        </is>
      </c>
      <c r="K485" s="4" t="inlineStr">
        <is>
          <t>20261002</t>
        </is>
      </c>
      <c r="L485" s="4" t="inlineStr">
        <is>
          <t>INITIAL FREIGHT CO., LTD.</t>
        </is>
      </c>
      <c r="M485" s="4" t="inlineStr">
        <is>
          <t>THAI LOTTE CO., LTD.</t>
        </is>
      </c>
      <c r="N485" s="4" t="inlineStr">
        <is>
          <t>GUM</t>
        </is>
      </c>
      <c r="O485" s="4" t="inlineStr">
        <is>
          <t>RF22REx1 (Temp +20.0℃ / Vent Close) REQUEST CONTAINER GOOD GRADE &amp; CLEAN
(Grade A)</t>
        </is>
      </c>
      <c r="P485" s="4" t="inlineStr">
        <is>
          <t>Pickup : 2026-10-02, Return : 2026-10-03 RF22REx1 (Temp +20.0 / Vent Close) 
CLS TIME : 05/10/2026 @10.00 [1ST RTN 04/10/2026 W/O ELECTRIC]</t>
        </is>
      </c>
      <c r="Q485" s="4" t="n">
        <v>0</v>
      </c>
      <c r="R485" s="4" t="n">
        <v>0</v>
      </c>
      <c r="S485" s="4" t="n">
        <v>0</v>
      </c>
      <c r="T485" s="4" t="n">
        <v>1</v>
      </c>
      <c r="U485" s="4" t="n">
        <v>0</v>
      </c>
      <c r="V485" s="4" t="n">
        <v>0</v>
      </c>
      <c r="W485" s="4" t="n">
        <v>0</v>
      </c>
      <c r="X485" s="4" t="n">
        <v>0</v>
      </c>
      <c r="Y485" s="4" t="n">
        <v>0</v>
      </c>
      <c r="Z485" s="4" t="n">
        <v>0</v>
      </c>
      <c r="AA485" s="4" t="n">
        <v>0</v>
      </c>
      <c r="AB485" s="4">
        <f>SUM(Q485:Y485)-Z485</f>
        <v/>
      </c>
      <c r="AC485" s="4">
        <f>IF(I485="","",IF(OR(LEFT(I485,3)="BKK",I485="LCH55"),"BKK",IF(LEFT(I485,3)="LCH","LCH","OTHER")))</f>
        <v/>
      </c>
      <c r="AD485" s="4">
        <f>MAX(0,Q485-MAX(0,Z485))</f>
        <v/>
      </c>
      <c r="AE485" s="4">
        <f>MAX(0,R485-MAX(0,Z485-SUM(Q485:Q485)))</f>
        <v/>
      </c>
      <c r="AF485" s="4">
        <f>MAX(0,S485-MAX(0,Z485-SUM(Q485:R485)))</f>
        <v/>
      </c>
      <c r="AG485" s="4">
        <f>MAX(0,T485-MAX(0,Z485-SUM(Q485:S485)))</f>
        <v/>
      </c>
      <c r="AH485" s="4">
        <f>MAX(0,U485-MAX(0,Z485-SUM(Q485:T485)))</f>
        <v/>
      </c>
      <c r="AI485" s="4">
        <f>MAX(0,V485-MAX(0,Z485-SUM(Q485:U485)))</f>
        <v/>
      </c>
      <c r="AJ485" s="4">
        <f>MAX(0,W485-MAX(0,Z485-SUM(Q485:V485)))</f>
        <v/>
      </c>
      <c r="AK485" s="4">
        <f>MAX(0,X485-MAX(0,Z485-SUM(Q485:W485)))</f>
        <v/>
      </c>
      <c r="AL485" s="4">
        <f>MAX(0,Y485-MAX(0,Z485-SUM(Q485:X485)))</f>
        <v/>
      </c>
    </row>
    <row r="486">
      <c r="A486" s="4" t="inlineStr">
        <is>
          <t>HASLS22260902113</t>
        </is>
      </c>
      <c r="B486" s="4" t="inlineStr">
        <is>
          <t>HMVY</t>
        </is>
      </c>
      <c r="C486" s="4" t="inlineStr">
        <is>
          <t>2609N</t>
        </is>
      </c>
      <c r="D486" s="4" t="inlineStr">
        <is>
          <t>202610200330</t>
        </is>
      </c>
      <c r="E486" s="4" t="inlineStr"/>
      <c r="F486" s="4" t="inlineStr">
        <is>
          <t>THLCH</t>
        </is>
      </c>
      <c r="G486" s="4" t="inlineStr">
        <is>
          <t>CNSHA</t>
        </is>
      </c>
      <c r="H486" s="4" t="inlineStr">
        <is>
          <t xml:space="preserve">20'x1 </t>
        </is>
      </c>
      <c r="I486" s="4" t="inlineStr">
        <is>
          <t>LCH27</t>
        </is>
      </c>
      <c r="J486" s="4" t="inlineStr">
        <is>
          <t xml:space="preserve">HAST Logistics Co.,Ltd. </t>
        </is>
      </c>
      <c r="K486" s="4" t="inlineStr">
        <is>
          <t>20261013</t>
        </is>
      </c>
      <c r="L486" s="4" t="inlineStr">
        <is>
          <t>PRIME LOGISTICS INTERNATIONAL CO., LTD.</t>
        </is>
      </c>
      <c r="M486" s="4" t="inlineStr">
        <is>
          <t>SIAM TOHCELLO COMPANY LIMITED</t>
        </is>
      </c>
      <c r="N486" s="4" t="inlineStr">
        <is>
          <t>PLASTIC WRAP FOR FOOD</t>
        </is>
      </c>
      <c r="O486" s="4" t="inlineStr">
        <is>
          <t>REQ FOOD GRADE CONTAINER</t>
        </is>
      </c>
      <c r="P486" s="4" t="inlineStr">
        <is>
          <t>Pickup : 2026-10-13, Return : 2026-10-14</t>
        </is>
      </c>
      <c r="Q486" s="4" t="n">
        <v>1</v>
      </c>
      <c r="R486" s="4" t="n">
        <v>0</v>
      </c>
      <c r="S486" s="4" t="n">
        <v>0</v>
      </c>
      <c r="T486" s="4" t="n">
        <v>0</v>
      </c>
      <c r="U486" s="4" t="n">
        <v>0</v>
      </c>
      <c r="V486" s="4" t="n">
        <v>0</v>
      </c>
      <c r="W486" s="4" t="n">
        <v>0</v>
      </c>
      <c r="X486" s="4" t="n">
        <v>0</v>
      </c>
      <c r="Y486" s="4" t="n">
        <v>0</v>
      </c>
      <c r="Z486" s="4" t="n">
        <v>0</v>
      </c>
      <c r="AA486" s="4" t="n">
        <v>0</v>
      </c>
      <c r="AB486" s="4">
        <f>SUM(Q486:Y486)-Z486</f>
        <v/>
      </c>
      <c r="AC486" s="4">
        <f>IF(I486="","",IF(OR(LEFT(I486,3)="BKK",I486="LCH55"),"BKK",IF(LEFT(I486,3)="LCH","LCH","OTHER")))</f>
        <v/>
      </c>
      <c r="AD486" s="4">
        <f>MAX(0,Q486-MAX(0,Z486))</f>
        <v/>
      </c>
      <c r="AE486" s="4">
        <f>MAX(0,R486-MAX(0,Z486-SUM(Q486:Q486)))</f>
        <v/>
      </c>
      <c r="AF486" s="4">
        <f>MAX(0,S486-MAX(0,Z486-SUM(Q486:R486)))</f>
        <v/>
      </c>
      <c r="AG486" s="4">
        <f>MAX(0,T486-MAX(0,Z486-SUM(Q486:S486)))</f>
        <v/>
      </c>
      <c r="AH486" s="4">
        <f>MAX(0,U486-MAX(0,Z486-SUM(Q486:T486)))</f>
        <v/>
      </c>
      <c r="AI486" s="4">
        <f>MAX(0,V486-MAX(0,Z486-SUM(Q486:U486)))</f>
        <v/>
      </c>
      <c r="AJ486" s="4">
        <f>MAX(0,W486-MAX(0,Z486-SUM(Q486:V486)))</f>
        <v/>
      </c>
      <c r="AK486" s="4">
        <f>MAX(0,X486-MAX(0,Z486-SUM(Q486:W486)))</f>
        <v/>
      </c>
      <c r="AL486" s="4">
        <f>MAX(0,Y486-MAX(0,Z486-SUM(Q486:X486)))</f>
        <v/>
      </c>
    </row>
    <row r="487">
      <c r="A487" s="4" t="inlineStr">
        <is>
          <t>HASLS22260902136</t>
        </is>
      </c>
      <c r="B487" s="4" t="inlineStr">
        <is>
          <t>PCCP</t>
        </is>
      </c>
      <c r="C487" s="4" t="inlineStr">
        <is>
          <t>2610N</t>
        </is>
      </c>
      <c r="D487" s="4" t="inlineStr">
        <is>
          <t>202610120600</t>
        </is>
      </c>
      <c r="E487" s="4" t="inlineStr"/>
      <c r="F487" s="4" t="inlineStr">
        <is>
          <t>THLCH</t>
        </is>
      </c>
      <c r="G487" s="4" t="inlineStr">
        <is>
          <t>VNSGN</t>
        </is>
      </c>
      <c r="H487" s="4" t="inlineStr">
        <is>
          <t xml:space="preserve">R40Hx2 </t>
        </is>
      </c>
      <c r="I487" s="4" t="inlineStr">
        <is>
          <t>LCH27</t>
        </is>
      </c>
      <c r="J487" s="4" t="inlineStr">
        <is>
          <t xml:space="preserve">HAST Logistics Co.,Ltd. </t>
        </is>
      </c>
      <c r="K487" s="4" t="inlineStr">
        <is>
          <t>20261009</t>
        </is>
      </c>
      <c r="L487" s="4" t="inlineStr">
        <is>
          <t>FOCUS FREIGHT &amp; LOGISTICS CO., LTD.</t>
        </is>
      </c>
      <c r="M487" s="4" t="inlineStr">
        <is>
          <t>UNITED MUSHROOM CENTER CO., LTD.</t>
        </is>
      </c>
      <c r="N487" s="4" t="inlineStr">
        <is>
          <t>GOLDEN MUSHROOM</t>
        </is>
      </c>
      <c r="O487" s="4" t="inlineStr">
        <is>
          <t>(Temp +0.0℃ / Vent Close) REQUEST  CLEAN &amp; GOOD CONTAINER FOR FOODS</t>
        </is>
      </c>
      <c r="P487" s="4" t="inlineStr">
        <is>
          <t xml:space="preserve">Pickup : 2026-10-09, Return : 2026-10-11 (Temp +0.0 / Vent Close)
 CSL TIME 11/10 @14.00 </t>
        </is>
      </c>
      <c r="Q487" s="4" t="n">
        <v>0</v>
      </c>
      <c r="R487" s="4" t="n">
        <v>0</v>
      </c>
      <c r="S487" s="4" t="n">
        <v>0</v>
      </c>
      <c r="T487" s="4" t="n">
        <v>0</v>
      </c>
      <c r="U487" s="4" t="n">
        <v>2</v>
      </c>
      <c r="V487" s="4" t="n">
        <v>0</v>
      </c>
      <c r="W487" s="4" t="n">
        <v>0</v>
      </c>
      <c r="X487" s="4" t="n">
        <v>0</v>
      </c>
      <c r="Y487" s="4" t="n">
        <v>0</v>
      </c>
      <c r="Z487" s="4" t="n">
        <v>0</v>
      </c>
      <c r="AA487" s="4" t="n">
        <v>0</v>
      </c>
      <c r="AB487" s="4">
        <f>SUM(Q487:Y487)-Z487</f>
        <v/>
      </c>
      <c r="AC487" s="4">
        <f>IF(I487="","",IF(OR(LEFT(I487,3)="BKK",I487="LCH55"),"BKK",IF(LEFT(I487,3)="LCH","LCH","OTHER")))</f>
        <v/>
      </c>
      <c r="AD487" s="4">
        <f>MAX(0,Q487-MAX(0,Z487))</f>
        <v/>
      </c>
      <c r="AE487" s="4">
        <f>MAX(0,R487-MAX(0,Z487-SUM(Q487:Q487)))</f>
        <v/>
      </c>
      <c r="AF487" s="4">
        <f>MAX(0,S487-MAX(0,Z487-SUM(Q487:R487)))</f>
        <v/>
      </c>
      <c r="AG487" s="4">
        <f>MAX(0,T487-MAX(0,Z487-SUM(Q487:S487)))</f>
        <v/>
      </c>
      <c r="AH487" s="4">
        <f>MAX(0,U487-MAX(0,Z487-SUM(Q487:T487)))</f>
        <v/>
      </c>
      <c r="AI487" s="4">
        <f>MAX(0,V487-MAX(0,Z487-SUM(Q487:U487)))</f>
        <v/>
      </c>
      <c r="AJ487" s="4">
        <f>MAX(0,W487-MAX(0,Z487-SUM(Q487:V487)))</f>
        <v/>
      </c>
      <c r="AK487" s="4">
        <f>MAX(0,X487-MAX(0,Z487-SUM(Q487:W487)))</f>
        <v/>
      </c>
      <c r="AL487" s="4">
        <f>MAX(0,Y487-MAX(0,Z487-SUM(Q487:X487)))</f>
        <v/>
      </c>
    </row>
    <row r="488">
      <c r="A488" s="4" t="inlineStr">
        <is>
          <t>HASLS22260902138</t>
        </is>
      </c>
      <c r="B488" s="4" t="inlineStr">
        <is>
          <t>KMBK</t>
        </is>
      </c>
      <c r="C488" s="4" t="inlineStr">
        <is>
          <t>2611N</t>
        </is>
      </c>
      <c r="D488" s="4" t="inlineStr">
        <is>
          <t>202610040100</t>
        </is>
      </c>
      <c r="E488" s="4" t="inlineStr"/>
      <c r="F488" s="4" t="inlineStr">
        <is>
          <t>THLCH</t>
        </is>
      </c>
      <c r="G488" s="4" t="inlineStr">
        <is>
          <t>VNSGN</t>
        </is>
      </c>
      <c r="H488" s="4" t="inlineStr">
        <is>
          <t xml:space="preserve">R40Hx1 </t>
        </is>
      </c>
      <c r="I488" s="4" t="inlineStr">
        <is>
          <t>LCH27</t>
        </is>
      </c>
      <c r="J488" s="4" t="inlineStr">
        <is>
          <t xml:space="preserve">HAST Logistics Co.,Ltd. </t>
        </is>
      </c>
      <c r="K488" s="4" t="inlineStr">
        <is>
          <t>20260930</t>
        </is>
      </c>
      <c r="L488" s="4" t="inlineStr">
        <is>
          <t>FOCUS FREIGHT &amp; LOGISTICS CO., LTD.</t>
        </is>
      </c>
      <c r="M488" s="4" t="inlineStr">
        <is>
          <t>UNITED MUSHROOM CENTER CO., LTD.</t>
        </is>
      </c>
      <c r="N488" s="4" t="inlineStr">
        <is>
          <t>GOLDEN MUSHROOM</t>
        </is>
      </c>
      <c r="O488" s="4" t="inlineStr">
        <is>
          <t>(Temp +0.0℃ / Vent Close) REQ CLEAN &amp; GOOD CONTAINER FOR FOODS</t>
        </is>
      </c>
      <c r="P488" s="4" t="inlineStr">
        <is>
          <t>Pickup : 2026-09-30, Return : 2026-10-02 (Temp +0.0 / Vent Close) 
CLS TIME 03/10/26 @15.00</t>
        </is>
      </c>
      <c r="Q488" s="4" t="n">
        <v>0</v>
      </c>
      <c r="R488" s="4" t="n">
        <v>0</v>
      </c>
      <c r="S488" s="4" t="n">
        <v>0</v>
      </c>
      <c r="T488" s="4" t="n">
        <v>0</v>
      </c>
      <c r="U488" s="4" t="n">
        <v>1</v>
      </c>
      <c r="V488" s="4" t="n">
        <v>0</v>
      </c>
      <c r="W488" s="4" t="n">
        <v>0</v>
      </c>
      <c r="X488" s="4" t="n">
        <v>0</v>
      </c>
      <c r="Y488" s="4" t="n">
        <v>0</v>
      </c>
      <c r="Z488" s="4" t="n">
        <v>0</v>
      </c>
      <c r="AA488" s="4" t="n">
        <v>0</v>
      </c>
      <c r="AB488" s="4">
        <f>SUM(Q488:Y488)-Z488</f>
        <v/>
      </c>
      <c r="AC488" s="4">
        <f>IF(I488="","",IF(OR(LEFT(I488,3)="BKK",I488="LCH55"),"BKK",IF(LEFT(I488,3)="LCH","LCH","OTHER")))</f>
        <v/>
      </c>
      <c r="AD488" s="4">
        <f>MAX(0,Q488-MAX(0,Z488))</f>
        <v/>
      </c>
      <c r="AE488" s="4">
        <f>MAX(0,R488-MAX(0,Z488-SUM(Q488:Q488)))</f>
        <v/>
      </c>
      <c r="AF488" s="4">
        <f>MAX(0,S488-MAX(0,Z488-SUM(Q488:R488)))</f>
        <v/>
      </c>
      <c r="AG488" s="4">
        <f>MAX(0,T488-MAX(0,Z488-SUM(Q488:S488)))</f>
        <v/>
      </c>
      <c r="AH488" s="4">
        <f>MAX(0,U488-MAX(0,Z488-SUM(Q488:T488)))</f>
        <v/>
      </c>
      <c r="AI488" s="4">
        <f>MAX(0,V488-MAX(0,Z488-SUM(Q488:U488)))</f>
        <v/>
      </c>
      <c r="AJ488" s="4">
        <f>MAX(0,W488-MAX(0,Z488-SUM(Q488:V488)))</f>
        <v/>
      </c>
      <c r="AK488" s="4">
        <f>MAX(0,X488-MAX(0,Z488-SUM(Q488:W488)))</f>
        <v/>
      </c>
      <c r="AL488" s="4">
        <f>MAX(0,Y488-MAX(0,Z488-SUM(Q488:X488)))</f>
        <v/>
      </c>
    </row>
    <row r="489">
      <c r="A489" s="4" t="inlineStr">
        <is>
          <t>HASLS22260902175</t>
        </is>
      </c>
      <c r="B489" s="4" t="inlineStr">
        <is>
          <t>PCCP</t>
        </is>
      </c>
      <c r="C489" s="4" t="inlineStr">
        <is>
          <t>2610N</t>
        </is>
      </c>
      <c r="D489" s="4" t="inlineStr">
        <is>
          <t>202610120600</t>
        </is>
      </c>
      <c r="E489" s="4" t="inlineStr"/>
      <c r="F489" s="4" t="inlineStr">
        <is>
          <t>THLCH</t>
        </is>
      </c>
      <c r="G489" s="4" t="inlineStr">
        <is>
          <t>JPISS</t>
        </is>
      </c>
      <c r="H489" s="4" t="inlineStr">
        <is>
          <t xml:space="preserve">R40Hx2 </t>
        </is>
      </c>
      <c r="I489" s="4" t="inlineStr">
        <is>
          <t>LCH27</t>
        </is>
      </c>
      <c r="J489" s="4" t="inlineStr">
        <is>
          <t xml:space="preserve">HAST Logistics Co.,Ltd. </t>
        </is>
      </c>
      <c r="K489" s="4" t="inlineStr">
        <is>
          <t>20261008</t>
        </is>
      </c>
      <c r="L489" s="4" t="inlineStr">
        <is>
          <t>KODAI (THAILAND) CO., LTD.</t>
        </is>
      </c>
      <c r="M489" s="4" t="inlineStr">
        <is>
          <t>MCKEY FOOD SERVICES</t>
        </is>
      </c>
      <c r="N489" s="4" t="inlineStr">
        <is>
          <t>FROZEN CHICKEN</t>
        </is>
      </c>
      <c r="O489" s="4" t="inlineStr">
        <is>
          <t>RF45REx2 (Temp -25.0℃ / Vent Close) Req Thermo King or Carrier containers tare weight not exceeding 4.6 tons GRADE A CNTR Clean and in good</t>
        </is>
      </c>
      <c r="P489" s="4" t="inlineStr">
        <is>
          <t xml:space="preserve">Pickup : 2026-10-08, Return : 2026-10-09 RF45REx2 (Temp -25.0 / Vent Close) 
CLS TIME : 10/10/2026 @23.59 </t>
        </is>
      </c>
      <c r="Q489" s="4" t="n">
        <v>0</v>
      </c>
      <c r="R489" s="4" t="n">
        <v>0</v>
      </c>
      <c r="S489" s="4" t="n">
        <v>0</v>
      </c>
      <c r="T489" s="4" t="n">
        <v>0</v>
      </c>
      <c r="U489" s="4" t="n">
        <v>2</v>
      </c>
      <c r="V489" s="4" t="n">
        <v>0</v>
      </c>
      <c r="W489" s="4" t="n">
        <v>0</v>
      </c>
      <c r="X489" s="4" t="n">
        <v>0</v>
      </c>
      <c r="Y489" s="4" t="n">
        <v>0</v>
      </c>
      <c r="Z489" s="4" t="n">
        <v>0</v>
      </c>
      <c r="AA489" s="4" t="n">
        <v>0</v>
      </c>
      <c r="AB489" s="4">
        <f>SUM(Q489:Y489)-Z489</f>
        <v/>
      </c>
      <c r="AC489" s="4">
        <f>IF(I489="","",IF(OR(LEFT(I489,3)="BKK",I489="LCH55"),"BKK",IF(LEFT(I489,3)="LCH","LCH","OTHER")))</f>
        <v/>
      </c>
      <c r="AD489" s="4">
        <f>MAX(0,Q489-MAX(0,Z489))</f>
        <v/>
      </c>
      <c r="AE489" s="4">
        <f>MAX(0,R489-MAX(0,Z489-SUM(Q489:Q489)))</f>
        <v/>
      </c>
      <c r="AF489" s="4">
        <f>MAX(0,S489-MAX(0,Z489-SUM(Q489:R489)))</f>
        <v/>
      </c>
      <c r="AG489" s="4">
        <f>MAX(0,T489-MAX(0,Z489-SUM(Q489:S489)))</f>
        <v/>
      </c>
      <c r="AH489" s="4">
        <f>MAX(0,U489-MAX(0,Z489-SUM(Q489:T489)))</f>
        <v/>
      </c>
      <c r="AI489" s="4">
        <f>MAX(0,V489-MAX(0,Z489-SUM(Q489:U489)))</f>
        <v/>
      </c>
      <c r="AJ489" s="4">
        <f>MAX(0,W489-MAX(0,Z489-SUM(Q489:V489)))</f>
        <v/>
      </c>
      <c r="AK489" s="4">
        <f>MAX(0,X489-MAX(0,Z489-SUM(Q489:W489)))</f>
        <v/>
      </c>
      <c r="AL489" s="4">
        <f>MAX(0,Y489-MAX(0,Z489-SUM(Q489:X489)))</f>
        <v/>
      </c>
    </row>
    <row r="490">
      <c r="A490" s="4" t="inlineStr">
        <is>
          <t>HASLS22260902204</t>
        </is>
      </c>
      <c r="B490" s="4" t="inlineStr">
        <is>
          <t>SWAT</t>
        </is>
      </c>
      <c r="C490" s="4" t="inlineStr">
        <is>
          <t>2610N</t>
        </is>
      </c>
      <c r="D490" s="4" t="inlineStr">
        <is>
          <t>202610081000</t>
        </is>
      </c>
      <c r="E490" s="4" t="inlineStr"/>
      <c r="F490" s="4" t="inlineStr">
        <is>
          <t>THLCH</t>
        </is>
      </c>
      <c r="G490" s="4" t="inlineStr">
        <is>
          <t>HKHKG</t>
        </is>
      </c>
      <c r="H490" s="4" t="inlineStr">
        <is>
          <t xml:space="preserve">R40Hx1 </t>
        </is>
      </c>
      <c r="I490" s="4" t="inlineStr">
        <is>
          <t>LCH27</t>
        </is>
      </c>
      <c r="J490" s="4" t="inlineStr">
        <is>
          <t xml:space="preserve">HAST Logistics Co.,Ltd. </t>
        </is>
      </c>
      <c r="K490" s="4" t="inlineStr">
        <is>
          <t>20261003</t>
        </is>
      </c>
      <c r="L490" s="4" t="inlineStr">
        <is>
          <t>STAR SHIPPING CARGO LIKES CO., LTD.</t>
        </is>
      </c>
      <c r="M490" s="4" t="inlineStr">
        <is>
          <t>AN NAM DRAGON 2017 CO., LTD.</t>
        </is>
      </c>
      <c r="N490" s="4" t="inlineStr">
        <is>
          <t>FRESH FRUITS, VEGETABLES, FOODSTUFF</t>
        </is>
      </c>
      <c r="O490" s="4" t="inlineStr">
        <is>
          <t>(Temp +4.0℃ / Vent 15% Open)</t>
        </is>
      </c>
      <c r="P490" s="4" t="inlineStr">
        <is>
          <t>Pickup : 2026-10-03, Return : 2026-10-05 (Temp +4.0 / Vent 15% Open) 
CLS TIME 06/10/26 @18.00</t>
        </is>
      </c>
      <c r="Q490" s="4" t="n">
        <v>0</v>
      </c>
      <c r="R490" s="4" t="n">
        <v>0</v>
      </c>
      <c r="S490" s="4" t="n">
        <v>0</v>
      </c>
      <c r="T490" s="4" t="n">
        <v>0</v>
      </c>
      <c r="U490" s="4" t="n">
        <v>1</v>
      </c>
      <c r="V490" s="4" t="n">
        <v>0</v>
      </c>
      <c r="W490" s="4" t="n">
        <v>0</v>
      </c>
      <c r="X490" s="4" t="n">
        <v>0</v>
      </c>
      <c r="Y490" s="4" t="n">
        <v>0</v>
      </c>
      <c r="Z490" s="4" t="n">
        <v>0</v>
      </c>
      <c r="AA490" s="4" t="n">
        <v>0</v>
      </c>
      <c r="AB490" s="4">
        <f>SUM(Q490:Y490)-Z490</f>
        <v/>
      </c>
      <c r="AC490" s="4">
        <f>IF(I490="","",IF(OR(LEFT(I490,3)="BKK",I490="LCH55"),"BKK",IF(LEFT(I490,3)="LCH","LCH","OTHER")))</f>
        <v/>
      </c>
      <c r="AD490" s="4">
        <f>MAX(0,Q490-MAX(0,Z490))</f>
        <v/>
      </c>
      <c r="AE490" s="4">
        <f>MAX(0,R490-MAX(0,Z490-SUM(Q490:Q490)))</f>
        <v/>
      </c>
      <c r="AF490" s="4">
        <f>MAX(0,S490-MAX(0,Z490-SUM(Q490:R490)))</f>
        <v/>
      </c>
      <c r="AG490" s="4">
        <f>MAX(0,T490-MAX(0,Z490-SUM(Q490:S490)))</f>
        <v/>
      </c>
      <c r="AH490" s="4">
        <f>MAX(0,U490-MAX(0,Z490-SUM(Q490:T490)))</f>
        <v/>
      </c>
      <c r="AI490" s="4">
        <f>MAX(0,V490-MAX(0,Z490-SUM(Q490:U490)))</f>
        <v/>
      </c>
      <c r="AJ490" s="4">
        <f>MAX(0,W490-MAX(0,Z490-SUM(Q490:V490)))</f>
        <v/>
      </c>
      <c r="AK490" s="4">
        <f>MAX(0,X490-MAX(0,Z490-SUM(Q490:W490)))</f>
        <v/>
      </c>
      <c r="AL490" s="4">
        <f>MAX(0,Y490-MAX(0,Z490-SUM(Q490:X490)))</f>
        <v/>
      </c>
    </row>
    <row r="491">
      <c r="A491" s="4" t="inlineStr">
        <is>
          <t>HASLS22260902228</t>
        </is>
      </c>
      <c r="B491" s="4" t="inlineStr">
        <is>
          <t>SWSP</t>
        </is>
      </c>
      <c r="C491" s="4" t="inlineStr">
        <is>
          <t>2609N</t>
        </is>
      </c>
      <c r="D491" s="4" t="inlineStr">
        <is>
          <t>202610080830</t>
        </is>
      </c>
      <c r="E491" s="4" t="inlineStr"/>
      <c r="F491" s="4" t="inlineStr">
        <is>
          <t>THLCH</t>
        </is>
      </c>
      <c r="G491" s="4" t="inlineStr">
        <is>
          <t>VNSGN</t>
        </is>
      </c>
      <c r="H491" s="4" t="inlineStr">
        <is>
          <t xml:space="preserve">20'x1 </t>
        </is>
      </c>
      <c r="I491" s="4" t="inlineStr">
        <is>
          <t>LCH27</t>
        </is>
      </c>
      <c r="J491" s="4" t="inlineStr">
        <is>
          <t xml:space="preserve">HAST Logistics Co.,Ltd. </t>
        </is>
      </c>
      <c r="K491" s="4" t="inlineStr">
        <is>
          <t>20260925</t>
        </is>
      </c>
      <c r="L491" s="4" t="inlineStr">
        <is>
          <t>WHA GC LOGISTICS COMPANY LIMITED</t>
        </is>
      </c>
      <c r="M491" s="4" t="inlineStr">
        <is>
          <t>PTT GLOBAL CHEMICAL PUBLIC COMPANY LIMITED</t>
        </is>
      </c>
      <c r="N491" s="4" t="inlineStr">
        <is>
          <t>RESIN</t>
        </is>
      </c>
      <c r="O491" s="4" t="inlineStr">
        <is>
          <t>GOOD AND CLEAN CTNR</t>
        </is>
      </c>
      <c r="P491" s="4" t="inlineStr">
        <is>
          <t>CY-RTN 25-02/10/26 
*PLS CHECK OPEN GATE BEFORE RETURN CTNR*</t>
        </is>
      </c>
      <c r="Q491" s="4" t="n">
        <v>1</v>
      </c>
      <c r="R491" s="4" t="n">
        <v>0</v>
      </c>
      <c r="S491" s="4" t="n">
        <v>0</v>
      </c>
      <c r="T491" s="4" t="n">
        <v>0</v>
      </c>
      <c r="U491" s="4" t="n">
        <v>0</v>
      </c>
      <c r="V491" s="4" t="n">
        <v>0</v>
      </c>
      <c r="W491" s="4" t="n">
        <v>0</v>
      </c>
      <c r="X491" s="4" t="n">
        <v>0</v>
      </c>
      <c r="Y491" s="4" t="n">
        <v>0</v>
      </c>
      <c r="Z491" s="4" t="n">
        <v>0</v>
      </c>
      <c r="AA491" s="4" t="n">
        <v>0</v>
      </c>
      <c r="AB491" s="4">
        <f>SUM(Q491:Y491)-Z491</f>
        <v/>
      </c>
      <c r="AC491" s="4">
        <f>IF(I491="","",IF(OR(LEFT(I491,3)="BKK",I491="LCH55"),"BKK",IF(LEFT(I491,3)="LCH","LCH","OTHER")))</f>
        <v/>
      </c>
      <c r="AD491" s="4">
        <f>MAX(0,Q491-MAX(0,Z491))</f>
        <v/>
      </c>
      <c r="AE491" s="4">
        <f>MAX(0,R491-MAX(0,Z491-SUM(Q491:Q491)))</f>
        <v/>
      </c>
      <c r="AF491" s="4">
        <f>MAX(0,S491-MAX(0,Z491-SUM(Q491:R491)))</f>
        <v/>
      </c>
      <c r="AG491" s="4">
        <f>MAX(0,T491-MAX(0,Z491-SUM(Q491:S491)))</f>
        <v/>
      </c>
      <c r="AH491" s="4">
        <f>MAX(0,U491-MAX(0,Z491-SUM(Q491:T491)))</f>
        <v/>
      </c>
      <c r="AI491" s="4">
        <f>MAX(0,V491-MAX(0,Z491-SUM(Q491:U491)))</f>
        <v/>
      </c>
      <c r="AJ491" s="4">
        <f>MAX(0,W491-MAX(0,Z491-SUM(Q491:V491)))</f>
        <v/>
      </c>
      <c r="AK491" s="4">
        <f>MAX(0,X491-MAX(0,Z491-SUM(Q491:W491)))</f>
        <v/>
      </c>
      <c r="AL491" s="4">
        <f>MAX(0,Y491-MAX(0,Z491-SUM(Q491:X491)))</f>
        <v/>
      </c>
    </row>
    <row r="492">
      <c r="A492" s="4" t="inlineStr">
        <is>
          <t>HASLS22260902230</t>
        </is>
      </c>
      <c r="B492" s="4" t="inlineStr">
        <is>
          <t>SWSP</t>
        </is>
      </c>
      <c r="C492" s="4" t="inlineStr">
        <is>
          <t>2609N</t>
        </is>
      </c>
      <c r="D492" s="4" t="inlineStr">
        <is>
          <t>202610080830</t>
        </is>
      </c>
      <c r="E492" s="4" t="inlineStr"/>
      <c r="F492" s="4" t="inlineStr">
        <is>
          <t>THLCH</t>
        </is>
      </c>
      <c r="G492" s="4" t="inlineStr">
        <is>
          <t>VNSGN</t>
        </is>
      </c>
      <c r="H492" s="4" t="inlineStr">
        <is>
          <t xml:space="preserve">20'x9 </t>
        </is>
      </c>
      <c r="I492" s="4" t="inlineStr">
        <is>
          <t>LCH27</t>
        </is>
      </c>
      <c r="J492" s="4" t="inlineStr">
        <is>
          <t xml:space="preserve">HAST Logistics Co.,Ltd. </t>
        </is>
      </c>
      <c r="K492" s="4" t="inlineStr">
        <is>
          <t>20260929</t>
        </is>
      </c>
      <c r="L492" s="4" t="inlineStr">
        <is>
          <t>WHA GC LOGISTICS COMPANY LIMITED</t>
        </is>
      </c>
      <c r="M492" s="4" t="inlineStr">
        <is>
          <t>PTT GLOBAL CHEMICAL PUBLIC COMPANY LIMITED</t>
        </is>
      </c>
      <c r="N492" s="4" t="inlineStr">
        <is>
          <t>RESIN</t>
        </is>
      </c>
      <c r="O492" s="4" t="inlineStr">
        <is>
          <t>GOOD AND CLEAN CTNR</t>
        </is>
      </c>
      <c r="P492" s="4" t="inlineStr">
        <is>
          <t>CY-RTN : 29-02/10/2026</t>
        </is>
      </c>
      <c r="Q492" s="4" t="n">
        <v>9</v>
      </c>
      <c r="R492" s="4" t="n">
        <v>0</v>
      </c>
      <c r="S492" s="4" t="n">
        <v>0</v>
      </c>
      <c r="T492" s="4" t="n">
        <v>0</v>
      </c>
      <c r="U492" s="4" t="n">
        <v>0</v>
      </c>
      <c r="V492" s="4" t="n">
        <v>0</v>
      </c>
      <c r="W492" s="4" t="n">
        <v>0</v>
      </c>
      <c r="X492" s="4" t="n">
        <v>0</v>
      </c>
      <c r="Y492" s="4" t="n">
        <v>0</v>
      </c>
      <c r="Z492" s="4" t="n">
        <v>0</v>
      </c>
      <c r="AA492" s="4" t="n">
        <v>0</v>
      </c>
      <c r="AB492" s="4">
        <f>SUM(Q492:Y492)-Z492</f>
        <v/>
      </c>
      <c r="AC492" s="4">
        <f>IF(I492="","",IF(OR(LEFT(I492,3)="BKK",I492="LCH55"),"BKK",IF(LEFT(I492,3)="LCH","LCH","OTHER")))</f>
        <v/>
      </c>
      <c r="AD492" s="4">
        <f>MAX(0,Q492-MAX(0,Z492))</f>
        <v/>
      </c>
      <c r="AE492" s="4">
        <f>MAX(0,R492-MAX(0,Z492-SUM(Q492:Q492)))</f>
        <v/>
      </c>
      <c r="AF492" s="4">
        <f>MAX(0,S492-MAX(0,Z492-SUM(Q492:R492)))</f>
        <v/>
      </c>
      <c r="AG492" s="4">
        <f>MAX(0,T492-MAX(0,Z492-SUM(Q492:S492)))</f>
        <v/>
      </c>
      <c r="AH492" s="4">
        <f>MAX(0,U492-MAX(0,Z492-SUM(Q492:T492)))</f>
        <v/>
      </c>
      <c r="AI492" s="4">
        <f>MAX(0,V492-MAX(0,Z492-SUM(Q492:U492)))</f>
        <v/>
      </c>
      <c r="AJ492" s="4">
        <f>MAX(0,W492-MAX(0,Z492-SUM(Q492:V492)))</f>
        <v/>
      </c>
      <c r="AK492" s="4">
        <f>MAX(0,X492-MAX(0,Z492-SUM(Q492:W492)))</f>
        <v/>
      </c>
      <c r="AL492" s="4">
        <f>MAX(0,Y492-MAX(0,Z492-SUM(Q492:X492)))</f>
        <v/>
      </c>
    </row>
    <row r="493">
      <c r="A493" s="4" t="inlineStr">
        <is>
          <t>HASLS22260902261</t>
        </is>
      </c>
      <c r="B493" s="4" t="inlineStr">
        <is>
          <t>SWVG</t>
        </is>
      </c>
      <c r="C493" s="4" t="inlineStr">
        <is>
          <t>2612N</t>
        </is>
      </c>
      <c r="D493" s="4" t="inlineStr">
        <is>
          <t>202610070330</t>
        </is>
      </c>
      <c r="E493" s="4" t="inlineStr"/>
      <c r="F493" s="4" t="inlineStr">
        <is>
          <t>THLCH</t>
        </is>
      </c>
      <c r="G493" s="4" t="inlineStr">
        <is>
          <t>JPKIJ</t>
        </is>
      </c>
      <c r="H493" s="4" t="inlineStr">
        <is>
          <t xml:space="preserve">20'x2 </t>
        </is>
      </c>
      <c r="I493" s="4" t="inlineStr">
        <is>
          <t>LCH27</t>
        </is>
      </c>
      <c r="J493" s="4" t="inlineStr">
        <is>
          <t xml:space="preserve">HAST Logistics Co.,Ltd. </t>
        </is>
      </c>
      <c r="K493" s="4" t="inlineStr">
        <is>
          <t>20261003</t>
        </is>
      </c>
      <c r="L493" s="4" t="inlineStr">
        <is>
          <t>NOVATRANS LOGISTICS CO.,LTD</t>
        </is>
      </c>
      <c r="M493" s="4" t="inlineStr">
        <is>
          <t>SMC FOOD (THAILAND) CO.,LTD.</t>
        </is>
      </c>
      <c r="N493" s="4" t="inlineStr">
        <is>
          <t xml:space="preserve">SUGAR/SALT </t>
        </is>
      </c>
      <c r="O493" s="4" t="inlineStr">
        <is>
          <t>RQST GOOD AND CLEAN CNTR (FOOD GRADE) NO RUST NO HOLE NO SMELL 
RQST CONTAINER UNDER DECK AVOID BOIL</t>
        </is>
      </c>
      <c r="P493" s="4" t="inlineStr">
        <is>
          <t>Pickup : 2026-10-03, Return : 2026-10-04</t>
        </is>
      </c>
      <c r="Q493" s="4" t="n">
        <v>2</v>
      </c>
      <c r="R493" s="4" t="n">
        <v>0</v>
      </c>
      <c r="S493" s="4" t="n">
        <v>0</v>
      </c>
      <c r="T493" s="4" t="n">
        <v>0</v>
      </c>
      <c r="U493" s="4" t="n">
        <v>0</v>
      </c>
      <c r="V493" s="4" t="n">
        <v>0</v>
      </c>
      <c r="W493" s="4" t="n">
        <v>0</v>
      </c>
      <c r="X493" s="4" t="n">
        <v>0</v>
      </c>
      <c r="Y493" s="4" t="n">
        <v>0</v>
      </c>
      <c r="Z493" s="4" t="n">
        <v>0</v>
      </c>
      <c r="AA493" s="4" t="n">
        <v>0</v>
      </c>
      <c r="AB493" s="4">
        <f>SUM(Q493:Y493)-Z493</f>
        <v/>
      </c>
      <c r="AC493" s="4">
        <f>IF(I493="","",IF(OR(LEFT(I493,3)="BKK",I493="LCH55"),"BKK",IF(LEFT(I493,3)="LCH","LCH","OTHER")))</f>
        <v/>
      </c>
      <c r="AD493" s="4">
        <f>MAX(0,Q493-MAX(0,Z493))</f>
        <v/>
      </c>
      <c r="AE493" s="4">
        <f>MAX(0,R493-MAX(0,Z493-SUM(Q493:Q493)))</f>
        <v/>
      </c>
      <c r="AF493" s="4">
        <f>MAX(0,S493-MAX(0,Z493-SUM(Q493:R493)))</f>
        <v/>
      </c>
      <c r="AG493" s="4">
        <f>MAX(0,T493-MAX(0,Z493-SUM(Q493:S493)))</f>
        <v/>
      </c>
      <c r="AH493" s="4">
        <f>MAX(0,U493-MAX(0,Z493-SUM(Q493:T493)))</f>
        <v/>
      </c>
      <c r="AI493" s="4">
        <f>MAX(0,V493-MAX(0,Z493-SUM(Q493:U493)))</f>
        <v/>
      </c>
      <c r="AJ493" s="4">
        <f>MAX(0,W493-MAX(0,Z493-SUM(Q493:V493)))</f>
        <v/>
      </c>
      <c r="AK493" s="4">
        <f>MAX(0,X493-MAX(0,Z493-SUM(Q493:W493)))</f>
        <v/>
      </c>
      <c r="AL493" s="4">
        <f>MAX(0,Y493-MAX(0,Z493-SUM(Q493:X493)))</f>
        <v/>
      </c>
    </row>
    <row r="494">
      <c r="A494" s="4" t="inlineStr">
        <is>
          <t>HASLS22260902270</t>
        </is>
      </c>
      <c r="B494" s="4" t="inlineStr">
        <is>
          <t>KXM</t>
        </is>
      </c>
      <c r="C494" s="4" t="inlineStr">
        <is>
          <t>2608S</t>
        </is>
      </c>
      <c r="D494" s="4" t="inlineStr">
        <is>
          <t>202610100500</t>
        </is>
      </c>
      <c r="E494" s="4" t="inlineStr"/>
      <c r="F494" s="4" t="inlineStr">
        <is>
          <t>THLCH</t>
        </is>
      </c>
      <c r="G494" s="4" t="inlineStr">
        <is>
          <t>IDJKT</t>
        </is>
      </c>
      <c r="H494" s="4" t="inlineStr">
        <is>
          <t xml:space="preserve">R40Hx1 </t>
        </is>
      </c>
      <c r="I494" s="4" t="inlineStr">
        <is>
          <t>LCH27</t>
        </is>
      </c>
      <c r="J494" s="4" t="inlineStr">
        <is>
          <t xml:space="preserve">HAST Logistics Co.,Ltd. </t>
        </is>
      </c>
      <c r="K494" s="4" t="inlineStr">
        <is>
          <t>20261003</t>
        </is>
      </c>
      <c r="L494" s="4" t="inlineStr">
        <is>
          <t>LONG LUCK SHIPPING AND LOGISTICS CO., LTD.</t>
        </is>
      </c>
      <c r="M494" s="4" t="inlineStr">
        <is>
          <t>ROYAL 88 COMPANY LIMITED</t>
        </is>
      </c>
      <c r="N494" s="4" t="inlineStr">
        <is>
          <t>FRESH LONGAN</t>
        </is>
      </c>
      <c r="O494" s="4" t="inlineStr">
        <is>
          <t>(Temp +2.0℃ / Vent 15% Open)</t>
        </is>
      </c>
      <c r="P494" s="4" t="inlineStr">
        <is>
          <t>Pickup : 2026-10-03, Return : 2026-10-08 (Temp +2.0 / Vent 15% Open) 
Closing time 2026-10-08 @ 23.59</t>
        </is>
      </c>
      <c r="Q494" s="4" t="n">
        <v>0</v>
      </c>
      <c r="R494" s="4" t="n">
        <v>0</v>
      </c>
      <c r="S494" s="4" t="n">
        <v>0</v>
      </c>
      <c r="T494" s="4" t="n">
        <v>0</v>
      </c>
      <c r="U494" s="4" t="n">
        <v>1</v>
      </c>
      <c r="V494" s="4" t="n">
        <v>0</v>
      </c>
      <c r="W494" s="4" t="n">
        <v>0</v>
      </c>
      <c r="X494" s="4" t="n">
        <v>0</v>
      </c>
      <c r="Y494" s="4" t="n">
        <v>0</v>
      </c>
      <c r="Z494" s="4" t="n">
        <v>0</v>
      </c>
      <c r="AA494" s="4" t="n">
        <v>0</v>
      </c>
      <c r="AB494" s="4">
        <f>SUM(Q494:Y494)-Z494</f>
        <v/>
      </c>
      <c r="AC494" s="4">
        <f>IF(I494="","",IF(OR(LEFT(I494,3)="BKK",I494="LCH55"),"BKK",IF(LEFT(I494,3)="LCH","LCH","OTHER")))</f>
        <v/>
      </c>
      <c r="AD494" s="4">
        <f>MAX(0,Q494-MAX(0,Z494))</f>
        <v/>
      </c>
      <c r="AE494" s="4">
        <f>MAX(0,R494-MAX(0,Z494-SUM(Q494:Q494)))</f>
        <v/>
      </c>
      <c r="AF494" s="4">
        <f>MAX(0,S494-MAX(0,Z494-SUM(Q494:R494)))</f>
        <v/>
      </c>
      <c r="AG494" s="4">
        <f>MAX(0,T494-MAX(0,Z494-SUM(Q494:S494)))</f>
        <v/>
      </c>
      <c r="AH494" s="4">
        <f>MAX(0,U494-MAX(0,Z494-SUM(Q494:T494)))</f>
        <v/>
      </c>
      <c r="AI494" s="4">
        <f>MAX(0,V494-MAX(0,Z494-SUM(Q494:U494)))</f>
        <v/>
      </c>
      <c r="AJ494" s="4">
        <f>MAX(0,W494-MAX(0,Z494-SUM(Q494:V494)))</f>
        <v/>
      </c>
      <c r="AK494" s="4">
        <f>MAX(0,X494-MAX(0,Z494-SUM(Q494:W494)))</f>
        <v/>
      </c>
      <c r="AL494" s="4">
        <f>MAX(0,Y494-MAX(0,Z494-SUM(Q494:X494)))</f>
        <v/>
      </c>
    </row>
    <row r="495">
      <c r="A495" s="4" t="inlineStr">
        <is>
          <t>HASLS22260902271</t>
        </is>
      </c>
      <c r="B495" s="4" t="inlineStr">
        <is>
          <t>YSVY</t>
        </is>
      </c>
      <c r="C495" s="4" t="inlineStr">
        <is>
          <t>2608S</t>
        </is>
      </c>
      <c r="D495" s="4" t="inlineStr">
        <is>
          <t>202610190700</t>
        </is>
      </c>
      <c r="E495" s="4" t="inlineStr"/>
      <c r="F495" s="4" t="inlineStr">
        <is>
          <t>THLCH</t>
        </is>
      </c>
      <c r="G495" s="4" t="inlineStr">
        <is>
          <t>IDJKT</t>
        </is>
      </c>
      <c r="H495" s="4" t="inlineStr">
        <is>
          <t xml:space="preserve">R40Hx1 </t>
        </is>
      </c>
      <c r="I495" s="4" t="inlineStr">
        <is>
          <t>LCH27</t>
        </is>
      </c>
      <c r="J495" s="4" t="inlineStr">
        <is>
          <t xml:space="preserve">HAST Logistics Co.,Ltd. </t>
        </is>
      </c>
      <c r="K495" s="4" t="inlineStr">
        <is>
          <t>20261009</t>
        </is>
      </c>
      <c r="L495" s="4" t="inlineStr">
        <is>
          <t>LONG LUCK SHIPPING AND LOGISTICS CO., LTD.</t>
        </is>
      </c>
      <c r="M495" s="4" t="inlineStr">
        <is>
          <t>ROYAL 88 COMPANY LIMITED</t>
        </is>
      </c>
      <c r="N495" s="4" t="inlineStr">
        <is>
          <t>FRESH LONGAN</t>
        </is>
      </c>
      <c r="O495" s="4" t="inlineStr">
        <is>
          <t>(Temp +2.0 / Vent 15% Open)</t>
        </is>
      </c>
      <c r="P495" s="4" t="inlineStr">
        <is>
          <t>Pickup : 2026-10-09, Return : 2026-10-15 (Temp +2.0 / Vent 15% Open)
Closing time 2026-10-15 @ 23.59</t>
        </is>
      </c>
      <c r="Q495" s="4" t="n">
        <v>0</v>
      </c>
      <c r="R495" s="4" t="n">
        <v>0</v>
      </c>
      <c r="S495" s="4" t="n">
        <v>0</v>
      </c>
      <c r="T495" s="4" t="n">
        <v>0</v>
      </c>
      <c r="U495" s="4" t="n">
        <v>1</v>
      </c>
      <c r="V495" s="4" t="n">
        <v>0</v>
      </c>
      <c r="W495" s="4" t="n">
        <v>0</v>
      </c>
      <c r="X495" s="4" t="n">
        <v>0</v>
      </c>
      <c r="Y495" s="4" t="n">
        <v>0</v>
      </c>
      <c r="Z495" s="4" t="n">
        <v>0</v>
      </c>
      <c r="AA495" s="4" t="n">
        <v>0</v>
      </c>
      <c r="AB495" s="4">
        <f>SUM(Q495:Y495)-Z495</f>
        <v/>
      </c>
      <c r="AC495" s="4">
        <f>IF(I495="","",IF(OR(LEFT(I495,3)="BKK",I495="LCH55"),"BKK",IF(LEFT(I495,3)="LCH","LCH","OTHER")))</f>
        <v/>
      </c>
      <c r="AD495" s="4">
        <f>MAX(0,Q495-MAX(0,Z495))</f>
        <v/>
      </c>
      <c r="AE495" s="4">
        <f>MAX(0,R495-MAX(0,Z495-SUM(Q495:Q495)))</f>
        <v/>
      </c>
      <c r="AF495" s="4">
        <f>MAX(0,S495-MAX(0,Z495-SUM(Q495:R495)))</f>
        <v/>
      </c>
      <c r="AG495" s="4">
        <f>MAX(0,T495-MAX(0,Z495-SUM(Q495:S495)))</f>
        <v/>
      </c>
      <c r="AH495" s="4">
        <f>MAX(0,U495-MAX(0,Z495-SUM(Q495:T495)))</f>
        <v/>
      </c>
      <c r="AI495" s="4">
        <f>MAX(0,V495-MAX(0,Z495-SUM(Q495:U495)))</f>
        <v/>
      </c>
      <c r="AJ495" s="4">
        <f>MAX(0,W495-MAX(0,Z495-SUM(Q495:V495)))</f>
        <v/>
      </c>
      <c r="AK495" s="4">
        <f>MAX(0,X495-MAX(0,Z495-SUM(Q495:W495)))</f>
        <v/>
      </c>
      <c r="AL495" s="4">
        <f>MAX(0,Y495-MAX(0,Z495-SUM(Q495:X495)))</f>
        <v/>
      </c>
    </row>
    <row r="496">
      <c r="A496" s="4" t="inlineStr">
        <is>
          <t>HASLS22260902272</t>
        </is>
      </c>
      <c r="B496" s="4" t="inlineStr">
        <is>
          <t>NSSJ</t>
        </is>
      </c>
      <c r="C496" s="4" t="inlineStr">
        <is>
          <t>2608S</t>
        </is>
      </c>
      <c r="D496" s="4" t="inlineStr">
        <is>
          <t>202610201630</t>
        </is>
      </c>
      <c r="E496" s="4" t="inlineStr"/>
      <c r="F496" s="4" t="inlineStr">
        <is>
          <t>THLCH</t>
        </is>
      </c>
      <c r="G496" s="4" t="inlineStr">
        <is>
          <t>IDJKT</t>
        </is>
      </c>
      <c r="H496" s="4" t="inlineStr">
        <is>
          <t xml:space="preserve">R40Hx1 </t>
        </is>
      </c>
      <c r="I496" s="4" t="inlineStr">
        <is>
          <t>LCH27</t>
        </is>
      </c>
      <c r="J496" s="4" t="inlineStr">
        <is>
          <t xml:space="preserve">HAST Logistics Co.,Ltd. </t>
        </is>
      </c>
      <c r="K496" s="4" t="inlineStr">
        <is>
          <t>20261017</t>
        </is>
      </c>
      <c r="L496" s="4" t="inlineStr">
        <is>
          <t>LONG LUCK SHIPPING AND LOGISTICS CO., LTD.</t>
        </is>
      </c>
      <c r="M496" s="4" t="inlineStr">
        <is>
          <t>ROYAL 88 COMPANY LIMITED</t>
        </is>
      </c>
      <c r="N496" s="4" t="inlineStr">
        <is>
          <t>FRESH LONGAN</t>
        </is>
      </c>
      <c r="O496" s="4" t="inlineStr">
        <is>
          <t>(Temp +2.0 / Vent 15% Open)</t>
        </is>
      </c>
      <c r="P496" s="4" t="inlineStr">
        <is>
          <t>Pickup : 2026-10-17, Return : 2026-10-18 RF45REx1 (Temp +2.0 / Vent 15% Open)
Closing time 2026-10-19 @ 12.00 (1ST RETURN 18 W/O RENT)</t>
        </is>
      </c>
      <c r="Q496" s="4" t="n">
        <v>0</v>
      </c>
      <c r="R496" s="4" t="n">
        <v>0</v>
      </c>
      <c r="S496" s="4" t="n">
        <v>0</v>
      </c>
      <c r="T496" s="4" t="n">
        <v>0</v>
      </c>
      <c r="U496" s="4" t="n">
        <v>1</v>
      </c>
      <c r="V496" s="4" t="n">
        <v>0</v>
      </c>
      <c r="W496" s="4" t="n">
        <v>0</v>
      </c>
      <c r="X496" s="4" t="n">
        <v>0</v>
      </c>
      <c r="Y496" s="4" t="n">
        <v>0</v>
      </c>
      <c r="Z496" s="4" t="n">
        <v>0</v>
      </c>
      <c r="AA496" s="4" t="n">
        <v>0</v>
      </c>
      <c r="AB496" s="4">
        <f>SUM(Q496:Y496)-Z496</f>
        <v/>
      </c>
      <c r="AC496" s="4">
        <f>IF(I496="","",IF(OR(LEFT(I496,3)="BKK",I496="LCH55"),"BKK",IF(LEFT(I496,3)="LCH","LCH","OTHER")))</f>
        <v/>
      </c>
      <c r="AD496" s="4">
        <f>MAX(0,Q496-MAX(0,Z496))</f>
        <v/>
      </c>
      <c r="AE496" s="4">
        <f>MAX(0,R496-MAX(0,Z496-SUM(Q496:Q496)))</f>
        <v/>
      </c>
      <c r="AF496" s="4">
        <f>MAX(0,S496-MAX(0,Z496-SUM(Q496:R496)))</f>
        <v/>
      </c>
      <c r="AG496" s="4">
        <f>MAX(0,T496-MAX(0,Z496-SUM(Q496:S496)))</f>
        <v/>
      </c>
      <c r="AH496" s="4">
        <f>MAX(0,U496-MAX(0,Z496-SUM(Q496:T496)))</f>
        <v/>
      </c>
      <c r="AI496" s="4">
        <f>MAX(0,V496-MAX(0,Z496-SUM(Q496:U496)))</f>
        <v/>
      </c>
      <c r="AJ496" s="4">
        <f>MAX(0,W496-MAX(0,Z496-SUM(Q496:V496)))</f>
        <v/>
      </c>
      <c r="AK496" s="4">
        <f>MAX(0,X496-MAX(0,Z496-SUM(Q496:W496)))</f>
        <v/>
      </c>
      <c r="AL496" s="4">
        <f>MAX(0,Y496-MAX(0,Z496-SUM(Q496:X496)))</f>
        <v/>
      </c>
    </row>
    <row r="497">
      <c r="A497" s="4" t="inlineStr">
        <is>
          <t>HASLS22260902285</t>
        </is>
      </c>
      <c r="B497" s="4" t="inlineStr">
        <is>
          <t>KXM</t>
        </is>
      </c>
      <c r="C497" s="4" t="inlineStr">
        <is>
          <t>2608S</t>
        </is>
      </c>
      <c r="D497" s="4" t="inlineStr">
        <is>
          <t>202610100500</t>
        </is>
      </c>
      <c r="E497" s="4" t="inlineStr"/>
      <c r="F497" s="4" t="inlineStr">
        <is>
          <t>THLCH</t>
        </is>
      </c>
      <c r="G497" s="4" t="inlineStr">
        <is>
          <t>IDJKT</t>
        </is>
      </c>
      <c r="H497" s="4" t="inlineStr">
        <is>
          <t xml:space="preserve">R40Hx1 </t>
        </is>
      </c>
      <c r="I497" s="4" t="inlineStr">
        <is>
          <t>LCH27</t>
        </is>
      </c>
      <c r="J497" s="4" t="inlineStr">
        <is>
          <t xml:space="preserve">HAST Logistics Co.,Ltd. </t>
        </is>
      </c>
      <c r="K497" s="4" t="inlineStr">
        <is>
          <t>20261002</t>
        </is>
      </c>
      <c r="L497" s="4" t="inlineStr">
        <is>
          <t>INTER FRESH CO., LTD.</t>
        </is>
      </c>
      <c r="M497" s="4" t="inlineStr">
        <is>
          <t>INTER FRESH CO., LTD.</t>
        </is>
      </c>
      <c r="N497" s="4" t="inlineStr">
        <is>
          <t xml:space="preserve">FRESH LONGAN (TEMP +2.0 / VENT 30%) </t>
        </is>
      </c>
      <c r="O497" s="4" t="inlineStr">
        <is>
          <t>(Temp +2.0℃ / Vent 30% Open)
Request for new container and We don't accept STAR COOL brand reefer containers.</t>
        </is>
      </c>
      <c r="P497" s="4" t="inlineStr">
        <is>
          <t>Pickup : 2026-10-02, Return : 2026-10-08 (Temp +2.0 / Vent 30% Open) 
Closing Time 2026-10-09 @ 12.00</t>
        </is>
      </c>
      <c r="Q497" s="4" t="n">
        <v>0</v>
      </c>
      <c r="R497" s="4" t="n">
        <v>0</v>
      </c>
      <c r="S497" s="4" t="n">
        <v>0</v>
      </c>
      <c r="T497" s="4" t="n">
        <v>0</v>
      </c>
      <c r="U497" s="4" t="n">
        <v>1</v>
      </c>
      <c r="V497" s="4" t="n">
        <v>0</v>
      </c>
      <c r="W497" s="4" t="n">
        <v>0</v>
      </c>
      <c r="X497" s="4" t="n">
        <v>0</v>
      </c>
      <c r="Y497" s="4" t="n">
        <v>0</v>
      </c>
      <c r="Z497" s="4" t="n">
        <v>0</v>
      </c>
      <c r="AA497" s="4" t="n">
        <v>0</v>
      </c>
      <c r="AB497" s="4">
        <f>SUM(Q497:Y497)-Z497</f>
        <v/>
      </c>
      <c r="AC497" s="4">
        <f>IF(I497="","",IF(OR(LEFT(I497,3)="BKK",I497="LCH55"),"BKK",IF(LEFT(I497,3)="LCH","LCH","OTHER")))</f>
        <v/>
      </c>
      <c r="AD497" s="4">
        <f>MAX(0,Q497-MAX(0,Z497))</f>
        <v/>
      </c>
      <c r="AE497" s="4">
        <f>MAX(0,R497-MAX(0,Z497-SUM(Q497:Q497)))</f>
        <v/>
      </c>
      <c r="AF497" s="4">
        <f>MAX(0,S497-MAX(0,Z497-SUM(Q497:R497)))</f>
        <v/>
      </c>
      <c r="AG497" s="4">
        <f>MAX(0,T497-MAX(0,Z497-SUM(Q497:S497)))</f>
        <v/>
      </c>
      <c r="AH497" s="4">
        <f>MAX(0,U497-MAX(0,Z497-SUM(Q497:T497)))</f>
        <v/>
      </c>
      <c r="AI497" s="4">
        <f>MAX(0,V497-MAX(0,Z497-SUM(Q497:U497)))</f>
        <v/>
      </c>
      <c r="AJ497" s="4">
        <f>MAX(0,W497-MAX(0,Z497-SUM(Q497:V497)))</f>
        <v/>
      </c>
      <c r="AK497" s="4">
        <f>MAX(0,X497-MAX(0,Z497-SUM(Q497:W497)))</f>
        <v/>
      </c>
      <c r="AL497" s="4">
        <f>MAX(0,Y497-MAX(0,Z497-SUM(Q497:X497)))</f>
        <v/>
      </c>
    </row>
    <row r="498">
      <c r="A498" s="4" t="inlineStr">
        <is>
          <t>HASLS22260902287</t>
        </is>
      </c>
      <c r="B498" s="4" t="inlineStr">
        <is>
          <t>KXM</t>
        </is>
      </c>
      <c r="C498" s="4" t="inlineStr">
        <is>
          <t>2608S</t>
        </is>
      </c>
      <c r="D498" s="4" t="inlineStr">
        <is>
          <t>202610100500</t>
        </is>
      </c>
      <c r="E498" s="4" t="inlineStr"/>
      <c r="F498" s="4" t="inlineStr">
        <is>
          <t>THLCH</t>
        </is>
      </c>
      <c r="G498" s="4" t="inlineStr">
        <is>
          <t>IDJKT</t>
        </is>
      </c>
      <c r="H498" s="4" t="inlineStr">
        <is>
          <t xml:space="preserve">R40Hx1 </t>
        </is>
      </c>
      <c r="I498" s="4" t="inlineStr">
        <is>
          <t>LCH27</t>
        </is>
      </c>
      <c r="J498" s="4" t="inlineStr">
        <is>
          <t xml:space="preserve">HAST Logistics Co.,Ltd. </t>
        </is>
      </c>
      <c r="K498" s="4" t="inlineStr">
        <is>
          <t>20261002</t>
        </is>
      </c>
      <c r="L498" s="4" t="inlineStr">
        <is>
          <t>INTER FRESH CO., LTD.</t>
        </is>
      </c>
      <c r="M498" s="4" t="inlineStr">
        <is>
          <t>INTER FRESH CO., LTD.</t>
        </is>
      </c>
      <c r="N498" s="4" t="inlineStr">
        <is>
          <t xml:space="preserve">FRESH LONGAN (TEMP +2.0 / VENT 30%) </t>
        </is>
      </c>
      <c r="O498" s="4" t="inlineStr">
        <is>
          <t>(Temp +2.0℃ / Vent 30% Open) 
Request for new container and We don't accept STAR COOL brand reefer containers.</t>
        </is>
      </c>
      <c r="P498" s="4" t="inlineStr">
        <is>
          <t>Pickup : 2026-10-02, Return : 2026-10-08(Temp +2.0 / Vent 30% Open) 
Closing Time 2026-10-09 @ 12.00</t>
        </is>
      </c>
      <c r="Q498" s="4" t="n">
        <v>0</v>
      </c>
      <c r="R498" s="4" t="n">
        <v>0</v>
      </c>
      <c r="S498" s="4" t="n">
        <v>0</v>
      </c>
      <c r="T498" s="4" t="n">
        <v>0</v>
      </c>
      <c r="U498" s="4" t="n">
        <v>1</v>
      </c>
      <c r="V498" s="4" t="n">
        <v>0</v>
      </c>
      <c r="W498" s="4" t="n">
        <v>0</v>
      </c>
      <c r="X498" s="4" t="n">
        <v>0</v>
      </c>
      <c r="Y498" s="4" t="n">
        <v>0</v>
      </c>
      <c r="Z498" s="4" t="n">
        <v>0</v>
      </c>
      <c r="AA498" s="4" t="n">
        <v>0</v>
      </c>
      <c r="AB498" s="4">
        <f>SUM(Q498:Y498)-Z498</f>
        <v/>
      </c>
      <c r="AC498" s="4">
        <f>IF(I498="","",IF(OR(LEFT(I498,3)="BKK",I498="LCH55"),"BKK",IF(LEFT(I498,3)="LCH","LCH","OTHER")))</f>
        <v/>
      </c>
      <c r="AD498" s="4">
        <f>MAX(0,Q498-MAX(0,Z498))</f>
        <v/>
      </c>
      <c r="AE498" s="4">
        <f>MAX(0,R498-MAX(0,Z498-SUM(Q498:Q498)))</f>
        <v/>
      </c>
      <c r="AF498" s="4">
        <f>MAX(0,S498-MAX(0,Z498-SUM(Q498:R498)))</f>
        <v/>
      </c>
      <c r="AG498" s="4">
        <f>MAX(0,T498-MAX(0,Z498-SUM(Q498:S498)))</f>
        <v/>
      </c>
      <c r="AH498" s="4">
        <f>MAX(0,U498-MAX(0,Z498-SUM(Q498:T498)))</f>
        <v/>
      </c>
      <c r="AI498" s="4">
        <f>MAX(0,V498-MAX(0,Z498-SUM(Q498:U498)))</f>
        <v/>
      </c>
      <c r="AJ498" s="4">
        <f>MAX(0,W498-MAX(0,Z498-SUM(Q498:V498)))</f>
        <v/>
      </c>
      <c r="AK498" s="4">
        <f>MAX(0,X498-MAX(0,Z498-SUM(Q498:W498)))</f>
        <v/>
      </c>
      <c r="AL498" s="4">
        <f>MAX(0,Y498-MAX(0,Z498-SUM(Q498:X498)))</f>
        <v/>
      </c>
    </row>
    <row r="499">
      <c r="A499" s="4" t="inlineStr">
        <is>
          <t>HASLS22260902288</t>
        </is>
      </c>
      <c r="B499" s="4" t="inlineStr">
        <is>
          <t>YSVY</t>
        </is>
      </c>
      <c r="C499" s="4" t="inlineStr">
        <is>
          <t>2608S</t>
        </is>
      </c>
      <c r="D499" s="4" t="inlineStr">
        <is>
          <t>202610190700</t>
        </is>
      </c>
      <c r="E499" s="4" t="inlineStr"/>
      <c r="F499" s="4" t="inlineStr">
        <is>
          <t>THLCH</t>
        </is>
      </c>
      <c r="G499" s="4" t="inlineStr">
        <is>
          <t>IDJKT</t>
        </is>
      </c>
      <c r="H499" s="4" t="inlineStr">
        <is>
          <t xml:space="preserve">R40Hx1 </t>
        </is>
      </c>
      <c r="I499" s="4" t="inlineStr">
        <is>
          <t>LCH27</t>
        </is>
      </c>
      <c r="J499" s="4" t="inlineStr">
        <is>
          <t xml:space="preserve">HAST Logistics Co.,Ltd. </t>
        </is>
      </c>
      <c r="K499" s="4" t="inlineStr">
        <is>
          <t>20261009</t>
        </is>
      </c>
      <c r="L499" s="4" t="inlineStr">
        <is>
          <t>INTER FRESH CO., LTD.</t>
        </is>
      </c>
      <c r="M499" s="4" t="inlineStr">
        <is>
          <t>INTER FRESH CO., LTD.</t>
        </is>
      </c>
      <c r="N499" s="4" t="inlineStr">
        <is>
          <t xml:space="preserve">FRESH LONGAN (TEMP +2.0 / VENT 30%) </t>
        </is>
      </c>
      <c r="O499" s="4" t="inlineStr">
        <is>
          <t>(Temp +2.0℃ / Vent 30% Open) 
Request for new container and We don't accept STAR COOL brand reefer containers.</t>
        </is>
      </c>
      <c r="P499" s="4" t="inlineStr">
        <is>
          <t>Pickup : 2026-10-09, Return : 2026-10-15 (Temp +2.0 / Vent 30% Open) 
Closing Time 2026-10-15 @ 23.59</t>
        </is>
      </c>
      <c r="Q499" s="4" t="n">
        <v>0</v>
      </c>
      <c r="R499" s="4" t="n">
        <v>0</v>
      </c>
      <c r="S499" s="4" t="n">
        <v>0</v>
      </c>
      <c r="T499" s="4" t="n">
        <v>0</v>
      </c>
      <c r="U499" s="4" t="n">
        <v>1</v>
      </c>
      <c r="V499" s="4" t="n">
        <v>0</v>
      </c>
      <c r="W499" s="4" t="n">
        <v>0</v>
      </c>
      <c r="X499" s="4" t="n">
        <v>0</v>
      </c>
      <c r="Y499" s="4" t="n">
        <v>0</v>
      </c>
      <c r="Z499" s="4" t="n">
        <v>0</v>
      </c>
      <c r="AA499" s="4" t="n">
        <v>0</v>
      </c>
      <c r="AB499" s="4">
        <f>SUM(Q499:Y499)-Z499</f>
        <v/>
      </c>
      <c r="AC499" s="4">
        <f>IF(I499="","",IF(OR(LEFT(I499,3)="BKK",I499="LCH55"),"BKK",IF(LEFT(I499,3)="LCH","LCH","OTHER")))</f>
        <v/>
      </c>
      <c r="AD499" s="4">
        <f>MAX(0,Q499-MAX(0,Z499))</f>
        <v/>
      </c>
      <c r="AE499" s="4">
        <f>MAX(0,R499-MAX(0,Z499-SUM(Q499:Q499)))</f>
        <v/>
      </c>
      <c r="AF499" s="4">
        <f>MAX(0,S499-MAX(0,Z499-SUM(Q499:R499)))</f>
        <v/>
      </c>
      <c r="AG499" s="4">
        <f>MAX(0,T499-MAX(0,Z499-SUM(Q499:S499)))</f>
        <v/>
      </c>
      <c r="AH499" s="4">
        <f>MAX(0,U499-MAX(0,Z499-SUM(Q499:T499)))</f>
        <v/>
      </c>
      <c r="AI499" s="4">
        <f>MAX(0,V499-MAX(0,Z499-SUM(Q499:U499)))</f>
        <v/>
      </c>
      <c r="AJ499" s="4">
        <f>MAX(0,W499-MAX(0,Z499-SUM(Q499:V499)))</f>
        <v/>
      </c>
      <c r="AK499" s="4">
        <f>MAX(0,X499-MAX(0,Z499-SUM(Q499:W499)))</f>
        <v/>
      </c>
      <c r="AL499" s="4">
        <f>MAX(0,Y499-MAX(0,Z499-SUM(Q499:X499)))</f>
        <v/>
      </c>
    </row>
    <row r="500">
      <c r="A500" s="4" t="inlineStr">
        <is>
          <t>HASLS22260902289</t>
        </is>
      </c>
      <c r="B500" s="4" t="inlineStr">
        <is>
          <t>YSVY</t>
        </is>
      </c>
      <c r="C500" s="4" t="inlineStr">
        <is>
          <t>2608S</t>
        </is>
      </c>
      <c r="D500" s="4" t="inlineStr">
        <is>
          <t>202610190700</t>
        </is>
      </c>
      <c r="E500" s="4" t="inlineStr"/>
      <c r="F500" s="4" t="inlineStr">
        <is>
          <t>THLCH</t>
        </is>
      </c>
      <c r="G500" s="4" t="inlineStr">
        <is>
          <t>IDJKT</t>
        </is>
      </c>
      <c r="H500" s="4" t="inlineStr">
        <is>
          <t xml:space="preserve">R40Hx1 </t>
        </is>
      </c>
      <c r="I500" s="4" t="inlineStr">
        <is>
          <t>LCH27</t>
        </is>
      </c>
      <c r="J500" s="4" t="inlineStr">
        <is>
          <t xml:space="preserve">HAST Logistics Co.,Ltd. </t>
        </is>
      </c>
      <c r="K500" s="4" t="inlineStr">
        <is>
          <t>20261009</t>
        </is>
      </c>
      <c r="L500" s="4" t="inlineStr">
        <is>
          <t>INTER FRESH CO., LTD.</t>
        </is>
      </c>
      <c r="M500" s="4" t="inlineStr">
        <is>
          <t>INTER FRESH CO., LTD.</t>
        </is>
      </c>
      <c r="N500" s="4" t="inlineStr">
        <is>
          <t xml:space="preserve">FRESH LONGAN (TEMP +2.0 / VENT 30%) </t>
        </is>
      </c>
      <c r="O500" s="4" t="inlineStr">
        <is>
          <t>(Temp +2.0℃ / Vent 30% Open) Request for new container and We don't accept STAR COOL brand reefer containers.</t>
        </is>
      </c>
      <c r="P500" s="4" t="inlineStr">
        <is>
          <t>Pickup : 2026-10-09, Return : 2026-10-15 (Temp +2.0 / Vent 30% Open) 
Closing Time 2026-10-15 @ 23.59</t>
        </is>
      </c>
      <c r="Q500" s="4" t="n">
        <v>0</v>
      </c>
      <c r="R500" s="4" t="n">
        <v>0</v>
      </c>
      <c r="S500" s="4" t="n">
        <v>0</v>
      </c>
      <c r="T500" s="4" t="n">
        <v>0</v>
      </c>
      <c r="U500" s="4" t="n">
        <v>1</v>
      </c>
      <c r="V500" s="4" t="n">
        <v>0</v>
      </c>
      <c r="W500" s="4" t="n">
        <v>0</v>
      </c>
      <c r="X500" s="4" t="n">
        <v>0</v>
      </c>
      <c r="Y500" s="4" t="n">
        <v>0</v>
      </c>
      <c r="Z500" s="4" t="n">
        <v>0</v>
      </c>
      <c r="AA500" s="4" t="n">
        <v>0</v>
      </c>
      <c r="AB500" s="4">
        <f>SUM(Q500:Y500)-Z500</f>
        <v/>
      </c>
      <c r="AC500" s="4">
        <f>IF(I500="","",IF(OR(LEFT(I500,3)="BKK",I500="LCH55"),"BKK",IF(LEFT(I500,3)="LCH","LCH","OTHER")))</f>
        <v/>
      </c>
      <c r="AD500" s="4">
        <f>MAX(0,Q500-MAX(0,Z500))</f>
        <v/>
      </c>
      <c r="AE500" s="4">
        <f>MAX(0,R500-MAX(0,Z500-SUM(Q500:Q500)))</f>
        <v/>
      </c>
      <c r="AF500" s="4">
        <f>MAX(0,S500-MAX(0,Z500-SUM(Q500:R500)))</f>
        <v/>
      </c>
      <c r="AG500" s="4">
        <f>MAX(0,T500-MAX(0,Z500-SUM(Q500:S500)))</f>
        <v/>
      </c>
      <c r="AH500" s="4">
        <f>MAX(0,U500-MAX(0,Z500-SUM(Q500:T500)))</f>
        <v/>
      </c>
      <c r="AI500" s="4">
        <f>MAX(0,V500-MAX(0,Z500-SUM(Q500:U500)))</f>
        <v/>
      </c>
      <c r="AJ500" s="4">
        <f>MAX(0,W500-MAX(0,Z500-SUM(Q500:V500)))</f>
        <v/>
      </c>
      <c r="AK500" s="4">
        <f>MAX(0,X500-MAX(0,Z500-SUM(Q500:W500)))</f>
        <v/>
      </c>
      <c r="AL500" s="4">
        <f>MAX(0,Y500-MAX(0,Z500-SUM(Q500:X500)))</f>
        <v/>
      </c>
    </row>
    <row r="501">
      <c r="A501" s="4" t="inlineStr">
        <is>
          <t>HASLS22260902290</t>
        </is>
      </c>
      <c r="B501" s="4" t="inlineStr">
        <is>
          <t>NSSJ</t>
        </is>
      </c>
      <c r="C501" s="4" t="inlineStr">
        <is>
          <t>2608S</t>
        </is>
      </c>
      <c r="D501" s="4" t="inlineStr">
        <is>
          <t>202610201630</t>
        </is>
      </c>
      <c r="E501" s="4" t="inlineStr"/>
      <c r="F501" s="4" t="inlineStr">
        <is>
          <t>THLCH</t>
        </is>
      </c>
      <c r="G501" s="4" t="inlineStr">
        <is>
          <t>IDJKT</t>
        </is>
      </c>
      <c r="H501" s="4" t="inlineStr">
        <is>
          <t xml:space="preserve">R40Hx1 </t>
        </is>
      </c>
      <c r="I501" s="4" t="inlineStr">
        <is>
          <t>LCH27</t>
        </is>
      </c>
      <c r="J501" s="4" t="inlineStr">
        <is>
          <t xml:space="preserve">HAST Logistics Co.,Ltd. </t>
        </is>
      </c>
      <c r="K501" s="4" t="inlineStr">
        <is>
          <t>20261012</t>
        </is>
      </c>
      <c r="L501" s="4" t="inlineStr">
        <is>
          <t>INTER FRESH CO., LTD.</t>
        </is>
      </c>
      <c r="M501" s="4" t="inlineStr">
        <is>
          <t>INTER FRESH CO., LTD.</t>
        </is>
      </c>
      <c r="N501" s="4" t="inlineStr">
        <is>
          <t xml:space="preserve">FRESH LONGAN (TEMP +2.0 / VENT 30%) </t>
        </is>
      </c>
      <c r="O501" s="4" t="inlineStr">
        <is>
          <t>(Temp +2.0℃ / Vent 30% Open)
Request for new container and We don't accept STAR COOL brand reefer containers.</t>
        </is>
      </c>
      <c r="P501" s="4" t="inlineStr">
        <is>
          <t>Pickup : 2026-10-12, Return : 2026-10-19 (Temp +2.0 / Vent 30% Open) 
Closing Time 2026-10-18 @ 23.59</t>
        </is>
      </c>
      <c r="Q501" s="4" t="n">
        <v>0</v>
      </c>
      <c r="R501" s="4" t="n">
        <v>0</v>
      </c>
      <c r="S501" s="4" t="n">
        <v>0</v>
      </c>
      <c r="T501" s="4" t="n">
        <v>0</v>
      </c>
      <c r="U501" s="4" t="n">
        <v>1</v>
      </c>
      <c r="V501" s="4" t="n">
        <v>0</v>
      </c>
      <c r="W501" s="4" t="n">
        <v>0</v>
      </c>
      <c r="X501" s="4" t="n">
        <v>0</v>
      </c>
      <c r="Y501" s="4" t="n">
        <v>0</v>
      </c>
      <c r="Z501" s="4" t="n">
        <v>0</v>
      </c>
      <c r="AA501" s="4" t="n">
        <v>0</v>
      </c>
      <c r="AB501" s="4">
        <f>SUM(Q501:Y501)-Z501</f>
        <v/>
      </c>
      <c r="AC501" s="4">
        <f>IF(I501="","",IF(OR(LEFT(I501,3)="BKK",I501="LCH55"),"BKK",IF(LEFT(I501,3)="LCH","LCH","OTHER")))</f>
        <v/>
      </c>
      <c r="AD501" s="4">
        <f>MAX(0,Q501-MAX(0,Z501))</f>
        <v/>
      </c>
      <c r="AE501" s="4">
        <f>MAX(0,R501-MAX(0,Z501-SUM(Q501:Q501)))</f>
        <v/>
      </c>
      <c r="AF501" s="4">
        <f>MAX(0,S501-MAX(0,Z501-SUM(Q501:R501)))</f>
        <v/>
      </c>
      <c r="AG501" s="4">
        <f>MAX(0,T501-MAX(0,Z501-SUM(Q501:S501)))</f>
        <v/>
      </c>
      <c r="AH501" s="4">
        <f>MAX(0,U501-MAX(0,Z501-SUM(Q501:T501)))</f>
        <v/>
      </c>
      <c r="AI501" s="4">
        <f>MAX(0,V501-MAX(0,Z501-SUM(Q501:U501)))</f>
        <v/>
      </c>
      <c r="AJ501" s="4">
        <f>MAX(0,W501-MAX(0,Z501-SUM(Q501:V501)))</f>
        <v/>
      </c>
      <c r="AK501" s="4">
        <f>MAX(0,X501-MAX(0,Z501-SUM(Q501:W501)))</f>
        <v/>
      </c>
      <c r="AL501" s="4">
        <f>MAX(0,Y501-MAX(0,Z501-SUM(Q501:X501)))</f>
        <v/>
      </c>
    </row>
    <row r="502">
      <c r="A502" s="4" t="inlineStr">
        <is>
          <t>HASLS22260902291</t>
        </is>
      </c>
      <c r="B502" s="4" t="inlineStr">
        <is>
          <t>NSSJ</t>
        </is>
      </c>
      <c r="C502" s="4" t="inlineStr">
        <is>
          <t>2608S</t>
        </is>
      </c>
      <c r="D502" s="4" t="inlineStr">
        <is>
          <t>202610201630</t>
        </is>
      </c>
      <c r="E502" s="4" t="inlineStr"/>
      <c r="F502" s="4" t="inlineStr">
        <is>
          <t>THLCH</t>
        </is>
      </c>
      <c r="G502" s="4" t="inlineStr">
        <is>
          <t>IDJKT</t>
        </is>
      </c>
      <c r="H502" s="4" t="inlineStr">
        <is>
          <t xml:space="preserve">R40Hx1 </t>
        </is>
      </c>
      <c r="I502" s="4" t="inlineStr">
        <is>
          <t>LCH27</t>
        </is>
      </c>
      <c r="J502" s="4" t="inlineStr">
        <is>
          <t xml:space="preserve">HAST Logistics Co.,Ltd. </t>
        </is>
      </c>
      <c r="K502" s="4" t="inlineStr">
        <is>
          <t>20261012</t>
        </is>
      </c>
      <c r="L502" s="4" t="inlineStr">
        <is>
          <t>INTER FRESH CO., LTD.</t>
        </is>
      </c>
      <c r="M502" s="4" t="inlineStr">
        <is>
          <t>INTER FRESH CO., LTD.</t>
        </is>
      </c>
      <c r="N502" s="4" t="inlineStr">
        <is>
          <t xml:space="preserve">FRESH LONGAN (TEMP +2.0 / VENT 30%) </t>
        </is>
      </c>
      <c r="O502" s="4" t="inlineStr">
        <is>
          <t>(Temp +2.0℃ / Vent 30% Open)Request for new container and We don't accept STAR COOL brand reefer containers.</t>
        </is>
      </c>
      <c r="P502" s="4" t="inlineStr">
        <is>
          <t>Pickup : 2026-10-12, Return : 2026-10-19  (Temp +2.0 / Vent 30% Open) 
Closing Time 2026-10-18 @ 23.59</t>
        </is>
      </c>
      <c r="Q502" s="4" t="n">
        <v>0</v>
      </c>
      <c r="R502" s="4" t="n">
        <v>0</v>
      </c>
      <c r="S502" s="4" t="n">
        <v>0</v>
      </c>
      <c r="T502" s="4" t="n">
        <v>0</v>
      </c>
      <c r="U502" s="4" t="n">
        <v>1</v>
      </c>
      <c r="V502" s="4" t="n">
        <v>0</v>
      </c>
      <c r="W502" s="4" t="n">
        <v>0</v>
      </c>
      <c r="X502" s="4" t="n">
        <v>0</v>
      </c>
      <c r="Y502" s="4" t="n">
        <v>0</v>
      </c>
      <c r="Z502" s="4" t="n">
        <v>0</v>
      </c>
      <c r="AA502" s="4" t="n">
        <v>0</v>
      </c>
      <c r="AB502" s="4">
        <f>SUM(Q502:Y502)-Z502</f>
        <v/>
      </c>
      <c r="AC502" s="4">
        <f>IF(I502="","",IF(OR(LEFT(I502,3)="BKK",I502="LCH55"),"BKK",IF(LEFT(I502,3)="LCH","LCH","OTHER")))</f>
        <v/>
      </c>
      <c r="AD502" s="4">
        <f>MAX(0,Q502-MAX(0,Z502))</f>
        <v/>
      </c>
      <c r="AE502" s="4">
        <f>MAX(0,R502-MAX(0,Z502-SUM(Q502:Q502)))</f>
        <v/>
      </c>
      <c r="AF502" s="4">
        <f>MAX(0,S502-MAX(0,Z502-SUM(Q502:R502)))</f>
        <v/>
      </c>
      <c r="AG502" s="4">
        <f>MAX(0,T502-MAX(0,Z502-SUM(Q502:S502)))</f>
        <v/>
      </c>
      <c r="AH502" s="4">
        <f>MAX(0,U502-MAX(0,Z502-SUM(Q502:T502)))</f>
        <v/>
      </c>
      <c r="AI502" s="4">
        <f>MAX(0,V502-MAX(0,Z502-SUM(Q502:U502)))</f>
        <v/>
      </c>
      <c r="AJ502" s="4">
        <f>MAX(0,W502-MAX(0,Z502-SUM(Q502:V502)))</f>
        <v/>
      </c>
      <c r="AK502" s="4">
        <f>MAX(0,X502-MAX(0,Z502-SUM(Q502:W502)))</f>
        <v/>
      </c>
      <c r="AL502" s="4">
        <f>MAX(0,Y502-MAX(0,Z502-SUM(Q502:X502)))</f>
        <v/>
      </c>
    </row>
    <row r="503">
      <c r="A503" s="4" t="inlineStr">
        <is>
          <t>HASLS22260902332</t>
        </is>
      </c>
      <c r="B503" s="4" t="inlineStr">
        <is>
          <t>SWMM</t>
        </is>
      </c>
      <c r="C503" s="4" t="inlineStr">
        <is>
          <t>2610N</t>
        </is>
      </c>
      <c r="D503" s="4" t="inlineStr">
        <is>
          <t>202610212100</t>
        </is>
      </c>
      <c r="E503" s="4" t="inlineStr"/>
      <c r="F503" s="4" t="inlineStr">
        <is>
          <t>THLCH</t>
        </is>
      </c>
      <c r="G503" s="4" t="inlineStr">
        <is>
          <t>JPTMK</t>
        </is>
      </c>
      <c r="H503" s="4" t="inlineStr">
        <is>
          <t xml:space="preserve">R40Hx1 </t>
        </is>
      </c>
      <c r="I503" s="4" t="inlineStr">
        <is>
          <t>LCH27</t>
        </is>
      </c>
      <c r="J503" s="4" t="inlineStr">
        <is>
          <t xml:space="preserve">HAST Logistics Co.,Ltd. </t>
        </is>
      </c>
      <c r="K503" s="4" t="inlineStr">
        <is>
          <t>20261015</t>
        </is>
      </c>
      <c r="L503" s="4" t="inlineStr">
        <is>
          <t>LOGMAN INTERNATIONAL CO., LTD.</t>
        </is>
      </c>
      <c r="M503" s="4" t="inlineStr">
        <is>
          <t>THAI NIPPON FOODS CO. , LTD.</t>
        </is>
      </c>
      <c r="N503" s="4" t="inlineStr">
        <is>
          <t>FROZEN CHICKEN</t>
        </is>
      </c>
      <c r="O503" s="4" t="inlineStr">
        <is>
          <t>(Temp -20.0℃ / Vent Close) REQ: NEW AND CLEAN CONTAINER NO SEAFOOD AND GARLIC</t>
        </is>
      </c>
      <c r="P503" s="4" t="inlineStr">
        <is>
          <t>Pickup : 2026-10-15, Return : 2026-10-17 (Temp -20.0 / Vent Close) 
CLS TIME 18/10/26 @18.00</t>
        </is>
      </c>
      <c r="Q503" s="4" t="n">
        <v>0</v>
      </c>
      <c r="R503" s="4" t="n">
        <v>0</v>
      </c>
      <c r="S503" s="4" t="n">
        <v>0</v>
      </c>
      <c r="T503" s="4" t="n">
        <v>0</v>
      </c>
      <c r="U503" s="4" t="n">
        <v>1</v>
      </c>
      <c r="V503" s="4" t="n">
        <v>0</v>
      </c>
      <c r="W503" s="4" t="n">
        <v>0</v>
      </c>
      <c r="X503" s="4" t="n">
        <v>0</v>
      </c>
      <c r="Y503" s="4" t="n">
        <v>0</v>
      </c>
      <c r="Z503" s="4" t="n">
        <v>0</v>
      </c>
      <c r="AA503" s="4" t="n">
        <v>0</v>
      </c>
      <c r="AB503" s="4">
        <f>SUM(Q503:Y503)-Z503</f>
        <v/>
      </c>
      <c r="AC503" s="4">
        <f>IF(I503="","",IF(OR(LEFT(I503,3)="BKK",I503="LCH55"),"BKK",IF(LEFT(I503,3)="LCH","LCH","OTHER")))</f>
        <v/>
      </c>
      <c r="AD503" s="4">
        <f>MAX(0,Q503-MAX(0,Z503))</f>
        <v/>
      </c>
      <c r="AE503" s="4">
        <f>MAX(0,R503-MAX(0,Z503-SUM(Q503:Q503)))</f>
        <v/>
      </c>
      <c r="AF503" s="4">
        <f>MAX(0,S503-MAX(0,Z503-SUM(Q503:R503)))</f>
        <v/>
      </c>
      <c r="AG503" s="4">
        <f>MAX(0,T503-MAX(0,Z503-SUM(Q503:S503)))</f>
        <v/>
      </c>
      <c r="AH503" s="4">
        <f>MAX(0,U503-MAX(0,Z503-SUM(Q503:T503)))</f>
        <v/>
      </c>
      <c r="AI503" s="4">
        <f>MAX(0,V503-MAX(0,Z503-SUM(Q503:U503)))</f>
        <v/>
      </c>
      <c r="AJ503" s="4">
        <f>MAX(0,W503-MAX(0,Z503-SUM(Q503:V503)))</f>
        <v/>
      </c>
      <c r="AK503" s="4">
        <f>MAX(0,X503-MAX(0,Z503-SUM(Q503:W503)))</f>
        <v/>
      </c>
      <c r="AL503" s="4">
        <f>MAX(0,Y503-MAX(0,Z503-SUM(Q503:X503)))</f>
        <v/>
      </c>
    </row>
    <row r="504">
      <c r="A504" s="4" t="inlineStr">
        <is>
          <t>HASLS22260902395</t>
        </is>
      </c>
      <c r="B504" s="4" t="inlineStr">
        <is>
          <t>SWRG</t>
        </is>
      </c>
      <c r="C504" s="4" t="inlineStr">
        <is>
          <t>2609N</t>
        </is>
      </c>
      <c r="D504" s="4" t="inlineStr">
        <is>
          <t>202610131130</t>
        </is>
      </c>
      <c r="E504" s="4" t="inlineStr"/>
      <c r="F504" s="4" t="inlineStr">
        <is>
          <t>THLCH</t>
        </is>
      </c>
      <c r="G504" s="4" t="inlineStr">
        <is>
          <t>RUVVO</t>
        </is>
      </c>
      <c r="H504" s="4" t="inlineStr">
        <is>
          <t xml:space="preserve">R40Hx1 </t>
        </is>
      </c>
      <c r="I504" s="4" t="inlineStr">
        <is>
          <t>LCH27</t>
        </is>
      </c>
      <c r="J504" s="4" t="inlineStr">
        <is>
          <t xml:space="preserve">HAST Logistics Co.,Ltd. </t>
        </is>
      </c>
      <c r="K504" s="4" t="inlineStr">
        <is>
          <t>20261006</t>
        </is>
      </c>
      <c r="L504" s="4" t="inlineStr">
        <is>
          <t>EXOTIC FOOD PUBLIC COMPANY LIMITED</t>
        </is>
      </c>
      <c r="M504" s="4" t="inlineStr">
        <is>
          <t>EXOTIC FOOD PUBLIC COMPANY LIMITED</t>
        </is>
      </c>
      <c r="N504" s="4" t="inlineStr">
        <is>
          <t>SAUCES</t>
        </is>
      </c>
      <c r="O504" s="4" t="inlineStr">
        <is>
          <t>(TEMP  +18' C / VENT CLOSE)</t>
        </is>
      </c>
      <c r="P504" s="4" t="inlineStr">
        <is>
          <t>CY-RTN :06-08/10/2026 (TEMP  +18' C / VENT CLOSE)
CLS TIME DD.10/10/2026 @ 23.59 *1ST RETURN CNTR DD.09/10/2026 WITHOUT CHARGE*</t>
        </is>
      </c>
      <c r="Q504" s="4" t="n">
        <v>0</v>
      </c>
      <c r="R504" s="4" t="n">
        <v>0</v>
      </c>
      <c r="S504" s="4" t="n">
        <v>0</v>
      </c>
      <c r="T504" s="4" t="n">
        <v>0</v>
      </c>
      <c r="U504" s="4" t="n">
        <v>1</v>
      </c>
      <c r="V504" s="4" t="n">
        <v>0</v>
      </c>
      <c r="W504" s="4" t="n">
        <v>0</v>
      </c>
      <c r="X504" s="4" t="n">
        <v>0</v>
      </c>
      <c r="Y504" s="4" t="n">
        <v>0</v>
      </c>
      <c r="Z504" s="4" t="n">
        <v>0</v>
      </c>
      <c r="AA504" s="4" t="n">
        <v>0</v>
      </c>
      <c r="AB504" s="4">
        <f>SUM(Q504:Y504)-Z504</f>
        <v/>
      </c>
      <c r="AC504" s="4">
        <f>IF(I504="","",IF(OR(LEFT(I504,3)="BKK",I504="LCH55"),"BKK",IF(LEFT(I504,3)="LCH","LCH","OTHER")))</f>
        <v/>
      </c>
      <c r="AD504" s="4">
        <f>MAX(0,Q504-MAX(0,Z504))</f>
        <v/>
      </c>
      <c r="AE504" s="4">
        <f>MAX(0,R504-MAX(0,Z504-SUM(Q504:Q504)))</f>
        <v/>
      </c>
      <c r="AF504" s="4">
        <f>MAX(0,S504-MAX(0,Z504-SUM(Q504:R504)))</f>
        <v/>
      </c>
      <c r="AG504" s="4">
        <f>MAX(0,T504-MAX(0,Z504-SUM(Q504:S504)))</f>
        <v/>
      </c>
      <c r="AH504" s="4">
        <f>MAX(0,U504-MAX(0,Z504-SUM(Q504:T504)))</f>
        <v/>
      </c>
      <c r="AI504" s="4">
        <f>MAX(0,V504-MAX(0,Z504-SUM(Q504:U504)))</f>
        <v/>
      </c>
      <c r="AJ504" s="4">
        <f>MAX(0,W504-MAX(0,Z504-SUM(Q504:V504)))</f>
        <v/>
      </c>
      <c r="AK504" s="4">
        <f>MAX(0,X504-MAX(0,Z504-SUM(Q504:W504)))</f>
        <v/>
      </c>
      <c r="AL504" s="4">
        <f>MAX(0,Y504-MAX(0,Z504-SUM(Q504:X504)))</f>
        <v/>
      </c>
    </row>
    <row r="505">
      <c r="A505" s="4" t="inlineStr">
        <is>
          <t>HASLS22260902421</t>
        </is>
      </c>
      <c r="B505" s="4" t="inlineStr">
        <is>
          <t>SWSP</t>
        </is>
      </c>
      <c r="C505" s="4" t="inlineStr">
        <is>
          <t>2609N</t>
        </is>
      </c>
      <c r="D505" s="4" t="inlineStr">
        <is>
          <t>202610080830</t>
        </is>
      </c>
      <c r="E505" s="4" t="inlineStr"/>
      <c r="F505" s="4" t="inlineStr">
        <is>
          <t>THLCH</t>
        </is>
      </c>
      <c r="G505" s="4" t="inlineStr">
        <is>
          <t>RUVVO</t>
        </is>
      </c>
      <c r="H505" s="4" t="inlineStr">
        <is>
          <t xml:space="preserve">R40Hx1 </t>
        </is>
      </c>
      <c r="I505" s="4" t="inlineStr">
        <is>
          <t>LCH27</t>
        </is>
      </c>
      <c r="J505" s="4" t="inlineStr">
        <is>
          <t xml:space="preserve">HAST Logistics Co.,Ltd. </t>
        </is>
      </c>
      <c r="K505" s="4" t="inlineStr">
        <is>
          <t>20261001</t>
        </is>
      </c>
      <c r="L505" s="4" t="inlineStr">
        <is>
          <t>EXOTIC FOOD PUBLIC COMPANY LIMITED</t>
        </is>
      </c>
      <c r="M505" s="4" t="inlineStr">
        <is>
          <t>EXOTIC FOOD PUBLIC COMPANY LIMITED</t>
        </is>
      </c>
      <c r="N505" s="4" t="inlineStr">
        <is>
          <t>SAUCES</t>
        </is>
      </c>
      <c r="O505" s="4" t="inlineStr">
        <is>
          <t>(TEMP  +18' C / VENT CLOSE) Container Food Graded</t>
        </is>
      </c>
      <c r="P505" s="4" t="inlineStr">
        <is>
          <t>CY-RTN :01-03/10/2026 (TEMP  +18' C / VENT CLOSE)
CLS TIME 05/10/26 @12.00 (1ST DATE RTN 04/10/2026 W/O RENT,ELECTRIC)</t>
        </is>
      </c>
      <c r="Q505" s="4" t="n">
        <v>0</v>
      </c>
      <c r="R505" s="4" t="n">
        <v>0</v>
      </c>
      <c r="S505" s="4" t="n">
        <v>0</v>
      </c>
      <c r="T505" s="4" t="n">
        <v>0</v>
      </c>
      <c r="U505" s="4" t="n">
        <v>1</v>
      </c>
      <c r="V505" s="4" t="n">
        <v>0</v>
      </c>
      <c r="W505" s="4" t="n">
        <v>0</v>
      </c>
      <c r="X505" s="4" t="n">
        <v>0</v>
      </c>
      <c r="Y505" s="4" t="n">
        <v>0</v>
      </c>
      <c r="Z505" s="4" t="n">
        <v>0</v>
      </c>
      <c r="AA505" s="4" t="n">
        <v>0</v>
      </c>
      <c r="AB505" s="4">
        <f>SUM(Q505:Y505)-Z505</f>
        <v/>
      </c>
      <c r="AC505" s="4">
        <f>IF(I505="","",IF(OR(LEFT(I505,3)="BKK",I505="LCH55"),"BKK",IF(LEFT(I505,3)="LCH","LCH","OTHER")))</f>
        <v/>
      </c>
      <c r="AD505" s="4">
        <f>MAX(0,Q505-MAX(0,Z505))</f>
        <v/>
      </c>
      <c r="AE505" s="4">
        <f>MAX(0,R505-MAX(0,Z505-SUM(Q505:Q505)))</f>
        <v/>
      </c>
      <c r="AF505" s="4">
        <f>MAX(0,S505-MAX(0,Z505-SUM(Q505:R505)))</f>
        <v/>
      </c>
      <c r="AG505" s="4">
        <f>MAX(0,T505-MAX(0,Z505-SUM(Q505:S505)))</f>
        <v/>
      </c>
      <c r="AH505" s="4">
        <f>MAX(0,U505-MAX(0,Z505-SUM(Q505:T505)))</f>
        <v/>
      </c>
      <c r="AI505" s="4">
        <f>MAX(0,V505-MAX(0,Z505-SUM(Q505:U505)))</f>
        <v/>
      </c>
      <c r="AJ505" s="4">
        <f>MAX(0,W505-MAX(0,Z505-SUM(Q505:V505)))</f>
        <v/>
      </c>
      <c r="AK505" s="4">
        <f>MAX(0,X505-MAX(0,Z505-SUM(Q505:W505)))</f>
        <v/>
      </c>
      <c r="AL505" s="4">
        <f>MAX(0,Y505-MAX(0,Z505-SUM(Q505:X505)))</f>
        <v/>
      </c>
    </row>
    <row r="506">
      <c r="A506" s="4" t="inlineStr">
        <is>
          <t>HASLS22260902458</t>
        </is>
      </c>
      <c r="B506" s="4" t="inlineStr">
        <is>
          <t>KMBK</t>
        </is>
      </c>
      <c r="C506" s="4" t="inlineStr">
        <is>
          <t>2611N</t>
        </is>
      </c>
      <c r="D506" s="4" t="inlineStr">
        <is>
          <t>202610040100</t>
        </is>
      </c>
      <c r="E506" s="4" t="inlineStr"/>
      <c r="F506" s="4" t="inlineStr">
        <is>
          <t>THLCH</t>
        </is>
      </c>
      <c r="G506" s="4" t="inlineStr">
        <is>
          <t>RUVVO</t>
        </is>
      </c>
      <c r="H506" s="4" t="inlineStr">
        <is>
          <t xml:space="preserve">R40Hx2 </t>
        </is>
      </c>
      <c r="I506" s="4" t="inlineStr">
        <is>
          <t>LCH27</t>
        </is>
      </c>
      <c r="J506" s="4" t="inlineStr">
        <is>
          <t xml:space="preserve">HAST Logistics Co.,Ltd. </t>
        </is>
      </c>
      <c r="K506" s="4" t="inlineStr">
        <is>
          <t>20260929</t>
        </is>
      </c>
      <c r="L506" s="4" t="inlineStr">
        <is>
          <t>VENTE TRADE CO.,LTD.</t>
        </is>
      </c>
      <c r="M506" s="4" t="inlineStr">
        <is>
          <t>VENTE TRADE CO.,LTD.</t>
        </is>
      </c>
      <c r="N506" s="4" t="inlineStr">
        <is>
          <t>CANNED FRUIT</t>
        </is>
      </c>
      <c r="O506" s="4" t="inlineStr">
        <is>
          <t>(TEMP : +10'C / VENT CLOSE)</t>
        </is>
      </c>
      <c r="P506" s="4" t="inlineStr">
        <is>
          <t xml:space="preserve">[FIX]CY-RTN :30-02/10/2026 (TEMP : +10'C / VENT CLOSE)
CLS TIME DD.03/10/2026 @ 12.00 *1ST RETURN CNTR DD.02/10/2026 WITHOUT CHARGE*
ORDER : GT-744673, GT-756813  </t>
        </is>
      </c>
      <c r="Q506" s="4" t="n">
        <v>0</v>
      </c>
      <c r="R506" s="4" t="n">
        <v>0</v>
      </c>
      <c r="S506" s="4" t="n">
        <v>0</v>
      </c>
      <c r="T506" s="4" t="n">
        <v>0</v>
      </c>
      <c r="U506" s="4" t="n">
        <v>2</v>
      </c>
      <c r="V506" s="4" t="n">
        <v>0</v>
      </c>
      <c r="W506" s="4" t="n">
        <v>0</v>
      </c>
      <c r="X506" s="4" t="n">
        <v>0</v>
      </c>
      <c r="Y506" s="4" t="n">
        <v>0</v>
      </c>
      <c r="Z506" s="4" t="n">
        <v>0</v>
      </c>
      <c r="AA506" s="4" t="n">
        <v>0</v>
      </c>
      <c r="AB506" s="4">
        <f>SUM(Q506:Y506)-Z506</f>
        <v/>
      </c>
      <c r="AC506" s="4">
        <f>IF(I506="","",IF(OR(LEFT(I506,3)="BKK",I506="LCH55"),"BKK",IF(LEFT(I506,3)="LCH","LCH","OTHER")))</f>
        <v/>
      </c>
      <c r="AD506" s="4">
        <f>MAX(0,Q506-MAX(0,Z506))</f>
        <v/>
      </c>
      <c r="AE506" s="4">
        <f>MAX(0,R506-MAX(0,Z506-SUM(Q506:Q506)))</f>
        <v/>
      </c>
      <c r="AF506" s="4">
        <f>MAX(0,S506-MAX(0,Z506-SUM(Q506:R506)))</f>
        <v/>
      </c>
      <c r="AG506" s="4">
        <f>MAX(0,T506-MAX(0,Z506-SUM(Q506:S506)))</f>
        <v/>
      </c>
      <c r="AH506" s="4">
        <f>MAX(0,U506-MAX(0,Z506-SUM(Q506:T506)))</f>
        <v/>
      </c>
      <c r="AI506" s="4">
        <f>MAX(0,V506-MAX(0,Z506-SUM(Q506:U506)))</f>
        <v/>
      </c>
      <c r="AJ506" s="4">
        <f>MAX(0,W506-MAX(0,Z506-SUM(Q506:V506)))</f>
        <v/>
      </c>
      <c r="AK506" s="4">
        <f>MAX(0,X506-MAX(0,Z506-SUM(Q506:W506)))</f>
        <v/>
      </c>
      <c r="AL506" s="4">
        <f>MAX(0,Y506-MAX(0,Z506-SUM(Q506:X506)))</f>
        <v/>
      </c>
    </row>
    <row r="507">
      <c r="A507" s="4" t="inlineStr">
        <is>
          <t>HASLS22260902461</t>
        </is>
      </c>
      <c r="B507" s="4" t="inlineStr">
        <is>
          <t>PCCP</t>
        </is>
      </c>
      <c r="C507" s="4" t="inlineStr">
        <is>
          <t>2610N</t>
        </is>
      </c>
      <c r="D507" s="4" t="inlineStr">
        <is>
          <t>202610120600</t>
        </is>
      </c>
      <c r="E507" s="4" t="inlineStr"/>
      <c r="F507" s="4" t="inlineStr">
        <is>
          <t>THLCH</t>
        </is>
      </c>
      <c r="G507" s="4" t="inlineStr">
        <is>
          <t>VNSGN</t>
        </is>
      </c>
      <c r="H507" s="4" t="inlineStr">
        <is>
          <t xml:space="preserve">20'x14 </t>
        </is>
      </c>
      <c r="I507" s="4" t="inlineStr">
        <is>
          <t>LCH27</t>
        </is>
      </c>
      <c r="J507" s="4" t="inlineStr">
        <is>
          <t xml:space="preserve">HAST Logistics Co.,Ltd. </t>
        </is>
      </c>
      <c r="K507" s="4" t="inlineStr">
        <is>
          <t>20260923</t>
        </is>
      </c>
      <c r="L507" s="4" t="inlineStr">
        <is>
          <t>WHA GC LOGISTICS COMPANY LIMITED</t>
        </is>
      </c>
      <c r="M507" s="4" t="inlineStr">
        <is>
          <t>PTT GLOBAL CHEMICAL PUBLIC COMPANY LIMITED</t>
        </is>
      </c>
      <c r="N507" s="4" t="inlineStr">
        <is>
          <t>RESIN</t>
        </is>
      </c>
      <c r="O507" s="4" t="inlineStr">
        <is>
          <t>GOOD AND CLEAN CTNR</t>
        </is>
      </c>
      <c r="P507" s="4" t="inlineStr">
        <is>
          <t xml:space="preserve">CY-RTN 23-26/09/26 / FIRST DATE CAN RETURN CNTR DD.05/10 
**CHECK OPEN GATE BEFORE RETURN CNTR **
</t>
        </is>
      </c>
      <c r="Q507" s="4" t="n">
        <v>14</v>
      </c>
      <c r="R507" s="4" t="n">
        <v>0</v>
      </c>
      <c r="S507" s="4" t="n">
        <v>0</v>
      </c>
      <c r="T507" s="4" t="n">
        <v>0</v>
      </c>
      <c r="U507" s="4" t="n">
        <v>0</v>
      </c>
      <c r="V507" s="4" t="n">
        <v>0</v>
      </c>
      <c r="W507" s="4" t="n">
        <v>0</v>
      </c>
      <c r="X507" s="4" t="n">
        <v>0</v>
      </c>
      <c r="Y507" s="4" t="n">
        <v>0</v>
      </c>
      <c r="Z507" s="4" t="n">
        <v>0</v>
      </c>
      <c r="AA507" s="4" t="n">
        <v>0</v>
      </c>
      <c r="AB507" s="4">
        <f>SUM(Q507:Y507)-Z507</f>
        <v/>
      </c>
      <c r="AC507" s="4">
        <f>IF(I507="","",IF(OR(LEFT(I507,3)="BKK",I507="LCH55"),"BKK",IF(LEFT(I507,3)="LCH","LCH","OTHER")))</f>
        <v/>
      </c>
      <c r="AD507" s="4">
        <f>MAX(0,Q507-MAX(0,Z507))</f>
        <v/>
      </c>
      <c r="AE507" s="4">
        <f>MAX(0,R507-MAX(0,Z507-SUM(Q507:Q507)))</f>
        <v/>
      </c>
      <c r="AF507" s="4">
        <f>MAX(0,S507-MAX(0,Z507-SUM(Q507:R507)))</f>
        <v/>
      </c>
      <c r="AG507" s="4">
        <f>MAX(0,T507-MAX(0,Z507-SUM(Q507:S507)))</f>
        <v/>
      </c>
      <c r="AH507" s="4">
        <f>MAX(0,U507-MAX(0,Z507-SUM(Q507:T507)))</f>
        <v/>
      </c>
      <c r="AI507" s="4">
        <f>MAX(0,V507-MAX(0,Z507-SUM(Q507:U507)))</f>
        <v/>
      </c>
      <c r="AJ507" s="4">
        <f>MAX(0,W507-MAX(0,Z507-SUM(Q507:V507)))</f>
        <v/>
      </c>
      <c r="AK507" s="4">
        <f>MAX(0,X507-MAX(0,Z507-SUM(Q507:W507)))</f>
        <v/>
      </c>
      <c r="AL507" s="4">
        <f>MAX(0,Y507-MAX(0,Z507-SUM(Q507:X507)))</f>
        <v/>
      </c>
    </row>
    <row r="508">
      <c r="A508" s="4" t="inlineStr">
        <is>
          <t>HASLS22260902462</t>
        </is>
      </c>
      <c r="B508" s="4" t="inlineStr">
        <is>
          <t>KMBK</t>
        </is>
      </c>
      <c r="C508" s="4" t="inlineStr">
        <is>
          <t>2611N</t>
        </is>
      </c>
      <c r="D508" s="4" t="inlineStr">
        <is>
          <t>202610040100</t>
        </is>
      </c>
      <c r="E508" s="4" t="inlineStr"/>
      <c r="F508" s="4" t="inlineStr">
        <is>
          <t>THLCH</t>
        </is>
      </c>
      <c r="G508" s="4" t="inlineStr">
        <is>
          <t>VNSGN</t>
        </is>
      </c>
      <c r="H508" s="4" t="inlineStr">
        <is>
          <t xml:space="preserve">40Hx3 </t>
        </is>
      </c>
      <c r="I508" s="4" t="inlineStr">
        <is>
          <t>LCH27</t>
        </is>
      </c>
      <c r="J508" s="4" t="inlineStr">
        <is>
          <t xml:space="preserve">HAST Logistics Co.,Ltd. </t>
        </is>
      </c>
      <c r="K508" s="4" t="inlineStr">
        <is>
          <t>20260930</t>
        </is>
      </c>
      <c r="L508" s="4" t="inlineStr">
        <is>
          <t>TOSHIBA LOGISTICS (THAILAND) CO., LTD.</t>
        </is>
      </c>
      <c r="M508" s="4" t="inlineStr">
        <is>
          <t>MIDEA REFRIGERATION EQUIPMENT (THAILAND) CO., LTD.</t>
        </is>
      </c>
      <c r="N508" s="4" t="inlineStr">
        <is>
          <t>WASHING MACHINE</t>
        </is>
      </c>
      <c r="O508" s="4" t="inlineStr">
        <is>
          <t>GOOD AND CLEAN CONTAINER</t>
        </is>
      </c>
      <c r="P508" s="4" t="inlineStr">
        <is>
          <t xml:space="preserve">Pickup : 2026-09-30, Return : 2026-10-01 
 ** PLEASE CHECK OPEN GATE BEFORE RETURN CNTR **
</t>
        </is>
      </c>
      <c r="Q508" s="4" t="n">
        <v>0</v>
      </c>
      <c r="R508" s="4" t="n">
        <v>0</v>
      </c>
      <c r="S508" s="4" t="n">
        <v>3</v>
      </c>
      <c r="T508" s="4" t="n">
        <v>0</v>
      </c>
      <c r="U508" s="4" t="n">
        <v>0</v>
      </c>
      <c r="V508" s="4" t="n">
        <v>0</v>
      </c>
      <c r="W508" s="4" t="n">
        <v>0</v>
      </c>
      <c r="X508" s="4" t="n">
        <v>0</v>
      </c>
      <c r="Y508" s="4" t="n">
        <v>0</v>
      </c>
      <c r="Z508" s="4" t="n">
        <v>0</v>
      </c>
      <c r="AA508" s="4" t="n">
        <v>0</v>
      </c>
      <c r="AB508" s="4">
        <f>SUM(Q508:Y508)-Z508</f>
        <v/>
      </c>
      <c r="AC508" s="4">
        <f>IF(I508="","",IF(OR(LEFT(I508,3)="BKK",I508="LCH55"),"BKK",IF(LEFT(I508,3)="LCH","LCH","OTHER")))</f>
        <v/>
      </c>
      <c r="AD508" s="4">
        <f>MAX(0,Q508-MAX(0,Z508))</f>
        <v/>
      </c>
      <c r="AE508" s="4">
        <f>MAX(0,R508-MAX(0,Z508-SUM(Q508:Q508)))</f>
        <v/>
      </c>
      <c r="AF508" s="4">
        <f>MAX(0,S508-MAX(0,Z508-SUM(Q508:R508)))</f>
        <v/>
      </c>
      <c r="AG508" s="4">
        <f>MAX(0,T508-MAX(0,Z508-SUM(Q508:S508)))</f>
        <v/>
      </c>
      <c r="AH508" s="4">
        <f>MAX(0,U508-MAX(0,Z508-SUM(Q508:T508)))</f>
        <v/>
      </c>
      <c r="AI508" s="4">
        <f>MAX(0,V508-MAX(0,Z508-SUM(Q508:U508)))</f>
        <v/>
      </c>
      <c r="AJ508" s="4">
        <f>MAX(0,W508-MAX(0,Z508-SUM(Q508:V508)))</f>
        <v/>
      </c>
      <c r="AK508" s="4">
        <f>MAX(0,X508-MAX(0,Z508-SUM(Q508:W508)))</f>
        <v/>
      </c>
      <c r="AL508" s="4">
        <f>MAX(0,Y508-MAX(0,Z508-SUM(Q508:X508)))</f>
        <v/>
      </c>
    </row>
    <row r="509">
      <c r="A509" s="4" t="inlineStr">
        <is>
          <t>HASLS22260902506</t>
        </is>
      </c>
      <c r="B509" s="4" t="inlineStr">
        <is>
          <t>SWDN</t>
        </is>
      </c>
      <c r="C509" s="4" t="inlineStr">
        <is>
          <t>2610N</t>
        </is>
      </c>
      <c r="D509" s="4" t="inlineStr">
        <is>
          <t>202610070300</t>
        </is>
      </c>
      <c r="E509" s="4" t="inlineStr"/>
      <c r="F509" s="4" t="inlineStr">
        <is>
          <t>THLCH</t>
        </is>
      </c>
      <c r="G509" s="4" t="inlineStr">
        <is>
          <t>HKHKG</t>
        </is>
      </c>
      <c r="H509" s="4" t="inlineStr">
        <is>
          <t xml:space="preserve">40Hx1 </t>
        </is>
      </c>
      <c r="I509" s="4" t="inlineStr">
        <is>
          <t>LCH27</t>
        </is>
      </c>
      <c r="J509" s="4" t="inlineStr">
        <is>
          <t xml:space="preserve">HAST Logistics Co.,Ltd. </t>
        </is>
      </c>
      <c r="K509" s="4" t="inlineStr">
        <is>
          <t>20261002</t>
        </is>
      </c>
      <c r="L509" s="4" t="inlineStr">
        <is>
          <t>NIPPON EXPRESS LOGISTICS (THAILAND) CO., LTD.</t>
        </is>
      </c>
      <c r="M509" s="4" t="inlineStr">
        <is>
          <t>EAS AUTOMOTIVE LTD.</t>
        </is>
      </c>
      <c r="N509" s="4" t="inlineStr">
        <is>
          <t>BALL BEARING</t>
        </is>
      </c>
      <c r="O509" s="4" t="inlineStr">
        <is>
          <t>GOOD AND CLEAN CONTAINER</t>
        </is>
      </c>
      <c r="P509" s="4" t="inlineStr">
        <is>
          <t xml:space="preserve">Pickup : 2026-10-02, Return : 2026-10-02 (1ST RTN 03/10 W/O RENT) 
 ** PLEASE CHECK OPEN GATE BEFORE RETURN CNTR **
</t>
        </is>
      </c>
      <c r="Q509" s="4" t="n">
        <v>0</v>
      </c>
      <c r="R509" s="4" t="n">
        <v>0</v>
      </c>
      <c r="S509" s="4" t="n">
        <v>1</v>
      </c>
      <c r="T509" s="4" t="n">
        <v>0</v>
      </c>
      <c r="U509" s="4" t="n">
        <v>0</v>
      </c>
      <c r="V509" s="4" t="n">
        <v>0</v>
      </c>
      <c r="W509" s="4" t="n">
        <v>0</v>
      </c>
      <c r="X509" s="4" t="n">
        <v>0</v>
      </c>
      <c r="Y509" s="4" t="n">
        <v>0</v>
      </c>
      <c r="Z509" s="4" t="n">
        <v>0</v>
      </c>
      <c r="AA509" s="4" t="n">
        <v>0</v>
      </c>
      <c r="AB509" s="4">
        <f>SUM(Q509:Y509)-Z509</f>
        <v/>
      </c>
      <c r="AC509" s="4">
        <f>IF(I509="","",IF(OR(LEFT(I509,3)="BKK",I509="LCH55"),"BKK",IF(LEFT(I509,3)="LCH","LCH","OTHER")))</f>
        <v/>
      </c>
      <c r="AD509" s="4">
        <f>MAX(0,Q509-MAX(0,Z509))</f>
        <v/>
      </c>
      <c r="AE509" s="4">
        <f>MAX(0,R509-MAX(0,Z509-SUM(Q509:Q509)))</f>
        <v/>
      </c>
      <c r="AF509" s="4">
        <f>MAX(0,S509-MAX(0,Z509-SUM(Q509:R509)))</f>
        <v/>
      </c>
      <c r="AG509" s="4">
        <f>MAX(0,T509-MAX(0,Z509-SUM(Q509:S509)))</f>
        <v/>
      </c>
      <c r="AH509" s="4">
        <f>MAX(0,U509-MAX(0,Z509-SUM(Q509:T509)))</f>
        <v/>
      </c>
      <c r="AI509" s="4">
        <f>MAX(0,V509-MAX(0,Z509-SUM(Q509:U509)))</f>
        <v/>
      </c>
      <c r="AJ509" s="4">
        <f>MAX(0,W509-MAX(0,Z509-SUM(Q509:V509)))</f>
        <v/>
      </c>
      <c r="AK509" s="4">
        <f>MAX(0,X509-MAX(0,Z509-SUM(Q509:W509)))</f>
        <v/>
      </c>
      <c r="AL509" s="4">
        <f>MAX(0,Y509-MAX(0,Z509-SUM(Q509:X509)))</f>
        <v/>
      </c>
    </row>
    <row r="510">
      <c r="A510" s="4" t="inlineStr">
        <is>
          <t>HASLS22260902538</t>
        </is>
      </c>
      <c r="B510" s="4" t="inlineStr">
        <is>
          <t>SWAT</t>
        </is>
      </c>
      <c r="C510" s="4" t="inlineStr">
        <is>
          <t>2610N</t>
        </is>
      </c>
      <c r="D510" s="4" t="inlineStr">
        <is>
          <t>202610081000</t>
        </is>
      </c>
      <c r="E510" s="4" t="inlineStr"/>
      <c r="F510" s="4" t="inlineStr">
        <is>
          <t>THLCH</t>
        </is>
      </c>
      <c r="G510" s="4" t="inlineStr">
        <is>
          <t>KRPUS</t>
        </is>
      </c>
      <c r="H510" s="4" t="inlineStr">
        <is>
          <t xml:space="preserve">R40Hx1 </t>
        </is>
      </c>
      <c r="I510" s="4" t="inlineStr">
        <is>
          <t>LCH27</t>
        </is>
      </c>
      <c r="J510" s="4" t="inlineStr">
        <is>
          <t xml:space="preserve">HAST Logistics Co.,Ltd. </t>
        </is>
      </c>
      <c r="K510" s="4" t="inlineStr">
        <is>
          <t>20261003</t>
        </is>
      </c>
      <c r="L510" s="4" t="inlineStr">
        <is>
          <t>LAND SEA SKY CO., LTD.</t>
        </is>
      </c>
      <c r="M510" s="4" t="inlineStr">
        <is>
          <t>SAHA FARMS  INTERNATIONAL CO LTD</t>
        </is>
      </c>
      <c r="N510" s="4" t="inlineStr">
        <is>
          <t>FROZEN CHICKEN COOK</t>
        </is>
      </c>
      <c r="O510" s="4" t="inlineStr">
        <is>
          <t>RF45REx1 (Temp -18.0℃ / Vent Close)</t>
        </is>
      </c>
      <c r="P510" s="4" t="inlineStr">
        <is>
          <t xml:space="preserve">Pickup : 2026-10-03, Return : 2026-10-06 (Temp -18.0 / Vent Close)
 CLS TIME 07/10 @20.00 [1ST RTN 06/10 W/O RENT &amp; ELECTRIC] 
 </t>
        </is>
      </c>
      <c r="Q510" s="4" t="n">
        <v>0</v>
      </c>
      <c r="R510" s="4" t="n">
        <v>0</v>
      </c>
      <c r="S510" s="4" t="n">
        <v>0</v>
      </c>
      <c r="T510" s="4" t="n">
        <v>0</v>
      </c>
      <c r="U510" s="4" t="n">
        <v>1</v>
      </c>
      <c r="V510" s="4" t="n">
        <v>0</v>
      </c>
      <c r="W510" s="4" t="n">
        <v>0</v>
      </c>
      <c r="X510" s="4" t="n">
        <v>0</v>
      </c>
      <c r="Y510" s="4" t="n">
        <v>0</v>
      </c>
      <c r="Z510" s="4" t="n">
        <v>0</v>
      </c>
      <c r="AA510" s="4" t="n">
        <v>0</v>
      </c>
      <c r="AB510" s="4">
        <f>SUM(Q510:Y510)-Z510</f>
        <v/>
      </c>
      <c r="AC510" s="4">
        <f>IF(I510="","",IF(OR(LEFT(I510,3)="BKK",I510="LCH55"),"BKK",IF(LEFT(I510,3)="LCH","LCH","OTHER")))</f>
        <v/>
      </c>
      <c r="AD510" s="4">
        <f>MAX(0,Q510-MAX(0,Z510))</f>
        <v/>
      </c>
      <c r="AE510" s="4">
        <f>MAX(0,R510-MAX(0,Z510-SUM(Q510:Q510)))</f>
        <v/>
      </c>
      <c r="AF510" s="4">
        <f>MAX(0,S510-MAX(0,Z510-SUM(Q510:R510)))</f>
        <v/>
      </c>
      <c r="AG510" s="4">
        <f>MAX(0,T510-MAX(0,Z510-SUM(Q510:S510)))</f>
        <v/>
      </c>
      <c r="AH510" s="4">
        <f>MAX(0,U510-MAX(0,Z510-SUM(Q510:T510)))</f>
        <v/>
      </c>
      <c r="AI510" s="4">
        <f>MAX(0,V510-MAX(0,Z510-SUM(Q510:U510)))</f>
        <v/>
      </c>
      <c r="AJ510" s="4">
        <f>MAX(0,W510-MAX(0,Z510-SUM(Q510:V510)))</f>
        <v/>
      </c>
      <c r="AK510" s="4">
        <f>MAX(0,X510-MAX(0,Z510-SUM(Q510:W510)))</f>
        <v/>
      </c>
      <c r="AL510" s="4">
        <f>MAX(0,Y510-MAX(0,Z510-SUM(Q510:X510)))</f>
        <v/>
      </c>
    </row>
    <row r="511">
      <c r="A511" s="4" t="inlineStr">
        <is>
          <t>HASLS22260902551</t>
        </is>
      </c>
      <c r="B511" s="4" t="inlineStr">
        <is>
          <t>YSVY</t>
        </is>
      </c>
      <c r="C511" s="4" t="inlineStr">
        <is>
          <t>2608S</t>
        </is>
      </c>
      <c r="D511" s="4" t="inlineStr">
        <is>
          <t>202610190700</t>
        </is>
      </c>
      <c r="E511" s="4" t="inlineStr"/>
      <c r="F511" s="4" t="inlineStr">
        <is>
          <t>THLCH</t>
        </is>
      </c>
      <c r="G511" s="4" t="inlineStr">
        <is>
          <t>IDJKT</t>
        </is>
      </c>
      <c r="H511" s="4" t="inlineStr">
        <is>
          <t xml:space="preserve">20'x1 </t>
        </is>
      </c>
      <c r="I511" s="4" t="inlineStr">
        <is>
          <t>LCH27</t>
        </is>
      </c>
      <c r="J511" s="4" t="inlineStr">
        <is>
          <t xml:space="preserve">HAST Logistics Co.,Ltd. </t>
        </is>
      </c>
      <c r="K511" s="4" t="inlineStr">
        <is>
          <t>20261015</t>
        </is>
      </c>
      <c r="L511" s="4" t="inlineStr">
        <is>
          <t>MAINFREIGHT LOGISTICS (THAILAND) CO., LTD.</t>
        </is>
      </c>
      <c r="M511" s="4" t="inlineStr">
        <is>
          <t>NALCO INDUSTRIAL SERVICES (THAILAND) CO., LTD.</t>
        </is>
      </c>
      <c r="N511" s="4" t="inlineStr">
        <is>
          <t>3D TRASAR 3DT129 25KG</t>
        </is>
      </c>
      <c r="O511" s="4" t="inlineStr">
        <is>
          <t>DO NOT PICKUP CONTAINERS, STILL ON PROCESS OF GETTING APPROVAL.//DG (CLS 8 / UN 3264) Request good and clean contianer</t>
        </is>
      </c>
      <c r="P511" s="4" t="inlineStr">
        <is>
          <t xml:space="preserve">DO NOT PICKUP CONTAINERS, STILL ON PROCESS OF GETTING APPROVAL.//DG (CLS 8 / UN 3264) 
Pickup : 2026-10-15, Return : 2026-10-16 </t>
        </is>
      </c>
      <c r="Q511" s="4" t="n">
        <v>1</v>
      </c>
      <c r="R511" s="4" t="n">
        <v>0</v>
      </c>
      <c r="S511" s="4" t="n">
        <v>0</v>
      </c>
      <c r="T511" s="4" t="n">
        <v>0</v>
      </c>
      <c r="U511" s="4" t="n">
        <v>0</v>
      </c>
      <c r="V511" s="4" t="n">
        <v>0</v>
      </c>
      <c r="W511" s="4" t="n">
        <v>0</v>
      </c>
      <c r="X511" s="4" t="n">
        <v>0</v>
      </c>
      <c r="Y511" s="4" t="n">
        <v>0</v>
      </c>
      <c r="Z511" s="4" t="n">
        <v>0</v>
      </c>
      <c r="AA511" s="4" t="n">
        <v>0</v>
      </c>
      <c r="AB511" s="4">
        <f>SUM(Q511:Y511)-Z511</f>
        <v/>
      </c>
      <c r="AC511" s="4">
        <f>IF(I511="","",IF(OR(LEFT(I511,3)="BKK",I511="LCH55"),"BKK",IF(LEFT(I511,3)="LCH","LCH","OTHER")))</f>
        <v/>
      </c>
      <c r="AD511" s="4">
        <f>MAX(0,Q511-MAX(0,Z511))</f>
        <v/>
      </c>
      <c r="AE511" s="4">
        <f>MAX(0,R511-MAX(0,Z511-SUM(Q511:Q511)))</f>
        <v/>
      </c>
      <c r="AF511" s="4">
        <f>MAX(0,S511-MAX(0,Z511-SUM(Q511:R511)))</f>
        <v/>
      </c>
      <c r="AG511" s="4">
        <f>MAX(0,T511-MAX(0,Z511-SUM(Q511:S511)))</f>
        <v/>
      </c>
      <c r="AH511" s="4">
        <f>MAX(0,U511-MAX(0,Z511-SUM(Q511:T511)))</f>
        <v/>
      </c>
      <c r="AI511" s="4">
        <f>MAX(0,V511-MAX(0,Z511-SUM(Q511:U511)))</f>
        <v/>
      </c>
      <c r="AJ511" s="4">
        <f>MAX(0,W511-MAX(0,Z511-SUM(Q511:V511)))</f>
        <v/>
      </c>
      <c r="AK511" s="4">
        <f>MAX(0,X511-MAX(0,Z511-SUM(Q511:W511)))</f>
        <v/>
      </c>
      <c r="AL511" s="4">
        <f>MAX(0,Y511-MAX(0,Z511-SUM(Q511:X511)))</f>
        <v/>
      </c>
    </row>
    <row r="512">
      <c r="A512" s="4" t="inlineStr">
        <is>
          <t>HASLS22260902563</t>
        </is>
      </c>
      <c r="B512" s="4" t="inlineStr">
        <is>
          <t>NSSJ</t>
        </is>
      </c>
      <c r="C512" s="4" t="inlineStr">
        <is>
          <t>2608S</t>
        </is>
      </c>
      <c r="D512" s="4" t="inlineStr">
        <is>
          <t>202610201630</t>
        </is>
      </c>
      <c r="E512" s="4" t="inlineStr"/>
      <c r="F512" s="4" t="inlineStr">
        <is>
          <t>THLCH</t>
        </is>
      </c>
      <c r="G512" s="4" t="inlineStr">
        <is>
          <t>IDJKT</t>
        </is>
      </c>
      <c r="H512" s="4" t="inlineStr">
        <is>
          <t xml:space="preserve">20'x1 </t>
        </is>
      </c>
      <c r="I512" s="4" t="inlineStr">
        <is>
          <t>LCH27</t>
        </is>
      </c>
      <c r="J512" s="4" t="inlineStr">
        <is>
          <t xml:space="preserve">HAST Logistics Co.,Ltd. </t>
        </is>
      </c>
      <c r="K512" s="4" t="inlineStr">
        <is>
          <t>20261015</t>
        </is>
      </c>
      <c r="L512" s="4" t="inlineStr">
        <is>
          <t>HARBOUR NAVIGATION CO., LTD.</t>
        </is>
      </c>
      <c r="M512" s="4" t="inlineStr">
        <is>
          <t>NIPPON PAINT (THAILAND) CO., LTD.</t>
        </is>
      </c>
      <c r="N512" s="4" t="inlineStr">
        <is>
          <t>PAINT</t>
        </is>
      </c>
      <c r="O512" s="4" t="inlineStr">
        <is>
          <t>DO NOT PICKUP CONTAINERS, STILL ON PROCESS OF GETTING APPROVAL.//DG (CLS 3 / UN 1263)</t>
        </is>
      </c>
      <c r="P512" s="4" t="inlineStr">
        <is>
          <t>DO NOT PICKUP CONTAINERS, STILL ON PROCESS OF GETTING APPROVAL.//DG (CLS 3 / UN 1263) 
Pickup : 2026-10-15, Return : 2026-10-16</t>
        </is>
      </c>
      <c r="Q512" s="4" t="n">
        <v>1</v>
      </c>
      <c r="R512" s="4" t="n">
        <v>0</v>
      </c>
      <c r="S512" s="4" t="n">
        <v>0</v>
      </c>
      <c r="T512" s="4" t="n">
        <v>0</v>
      </c>
      <c r="U512" s="4" t="n">
        <v>0</v>
      </c>
      <c r="V512" s="4" t="n">
        <v>0</v>
      </c>
      <c r="W512" s="4" t="n">
        <v>0</v>
      </c>
      <c r="X512" s="4" t="n">
        <v>0</v>
      </c>
      <c r="Y512" s="4" t="n">
        <v>0</v>
      </c>
      <c r="Z512" s="4" t="n">
        <v>0</v>
      </c>
      <c r="AA512" s="4" t="n">
        <v>0</v>
      </c>
      <c r="AB512" s="4">
        <f>SUM(Q512:Y512)-Z512</f>
        <v/>
      </c>
      <c r="AC512" s="4">
        <f>IF(I512="","",IF(OR(LEFT(I512,3)="BKK",I512="LCH55"),"BKK",IF(LEFT(I512,3)="LCH","LCH","OTHER")))</f>
        <v/>
      </c>
      <c r="AD512" s="4">
        <f>MAX(0,Q512-MAX(0,Z512))</f>
        <v/>
      </c>
      <c r="AE512" s="4">
        <f>MAX(0,R512-MAX(0,Z512-SUM(Q512:Q512)))</f>
        <v/>
      </c>
      <c r="AF512" s="4">
        <f>MAX(0,S512-MAX(0,Z512-SUM(Q512:R512)))</f>
        <v/>
      </c>
      <c r="AG512" s="4">
        <f>MAX(0,T512-MAX(0,Z512-SUM(Q512:S512)))</f>
        <v/>
      </c>
      <c r="AH512" s="4">
        <f>MAX(0,U512-MAX(0,Z512-SUM(Q512:T512)))</f>
        <v/>
      </c>
      <c r="AI512" s="4">
        <f>MAX(0,V512-MAX(0,Z512-SUM(Q512:U512)))</f>
        <v/>
      </c>
      <c r="AJ512" s="4">
        <f>MAX(0,W512-MAX(0,Z512-SUM(Q512:V512)))</f>
        <v/>
      </c>
      <c r="AK512" s="4">
        <f>MAX(0,X512-MAX(0,Z512-SUM(Q512:W512)))</f>
        <v/>
      </c>
      <c r="AL512" s="4">
        <f>MAX(0,Y512-MAX(0,Z512-SUM(Q512:X512)))</f>
        <v/>
      </c>
    </row>
    <row r="513">
      <c r="A513" s="4" t="inlineStr">
        <is>
          <t>HASLS22260902568</t>
        </is>
      </c>
      <c r="B513" s="4" t="inlineStr">
        <is>
          <t>TSXM</t>
        </is>
      </c>
      <c r="C513" s="4" t="inlineStr">
        <is>
          <t>2618N</t>
        </is>
      </c>
      <c r="D513" s="4" t="inlineStr">
        <is>
          <t>202610201500</t>
        </is>
      </c>
      <c r="E513" s="4" t="inlineStr"/>
      <c r="F513" s="4" t="inlineStr">
        <is>
          <t>THLCH</t>
        </is>
      </c>
      <c r="G513" s="4" t="inlineStr">
        <is>
          <t>HKHKG</t>
        </is>
      </c>
      <c r="H513" s="4" t="inlineStr">
        <is>
          <t xml:space="preserve">20'x5 </t>
        </is>
      </c>
      <c r="I513" s="4" t="inlineStr">
        <is>
          <t>LCH27</t>
        </is>
      </c>
      <c r="J513" s="4" t="inlineStr">
        <is>
          <t xml:space="preserve">HAST Logistics Co.,Ltd. </t>
        </is>
      </c>
      <c r="K513" s="4" t="inlineStr">
        <is>
          <t>20261015</t>
        </is>
      </c>
      <c r="L513" s="4" t="inlineStr">
        <is>
          <t>HAST LOGISTICS CO., LTD.</t>
        </is>
      </c>
      <c r="M513" s="4" t="inlineStr">
        <is>
          <t>THE THAI SUGAR TRADING CORPORATION LTD.</t>
        </is>
      </c>
      <c r="N513" s="4" t="inlineStr">
        <is>
          <t>Sugar</t>
        </is>
      </c>
      <c r="O513" s="4" t="inlineStr">
        <is>
          <t>GOOD &amp; CLEAN CNTR / Upgrade 32.5</t>
        </is>
      </c>
      <c r="P513" s="4" t="inlineStr">
        <is>
          <t>Pickup : 2026-10-15, Return : 2026-10-16</t>
        </is>
      </c>
      <c r="Q513" s="4" t="n">
        <v>5</v>
      </c>
      <c r="R513" s="4" t="n">
        <v>0</v>
      </c>
      <c r="S513" s="4" t="n">
        <v>0</v>
      </c>
      <c r="T513" s="4" t="n">
        <v>0</v>
      </c>
      <c r="U513" s="4" t="n">
        <v>0</v>
      </c>
      <c r="V513" s="4" t="n">
        <v>0</v>
      </c>
      <c r="W513" s="4" t="n">
        <v>0</v>
      </c>
      <c r="X513" s="4" t="n">
        <v>0</v>
      </c>
      <c r="Y513" s="4" t="n">
        <v>0</v>
      </c>
      <c r="Z513" s="4" t="n">
        <v>0</v>
      </c>
      <c r="AA513" s="4" t="n">
        <v>0</v>
      </c>
      <c r="AB513" s="4">
        <f>SUM(Q513:Y513)-Z513</f>
        <v/>
      </c>
      <c r="AC513" s="4">
        <f>IF(I513="","",IF(OR(LEFT(I513,3)="BKK",I513="LCH55"),"BKK",IF(LEFT(I513,3)="LCH","LCH","OTHER")))</f>
        <v/>
      </c>
      <c r="AD513" s="4">
        <f>MAX(0,Q513-MAX(0,Z513))</f>
        <v/>
      </c>
      <c r="AE513" s="4">
        <f>MAX(0,R513-MAX(0,Z513-SUM(Q513:Q513)))</f>
        <v/>
      </c>
      <c r="AF513" s="4">
        <f>MAX(0,S513-MAX(0,Z513-SUM(Q513:R513)))</f>
        <v/>
      </c>
      <c r="AG513" s="4">
        <f>MAX(0,T513-MAX(0,Z513-SUM(Q513:S513)))</f>
        <v/>
      </c>
      <c r="AH513" s="4">
        <f>MAX(0,U513-MAX(0,Z513-SUM(Q513:T513)))</f>
        <v/>
      </c>
      <c r="AI513" s="4">
        <f>MAX(0,V513-MAX(0,Z513-SUM(Q513:U513)))</f>
        <v/>
      </c>
      <c r="AJ513" s="4">
        <f>MAX(0,W513-MAX(0,Z513-SUM(Q513:V513)))</f>
        <v/>
      </c>
      <c r="AK513" s="4">
        <f>MAX(0,X513-MAX(0,Z513-SUM(Q513:W513)))</f>
        <v/>
      </c>
      <c r="AL513" s="4">
        <f>MAX(0,Y513-MAX(0,Z513-SUM(Q513:X513)))</f>
        <v/>
      </c>
    </row>
    <row r="514">
      <c r="A514" s="4" t="inlineStr">
        <is>
          <t>HASLS22260901075</t>
        </is>
      </c>
      <c r="B514" s="4" t="inlineStr">
        <is>
          <t>KXM</t>
        </is>
      </c>
      <c r="C514" s="4" t="inlineStr">
        <is>
          <t>2608S</t>
        </is>
      </c>
      <c r="D514" s="4" t="inlineStr">
        <is>
          <t>202610100500</t>
        </is>
      </c>
      <c r="E514" s="4" t="inlineStr">
        <is>
          <t>THLKR</t>
        </is>
      </c>
      <c r="F514" s="4" t="inlineStr">
        <is>
          <t>THLCH</t>
        </is>
      </c>
      <c r="G514" s="4" t="inlineStr">
        <is>
          <t>IDJKT</t>
        </is>
      </c>
      <c r="H514" s="4" t="inlineStr">
        <is>
          <t xml:space="preserve">20'x1 </t>
        </is>
      </c>
      <c r="I514" s="4" t="inlineStr">
        <is>
          <t>LCH55</t>
        </is>
      </c>
      <c r="J514" s="4" t="inlineStr">
        <is>
          <t>ICD LKT - Esco Ladkrabang (GATE 2)</t>
        </is>
      </c>
      <c r="K514" s="4" t="inlineStr">
        <is>
          <t>20261006</t>
        </is>
      </c>
      <c r="L514" s="4" t="inlineStr">
        <is>
          <t>EUROFREIGHT INTERNATIONAL CO.,LTD.</t>
        </is>
      </c>
      <c r="M514" s="4" t="inlineStr">
        <is>
          <t>GILDAON (THAILAND) CO., LTD.</t>
        </is>
      </c>
      <c r="N514" s="4" t="inlineStr">
        <is>
          <t>DETERGENT FOR METAL</t>
        </is>
      </c>
      <c r="O514" s="4" t="inlineStr">
        <is>
          <t>REQUEST GOOD AND CLEAN CONTAINER</t>
        </is>
      </c>
      <c r="P514" s="4" t="inlineStr">
        <is>
          <t xml:space="preserve">STUFFING AT ESCO LAT KRABANG (GATE 2) DD.2026-10-06 **CLOSING TIME DD.2026-10-07 @ 17.00**
PAPERLESS CODE : 2835
</t>
        </is>
      </c>
      <c r="Q514" s="4" t="n">
        <v>1</v>
      </c>
      <c r="R514" s="4" t="n">
        <v>0</v>
      </c>
      <c r="S514" s="4" t="n">
        <v>0</v>
      </c>
      <c r="T514" s="4" t="n">
        <v>0</v>
      </c>
      <c r="U514" s="4" t="n">
        <v>0</v>
      </c>
      <c r="V514" s="4" t="n">
        <v>0</v>
      </c>
      <c r="W514" s="4" t="n">
        <v>0</v>
      </c>
      <c r="X514" s="4" t="n">
        <v>0</v>
      </c>
      <c r="Y514" s="4" t="n">
        <v>0</v>
      </c>
      <c r="Z514" s="4" t="n">
        <v>0</v>
      </c>
      <c r="AA514" s="4" t="n">
        <v>0</v>
      </c>
      <c r="AB514" s="4">
        <f>SUM(Q514:Y514)-Z514</f>
        <v/>
      </c>
      <c r="AC514" s="4">
        <f>IF(I514="","",IF(OR(LEFT(I514,3)="BKK",I514="LCH55"),"BKK",IF(LEFT(I514,3)="LCH","LCH","OTHER")))</f>
        <v/>
      </c>
      <c r="AD514" s="4">
        <f>MAX(0,Q514-MAX(0,Z514))</f>
        <v/>
      </c>
      <c r="AE514" s="4">
        <f>MAX(0,R514-MAX(0,Z514-SUM(Q514:Q514)))</f>
        <v/>
      </c>
      <c r="AF514" s="4">
        <f>MAX(0,S514-MAX(0,Z514-SUM(Q514:R514)))</f>
        <v/>
      </c>
      <c r="AG514" s="4">
        <f>MAX(0,T514-MAX(0,Z514-SUM(Q514:S514)))</f>
        <v/>
      </c>
      <c r="AH514" s="4">
        <f>MAX(0,U514-MAX(0,Z514-SUM(Q514:T514)))</f>
        <v/>
      </c>
      <c r="AI514" s="4">
        <f>MAX(0,V514-MAX(0,Z514-SUM(Q514:U514)))</f>
        <v/>
      </c>
      <c r="AJ514" s="4">
        <f>MAX(0,W514-MAX(0,Z514-SUM(Q514:V514)))</f>
        <v/>
      </c>
      <c r="AK514" s="4">
        <f>MAX(0,X514-MAX(0,Z514-SUM(Q514:W514)))</f>
        <v/>
      </c>
      <c r="AL514" s="4">
        <f>MAX(0,Y514-MAX(0,Z514-SUM(Q514:X514)))</f>
        <v/>
      </c>
    </row>
    <row r="515">
      <c r="A515" s="4" t="inlineStr">
        <is>
          <t>HASLS22260700891</t>
        </is>
      </c>
      <c r="B515" s="4" t="inlineStr">
        <is>
          <t>SWSP</t>
        </is>
      </c>
      <c r="C515" s="4" t="inlineStr">
        <is>
          <t>2609N</t>
        </is>
      </c>
      <c r="D515" s="4" t="inlineStr">
        <is>
          <t>202610071530</t>
        </is>
      </c>
      <c r="E515" s="4" t="inlineStr"/>
      <c r="F515" s="4" t="inlineStr">
        <is>
          <t>THBKK</t>
        </is>
      </c>
      <c r="G515" s="4" t="inlineStr">
        <is>
          <t>VNSGN</t>
        </is>
      </c>
      <c r="H515" s="4" t="inlineStr">
        <is>
          <t xml:space="preserve">40Hx1 </t>
        </is>
      </c>
      <c r="I515" s="4" t="inlineStr">
        <is>
          <t>BKK04</t>
        </is>
      </c>
      <c r="J515" s="4" t="inlineStr">
        <is>
          <t>PAT TERMINAL 1 (PORT AUTHORITY OF THAILAND)</t>
        </is>
      </c>
      <c r="K515" s="4" t="inlineStr">
        <is>
          <t>20261002</t>
        </is>
      </c>
      <c r="L515" s="4" t="inlineStr">
        <is>
          <t>PROFREIGHT INTERNATIONAL CO., LTD.</t>
        </is>
      </c>
      <c r="M515" s="4" t="inlineStr">
        <is>
          <t>SIAM BROTHERS CORP.,LTD.</t>
        </is>
      </c>
      <c r="N515" s="4" t="inlineStr">
        <is>
          <t>FISHING NETS</t>
        </is>
      </c>
      <c r="O515" s="4" t="inlineStr">
        <is>
          <t>REQ: GOOD &amp; CLEAN CONTAINER,NO LEAK,NO RUST,NO SMELL,NO BURR,NOT WET,GOOD FLOOR.</t>
        </is>
      </c>
      <c r="P515" s="4" t="inlineStr">
        <is>
          <t xml:space="preserve">STUFFING @PAT (SPORT LIGHT TOWER 2) DD.02/10/26 *CLS TIME CFS DD.02/10/26 - 17:00HRS.*
</t>
        </is>
      </c>
      <c r="Q515" s="4" t="n">
        <v>0</v>
      </c>
      <c r="R515" s="4" t="n">
        <v>0</v>
      </c>
      <c r="S515" s="4" t="n">
        <v>1</v>
      </c>
      <c r="T515" s="4" t="n">
        <v>0</v>
      </c>
      <c r="U515" s="4" t="n">
        <v>0</v>
      </c>
      <c r="V515" s="4" t="n">
        <v>0</v>
      </c>
      <c r="W515" s="4" t="n">
        <v>0</v>
      </c>
      <c r="X515" s="4" t="n">
        <v>0</v>
      </c>
      <c r="Y515" s="4" t="n">
        <v>0</v>
      </c>
      <c r="Z515" s="4" t="n">
        <v>0</v>
      </c>
      <c r="AA515" s="4" t="n">
        <v>0</v>
      </c>
      <c r="AB515" s="4">
        <f>SUM(Q515:Y515)-Z515</f>
        <v/>
      </c>
      <c r="AC515" s="4">
        <f>IF(I515="","",IF(OR(LEFT(I515,3)="BKK",I515="LCH55"),"BKK",IF(LEFT(I515,3)="LCH","LCH","OTHER")))</f>
        <v/>
      </c>
      <c r="AD515" s="4">
        <f>MAX(0,Q515-MAX(0,Z515))</f>
        <v/>
      </c>
      <c r="AE515" s="4">
        <f>MAX(0,R515-MAX(0,Z515-SUM(Q515:Q515)))</f>
        <v/>
      </c>
      <c r="AF515" s="4">
        <f>MAX(0,S515-MAX(0,Z515-SUM(Q515:R515)))</f>
        <v/>
      </c>
      <c r="AG515" s="4">
        <f>MAX(0,T515-MAX(0,Z515-SUM(Q515:S515)))</f>
        <v/>
      </c>
      <c r="AH515" s="4">
        <f>MAX(0,U515-MAX(0,Z515-SUM(Q515:T515)))</f>
        <v/>
      </c>
      <c r="AI515" s="4">
        <f>MAX(0,V515-MAX(0,Z515-SUM(Q515:U515)))</f>
        <v/>
      </c>
      <c r="AJ515" s="4">
        <f>MAX(0,W515-MAX(0,Z515-SUM(Q515:V515)))</f>
        <v/>
      </c>
      <c r="AK515" s="4">
        <f>MAX(0,X515-MAX(0,Z515-SUM(Q515:W515)))</f>
        <v/>
      </c>
      <c r="AL515" s="4">
        <f>MAX(0,Y515-MAX(0,Z515-SUM(Q515:X515)))</f>
        <v/>
      </c>
    </row>
    <row r="516">
      <c r="A516" s="4" t="inlineStr">
        <is>
          <t>HASLS22260801149</t>
        </is>
      </c>
      <c r="B516" s="4" t="inlineStr">
        <is>
          <t>KMGY</t>
        </is>
      </c>
      <c r="C516" s="4" t="inlineStr">
        <is>
          <t>2611N</t>
        </is>
      </c>
      <c r="D516" s="4" t="inlineStr">
        <is>
          <t>202610201000</t>
        </is>
      </c>
      <c r="E516" s="4" t="inlineStr"/>
      <c r="F516" s="4" t="inlineStr">
        <is>
          <t>THBKK</t>
        </is>
      </c>
      <c r="G516" s="4" t="inlineStr">
        <is>
          <t>KRINC</t>
        </is>
      </c>
      <c r="H516" s="4" t="inlineStr">
        <is>
          <t xml:space="preserve">20'x1 </t>
        </is>
      </c>
      <c r="I516" s="4" t="inlineStr">
        <is>
          <t>BKK04</t>
        </is>
      </c>
      <c r="J516" s="4" t="inlineStr">
        <is>
          <t>PAT TERMINAL 1 (PORT AUTHORITY OF THAILAND)</t>
        </is>
      </c>
      <c r="K516" s="4" t="inlineStr">
        <is>
          <t>20261009</t>
        </is>
      </c>
      <c r="L516" s="4" t="inlineStr">
        <is>
          <t>CELESTIAL XPRESS LOGISTICS (THAILAND) CO., LTD.</t>
        </is>
      </c>
      <c r="M516" s="4" t="inlineStr">
        <is>
          <t>CHOTIWAT MANUFACTURING PUBLIC COMPANY LIMITED</t>
        </is>
      </c>
      <c r="N516" s="4" t="inlineStr">
        <is>
          <t>PET FOOD</t>
        </is>
      </c>
      <c r="O516" s="4" t="inlineStr">
        <is>
          <t>GOOD AND CLEAN CONTAINER</t>
        </is>
      </c>
      <c r="P516" s="4" t="inlineStr">
        <is>
          <t>STUFFING @PAT (SPORT LIGHT TOWER 2) DD.09/10/26 *CLS TIME CFS DD.09/10/26 - 17:00HRS.*</t>
        </is>
      </c>
      <c r="Q516" s="4" t="n">
        <v>1</v>
      </c>
      <c r="R516" s="4" t="n">
        <v>0</v>
      </c>
      <c r="S516" s="4" t="n">
        <v>0</v>
      </c>
      <c r="T516" s="4" t="n">
        <v>0</v>
      </c>
      <c r="U516" s="4" t="n">
        <v>0</v>
      </c>
      <c r="V516" s="4" t="n">
        <v>0</v>
      </c>
      <c r="W516" s="4" t="n">
        <v>0</v>
      </c>
      <c r="X516" s="4" t="n">
        <v>0</v>
      </c>
      <c r="Y516" s="4" t="n">
        <v>0</v>
      </c>
      <c r="Z516" s="4" t="n">
        <v>0</v>
      </c>
      <c r="AA516" s="4" t="n">
        <v>0</v>
      </c>
      <c r="AB516" s="4">
        <f>SUM(Q516:Y516)-Z516</f>
        <v/>
      </c>
      <c r="AC516" s="4">
        <f>IF(I516="","",IF(OR(LEFT(I516,3)="BKK",I516="LCH55"),"BKK",IF(LEFT(I516,3)="LCH","LCH","OTHER")))</f>
        <v/>
      </c>
      <c r="AD516" s="4">
        <f>MAX(0,Q516-MAX(0,Z516))</f>
        <v/>
      </c>
      <c r="AE516" s="4">
        <f>MAX(0,R516-MAX(0,Z516-SUM(Q516:Q516)))</f>
        <v/>
      </c>
      <c r="AF516" s="4">
        <f>MAX(0,S516-MAX(0,Z516-SUM(Q516:R516)))</f>
        <v/>
      </c>
      <c r="AG516" s="4">
        <f>MAX(0,T516-MAX(0,Z516-SUM(Q516:S516)))</f>
        <v/>
      </c>
      <c r="AH516" s="4">
        <f>MAX(0,U516-MAX(0,Z516-SUM(Q516:T516)))</f>
        <v/>
      </c>
      <c r="AI516" s="4">
        <f>MAX(0,V516-MAX(0,Z516-SUM(Q516:U516)))</f>
        <v/>
      </c>
      <c r="AJ516" s="4">
        <f>MAX(0,W516-MAX(0,Z516-SUM(Q516:V516)))</f>
        <v/>
      </c>
      <c r="AK516" s="4">
        <f>MAX(0,X516-MAX(0,Z516-SUM(Q516:W516)))</f>
        <v/>
      </c>
      <c r="AL516" s="4">
        <f>MAX(0,Y516-MAX(0,Z516-SUM(Q516:X516)))</f>
        <v/>
      </c>
    </row>
    <row r="517">
      <c r="A517" s="4" t="inlineStr">
        <is>
          <t>HASLS22260801150</t>
        </is>
      </c>
      <c r="B517" s="4" t="inlineStr">
        <is>
          <t>KMGY</t>
        </is>
      </c>
      <c r="C517" s="4" t="inlineStr">
        <is>
          <t>2611N</t>
        </is>
      </c>
      <c r="D517" s="4" t="inlineStr">
        <is>
          <t>202610201000</t>
        </is>
      </c>
      <c r="E517" s="4" t="inlineStr"/>
      <c r="F517" s="4" t="inlineStr">
        <is>
          <t>THBKK</t>
        </is>
      </c>
      <c r="G517" s="4" t="inlineStr">
        <is>
          <t>KRINC</t>
        </is>
      </c>
      <c r="H517" s="4" t="inlineStr">
        <is>
          <t xml:space="preserve">20'x1 </t>
        </is>
      </c>
      <c r="I517" s="4" t="inlineStr">
        <is>
          <t>BKK04</t>
        </is>
      </c>
      <c r="J517" s="4" t="inlineStr">
        <is>
          <t>PAT TERMINAL 1 (PORT AUTHORITY OF THAILAND)</t>
        </is>
      </c>
      <c r="K517" s="4" t="inlineStr">
        <is>
          <t>20261009</t>
        </is>
      </c>
      <c r="L517" s="4" t="inlineStr">
        <is>
          <t>CELESTIAL XPRESS LOGISTICS (THAILAND) CO., LTD.</t>
        </is>
      </c>
      <c r="M517" s="4" t="inlineStr">
        <is>
          <t>CHOTIWAT MANUFACTURING PUBLIC COMPANY LIMITED</t>
        </is>
      </c>
      <c r="N517" s="4" t="inlineStr">
        <is>
          <t>PET FOOD</t>
        </is>
      </c>
      <c r="O517" s="4" t="inlineStr">
        <is>
          <t>GOOD AND CLEAN CONTAINER</t>
        </is>
      </c>
      <c r="P517" s="4" t="inlineStr">
        <is>
          <t>STUFFING @PAT (SPORT LIGHT TOWER 2) DD.09/10/26 *CLS TIME CFS DD.09/10/26 - 17:00HRS.*</t>
        </is>
      </c>
      <c r="Q517" s="4" t="n">
        <v>1</v>
      </c>
      <c r="R517" s="4" t="n">
        <v>0</v>
      </c>
      <c r="S517" s="4" t="n">
        <v>0</v>
      </c>
      <c r="T517" s="4" t="n">
        <v>0</v>
      </c>
      <c r="U517" s="4" t="n">
        <v>0</v>
      </c>
      <c r="V517" s="4" t="n">
        <v>0</v>
      </c>
      <c r="W517" s="4" t="n">
        <v>0</v>
      </c>
      <c r="X517" s="4" t="n">
        <v>0</v>
      </c>
      <c r="Y517" s="4" t="n">
        <v>0</v>
      </c>
      <c r="Z517" s="4" t="n">
        <v>0</v>
      </c>
      <c r="AA517" s="4" t="n">
        <v>0</v>
      </c>
      <c r="AB517" s="4">
        <f>SUM(Q517:Y517)-Z517</f>
        <v/>
      </c>
      <c r="AC517" s="4">
        <f>IF(I517="","",IF(OR(LEFT(I517,3)="BKK",I517="LCH55"),"BKK",IF(LEFT(I517,3)="LCH","LCH","OTHER")))</f>
        <v/>
      </c>
      <c r="AD517" s="4">
        <f>MAX(0,Q517-MAX(0,Z517))</f>
        <v/>
      </c>
      <c r="AE517" s="4">
        <f>MAX(0,R517-MAX(0,Z517-SUM(Q517:Q517)))</f>
        <v/>
      </c>
      <c r="AF517" s="4">
        <f>MAX(0,S517-MAX(0,Z517-SUM(Q517:R517)))</f>
        <v/>
      </c>
      <c r="AG517" s="4">
        <f>MAX(0,T517-MAX(0,Z517-SUM(Q517:S517)))</f>
        <v/>
      </c>
      <c r="AH517" s="4">
        <f>MAX(0,U517-MAX(0,Z517-SUM(Q517:T517)))</f>
        <v/>
      </c>
      <c r="AI517" s="4">
        <f>MAX(0,V517-MAX(0,Z517-SUM(Q517:U517)))</f>
        <v/>
      </c>
      <c r="AJ517" s="4">
        <f>MAX(0,W517-MAX(0,Z517-SUM(Q517:V517)))</f>
        <v/>
      </c>
      <c r="AK517" s="4">
        <f>MAX(0,X517-MAX(0,Z517-SUM(Q517:W517)))</f>
        <v/>
      </c>
      <c r="AL517" s="4">
        <f>MAX(0,Y517-MAX(0,Z517-SUM(Q517:X517)))</f>
        <v/>
      </c>
    </row>
    <row r="518">
      <c r="A518" s="4" t="inlineStr">
        <is>
          <t>HASLS22260801210</t>
        </is>
      </c>
      <c r="B518" s="4" t="inlineStr">
        <is>
          <t>SWDN</t>
        </is>
      </c>
      <c r="C518" s="4" t="inlineStr">
        <is>
          <t>2610N</t>
        </is>
      </c>
      <c r="D518" s="4" t="inlineStr">
        <is>
          <t>202610060900</t>
        </is>
      </c>
      <c r="E518" s="4" t="inlineStr"/>
      <c r="F518" s="4" t="inlineStr">
        <is>
          <t>THBKK</t>
        </is>
      </c>
      <c r="G518" s="4" t="inlineStr">
        <is>
          <t>HKHKG</t>
        </is>
      </c>
      <c r="H518" s="4" t="inlineStr">
        <is>
          <t xml:space="preserve">40Hx3 </t>
        </is>
      </c>
      <c r="I518" s="4" t="inlineStr">
        <is>
          <t>BKK04</t>
        </is>
      </c>
      <c r="J518" s="4" t="inlineStr">
        <is>
          <t>PAT TERMINAL 1 (PORT AUTHORITY OF THAILAND)</t>
        </is>
      </c>
      <c r="K518" s="4" t="inlineStr">
        <is>
          <t>20260924</t>
        </is>
      </c>
      <c r="L518" s="4" t="inlineStr">
        <is>
          <t>PILOT CONSOLIDATOR CO., LTD.</t>
        </is>
      </c>
      <c r="M518" s="4" t="inlineStr">
        <is>
          <t>PILOT CONSOLIDATOR CO., LTD.</t>
        </is>
      </c>
      <c r="N518" s="4" t="inlineStr">
        <is>
          <t>GENERAL CARGO (CONSOL)</t>
        </is>
      </c>
      <c r="O518" s="4" t="inlineStr">
        <is>
          <t>CONSOL</t>
        </is>
      </c>
      <c r="P518" s="4" t="inlineStr">
        <is>
          <t>Pickup : 2026-09-24, Return : 2026-09-25 CONSOL</t>
        </is>
      </c>
      <c r="Q518" s="4" t="n">
        <v>0</v>
      </c>
      <c r="R518" s="4" t="n">
        <v>0</v>
      </c>
      <c r="S518" s="4" t="n">
        <v>3</v>
      </c>
      <c r="T518" s="4" t="n">
        <v>0</v>
      </c>
      <c r="U518" s="4" t="n">
        <v>0</v>
      </c>
      <c r="V518" s="4" t="n">
        <v>0</v>
      </c>
      <c r="W518" s="4" t="n">
        <v>0</v>
      </c>
      <c r="X518" s="4" t="n">
        <v>0</v>
      </c>
      <c r="Y518" s="4" t="n">
        <v>0</v>
      </c>
      <c r="Z518" s="4" t="n">
        <v>0</v>
      </c>
      <c r="AA518" s="4" t="n">
        <v>0</v>
      </c>
      <c r="AB518" s="4">
        <f>SUM(Q518:Y518)-Z518</f>
        <v/>
      </c>
      <c r="AC518" s="4">
        <f>IF(I518="","",IF(OR(LEFT(I518,3)="BKK",I518="LCH55"),"BKK",IF(LEFT(I518,3)="LCH","LCH","OTHER")))</f>
        <v/>
      </c>
      <c r="AD518" s="4">
        <f>MAX(0,Q518-MAX(0,Z518))</f>
        <v/>
      </c>
      <c r="AE518" s="4">
        <f>MAX(0,R518-MAX(0,Z518-SUM(Q518:Q518)))</f>
        <v/>
      </c>
      <c r="AF518" s="4">
        <f>MAX(0,S518-MAX(0,Z518-SUM(Q518:R518)))</f>
        <v/>
      </c>
      <c r="AG518" s="4">
        <f>MAX(0,T518-MAX(0,Z518-SUM(Q518:S518)))</f>
        <v/>
      </c>
      <c r="AH518" s="4">
        <f>MAX(0,U518-MAX(0,Z518-SUM(Q518:T518)))</f>
        <v/>
      </c>
      <c r="AI518" s="4">
        <f>MAX(0,V518-MAX(0,Z518-SUM(Q518:U518)))</f>
        <v/>
      </c>
      <c r="AJ518" s="4">
        <f>MAX(0,W518-MAX(0,Z518-SUM(Q518:V518)))</f>
        <v/>
      </c>
      <c r="AK518" s="4">
        <f>MAX(0,X518-MAX(0,Z518-SUM(Q518:W518)))</f>
        <v/>
      </c>
      <c r="AL518" s="4">
        <f>MAX(0,Y518-MAX(0,Z518-SUM(Q518:X518)))</f>
        <v/>
      </c>
    </row>
    <row r="519">
      <c r="A519" s="4" t="inlineStr">
        <is>
          <t>HASLS22260802037</t>
        </is>
      </c>
      <c r="B519" s="4" t="inlineStr">
        <is>
          <t>KMGY</t>
        </is>
      </c>
      <c r="C519" s="4" t="inlineStr">
        <is>
          <t>2611N</t>
        </is>
      </c>
      <c r="D519" s="4" t="inlineStr">
        <is>
          <t>202610201000</t>
        </is>
      </c>
      <c r="E519" s="4" t="inlineStr"/>
      <c r="F519" s="4" t="inlineStr">
        <is>
          <t>THBKK</t>
        </is>
      </c>
      <c r="G519" s="4" t="inlineStr">
        <is>
          <t>HKHKG</t>
        </is>
      </c>
      <c r="H519" s="4" t="inlineStr">
        <is>
          <t xml:space="preserve">20'x1 </t>
        </is>
      </c>
      <c r="I519" s="4" t="inlineStr">
        <is>
          <t>BKK04</t>
        </is>
      </c>
      <c r="J519" s="4" t="inlineStr">
        <is>
          <t>PAT TERMINAL 1 (PORT AUTHORITY OF THAILAND)</t>
        </is>
      </c>
      <c r="K519" s="4" t="inlineStr">
        <is>
          <t>20261016</t>
        </is>
      </c>
      <c r="L519" s="4" t="inlineStr">
        <is>
          <t>ADL ASIA LOGISTICS CO., LTD.</t>
        </is>
      </c>
      <c r="M519" s="4" t="inlineStr">
        <is>
          <t>FIVE PAGODAS PHARMACY CO.,LTD</t>
        </is>
      </c>
      <c r="N519" s="4" t="inlineStr">
        <is>
          <t>YA HOM FIVE PAGODAS BRAND (MEDICINE)</t>
        </is>
      </c>
      <c r="O519" s="4" t="inlineStr">
        <is>
          <t>GOOD AND CLEAN CONTAINER</t>
        </is>
      </c>
      <c r="P519" s="4" t="inlineStr">
        <is>
          <t xml:space="preserve">STUFFING CARGO @PAT (SPORTLIGHT TOWER NO.2) DD.16/11/26 CLS TIME CFS DD.16/10/26 - 17:00HRS.
</t>
        </is>
      </c>
      <c r="Q519" s="4" t="n">
        <v>1</v>
      </c>
      <c r="R519" s="4" t="n">
        <v>0</v>
      </c>
      <c r="S519" s="4" t="n">
        <v>0</v>
      </c>
      <c r="T519" s="4" t="n">
        <v>0</v>
      </c>
      <c r="U519" s="4" t="n">
        <v>0</v>
      </c>
      <c r="V519" s="4" t="n">
        <v>0</v>
      </c>
      <c r="W519" s="4" t="n">
        <v>0</v>
      </c>
      <c r="X519" s="4" t="n">
        <v>0</v>
      </c>
      <c r="Y519" s="4" t="n">
        <v>0</v>
      </c>
      <c r="Z519" s="4" t="n">
        <v>0</v>
      </c>
      <c r="AA519" s="4" t="n">
        <v>0</v>
      </c>
      <c r="AB519" s="4">
        <f>SUM(Q519:Y519)-Z519</f>
        <v/>
      </c>
      <c r="AC519" s="4">
        <f>IF(I519="","",IF(OR(LEFT(I519,3)="BKK",I519="LCH55"),"BKK",IF(LEFT(I519,3)="LCH","LCH","OTHER")))</f>
        <v/>
      </c>
      <c r="AD519" s="4">
        <f>MAX(0,Q519-MAX(0,Z519))</f>
        <v/>
      </c>
      <c r="AE519" s="4">
        <f>MAX(0,R519-MAX(0,Z519-SUM(Q519:Q519)))</f>
        <v/>
      </c>
      <c r="AF519" s="4">
        <f>MAX(0,S519-MAX(0,Z519-SUM(Q519:R519)))</f>
        <v/>
      </c>
      <c r="AG519" s="4">
        <f>MAX(0,T519-MAX(0,Z519-SUM(Q519:S519)))</f>
        <v/>
      </c>
      <c r="AH519" s="4">
        <f>MAX(0,U519-MAX(0,Z519-SUM(Q519:T519)))</f>
        <v/>
      </c>
      <c r="AI519" s="4">
        <f>MAX(0,V519-MAX(0,Z519-SUM(Q519:U519)))</f>
        <v/>
      </c>
      <c r="AJ519" s="4">
        <f>MAX(0,W519-MAX(0,Z519-SUM(Q519:V519)))</f>
        <v/>
      </c>
      <c r="AK519" s="4">
        <f>MAX(0,X519-MAX(0,Z519-SUM(Q519:W519)))</f>
        <v/>
      </c>
      <c r="AL519" s="4">
        <f>MAX(0,Y519-MAX(0,Z519-SUM(Q519:X519)))</f>
        <v/>
      </c>
    </row>
    <row r="520">
      <c r="A520" s="4" t="inlineStr">
        <is>
          <t>HASLS22260802590</t>
        </is>
      </c>
      <c r="B520" s="4" t="inlineStr">
        <is>
          <t>SWSP</t>
        </is>
      </c>
      <c r="C520" s="4" t="inlineStr">
        <is>
          <t>2609N</t>
        </is>
      </c>
      <c r="D520" s="4" t="inlineStr">
        <is>
          <t>202610071530</t>
        </is>
      </c>
      <c r="E520" s="4" t="inlineStr"/>
      <c r="F520" s="4" t="inlineStr">
        <is>
          <t>THBKK</t>
        </is>
      </c>
      <c r="G520" s="4" t="inlineStr">
        <is>
          <t>VNSGN</t>
        </is>
      </c>
      <c r="H520" s="4" t="inlineStr">
        <is>
          <t xml:space="preserve">40Hx1 </t>
        </is>
      </c>
      <c r="I520" s="4" t="inlineStr">
        <is>
          <t>BKK04</t>
        </is>
      </c>
      <c r="J520" s="4" t="inlineStr">
        <is>
          <t>PAT TERMINAL 1 (PORT AUTHORITY OF THAILAND)</t>
        </is>
      </c>
      <c r="K520" s="4" t="inlineStr">
        <is>
          <t>20261002</t>
        </is>
      </c>
      <c r="L520" s="4" t="inlineStr">
        <is>
          <t>QUANTERM LOGISTICS (THAILAND) CO., LTD.</t>
        </is>
      </c>
      <c r="M520" s="4" t="inlineStr">
        <is>
          <t>QUANTERM LOGISTICS (THAILAND) CO., LTD.</t>
        </is>
      </c>
      <c r="N520" s="4" t="inlineStr">
        <is>
          <t>GENERAL CARGO / CONSOL</t>
        </is>
      </c>
      <c r="O520" s="4" t="inlineStr">
        <is>
          <t>CONSOL</t>
        </is>
      </c>
      <c r="P520" s="4" t="inlineStr">
        <is>
          <t>CY-RTN : 02/10/2026 (CONSOL)</t>
        </is>
      </c>
      <c r="Q520" s="4" t="n">
        <v>0</v>
      </c>
      <c r="R520" s="4" t="n">
        <v>0</v>
      </c>
      <c r="S520" s="4" t="n">
        <v>1</v>
      </c>
      <c r="T520" s="4" t="n">
        <v>0</v>
      </c>
      <c r="U520" s="4" t="n">
        <v>0</v>
      </c>
      <c r="V520" s="4" t="n">
        <v>0</v>
      </c>
      <c r="W520" s="4" t="n">
        <v>0</v>
      </c>
      <c r="X520" s="4" t="n">
        <v>0</v>
      </c>
      <c r="Y520" s="4" t="n">
        <v>0</v>
      </c>
      <c r="Z520" s="4" t="n">
        <v>0</v>
      </c>
      <c r="AA520" s="4" t="n">
        <v>0</v>
      </c>
      <c r="AB520" s="4">
        <f>SUM(Q520:Y520)-Z520</f>
        <v/>
      </c>
      <c r="AC520" s="4">
        <f>IF(I520="","",IF(OR(LEFT(I520,3)="BKK",I520="LCH55"),"BKK",IF(LEFT(I520,3)="LCH","LCH","OTHER")))</f>
        <v/>
      </c>
      <c r="AD520" s="4">
        <f>MAX(0,Q520-MAX(0,Z520))</f>
        <v/>
      </c>
      <c r="AE520" s="4">
        <f>MAX(0,R520-MAX(0,Z520-SUM(Q520:Q520)))</f>
        <v/>
      </c>
      <c r="AF520" s="4">
        <f>MAX(0,S520-MAX(0,Z520-SUM(Q520:R520)))</f>
        <v/>
      </c>
      <c r="AG520" s="4">
        <f>MAX(0,T520-MAX(0,Z520-SUM(Q520:S520)))</f>
        <v/>
      </c>
      <c r="AH520" s="4">
        <f>MAX(0,U520-MAX(0,Z520-SUM(Q520:T520)))</f>
        <v/>
      </c>
      <c r="AI520" s="4">
        <f>MAX(0,V520-MAX(0,Z520-SUM(Q520:U520)))</f>
        <v/>
      </c>
      <c r="AJ520" s="4">
        <f>MAX(0,W520-MAX(0,Z520-SUM(Q520:V520)))</f>
        <v/>
      </c>
      <c r="AK520" s="4">
        <f>MAX(0,X520-MAX(0,Z520-SUM(Q520:W520)))</f>
        <v/>
      </c>
      <c r="AL520" s="4">
        <f>MAX(0,Y520-MAX(0,Z520-SUM(Q520:X520)))</f>
        <v/>
      </c>
    </row>
    <row r="521">
      <c r="A521" s="4" t="inlineStr">
        <is>
          <t>HASLS22260900064</t>
        </is>
      </c>
      <c r="B521" s="4" t="inlineStr">
        <is>
          <t>SWDN</t>
        </is>
      </c>
      <c r="C521" s="4" t="inlineStr">
        <is>
          <t>2610N</t>
        </is>
      </c>
      <c r="D521" s="4" t="inlineStr">
        <is>
          <t>202610060900</t>
        </is>
      </c>
      <c r="E521" s="4" t="inlineStr"/>
      <c r="F521" s="4" t="inlineStr">
        <is>
          <t>THBKK</t>
        </is>
      </c>
      <c r="G521" s="4" t="inlineStr">
        <is>
          <t>CNTAO</t>
        </is>
      </c>
      <c r="H521" s="4" t="inlineStr">
        <is>
          <t xml:space="preserve">20'x1 </t>
        </is>
      </c>
      <c r="I521" s="4" t="inlineStr">
        <is>
          <t>BKK04</t>
        </is>
      </c>
      <c r="J521" s="4" t="inlineStr">
        <is>
          <t>PAT TERMINAL 1 (PORT AUTHORITY OF THAILAND)</t>
        </is>
      </c>
      <c r="K521" s="4" t="inlineStr">
        <is>
          <t>20260930</t>
        </is>
      </c>
      <c r="L521" s="4" t="inlineStr">
        <is>
          <t>CARGOPORT (THAILAND) LTD.</t>
        </is>
      </c>
      <c r="M521" s="4" t="inlineStr">
        <is>
          <t>CARGOPORT (THAILAND) LTD.</t>
        </is>
      </c>
      <c r="N521" s="4" t="inlineStr">
        <is>
          <t>GENERAL CARGO (CONSOL)</t>
        </is>
      </c>
      <c r="O521" s="4" t="inlineStr">
        <is>
          <t>CONSOL</t>
        </is>
      </c>
      <c r="P521" s="4" t="inlineStr">
        <is>
          <t>Pickup : 2026-09-30, Return : 2026-09-30 CONSOL</t>
        </is>
      </c>
      <c r="Q521" s="4" t="n">
        <v>1</v>
      </c>
      <c r="R521" s="4" t="n">
        <v>0</v>
      </c>
      <c r="S521" s="4" t="n">
        <v>0</v>
      </c>
      <c r="T521" s="4" t="n">
        <v>0</v>
      </c>
      <c r="U521" s="4" t="n">
        <v>0</v>
      </c>
      <c r="V521" s="4" t="n">
        <v>0</v>
      </c>
      <c r="W521" s="4" t="n">
        <v>0</v>
      </c>
      <c r="X521" s="4" t="n">
        <v>0</v>
      </c>
      <c r="Y521" s="4" t="n">
        <v>0</v>
      </c>
      <c r="Z521" s="4" t="n">
        <v>0</v>
      </c>
      <c r="AA521" s="4" t="n">
        <v>0</v>
      </c>
      <c r="AB521" s="4">
        <f>SUM(Q521:Y521)-Z521</f>
        <v/>
      </c>
      <c r="AC521" s="4">
        <f>IF(I521="","",IF(OR(LEFT(I521,3)="BKK",I521="LCH55"),"BKK",IF(LEFT(I521,3)="LCH","LCH","OTHER")))</f>
        <v/>
      </c>
      <c r="AD521" s="4">
        <f>MAX(0,Q521-MAX(0,Z521))</f>
        <v/>
      </c>
      <c r="AE521" s="4">
        <f>MAX(0,R521-MAX(0,Z521-SUM(Q521:Q521)))</f>
        <v/>
      </c>
      <c r="AF521" s="4">
        <f>MAX(0,S521-MAX(0,Z521-SUM(Q521:R521)))</f>
        <v/>
      </c>
      <c r="AG521" s="4">
        <f>MAX(0,T521-MAX(0,Z521-SUM(Q521:S521)))</f>
        <v/>
      </c>
      <c r="AH521" s="4">
        <f>MAX(0,U521-MAX(0,Z521-SUM(Q521:T521)))</f>
        <v/>
      </c>
      <c r="AI521" s="4">
        <f>MAX(0,V521-MAX(0,Z521-SUM(Q521:U521)))</f>
        <v/>
      </c>
      <c r="AJ521" s="4">
        <f>MAX(0,W521-MAX(0,Z521-SUM(Q521:V521)))</f>
        <v/>
      </c>
      <c r="AK521" s="4">
        <f>MAX(0,X521-MAX(0,Z521-SUM(Q521:W521)))</f>
        <v/>
      </c>
      <c r="AL521" s="4">
        <f>MAX(0,Y521-MAX(0,Z521-SUM(Q521:X521)))</f>
        <v/>
      </c>
    </row>
    <row r="522">
      <c r="A522" s="4" t="inlineStr">
        <is>
          <t>HASLS22260900201</t>
        </is>
      </c>
      <c r="B522" s="4" t="inlineStr">
        <is>
          <t>SWMM</t>
        </is>
      </c>
      <c r="C522" s="4" t="inlineStr">
        <is>
          <t>2610N</t>
        </is>
      </c>
      <c r="D522" s="4" t="inlineStr">
        <is>
          <t>202610210400</t>
        </is>
      </c>
      <c r="E522" s="4" t="inlineStr"/>
      <c r="F522" s="4" t="inlineStr">
        <is>
          <t>THBKK</t>
        </is>
      </c>
      <c r="G522" s="4" t="inlineStr">
        <is>
          <t>KRPUS</t>
        </is>
      </c>
      <c r="H522" s="4" t="inlineStr">
        <is>
          <t xml:space="preserve">40Hx3 </t>
        </is>
      </c>
      <c r="I522" s="4" t="inlineStr">
        <is>
          <t>BKK04</t>
        </is>
      </c>
      <c r="J522" s="4" t="inlineStr">
        <is>
          <t>PAT TERMINAL 1 (PORT AUTHORITY OF THAILAND)</t>
        </is>
      </c>
      <c r="K522" s="4" t="inlineStr">
        <is>
          <t>20261015</t>
        </is>
      </c>
      <c r="L522" s="4" t="inlineStr">
        <is>
          <t>ECU WORLDWIDE (THAILAND) CO., LTD.</t>
        </is>
      </c>
      <c r="M522" s="4" t="inlineStr">
        <is>
          <t>ECU WORLDWIDE (THAILAND) CO., LTD.</t>
        </is>
      </c>
      <c r="N522" s="4" t="inlineStr">
        <is>
          <t>GENERAL CARGO (CONSOL)</t>
        </is>
      </c>
      <c r="O522" s="4" t="inlineStr">
        <is>
          <t>CONSOL</t>
        </is>
      </c>
      <c r="P522" s="4" t="inlineStr">
        <is>
          <t xml:space="preserve">Pickup : 2026-10-15, Return : 2026-10-16 CONSOL </t>
        </is>
      </c>
      <c r="Q522" s="4" t="n">
        <v>0</v>
      </c>
      <c r="R522" s="4" t="n">
        <v>0</v>
      </c>
      <c r="S522" s="4" t="n">
        <v>3</v>
      </c>
      <c r="T522" s="4" t="n">
        <v>0</v>
      </c>
      <c r="U522" s="4" t="n">
        <v>0</v>
      </c>
      <c r="V522" s="4" t="n">
        <v>0</v>
      </c>
      <c r="W522" s="4" t="n">
        <v>0</v>
      </c>
      <c r="X522" s="4" t="n">
        <v>0</v>
      </c>
      <c r="Y522" s="4" t="n">
        <v>0</v>
      </c>
      <c r="Z522" s="4" t="n">
        <v>0</v>
      </c>
      <c r="AA522" s="4" t="n">
        <v>0</v>
      </c>
      <c r="AB522" s="4">
        <f>SUM(Q522:Y522)-Z522</f>
        <v/>
      </c>
      <c r="AC522" s="4">
        <f>IF(I522="","",IF(OR(LEFT(I522,3)="BKK",I522="LCH55"),"BKK",IF(LEFT(I522,3)="LCH","LCH","OTHER")))</f>
        <v/>
      </c>
      <c r="AD522" s="4">
        <f>MAX(0,Q522-MAX(0,Z522))</f>
        <v/>
      </c>
      <c r="AE522" s="4">
        <f>MAX(0,R522-MAX(0,Z522-SUM(Q522:Q522)))</f>
        <v/>
      </c>
      <c r="AF522" s="4">
        <f>MAX(0,S522-MAX(0,Z522-SUM(Q522:R522)))</f>
        <v/>
      </c>
      <c r="AG522" s="4">
        <f>MAX(0,T522-MAX(0,Z522-SUM(Q522:S522)))</f>
        <v/>
      </c>
      <c r="AH522" s="4">
        <f>MAX(0,U522-MAX(0,Z522-SUM(Q522:T522)))</f>
        <v/>
      </c>
      <c r="AI522" s="4">
        <f>MAX(0,V522-MAX(0,Z522-SUM(Q522:U522)))</f>
        <v/>
      </c>
      <c r="AJ522" s="4">
        <f>MAX(0,W522-MAX(0,Z522-SUM(Q522:V522)))</f>
        <v/>
      </c>
      <c r="AK522" s="4">
        <f>MAX(0,X522-MAX(0,Z522-SUM(Q522:W522)))</f>
        <v/>
      </c>
      <c r="AL522" s="4">
        <f>MAX(0,Y522-MAX(0,Z522-SUM(Q522:X522)))</f>
        <v/>
      </c>
    </row>
    <row r="523">
      <c r="A523" s="4" t="inlineStr">
        <is>
          <t>HASLS22260900206</t>
        </is>
      </c>
      <c r="B523" s="4" t="inlineStr">
        <is>
          <t>SWDN</t>
        </is>
      </c>
      <c r="C523" s="4" t="inlineStr">
        <is>
          <t>2610N</t>
        </is>
      </c>
      <c r="D523" s="4" t="inlineStr">
        <is>
          <t>202610060900</t>
        </is>
      </c>
      <c r="E523" s="4" t="inlineStr"/>
      <c r="F523" s="4" t="inlineStr">
        <is>
          <t>THBKK</t>
        </is>
      </c>
      <c r="G523" s="4" t="inlineStr">
        <is>
          <t>HKHKG</t>
        </is>
      </c>
      <c r="H523" s="4" t="inlineStr">
        <is>
          <t xml:space="preserve">40Hx1 </t>
        </is>
      </c>
      <c r="I523" s="4" t="inlineStr">
        <is>
          <t>BKK04</t>
        </is>
      </c>
      <c r="J523" s="4" t="inlineStr">
        <is>
          <t>PAT TERMINAL 1 (PORT AUTHORITY OF THAILAND)</t>
        </is>
      </c>
      <c r="K523" s="4" t="inlineStr">
        <is>
          <t>20260930</t>
        </is>
      </c>
      <c r="L523" s="4" t="inlineStr">
        <is>
          <t>ACCORD PILOT LOGISTICS (THAILAND) CO., LTD.</t>
        </is>
      </c>
      <c r="M523" s="4" t="inlineStr">
        <is>
          <t>ACCORD PILOT LOGISTICS (THAILAND) CO., LTD.</t>
        </is>
      </c>
      <c r="N523" s="4" t="inlineStr">
        <is>
          <t>GENERAL CARGO (CONSOL)</t>
        </is>
      </c>
      <c r="O523" s="4" t="inlineStr">
        <is>
          <t>CONSOL</t>
        </is>
      </c>
      <c r="P523" s="4" t="inlineStr">
        <is>
          <t xml:space="preserve">Pickup : 2026-09-30, Return : 2026-09-30 CONSOL
 EXTEND CLS TIME : 30/09 @23.59 </t>
        </is>
      </c>
      <c r="Q523" s="4" t="n">
        <v>0</v>
      </c>
      <c r="R523" s="4" t="n">
        <v>0</v>
      </c>
      <c r="S523" s="4" t="n">
        <v>1</v>
      </c>
      <c r="T523" s="4" t="n">
        <v>0</v>
      </c>
      <c r="U523" s="4" t="n">
        <v>0</v>
      </c>
      <c r="V523" s="4" t="n">
        <v>0</v>
      </c>
      <c r="W523" s="4" t="n">
        <v>0</v>
      </c>
      <c r="X523" s="4" t="n">
        <v>0</v>
      </c>
      <c r="Y523" s="4" t="n">
        <v>0</v>
      </c>
      <c r="Z523" s="4" t="n">
        <v>0</v>
      </c>
      <c r="AA523" s="4" t="n">
        <v>0</v>
      </c>
      <c r="AB523" s="4">
        <f>SUM(Q523:Y523)-Z523</f>
        <v/>
      </c>
      <c r="AC523" s="4">
        <f>IF(I523="","",IF(OR(LEFT(I523,3)="BKK",I523="LCH55"),"BKK",IF(LEFT(I523,3)="LCH","LCH","OTHER")))</f>
        <v/>
      </c>
      <c r="AD523" s="4">
        <f>MAX(0,Q523-MAX(0,Z523))</f>
        <v/>
      </c>
      <c r="AE523" s="4">
        <f>MAX(0,R523-MAX(0,Z523-SUM(Q523:Q523)))</f>
        <v/>
      </c>
      <c r="AF523" s="4">
        <f>MAX(0,S523-MAX(0,Z523-SUM(Q523:R523)))</f>
        <v/>
      </c>
      <c r="AG523" s="4">
        <f>MAX(0,T523-MAX(0,Z523-SUM(Q523:S523)))</f>
        <v/>
      </c>
      <c r="AH523" s="4">
        <f>MAX(0,U523-MAX(0,Z523-SUM(Q523:T523)))</f>
        <v/>
      </c>
      <c r="AI523" s="4">
        <f>MAX(0,V523-MAX(0,Z523-SUM(Q523:U523)))</f>
        <v/>
      </c>
      <c r="AJ523" s="4">
        <f>MAX(0,W523-MAX(0,Z523-SUM(Q523:V523)))</f>
        <v/>
      </c>
      <c r="AK523" s="4">
        <f>MAX(0,X523-MAX(0,Z523-SUM(Q523:W523)))</f>
        <v/>
      </c>
      <c r="AL523" s="4">
        <f>MAX(0,Y523-MAX(0,Z523-SUM(Q523:X523)))</f>
        <v/>
      </c>
    </row>
    <row r="524">
      <c r="A524" s="4" t="inlineStr">
        <is>
          <t>HASLS22260900207</t>
        </is>
      </c>
      <c r="B524" s="4" t="inlineStr">
        <is>
          <t>KMGY</t>
        </is>
      </c>
      <c r="C524" s="4" t="inlineStr">
        <is>
          <t>2611N</t>
        </is>
      </c>
      <c r="D524" s="4" t="inlineStr">
        <is>
          <t>202610201000</t>
        </is>
      </c>
      <c r="E524" s="4" t="inlineStr"/>
      <c r="F524" s="4" t="inlineStr">
        <is>
          <t>THBKK</t>
        </is>
      </c>
      <c r="G524" s="4" t="inlineStr">
        <is>
          <t>KRINC</t>
        </is>
      </c>
      <c r="H524" s="4" t="inlineStr">
        <is>
          <t xml:space="preserve">40Hx1 </t>
        </is>
      </c>
      <c r="I524" s="4" t="inlineStr">
        <is>
          <t>BKK04</t>
        </is>
      </c>
      <c r="J524" s="4" t="inlineStr">
        <is>
          <t>PAT TERMINAL 1 (PORT AUTHORITY OF THAILAND)</t>
        </is>
      </c>
      <c r="K524" s="4" t="inlineStr">
        <is>
          <t>20261008</t>
        </is>
      </c>
      <c r="L524" s="4" t="inlineStr">
        <is>
          <t>ECU WORLDWIDE (THAILAND) CO., LTD.</t>
        </is>
      </c>
      <c r="M524" s="4" t="inlineStr">
        <is>
          <t>ECU WORLDWIDE (THAILAND) CO., LTD.</t>
        </is>
      </c>
      <c r="N524" s="4" t="inlineStr">
        <is>
          <t>GENERAL CARGO (CONSOL)</t>
        </is>
      </c>
      <c r="O524" s="4" t="inlineStr">
        <is>
          <t>CONSOL</t>
        </is>
      </c>
      <c r="P524" s="4" t="inlineStr">
        <is>
          <t>Pickup : 2026-10-08, Return : 2026-10-09 CONSOL</t>
        </is>
      </c>
      <c r="Q524" s="4" t="n">
        <v>0</v>
      </c>
      <c r="R524" s="4" t="n">
        <v>0</v>
      </c>
      <c r="S524" s="4" t="n">
        <v>1</v>
      </c>
      <c r="T524" s="4" t="n">
        <v>0</v>
      </c>
      <c r="U524" s="4" t="n">
        <v>0</v>
      </c>
      <c r="V524" s="4" t="n">
        <v>0</v>
      </c>
      <c r="W524" s="4" t="n">
        <v>0</v>
      </c>
      <c r="X524" s="4" t="n">
        <v>0</v>
      </c>
      <c r="Y524" s="4" t="n">
        <v>0</v>
      </c>
      <c r="Z524" s="4" t="n">
        <v>0</v>
      </c>
      <c r="AA524" s="4" t="n">
        <v>0</v>
      </c>
      <c r="AB524" s="4">
        <f>SUM(Q524:Y524)-Z524</f>
        <v/>
      </c>
      <c r="AC524" s="4">
        <f>IF(I524="","",IF(OR(LEFT(I524,3)="BKK",I524="LCH55"),"BKK",IF(LEFT(I524,3)="LCH","LCH","OTHER")))</f>
        <v/>
      </c>
      <c r="AD524" s="4">
        <f>MAX(0,Q524-MAX(0,Z524))</f>
        <v/>
      </c>
      <c r="AE524" s="4">
        <f>MAX(0,R524-MAX(0,Z524-SUM(Q524:Q524)))</f>
        <v/>
      </c>
      <c r="AF524" s="4">
        <f>MAX(0,S524-MAX(0,Z524-SUM(Q524:R524)))</f>
        <v/>
      </c>
      <c r="AG524" s="4">
        <f>MAX(0,T524-MAX(0,Z524-SUM(Q524:S524)))</f>
        <v/>
      </c>
      <c r="AH524" s="4">
        <f>MAX(0,U524-MAX(0,Z524-SUM(Q524:T524)))</f>
        <v/>
      </c>
      <c r="AI524" s="4">
        <f>MAX(0,V524-MAX(0,Z524-SUM(Q524:U524)))</f>
        <v/>
      </c>
      <c r="AJ524" s="4">
        <f>MAX(0,W524-MAX(0,Z524-SUM(Q524:V524)))</f>
        <v/>
      </c>
      <c r="AK524" s="4">
        <f>MAX(0,X524-MAX(0,Z524-SUM(Q524:W524)))</f>
        <v/>
      </c>
      <c r="AL524" s="4">
        <f>MAX(0,Y524-MAX(0,Z524-SUM(Q524:X524)))</f>
        <v/>
      </c>
    </row>
    <row r="525">
      <c r="A525" s="4" t="inlineStr">
        <is>
          <t>HASLS22260900691</t>
        </is>
      </c>
      <c r="B525" s="4" t="inlineStr">
        <is>
          <t>SWDN</t>
        </is>
      </c>
      <c r="C525" s="4" t="inlineStr">
        <is>
          <t>2611N</t>
        </is>
      </c>
      <c r="D525" s="4" t="inlineStr">
        <is>
          <t>202610270900</t>
        </is>
      </c>
      <c r="E525" s="4" t="inlineStr"/>
      <c r="F525" s="4" t="inlineStr">
        <is>
          <t>THBKK</t>
        </is>
      </c>
      <c r="G525" s="4" t="inlineStr">
        <is>
          <t>KRINC</t>
        </is>
      </c>
      <c r="H525" s="4" t="inlineStr">
        <is>
          <t xml:space="preserve">40Hx1 </t>
        </is>
      </c>
      <c r="I525" s="4" t="inlineStr">
        <is>
          <t>BKK04</t>
        </is>
      </c>
      <c r="J525" s="4" t="inlineStr">
        <is>
          <t>PAT TERMINAL 1 (PORT AUTHORITY OF THAILAND)</t>
        </is>
      </c>
      <c r="K525" s="4" t="inlineStr">
        <is>
          <t>20261015</t>
        </is>
      </c>
      <c r="L525" s="4" t="inlineStr">
        <is>
          <t>ECU WORLDWIDE (THAILAND) CO., LTD.</t>
        </is>
      </c>
      <c r="M525" s="4" t="inlineStr">
        <is>
          <t>ECU WORLDWIDE (THAILAND) CO., LTD.</t>
        </is>
      </c>
      <c r="N525" s="4" t="inlineStr">
        <is>
          <t>GENERAL CARGO (CONSOL)</t>
        </is>
      </c>
      <c r="O525" s="4" t="inlineStr">
        <is>
          <t>CONSOL</t>
        </is>
      </c>
      <c r="P525" s="4" t="inlineStr">
        <is>
          <t>Pickup : 2026-10-15, Return : 2026-10-16 CONSOL</t>
        </is>
      </c>
      <c r="Q525" s="4" t="n">
        <v>0</v>
      </c>
      <c r="R525" s="4" t="n">
        <v>0</v>
      </c>
      <c r="S525" s="4" t="n">
        <v>1</v>
      </c>
      <c r="T525" s="4" t="n">
        <v>0</v>
      </c>
      <c r="U525" s="4" t="n">
        <v>0</v>
      </c>
      <c r="V525" s="4" t="n">
        <v>0</v>
      </c>
      <c r="W525" s="4" t="n">
        <v>0</v>
      </c>
      <c r="X525" s="4" t="n">
        <v>0</v>
      </c>
      <c r="Y525" s="4" t="n">
        <v>0</v>
      </c>
      <c r="Z525" s="4" t="n">
        <v>0</v>
      </c>
      <c r="AA525" s="4" t="n">
        <v>0</v>
      </c>
      <c r="AB525" s="4">
        <f>SUM(Q525:Y525)-Z525</f>
        <v/>
      </c>
      <c r="AC525" s="4">
        <f>IF(I525="","",IF(OR(LEFT(I525,3)="BKK",I525="LCH55"),"BKK",IF(LEFT(I525,3)="LCH","LCH","OTHER")))</f>
        <v/>
      </c>
      <c r="AD525" s="4">
        <f>MAX(0,Q525-MAX(0,Z525))</f>
        <v/>
      </c>
      <c r="AE525" s="4">
        <f>MAX(0,R525-MAX(0,Z525-SUM(Q525:Q525)))</f>
        <v/>
      </c>
      <c r="AF525" s="4">
        <f>MAX(0,S525-MAX(0,Z525-SUM(Q525:R525)))</f>
        <v/>
      </c>
      <c r="AG525" s="4">
        <f>MAX(0,T525-MAX(0,Z525-SUM(Q525:S525)))</f>
        <v/>
      </c>
      <c r="AH525" s="4">
        <f>MAX(0,U525-MAX(0,Z525-SUM(Q525:T525)))</f>
        <v/>
      </c>
      <c r="AI525" s="4">
        <f>MAX(0,V525-MAX(0,Z525-SUM(Q525:U525)))</f>
        <v/>
      </c>
      <c r="AJ525" s="4">
        <f>MAX(0,W525-MAX(0,Z525-SUM(Q525:V525)))</f>
        <v/>
      </c>
      <c r="AK525" s="4">
        <f>MAX(0,X525-MAX(0,Z525-SUM(Q525:W525)))</f>
        <v/>
      </c>
      <c r="AL525" s="4">
        <f>MAX(0,Y525-MAX(0,Z525-SUM(Q525:X525)))</f>
        <v/>
      </c>
    </row>
    <row r="526">
      <c r="A526" s="4" t="inlineStr">
        <is>
          <t>HASLS22260900901</t>
        </is>
      </c>
      <c r="B526" s="4" t="inlineStr">
        <is>
          <t>SWMM</t>
        </is>
      </c>
      <c r="C526" s="4" t="inlineStr">
        <is>
          <t>2610N</t>
        </is>
      </c>
      <c r="D526" s="4" t="inlineStr">
        <is>
          <t>202610210400</t>
        </is>
      </c>
      <c r="E526" s="4" t="inlineStr"/>
      <c r="F526" s="4" t="inlineStr">
        <is>
          <t>THBKK</t>
        </is>
      </c>
      <c r="G526" s="4" t="inlineStr">
        <is>
          <t>VNSGN</t>
        </is>
      </c>
      <c r="H526" s="4" t="inlineStr">
        <is>
          <t xml:space="preserve">40Hx2 </t>
        </is>
      </c>
      <c r="I526" s="4" t="inlineStr">
        <is>
          <t>BKK04</t>
        </is>
      </c>
      <c r="J526" s="4" t="inlineStr">
        <is>
          <t>PAT TERMINAL 1 (PORT AUTHORITY OF THAILAND)</t>
        </is>
      </c>
      <c r="K526" s="4" t="inlineStr">
        <is>
          <t>20261015</t>
        </is>
      </c>
      <c r="L526" s="4" t="inlineStr">
        <is>
          <t>ECU WORLDWIDE (THAILAND) CO., LTD.</t>
        </is>
      </c>
      <c r="M526" s="4" t="inlineStr">
        <is>
          <t>ECU WORLDWIDE (THAILAND) CO., LTD.</t>
        </is>
      </c>
      <c r="N526" s="4" t="inlineStr">
        <is>
          <t>GENERAL CARGO (CONSOL)</t>
        </is>
      </c>
      <c r="O526" s="4" t="inlineStr">
        <is>
          <t>CONSOL</t>
        </is>
      </c>
      <c r="P526" s="4" t="inlineStr">
        <is>
          <t>Pickup : 2026-10-15, Return : 2026-10-16 CONSOL</t>
        </is>
      </c>
      <c r="Q526" s="4" t="n">
        <v>0</v>
      </c>
      <c r="R526" s="4" t="n">
        <v>0</v>
      </c>
      <c r="S526" s="4" t="n">
        <v>2</v>
      </c>
      <c r="T526" s="4" t="n">
        <v>0</v>
      </c>
      <c r="U526" s="4" t="n">
        <v>0</v>
      </c>
      <c r="V526" s="4" t="n">
        <v>0</v>
      </c>
      <c r="W526" s="4" t="n">
        <v>0</v>
      </c>
      <c r="X526" s="4" t="n">
        <v>0</v>
      </c>
      <c r="Y526" s="4" t="n">
        <v>0</v>
      </c>
      <c r="Z526" s="4" t="n">
        <v>0</v>
      </c>
      <c r="AA526" s="4" t="n">
        <v>0</v>
      </c>
      <c r="AB526" s="4">
        <f>SUM(Q526:Y526)-Z526</f>
        <v/>
      </c>
      <c r="AC526" s="4">
        <f>IF(I526="","",IF(OR(LEFT(I526,3)="BKK",I526="LCH55"),"BKK",IF(LEFT(I526,3)="LCH","LCH","OTHER")))</f>
        <v/>
      </c>
      <c r="AD526" s="4">
        <f>MAX(0,Q526-MAX(0,Z526))</f>
        <v/>
      </c>
      <c r="AE526" s="4">
        <f>MAX(0,R526-MAX(0,Z526-SUM(Q526:Q526)))</f>
        <v/>
      </c>
      <c r="AF526" s="4">
        <f>MAX(0,S526-MAX(0,Z526-SUM(Q526:R526)))</f>
        <v/>
      </c>
      <c r="AG526" s="4">
        <f>MAX(0,T526-MAX(0,Z526-SUM(Q526:S526)))</f>
        <v/>
      </c>
      <c r="AH526" s="4">
        <f>MAX(0,U526-MAX(0,Z526-SUM(Q526:T526)))</f>
        <v/>
      </c>
      <c r="AI526" s="4">
        <f>MAX(0,V526-MAX(0,Z526-SUM(Q526:U526)))</f>
        <v/>
      </c>
      <c r="AJ526" s="4">
        <f>MAX(0,W526-MAX(0,Z526-SUM(Q526:V526)))</f>
        <v/>
      </c>
      <c r="AK526" s="4">
        <f>MAX(0,X526-MAX(0,Z526-SUM(Q526:W526)))</f>
        <v/>
      </c>
      <c r="AL526" s="4">
        <f>MAX(0,Y526-MAX(0,Z526-SUM(Q526:X526)))</f>
        <v/>
      </c>
    </row>
    <row r="527">
      <c r="A527" s="4" t="inlineStr">
        <is>
          <t>HASLS22260901170</t>
        </is>
      </c>
      <c r="B527" s="4" t="inlineStr">
        <is>
          <t>SWSP</t>
        </is>
      </c>
      <c r="C527" s="4" t="inlineStr">
        <is>
          <t>2609N</t>
        </is>
      </c>
      <c r="D527" s="4" t="inlineStr">
        <is>
          <t>202610071530</t>
        </is>
      </c>
      <c r="E527" s="4" t="inlineStr"/>
      <c r="F527" s="4" t="inlineStr">
        <is>
          <t>THBKK</t>
        </is>
      </c>
      <c r="G527" s="4" t="inlineStr">
        <is>
          <t>VNSGN</t>
        </is>
      </c>
      <c r="H527" s="4" t="inlineStr">
        <is>
          <t xml:space="preserve">40Hx2 </t>
        </is>
      </c>
      <c r="I527" s="4" t="inlineStr">
        <is>
          <t>BKK04</t>
        </is>
      </c>
      <c r="J527" s="4" t="inlineStr">
        <is>
          <t>PAT TERMINAL 1 (PORT AUTHORITY OF THAILAND)</t>
        </is>
      </c>
      <c r="K527" s="4" t="inlineStr">
        <is>
          <t>20260929</t>
        </is>
      </c>
      <c r="L527" s="4" t="inlineStr">
        <is>
          <t>GRANDLINK LOGISTICS CO., LTD.</t>
        </is>
      </c>
      <c r="M527" s="4" t="inlineStr">
        <is>
          <t>GRANDLINK LOGISTICS CO., LTD.</t>
        </is>
      </c>
      <c r="N527" s="4" t="inlineStr">
        <is>
          <t>GENERAL CARGO (CONSOL)</t>
        </is>
      </c>
      <c r="O527" s="4" t="inlineStr">
        <is>
          <t>CONSOL</t>
        </is>
      </c>
      <c r="P527" s="4" t="inlineStr">
        <is>
          <t>Pickup : 2026-09-29, Return : 2026-09-30 CONSOL</t>
        </is>
      </c>
      <c r="Q527" s="4" t="n">
        <v>0</v>
      </c>
      <c r="R527" s="4" t="n">
        <v>0</v>
      </c>
      <c r="S527" s="4" t="n">
        <v>2</v>
      </c>
      <c r="T527" s="4" t="n">
        <v>0</v>
      </c>
      <c r="U527" s="4" t="n">
        <v>0</v>
      </c>
      <c r="V527" s="4" t="n">
        <v>0</v>
      </c>
      <c r="W527" s="4" t="n">
        <v>0</v>
      </c>
      <c r="X527" s="4" t="n">
        <v>0</v>
      </c>
      <c r="Y527" s="4" t="n">
        <v>0</v>
      </c>
      <c r="Z527" s="4" t="n">
        <v>0</v>
      </c>
      <c r="AA527" s="4" t="n">
        <v>0</v>
      </c>
      <c r="AB527" s="4">
        <f>SUM(Q527:Y527)-Z527</f>
        <v/>
      </c>
      <c r="AC527" s="4">
        <f>IF(I527="","",IF(OR(LEFT(I527,3)="BKK",I527="LCH55"),"BKK",IF(LEFT(I527,3)="LCH","LCH","OTHER")))</f>
        <v/>
      </c>
      <c r="AD527" s="4">
        <f>MAX(0,Q527-MAX(0,Z527))</f>
        <v/>
      </c>
      <c r="AE527" s="4">
        <f>MAX(0,R527-MAX(0,Z527-SUM(Q527:Q527)))</f>
        <v/>
      </c>
      <c r="AF527" s="4">
        <f>MAX(0,S527-MAX(0,Z527-SUM(Q527:R527)))</f>
        <v/>
      </c>
      <c r="AG527" s="4">
        <f>MAX(0,T527-MAX(0,Z527-SUM(Q527:S527)))</f>
        <v/>
      </c>
      <c r="AH527" s="4">
        <f>MAX(0,U527-MAX(0,Z527-SUM(Q527:T527)))</f>
        <v/>
      </c>
      <c r="AI527" s="4">
        <f>MAX(0,V527-MAX(0,Z527-SUM(Q527:U527)))</f>
        <v/>
      </c>
      <c r="AJ527" s="4">
        <f>MAX(0,W527-MAX(0,Z527-SUM(Q527:V527)))</f>
        <v/>
      </c>
      <c r="AK527" s="4">
        <f>MAX(0,X527-MAX(0,Z527-SUM(Q527:W527)))</f>
        <v/>
      </c>
      <c r="AL527" s="4">
        <f>MAX(0,Y527-MAX(0,Z527-SUM(Q527:X527)))</f>
        <v/>
      </c>
    </row>
    <row r="528">
      <c r="A528" s="4" t="inlineStr">
        <is>
          <t>HASLS22260901292</t>
        </is>
      </c>
      <c r="B528" s="4" t="inlineStr">
        <is>
          <t>KMGY</t>
        </is>
      </c>
      <c r="C528" s="4" t="inlineStr">
        <is>
          <t>2611N</t>
        </is>
      </c>
      <c r="D528" s="4" t="inlineStr">
        <is>
          <t>202610201000</t>
        </is>
      </c>
      <c r="E528" s="4" t="inlineStr"/>
      <c r="F528" s="4" t="inlineStr">
        <is>
          <t>THBKK</t>
        </is>
      </c>
      <c r="G528" s="4" t="inlineStr">
        <is>
          <t>HKHKG</t>
        </is>
      </c>
      <c r="H528" s="4" t="inlineStr">
        <is>
          <t xml:space="preserve">40Hx1 </t>
        </is>
      </c>
      <c r="I528" s="4" t="inlineStr">
        <is>
          <t>BKK04</t>
        </is>
      </c>
      <c r="J528" s="4" t="inlineStr">
        <is>
          <t>PAT TERMINAL 1 (PORT AUTHORITY OF THAILAND)</t>
        </is>
      </c>
      <c r="K528" s="4" t="inlineStr">
        <is>
          <t>20261016</t>
        </is>
      </c>
      <c r="L528" s="4" t="inlineStr">
        <is>
          <t>THE M CORP GLOBAL CO., LTD.</t>
        </is>
      </c>
      <c r="M528" s="4" t="inlineStr">
        <is>
          <t>THE M CORP GLOBAL CO., LTD.</t>
        </is>
      </c>
      <c r="N528" s="4" t="inlineStr">
        <is>
          <t>GENERAL CARGO</t>
        </is>
      </c>
      <c r="O528" s="4" t="inlineStr">
        <is>
          <t>CONSOL</t>
        </is>
      </c>
      <c r="P528" s="4" t="inlineStr">
        <is>
          <t>Pickup : 2026-10-16, Return : 2026-10-16 CONSOL</t>
        </is>
      </c>
      <c r="Q528" s="4" t="n">
        <v>0</v>
      </c>
      <c r="R528" s="4" t="n">
        <v>0</v>
      </c>
      <c r="S528" s="4" t="n">
        <v>1</v>
      </c>
      <c r="T528" s="4" t="n">
        <v>0</v>
      </c>
      <c r="U528" s="4" t="n">
        <v>0</v>
      </c>
      <c r="V528" s="4" t="n">
        <v>0</v>
      </c>
      <c r="W528" s="4" t="n">
        <v>0</v>
      </c>
      <c r="X528" s="4" t="n">
        <v>0</v>
      </c>
      <c r="Y528" s="4" t="n">
        <v>0</v>
      </c>
      <c r="Z528" s="4" t="n">
        <v>0</v>
      </c>
      <c r="AA528" s="4" t="n">
        <v>0</v>
      </c>
      <c r="AB528" s="4">
        <f>SUM(Q528:Y528)-Z528</f>
        <v/>
      </c>
      <c r="AC528" s="4">
        <f>IF(I528="","",IF(OR(LEFT(I528,3)="BKK",I528="LCH55"),"BKK",IF(LEFT(I528,3)="LCH","LCH","OTHER")))</f>
        <v/>
      </c>
      <c r="AD528" s="4">
        <f>MAX(0,Q528-MAX(0,Z528))</f>
        <v/>
      </c>
      <c r="AE528" s="4">
        <f>MAX(0,R528-MAX(0,Z528-SUM(Q528:Q528)))</f>
        <v/>
      </c>
      <c r="AF528" s="4">
        <f>MAX(0,S528-MAX(0,Z528-SUM(Q528:R528)))</f>
        <v/>
      </c>
      <c r="AG528" s="4">
        <f>MAX(0,T528-MAX(0,Z528-SUM(Q528:S528)))</f>
        <v/>
      </c>
      <c r="AH528" s="4">
        <f>MAX(0,U528-MAX(0,Z528-SUM(Q528:T528)))</f>
        <v/>
      </c>
      <c r="AI528" s="4">
        <f>MAX(0,V528-MAX(0,Z528-SUM(Q528:U528)))</f>
        <v/>
      </c>
      <c r="AJ528" s="4">
        <f>MAX(0,W528-MAX(0,Z528-SUM(Q528:V528)))</f>
        <v/>
      </c>
      <c r="AK528" s="4">
        <f>MAX(0,X528-MAX(0,Z528-SUM(Q528:W528)))</f>
        <v/>
      </c>
      <c r="AL528" s="4">
        <f>MAX(0,Y528-MAX(0,Z528-SUM(Q528:X528)))</f>
        <v/>
      </c>
    </row>
    <row r="529">
      <c r="A529" s="4" t="inlineStr">
        <is>
          <t>HASLS22260901557</t>
        </is>
      </c>
      <c r="B529" s="4" t="inlineStr">
        <is>
          <t>TSXM</t>
        </is>
      </c>
      <c r="C529" s="4" t="inlineStr">
        <is>
          <t>2618N</t>
        </is>
      </c>
      <c r="D529" s="4" t="inlineStr">
        <is>
          <t>202610192100</t>
        </is>
      </c>
      <c r="E529" s="4" t="inlineStr"/>
      <c r="F529" s="4" t="inlineStr">
        <is>
          <t>THBKK</t>
        </is>
      </c>
      <c r="G529" s="4" t="inlineStr">
        <is>
          <t>HKHKG</t>
        </is>
      </c>
      <c r="H529" s="4" t="inlineStr">
        <is>
          <t xml:space="preserve">40Hx4 </t>
        </is>
      </c>
      <c r="I529" s="4" t="inlineStr">
        <is>
          <t>BKK04</t>
        </is>
      </c>
      <c r="J529" s="4" t="inlineStr">
        <is>
          <t>PAT TERMINAL 1 (PORT AUTHORITY OF THAILAND)</t>
        </is>
      </c>
      <c r="K529" s="4" t="inlineStr">
        <is>
          <t>20261016</t>
        </is>
      </c>
      <c r="L529" s="4" t="inlineStr">
        <is>
          <t>PILOT CONSOLIDATOR CO., LTD.</t>
        </is>
      </c>
      <c r="M529" s="4" t="inlineStr">
        <is>
          <t>PILOT CONSOLIDATOR CO., LTD.</t>
        </is>
      </c>
      <c r="N529" s="4" t="inlineStr">
        <is>
          <t>Console</t>
        </is>
      </c>
      <c r="O529" s="4" t="inlineStr">
        <is>
          <t>CONSOL 
CLEAN &amp; GOOD CONTAINERS</t>
        </is>
      </c>
      <c r="P529" s="4" t="inlineStr">
        <is>
          <t xml:space="preserve">Pickup : 2026-10-16, Return : 2026-10-19 CONSOL </t>
        </is>
      </c>
      <c r="Q529" s="4" t="n">
        <v>0</v>
      </c>
      <c r="R529" s="4" t="n">
        <v>0</v>
      </c>
      <c r="S529" s="4" t="n">
        <v>4</v>
      </c>
      <c r="T529" s="4" t="n">
        <v>0</v>
      </c>
      <c r="U529" s="4" t="n">
        <v>0</v>
      </c>
      <c r="V529" s="4" t="n">
        <v>0</v>
      </c>
      <c r="W529" s="4" t="n">
        <v>0</v>
      </c>
      <c r="X529" s="4" t="n">
        <v>0</v>
      </c>
      <c r="Y529" s="4" t="n">
        <v>0</v>
      </c>
      <c r="Z529" s="4" t="n">
        <v>0</v>
      </c>
      <c r="AA529" s="4" t="n">
        <v>0</v>
      </c>
      <c r="AB529" s="4">
        <f>SUM(Q529:Y529)-Z529</f>
        <v/>
      </c>
      <c r="AC529" s="4">
        <f>IF(I529="","",IF(OR(LEFT(I529,3)="BKK",I529="LCH55"),"BKK",IF(LEFT(I529,3)="LCH","LCH","OTHER")))</f>
        <v/>
      </c>
      <c r="AD529" s="4">
        <f>MAX(0,Q529-MAX(0,Z529))</f>
        <v/>
      </c>
      <c r="AE529" s="4">
        <f>MAX(0,R529-MAX(0,Z529-SUM(Q529:Q529)))</f>
        <v/>
      </c>
      <c r="AF529" s="4">
        <f>MAX(0,S529-MAX(0,Z529-SUM(Q529:R529)))</f>
        <v/>
      </c>
      <c r="AG529" s="4">
        <f>MAX(0,T529-MAX(0,Z529-SUM(Q529:S529)))</f>
        <v/>
      </c>
      <c r="AH529" s="4">
        <f>MAX(0,U529-MAX(0,Z529-SUM(Q529:T529)))</f>
        <v/>
      </c>
      <c r="AI529" s="4">
        <f>MAX(0,V529-MAX(0,Z529-SUM(Q529:U529)))</f>
        <v/>
      </c>
      <c r="AJ529" s="4">
        <f>MAX(0,W529-MAX(0,Z529-SUM(Q529:V529)))</f>
        <v/>
      </c>
      <c r="AK529" s="4">
        <f>MAX(0,X529-MAX(0,Z529-SUM(Q529:W529)))</f>
        <v/>
      </c>
      <c r="AL529" s="4">
        <f>MAX(0,Y529-MAX(0,Z529-SUM(Q529:X529)))</f>
        <v/>
      </c>
    </row>
    <row r="530">
      <c r="A530" s="4" t="inlineStr">
        <is>
          <t>HASLS22260901602</t>
        </is>
      </c>
      <c r="B530" s="4" t="inlineStr">
        <is>
          <t>SWSP</t>
        </is>
      </c>
      <c r="C530" s="4" t="inlineStr">
        <is>
          <t>2609N</t>
        </is>
      </c>
      <c r="D530" s="4" t="inlineStr">
        <is>
          <t>202610071530</t>
        </is>
      </c>
      <c r="E530" s="4" t="inlineStr"/>
      <c r="F530" s="4" t="inlineStr">
        <is>
          <t>THBKK</t>
        </is>
      </c>
      <c r="G530" s="4" t="inlineStr">
        <is>
          <t>KRPUS</t>
        </is>
      </c>
      <c r="H530" s="4" t="inlineStr">
        <is>
          <t xml:space="preserve">40Hx1 20'x1 </t>
        </is>
      </c>
      <c r="I530" s="4" t="inlineStr">
        <is>
          <t>BKK04</t>
        </is>
      </c>
      <c r="J530" s="4" t="inlineStr">
        <is>
          <t>PAT TERMINAL 1 (PORT AUTHORITY OF THAILAND)</t>
        </is>
      </c>
      <c r="K530" s="4" t="inlineStr">
        <is>
          <t>20261001</t>
        </is>
      </c>
      <c r="L530" s="4" t="inlineStr">
        <is>
          <t>GATEWAY CONTAINER LINE CO., LTD.</t>
        </is>
      </c>
      <c r="M530" s="4" t="inlineStr">
        <is>
          <t>GATEWAY CONTAINER LINE CO., LTD.</t>
        </is>
      </c>
      <c r="N530" s="4" t="inlineStr">
        <is>
          <t>GENERAL CARGO CONSOL</t>
        </is>
      </c>
      <c r="O530" s="4" t="inlineStr">
        <is>
          <t>CONSOL</t>
        </is>
      </c>
      <c r="P530" s="4" t="inlineStr">
        <is>
          <t>Pickup : 2026-10-01, Return : 2026-10-02 CONSOL</t>
        </is>
      </c>
      <c r="Q530" s="4" t="n">
        <v>1</v>
      </c>
      <c r="R530" s="4" t="n">
        <v>0</v>
      </c>
      <c r="S530" s="4" t="n">
        <v>1</v>
      </c>
      <c r="T530" s="4" t="n">
        <v>0</v>
      </c>
      <c r="U530" s="4" t="n">
        <v>0</v>
      </c>
      <c r="V530" s="4" t="n">
        <v>0</v>
      </c>
      <c r="W530" s="4" t="n">
        <v>0</v>
      </c>
      <c r="X530" s="4" t="n">
        <v>0</v>
      </c>
      <c r="Y530" s="4" t="n">
        <v>0</v>
      </c>
      <c r="Z530" s="4" t="n">
        <v>0</v>
      </c>
      <c r="AA530" s="4" t="n">
        <v>0</v>
      </c>
      <c r="AB530" s="4">
        <f>SUM(Q530:Y530)-Z530</f>
        <v/>
      </c>
      <c r="AC530" s="4">
        <f>IF(I530="","",IF(OR(LEFT(I530,3)="BKK",I530="LCH55"),"BKK",IF(LEFT(I530,3)="LCH","LCH","OTHER")))</f>
        <v/>
      </c>
      <c r="AD530" s="4">
        <f>MAX(0,Q530-MAX(0,Z530))</f>
        <v/>
      </c>
      <c r="AE530" s="4">
        <f>MAX(0,R530-MAX(0,Z530-SUM(Q530:Q530)))</f>
        <v/>
      </c>
      <c r="AF530" s="4">
        <f>MAX(0,S530-MAX(0,Z530-SUM(Q530:R530)))</f>
        <v/>
      </c>
      <c r="AG530" s="4">
        <f>MAX(0,T530-MAX(0,Z530-SUM(Q530:S530)))</f>
        <v/>
      </c>
      <c r="AH530" s="4">
        <f>MAX(0,U530-MAX(0,Z530-SUM(Q530:T530)))</f>
        <v/>
      </c>
      <c r="AI530" s="4">
        <f>MAX(0,V530-MAX(0,Z530-SUM(Q530:U530)))</f>
        <v/>
      </c>
      <c r="AJ530" s="4">
        <f>MAX(0,W530-MAX(0,Z530-SUM(Q530:V530)))</f>
        <v/>
      </c>
      <c r="AK530" s="4">
        <f>MAX(0,X530-MAX(0,Z530-SUM(Q530:W530)))</f>
        <v/>
      </c>
      <c r="AL530" s="4">
        <f>MAX(0,Y530-MAX(0,Z530-SUM(Q530:X530)))</f>
        <v/>
      </c>
    </row>
    <row r="531">
      <c r="A531" s="4" t="inlineStr">
        <is>
          <t>HASLS22260901604</t>
        </is>
      </c>
      <c r="B531" s="4" t="inlineStr">
        <is>
          <t>SWMM</t>
        </is>
      </c>
      <c r="C531" s="4" t="inlineStr">
        <is>
          <t>2610N</t>
        </is>
      </c>
      <c r="D531" s="4" t="inlineStr">
        <is>
          <t>202610210400</t>
        </is>
      </c>
      <c r="E531" s="4" t="inlineStr"/>
      <c r="F531" s="4" t="inlineStr">
        <is>
          <t>THBKK</t>
        </is>
      </c>
      <c r="G531" s="4" t="inlineStr">
        <is>
          <t>KRPUS</t>
        </is>
      </c>
      <c r="H531" s="4" t="inlineStr">
        <is>
          <t xml:space="preserve">40Hx1 20'x1 </t>
        </is>
      </c>
      <c r="I531" s="4" t="inlineStr">
        <is>
          <t>BKK04</t>
        </is>
      </c>
      <c r="J531" s="4" t="inlineStr">
        <is>
          <t>PAT TERMINAL 1 (PORT AUTHORITY OF THAILAND)</t>
        </is>
      </c>
      <c r="K531" s="4" t="inlineStr">
        <is>
          <t>20261014</t>
        </is>
      </c>
      <c r="L531" s="4" t="inlineStr">
        <is>
          <t>GATEWAY CONTAINER LINE CO., LTD.</t>
        </is>
      </c>
      <c r="M531" s="4" t="inlineStr">
        <is>
          <t>GATEWAY CONTAINER LINE CO., LTD.</t>
        </is>
      </c>
      <c r="N531" s="4" t="inlineStr">
        <is>
          <t>GENERAL CARGO CONSOL</t>
        </is>
      </c>
      <c r="O531" s="4" t="inlineStr">
        <is>
          <t>CONSOL</t>
        </is>
      </c>
      <c r="P531" s="4" t="inlineStr">
        <is>
          <t>Pickup : 2026-10-14, Return : 2026-10-16 CONSOL</t>
        </is>
      </c>
      <c r="Q531" s="4" t="n">
        <v>1</v>
      </c>
      <c r="R531" s="4" t="n">
        <v>0</v>
      </c>
      <c r="S531" s="4" t="n">
        <v>1</v>
      </c>
      <c r="T531" s="4" t="n">
        <v>0</v>
      </c>
      <c r="U531" s="4" t="n">
        <v>0</v>
      </c>
      <c r="V531" s="4" t="n">
        <v>0</v>
      </c>
      <c r="W531" s="4" t="n">
        <v>0</v>
      </c>
      <c r="X531" s="4" t="n">
        <v>0</v>
      </c>
      <c r="Y531" s="4" t="n">
        <v>0</v>
      </c>
      <c r="Z531" s="4" t="n">
        <v>0</v>
      </c>
      <c r="AA531" s="4" t="n">
        <v>0</v>
      </c>
      <c r="AB531" s="4">
        <f>SUM(Q531:Y531)-Z531</f>
        <v/>
      </c>
      <c r="AC531" s="4">
        <f>IF(I531="","",IF(OR(LEFT(I531,3)="BKK",I531="LCH55"),"BKK",IF(LEFT(I531,3)="LCH","LCH","OTHER")))</f>
        <v/>
      </c>
      <c r="AD531" s="4">
        <f>MAX(0,Q531-MAX(0,Z531))</f>
        <v/>
      </c>
      <c r="AE531" s="4">
        <f>MAX(0,R531-MAX(0,Z531-SUM(Q531:Q531)))</f>
        <v/>
      </c>
      <c r="AF531" s="4">
        <f>MAX(0,S531-MAX(0,Z531-SUM(Q531:R531)))</f>
        <v/>
      </c>
      <c r="AG531" s="4">
        <f>MAX(0,T531-MAX(0,Z531-SUM(Q531:S531)))</f>
        <v/>
      </c>
      <c r="AH531" s="4">
        <f>MAX(0,U531-MAX(0,Z531-SUM(Q531:T531)))</f>
        <v/>
      </c>
      <c r="AI531" s="4">
        <f>MAX(0,V531-MAX(0,Z531-SUM(Q531:U531)))</f>
        <v/>
      </c>
      <c r="AJ531" s="4">
        <f>MAX(0,W531-MAX(0,Z531-SUM(Q531:V531)))</f>
        <v/>
      </c>
      <c r="AK531" s="4">
        <f>MAX(0,X531-MAX(0,Z531-SUM(Q531:W531)))</f>
        <v/>
      </c>
      <c r="AL531" s="4">
        <f>MAX(0,Y531-MAX(0,Z531-SUM(Q531:X531)))</f>
        <v/>
      </c>
    </row>
    <row r="532">
      <c r="A532" s="4" t="inlineStr">
        <is>
          <t>HASLS22260901654</t>
        </is>
      </c>
      <c r="B532" s="4" t="inlineStr">
        <is>
          <t>SWMM</t>
        </is>
      </c>
      <c r="C532" s="4" t="inlineStr">
        <is>
          <t>2610N</t>
        </is>
      </c>
      <c r="D532" s="4" t="inlineStr">
        <is>
          <t>202610210400</t>
        </is>
      </c>
      <c r="E532" s="4" t="inlineStr"/>
      <c r="F532" s="4" t="inlineStr">
        <is>
          <t>THBKK</t>
        </is>
      </c>
      <c r="G532" s="4" t="inlineStr">
        <is>
          <t>VNSGN</t>
        </is>
      </c>
      <c r="H532" s="4" t="inlineStr">
        <is>
          <t xml:space="preserve">20'x4 </t>
        </is>
      </c>
      <c r="I532" s="4" t="inlineStr">
        <is>
          <t>BKK04</t>
        </is>
      </c>
      <c r="J532" s="4" t="inlineStr">
        <is>
          <t>PAT TERMINAL 1 (PORT AUTHORITY OF THAILAND)</t>
        </is>
      </c>
      <c r="K532" s="4" t="inlineStr">
        <is>
          <t>20261016</t>
        </is>
      </c>
      <c r="L532" s="4" t="inlineStr">
        <is>
          <t>EXPEDITORS (THAILAND) LTD.</t>
        </is>
      </c>
      <c r="M532" s="4" t="inlineStr">
        <is>
          <t>MINERAL RESOURCES DEVELOPMENT CO., LTD.</t>
        </is>
      </c>
      <c r="N532" s="4" t="inlineStr">
        <is>
          <t>KAOLIN</t>
        </is>
      </c>
      <c r="O532" s="4" t="inlineStr">
        <is>
          <t>GOOD AND CLEAN CONTAINER</t>
        </is>
      </c>
      <c r="P532" s="4" t="inlineStr">
        <is>
          <t xml:space="preserve">STUFFING CARGO @PAT (SPORTLIGHT TOWER NO.2) DD.16/10/26 
CLS TIME CFS DD.16/10/26 - 17:00HRS. *1ST CFS DD.15/10/2026*
</t>
        </is>
      </c>
      <c r="Q532" s="4" t="n">
        <v>4</v>
      </c>
      <c r="R532" s="4" t="n">
        <v>0</v>
      </c>
      <c r="S532" s="4" t="n">
        <v>0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>
        <f>SUM(Q532:Y532)-Z532</f>
        <v/>
      </c>
      <c r="AC532" s="4">
        <f>IF(I532="","",IF(OR(LEFT(I532,3)="BKK",I532="LCH55"),"BKK",IF(LEFT(I532,3)="LCH","LCH","OTHER")))</f>
        <v/>
      </c>
      <c r="AD532" s="4">
        <f>MAX(0,Q532-MAX(0,Z532))</f>
        <v/>
      </c>
      <c r="AE532" s="4">
        <f>MAX(0,R532-MAX(0,Z532-SUM(Q532:Q532)))</f>
        <v/>
      </c>
      <c r="AF532" s="4">
        <f>MAX(0,S532-MAX(0,Z532-SUM(Q532:R532)))</f>
        <v/>
      </c>
      <c r="AG532" s="4">
        <f>MAX(0,T532-MAX(0,Z532-SUM(Q532:S532)))</f>
        <v/>
      </c>
      <c r="AH532" s="4">
        <f>MAX(0,U532-MAX(0,Z532-SUM(Q532:T532)))</f>
        <v/>
      </c>
      <c r="AI532" s="4">
        <f>MAX(0,V532-MAX(0,Z532-SUM(Q532:U532)))</f>
        <v/>
      </c>
      <c r="AJ532" s="4">
        <f>MAX(0,W532-MAX(0,Z532-SUM(Q532:V532)))</f>
        <v/>
      </c>
      <c r="AK532" s="4">
        <f>MAX(0,X532-MAX(0,Z532-SUM(Q532:W532)))</f>
        <v/>
      </c>
      <c r="AL532" s="4">
        <f>MAX(0,Y532-MAX(0,Z532-SUM(Q532:X532)))</f>
        <v/>
      </c>
    </row>
    <row r="533">
      <c r="A533" s="4" t="inlineStr">
        <is>
          <t>HASLS22260901756</t>
        </is>
      </c>
      <c r="B533" s="4" t="inlineStr">
        <is>
          <t>SWMM</t>
        </is>
      </c>
      <c r="C533" s="4" t="inlineStr">
        <is>
          <t>2610N</t>
        </is>
      </c>
      <c r="D533" s="4" t="inlineStr">
        <is>
          <t>202610210400</t>
        </is>
      </c>
      <c r="E533" s="4" t="inlineStr"/>
      <c r="F533" s="4" t="inlineStr">
        <is>
          <t>THBKK</t>
        </is>
      </c>
      <c r="G533" s="4" t="inlineStr">
        <is>
          <t>VNSGN</t>
        </is>
      </c>
      <c r="H533" s="4" t="inlineStr">
        <is>
          <t xml:space="preserve">40Hx1 </t>
        </is>
      </c>
      <c r="I533" s="4" t="inlineStr">
        <is>
          <t>BKK04</t>
        </is>
      </c>
      <c r="J533" s="4" t="inlineStr">
        <is>
          <t>PAT TERMINAL 1 (PORT AUTHORITY OF THAILAND)</t>
        </is>
      </c>
      <c r="K533" s="4" t="inlineStr">
        <is>
          <t>20261014</t>
        </is>
      </c>
      <c r="L533" s="4" t="inlineStr">
        <is>
          <t>PROFREIGHT INTERNATIONAL CO., LTD.</t>
        </is>
      </c>
      <c r="M533" s="4" t="inlineStr">
        <is>
          <t>SIAM BROTHERS CORP.,LTD.</t>
        </is>
      </c>
      <c r="N533" s="4" t="inlineStr">
        <is>
          <t>FISHING NETS</t>
        </is>
      </c>
      <c r="O533" s="4" t="inlineStr">
        <is>
          <t>REQ: GOOD &amp; CLEAN CONTAINER,NO LEAK,NO RUST,NO SMELL,NO BURR,NOT WET,GOOD FLOOR.</t>
        </is>
      </c>
      <c r="P533" s="4" t="inlineStr">
        <is>
          <t xml:space="preserve">STUFFING CARGO @PAT (SPORTLIGHT TOWER NO.2) DD.14/10/26 CLS TIME CFS DD.15/10/26 - 17:00HRS.
</t>
        </is>
      </c>
      <c r="Q533" s="4" t="n">
        <v>0</v>
      </c>
      <c r="R533" s="4" t="n">
        <v>0</v>
      </c>
      <c r="S533" s="4" t="n">
        <v>1</v>
      </c>
      <c r="T533" s="4" t="n">
        <v>0</v>
      </c>
      <c r="U533" s="4" t="n">
        <v>0</v>
      </c>
      <c r="V533" s="4" t="n">
        <v>0</v>
      </c>
      <c r="W533" s="4" t="n">
        <v>0</v>
      </c>
      <c r="X533" s="4" t="n">
        <v>0</v>
      </c>
      <c r="Y533" s="4" t="n">
        <v>0</v>
      </c>
      <c r="Z533" s="4" t="n">
        <v>0</v>
      </c>
      <c r="AA533" s="4" t="n">
        <v>0</v>
      </c>
      <c r="AB533" s="4">
        <f>SUM(Q533:Y533)-Z533</f>
        <v/>
      </c>
      <c r="AC533" s="4">
        <f>IF(I533="","",IF(OR(LEFT(I533,3)="BKK",I533="LCH55"),"BKK",IF(LEFT(I533,3)="LCH","LCH","OTHER")))</f>
        <v/>
      </c>
      <c r="AD533" s="4">
        <f>MAX(0,Q533-MAX(0,Z533))</f>
        <v/>
      </c>
      <c r="AE533" s="4">
        <f>MAX(0,R533-MAX(0,Z533-SUM(Q533:Q533)))</f>
        <v/>
      </c>
      <c r="AF533" s="4">
        <f>MAX(0,S533-MAX(0,Z533-SUM(Q533:R533)))</f>
        <v/>
      </c>
      <c r="AG533" s="4">
        <f>MAX(0,T533-MAX(0,Z533-SUM(Q533:S533)))</f>
        <v/>
      </c>
      <c r="AH533" s="4">
        <f>MAX(0,U533-MAX(0,Z533-SUM(Q533:T533)))</f>
        <v/>
      </c>
      <c r="AI533" s="4">
        <f>MAX(0,V533-MAX(0,Z533-SUM(Q533:U533)))</f>
        <v/>
      </c>
      <c r="AJ533" s="4">
        <f>MAX(0,W533-MAX(0,Z533-SUM(Q533:V533)))</f>
        <v/>
      </c>
      <c r="AK533" s="4">
        <f>MAX(0,X533-MAX(0,Z533-SUM(Q533:W533)))</f>
        <v/>
      </c>
      <c r="AL533" s="4">
        <f>MAX(0,Y533-MAX(0,Z533-SUM(Q533:X533)))</f>
        <v/>
      </c>
    </row>
    <row r="534">
      <c r="A534" s="4" t="inlineStr">
        <is>
          <t>HASLS22260901803</t>
        </is>
      </c>
      <c r="B534" s="4" t="inlineStr">
        <is>
          <t>SWDN</t>
        </is>
      </c>
      <c r="C534" s="4" t="inlineStr">
        <is>
          <t>2610N</t>
        </is>
      </c>
      <c r="D534" s="4" t="inlineStr">
        <is>
          <t>202610060900</t>
        </is>
      </c>
      <c r="E534" s="4" t="inlineStr"/>
      <c r="F534" s="4" t="inlineStr">
        <is>
          <t>THBKK</t>
        </is>
      </c>
      <c r="G534" s="4" t="inlineStr">
        <is>
          <t>HKHKG</t>
        </is>
      </c>
      <c r="H534" s="4" t="inlineStr">
        <is>
          <t xml:space="preserve">20'x1 </t>
        </is>
      </c>
      <c r="I534" s="4" t="inlineStr">
        <is>
          <t>BKK04</t>
        </is>
      </c>
      <c r="J534" s="4" t="inlineStr">
        <is>
          <t>PAT TERMINAL 1 (PORT AUTHORITY OF THAILAND)</t>
        </is>
      </c>
      <c r="K534" s="4" t="inlineStr">
        <is>
          <t>20260929</t>
        </is>
      </c>
      <c r="L534" s="4" t="inlineStr">
        <is>
          <t>TRANSPEED CO.,LTD.</t>
        </is>
      </c>
      <c r="M534" s="4" t="inlineStr">
        <is>
          <t>WISUNO ELECTRONICS CO., LTD.</t>
        </is>
      </c>
      <c r="N534" s="4" t="inlineStr">
        <is>
          <t>TRANSFORMER</t>
        </is>
      </c>
      <c r="O534" s="4" t="inlineStr">
        <is>
          <t>GOOD AND CLEAN CONTAINER</t>
        </is>
      </c>
      <c r="P534" s="4" t="inlineStr">
        <is>
          <t>STUFFING DD.29/09/2026 @ PAT (SPORTLIGHT TOWER NO.2)
CLS TIME DD.30/09/2026 @ 17.00 *1ST CFS DD.29/09/2026**</t>
        </is>
      </c>
      <c r="Q534" s="4" t="n">
        <v>1</v>
      </c>
      <c r="R534" s="4" t="n">
        <v>0</v>
      </c>
      <c r="S534" s="4" t="n">
        <v>0</v>
      </c>
      <c r="T534" s="4" t="n">
        <v>0</v>
      </c>
      <c r="U534" s="4" t="n">
        <v>0</v>
      </c>
      <c r="V534" s="4" t="n">
        <v>0</v>
      </c>
      <c r="W534" s="4" t="n">
        <v>0</v>
      </c>
      <c r="X534" s="4" t="n">
        <v>0</v>
      </c>
      <c r="Y534" s="4" t="n">
        <v>0</v>
      </c>
      <c r="Z534" s="4" t="n">
        <v>0</v>
      </c>
      <c r="AA534" s="4" t="n">
        <v>0</v>
      </c>
      <c r="AB534" s="4">
        <f>SUM(Q534:Y534)-Z534</f>
        <v/>
      </c>
      <c r="AC534" s="4">
        <f>IF(I534="","",IF(OR(LEFT(I534,3)="BKK",I534="LCH55"),"BKK",IF(LEFT(I534,3)="LCH","LCH","OTHER")))</f>
        <v/>
      </c>
      <c r="AD534" s="4">
        <f>MAX(0,Q534-MAX(0,Z534))</f>
        <v/>
      </c>
      <c r="AE534" s="4">
        <f>MAX(0,R534-MAX(0,Z534-SUM(Q534:Q534)))</f>
        <v/>
      </c>
      <c r="AF534" s="4">
        <f>MAX(0,S534-MAX(0,Z534-SUM(Q534:R534)))</f>
        <v/>
      </c>
      <c r="AG534" s="4">
        <f>MAX(0,T534-MAX(0,Z534-SUM(Q534:S534)))</f>
        <v/>
      </c>
      <c r="AH534" s="4">
        <f>MAX(0,U534-MAX(0,Z534-SUM(Q534:T534)))</f>
        <v/>
      </c>
      <c r="AI534" s="4">
        <f>MAX(0,V534-MAX(0,Z534-SUM(Q534:U534)))</f>
        <v/>
      </c>
      <c r="AJ534" s="4">
        <f>MAX(0,W534-MAX(0,Z534-SUM(Q534:V534)))</f>
        <v/>
      </c>
      <c r="AK534" s="4">
        <f>MAX(0,X534-MAX(0,Z534-SUM(Q534:W534)))</f>
        <v/>
      </c>
      <c r="AL534" s="4">
        <f>MAX(0,Y534-MAX(0,Z534-SUM(Q534:X534)))</f>
        <v/>
      </c>
    </row>
    <row r="535">
      <c r="A535" s="4" t="inlineStr">
        <is>
          <t>HASLS22260902282</t>
        </is>
      </c>
      <c r="B535" s="4" t="inlineStr">
        <is>
          <t>SWMM</t>
        </is>
      </c>
      <c r="C535" s="4" t="inlineStr">
        <is>
          <t>2610N</t>
        </is>
      </c>
      <c r="D535" s="4" t="inlineStr">
        <is>
          <t>202610210400</t>
        </is>
      </c>
      <c r="E535" s="4" t="inlineStr"/>
      <c r="F535" s="4" t="inlineStr">
        <is>
          <t>THBKK</t>
        </is>
      </c>
      <c r="G535" s="4" t="inlineStr">
        <is>
          <t>VNSGN</t>
        </is>
      </c>
      <c r="H535" s="4" t="inlineStr">
        <is>
          <t xml:space="preserve">40Hx1 </t>
        </is>
      </c>
      <c r="I535" s="4" t="inlineStr">
        <is>
          <t>BKK04</t>
        </is>
      </c>
      <c r="J535" s="4" t="inlineStr">
        <is>
          <t>PAT TERMINAL 1 (PORT AUTHORITY OF THAILAND)</t>
        </is>
      </c>
      <c r="K535" s="4" t="inlineStr">
        <is>
          <t>20261016</t>
        </is>
      </c>
      <c r="L535" s="4" t="inlineStr">
        <is>
          <t>QUANTERM LOGISTICS (THAILAND) CO., LTD.</t>
        </is>
      </c>
      <c r="M535" s="4" t="inlineStr">
        <is>
          <t>QUANTERM LOGISTICS (THAILAND) CO., LTD.</t>
        </is>
      </c>
      <c r="N535" s="4" t="inlineStr">
        <is>
          <t>GENERAL CARGO</t>
        </is>
      </c>
      <c r="O535" s="4" t="inlineStr">
        <is>
          <t>CONSOL</t>
        </is>
      </c>
      <c r="P535" s="4" t="inlineStr">
        <is>
          <t xml:space="preserve">Pickup : 2026-10-16, Return : 2026-09-16 CONSOL </t>
        </is>
      </c>
      <c r="Q535" s="4" t="n">
        <v>0</v>
      </c>
      <c r="R535" s="4" t="n">
        <v>0</v>
      </c>
      <c r="S535" s="4" t="n">
        <v>1</v>
      </c>
      <c r="T535" s="4" t="n">
        <v>0</v>
      </c>
      <c r="U535" s="4" t="n">
        <v>0</v>
      </c>
      <c r="V535" s="4" t="n">
        <v>0</v>
      </c>
      <c r="W535" s="4" t="n">
        <v>0</v>
      </c>
      <c r="X535" s="4" t="n">
        <v>0</v>
      </c>
      <c r="Y535" s="4" t="n">
        <v>0</v>
      </c>
      <c r="Z535" s="4" t="n">
        <v>0</v>
      </c>
      <c r="AA535" s="4" t="n">
        <v>0</v>
      </c>
      <c r="AB535" s="4">
        <f>SUM(Q535:Y535)-Z535</f>
        <v/>
      </c>
      <c r="AC535" s="4">
        <f>IF(I535="","",IF(OR(LEFT(I535,3)="BKK",I535="LCH55"),"BKK",IF(LEFT(I535,3)="LCH","LCH","OTHER")))</f>
        <v/>
      </c>
      <c r="AD535" s="4">
        <f>MAX(0,Q535-MAX(0,Z535))</f>
        <v/>
      </c>
      <c r="AE535" s="4">
        <f>MAX(0,R535-MAX(0,Z535-SUM(Q535:Q535)))</f>
        <v/>
      </c>
      <c r="AF535" s="4">
        <f>MAX(0,S535-MAX(0,Z535-SUM(Q535:R535)))</f>
        <v/>
      </c>
      <c r="AG535" s="4">
        <f>MAX(0,T535-MAX(0,Z535-SUM(Q535:S535)))</f>
        <v/>
      </c>
      <c r="AH535" s="4">
        <f>MAX(0,U535-MAX(0,Z535-SUM(Q535:T535)))</f>
        <v/>
      </c>
      <c r="AI535" s="4">
        <f>MAX(0,V535-MAX(0,Z535-SUM(Q535:U535)))</f>
        <v/>
      </c>
      <c r="AJ535" s="4">
        <f>MAX(0,W535-MAX(0,Z535-SUM(Q535:V535)))</f>
        <v/>
      </c>
      <c r="AK535" s="4">
        <f>MAX(0,X535-MAX(0,Z535-SUM(Q535:W535)))</f>
        <v/>
      </c>
      <c r="AL535" s="4">
        <f>MAX(0,Y535-MAX(0,Z535-SUM(Q535:X535)))</f>
        <v/>
      </c>
    </row>
    <row r="536">
      <c r="A536" s="4" t="inlineStr">
        <is>
          <t>HASLS22260902455</t>
        </is>
      </c>
      <c r="B536" s="4" t="inlineStr">
        <is>
          <t>SWMM</t>
        </is>
      </c>
      <c r="C536" s="4" t="inlineStr">
        <is>
          <t>2610N</t>
        </is>
      </c>
      <c r="D536" s="4" t="inlineStr">
        <is>
          <t>202610210400</t>
        </is>
      </c>
      <c r="E536" s="4" t="inlineStr"/>
      <c r="F536" s="4" t="inlineStr">
        <is>
          <t>THBKK</t>
        </is>
      </c>
      <c r="G536" s="4" t="inlineStr">
        <is>
          <t>KRPUS</t>
        </is>
      </c>
      <c r="H536" s="4" t="inlineStr">
        <is>
          <t xml:space="preserve">40Hx2 </t>
        </is>
      </c>
      <c r="I536" s="4" t="inlineStr">
        <is>
          <t>BKK04</t>
        </is>
      </c>
      <c r="J536" s="4" t="inlineStr">
        <is>
          <t>PAT TERMINAL 1 (PORT AUTHORITY OF THAILAND)</t>
        </is>
      </c>
      <c r="K536" s="4" t="inlineStr">
        <is>
          <t>20261015</t>
        </is>
      </c>
      <c r="L536" s="4" t="inlineStr">
        <is>
          <t>ECU WORLDWIDE (THAILAND) CO., LTD.</t>
        </is>
      </c>
      <c r="M536" s="4" t="inlineStr">
        <is>
          <t>ECU WORLDWIDE (THAILAND) CO., LTD.</t>
        </is>
      </c>
      <c r="N536" s="4" t="inlineStr">
        <is>
          <t>GENERAL CARGO (CONSOL)</t>
        </is>
      </c>
      <c r="O536" s="4" t="inlineStr">
        <is>
          <t>CONSOL</t>
        </is>
      </c>
      <c r="P536" s="4" t="inlineStr">
        <is>
          <t>Pickup : 2026-10-15, Return : 2026-10-16 CONSOL</t>
        </is>
      </c>
      <c r="Q536" s="4" t="n">
        <v>0</v>
      </c>
      <c r="R536" s="4" t="n">
        <v>0</v>
      </c>
      <c r="S536" s="4" t="n">
        <v>2</v>
      </c>
      <c r="T536" s="4" t="n">
        <v>0</v>
      </c>
      <c r="U536" s="4" t="n">
        <v>0</v>
      </c>
      <c r="V536" s="4" t="n">
        <v>0</v>
      </c>
      <c r="W536" s="4" t="n">
        <v>0</v>
      </c>
      <c r="X536" s="4" t="n">
        <v>0</v>
      </c>
      <c r="Y536" s="4" t="n">
        <v>0</v>
      </c>
      <c r="Z536" s="4" t="n">
        <v>0</v>
      </c>
      <c r="AA536" s="4" t="n">
        <v>0</v>
      </c>
      <c r="AB536" s="4">
        <f>SUM(Q536:Y536)-Z536</f>
        <v/>
      </c>
      <c r="AC536" s="4">
        <f>IF(I536="","",IF(OR(LEFT(I536,3)="BKK",I536="LCH55"),"BKK",IF(LEFT(I536,3)="LCH","LCH","OTHER")))</f>
        <v/>
      </c>
      <c r="AD536" s="4">
        <f>MAX(0,Q536-MAX(0,Z536))</f>
        <v/>
      </c>
      <c r="AE536" s="4">
        <f>MAX(0,R536-MAX(0,Z536-SUM(Q536:Q536)))</f>
        <v/>
      </c>
      <c r="AF536" s="4">
        <f>MAX(0,S536-MAX(0,Z536-SUM(Q536:R536)))</f>
        <v/>
      </c>
      <c r="AG536" s="4">
        <f>MAX(0,T536-MAX(0,Z536-SUM(Q536:S536)))</f>
        <v/>
      </c>
      <c r="AH536" s="4">
        <f>MAX(0,U536-MAX(0,Z536-SUM(Q536:T536)))</f>
        <v/>
      </c>
      <c r="AI536" s="4">
        <f>MAX(0,V536-MAX(0,Z536-SUM(Q536:U536)))</f>
        <v/>
      </c>
      <c r="AJ536" s="4">
        <f>MAX(0,W536-MAX(0,Z536-SUM(Q536:V536)))</f>
        <v/>
      </c>
      <c r="AK536" s="4">
        <f>MAX(0,X536-MAX(0,Z536-SUM(Q536:W536)))</f>
        <v/>
      </c>
      <c r="AL536" s="4">
        <f>MAX(0,Y536-MAX(0,Z536-SUM(Q536:X536)))</f>
        <v/>
      </c>
    </row>
    <row r="537">
      <c r="A537" s="4" t="inlineStr">
        <is>
          <t>HASLS22260801209</t>
        </is>
      </c>
      <c r="B537" s="4" t="inlineStr">
        <is>
          <t>SWAT</t>
        </is>
      </c>
      <c r="C537" s="4" t="inlineStr">
        <is>
          <t>2610N</t>
        </is>
      </c>
      <c r="D537" s="4" t="inlineStr">
        <is>
          <t>202610071700</t>
        </is>
      </c>
      <c r="E537" s="4" t="inlineStr"/>
      <c r="F537" s="4" t="inlineStr">
        <is>
          <t>THBKK</t>
        </is>
      </c>
      <c r="G537" s="4" t="inlineStr">
        <is>
          <t>HKHKG</t>
        </is>
      </c>
      <c r="H537" s="4" t="inlineStr">
        <is>
          <t xml:space="preserve">40Hx3 </t>
        </is>
      </c>
      <c r="I537" s="4" t="inlineStr">
        <is>
          <t>BKK01</t>
        </is>
      </c>
      <c r="J537" s="4" t="inlineStr">
        <is>
          <t>PAT TERMINAL 2 (PORT AUTHORITY OF THAILAND)</t>
        </is>
      </c>
      <c r="K537" s="4" t="inlineStr">
        <is>
          <t>20260930</t>
        </is>
      </c>
      <c r="L537" s="4" t="inlineStr">
        <is>
          <t>PILOT CONSOLIDATOR CO., LTD.</t>
        </is>
      </c>
      <c r="M537" s="4" t="inlineStr">
        <is>
          <t>PILOT CONSOLIDATOR CO., LTD.</t>
        </is>
      </c>
      <c r="N537" s="4" t="inlineStr">
        <is>
          <t>GENERAL CARGO (CONSOL)</t>
        </is>
      </c>
      <c r="O537" s="4" t="inlineStr">
        <is>
          <t>CONSOL</t>
        </is>
      </c>
      <c r="P537" s="4" t="inlineStr">
        <is>
          <t>Pickup : 2026-09-30, Return : 2026-10-01 CONSOL</t>
        </is>
      </c>
      <c r="Q537" s="4" t="n">
        <v>0</v>
      </c>
      <c r="R537" s="4" t="n">
        <v>0</v>
      </c>
      <c r="S537" s="4" t="n">
        <v>3</v>
      </c>
      <c r="T537" s="4" t="n">
        <v>0</v>
      </c>
      <c r="U537" s="4" t="n">
        <v>0</v>
      </c>
      <c r="V537" s="4" t="n">
        <v>0</v>
      </c>
      <c r="W537" s="4" t="n">
        <v>0</v>
      </c>
      <c r="X537" s="4" t="n">
        <v>0</v>
      </c>
      <c r="Y537" s="4" t="n">
        <v>0</v>
      </c>
      <c r="Z537" s="4" t="n">
        <v>0</v>
      </c>
      <c r="AA537" s="4" t="n">
        <v>0</v>
      </c>
      <c r="AB537" s="4">
        <f>SUM(Q537:Y537)-Z537</f>
        <v/>
      </c>
      <c r="AC537" s="4">
        <f>IF(I537="","",IF(OR(LEFT(I537,3)="BKK",I537="LCH55"),"BKK",IF(LEFT(I537,3)="LCH","LCH","OTHER")))</f>
        <v/>
      </c>
      <c r="AD537" s="4">
        <f>MAX(0,Q537-MAX(0,Z537))</f>
        <v/>
      </c>
      <c r="AE537" s="4">
        <f>MAX(0,R537-MAX(0,Z537-SUM(Q537:Q537)))</f>
        <v/>
      </c>
      <c r="AF537" s="4">
        <f>MAX(0,S537-MAX(0,Z537-SUM(Q537:R537)))</f>
        <v/>
      </c>
      <c r="AG537" s="4">
        <f>MAX(0,T537-MAX(0,Z537-SUM(Q537:S537)))</f>
        <v/>
      </c>
      <c r="AH537" s="4">
        <f>MAX(0,U537-MAX(0,Z537-SUM(Q537:T537)))</f>
        <v/>
      </c>
      <c r="AI537" s="4">
        <f>MAX(0,V537-MAX(0,Z537-SUM(Q537:U537)))</f>
        <v/>
      </c>
      <c r="AJ537" s="4">
        <f>MAX(0,W537-MAX(0,Z537-SUM(Q537:V537)))</f>
        <v/>
      </c>
      <c r="AK537" s="4">
        <f>MAX(0,X537-MAX(0,Z537-SUM(Q537:W537)))</f>
        <v/>
      </c>
      <c r="AL537" s="4">
        <f>MAX(0,Y537-MAX(0,Z537-SUM(Q537:X537)))</f>
        <v/>
      </c>
    </row>
    <row r="538">
      <c r="A538" s="4" t="inlineStr">
        <is>
          <t>HASLS22260801230</t>
        </is>
      </c>
      <c r="B538" s="4" t="inlineStr">
        <is>
          <t>SWAT</t>
        </is>
      </c>
      <c r="C538" s="4" t="inlineStr">
        <is>
          <t>2610N</t>
        </is>
      </c>
      <c r="D538" s="4" t="inlineStr">
        <is>
          <t>202610071700</t>
        </is>
      </c>
      <c r="E538" s="4" t="inlineStr"/>
      <c r="F538" s="4" t="inlineStr">
        <is>
          <t>THBKK</t>
        </is>
      </c>
      <c r="G538" s="4" t="inlineStr">
        <is>
          <t>HKHKG</t>
        </is>
      </c>
      <c r="H538" s="4" t="inlineStr">
        <is>
          <t xml:space="preserve">40Hx1 </t>
        </is>
      </c>
      <c r="I538" s="4" t="inlineStr">
        <is>
          <t>BKK01</t>
        </is>
      </c>
      <c r="J538" s="4" t="inlineStr">
        <is>
          <t>PAT TERMINAL 2 (PORT AUTHORITY OF THAILAND)</t>
        </is>
      </c>
      <c r="K538" s="4" t="inlineStr">
        <is>
          <t>20260925</t>
        </is>
      </c>
      <c r="L538" s="4" t="inlineStr">
        <is>
          <t>THE M CORP GLOBAL CO., LTD.</t>
        </is>
      </c>
      <c r="M538" s="4" t="inlineStr">
        <is>
          <t>THE M CORP GLOBAL CO., LTD.</t>
        </is>
      </c>
      <c r="N538" s="4" t="inlineStr">
        <is>
          <t>GENERAL CARGO</t>
        </is>
      </c>
      <c r="O538" s="4" t="inlineStr">
        <is>
          <t>CONSOL</t>
        </is>
      </c>
      <c r="P538" s="4" t="inlineStr">
        <is>
          <t>Pickup : 2026-09-25, Return : 2026-09-25 CONSOL</t>
        </is>
      </c>
      <c r="Q538" s="4" t="n">
        <v>0</v>
      </c>
      <c r="R538" s="4" t="n">
        <v>0</v>
      </c>
      <c r="S538" s="4" t="n">
        <v>1</v>
      </c>
      <c r="T538" s="4" t="n">
        <v>0</v>
      </c>
      <c r="U538" s="4" t="n">
        <v>0</v>
      </c>
      <c r="V538" s="4" t="n">
        <v>0</v>
      </c>
      <c r="W538" s="4" t="n">
        <v>0</v>
      </c>
      <c r="X538" s="4" t="n">
        <v>0</v>
      </c>
      <c r="Y538" s="4" t="n">
        <v>0</v>
      </c>
      <c r="Z538" s="4" t="n">
        <v>0</v>
      </c>
      <c r="AA538" s="4" t="n">
        <v>0</v>
      </c>
      <c r="AB538" s="4">
        <f>SUM(Q538:Y538)-Z538</f>
        <v/>
      </c>
      <c r="AC538" s="4">
        <f>IF(I538="","",IF(OR(LEFT(I538,3)="BKK",I538="LCH55"),"BKK",IF(LEFT(I538,3)="LCH","LCH","OTHER")))</f>
        <v/>
      </c>
      <c r="AD538" s="4">
        <f>MAX(0,Q538-MAX(0,Z538))</f>
        <v/>
      </c>
      <c r="AE538" s="4">
        <f>MAX(0,R538-MAX(0,Z538-SUM(Q538:Q538)))</f>
        <v/>
      </c>
      <c r="AF538" s="4">
        <f>MAX(0,S538-MAX(0,Z538-SUM(Q538:R538)))</f>
        <v/>
      </c>
      <c r="AG538" s="4">
        <f>MAX(0,T538-MAX(0,Z538-SUM(Q538:S538)))</f>
        <v/>
      </c>
      <c r="AH538" s="4">
        <f>MAX(0,U538-MAX(0,Z538-SUM(Q538:T538)))</f>
        <v/>
      </c>
      <c r="AI538" s="4">
        <f>MAX(0,V538-MAX(0,Z538-SUM(Q538:U538)))</f>
        <v/>
      </c>
      <c r="AJ538" s="4">
        <f>MAX(0,W538-MAX(0,Z538-SUM(Q538:V538)))</f>
        <v/>
      </c>
      <c r="AK538" s="4">
        <f>MAX(0,X538-MAX(0,Z538-SUM(Q538:W538)))</f>
        <v/>
      </c>
      <c r="AL538" s="4">
        <f>MAX(0,Y538-MAX(0,Z538-SUM(Q538:X538)))</f>
        <v/>
      </c>
    </row>
    <row r="539">
      <c r="A539" s="4" t="inlineStr">
        <is>
          <t>HASLS22260801789</t>
        </is>
      </c>
      <c r="B539" s="4" t="inlineStr">
        <is>
          <t>SWIC</t>
        </is>
      </c>
      <c r="C539" s="4" t="inlineStr">
        <is>
          <t>2611N</t>
        </is>
      </c>
      <c r="D539" s="4" t="inlineStr">
        <is>
          <t>202610130700</t>
        </is>
      </c>
      <c r="E539" s="4" t="inlineStr"/>
      <c r="F539" s="4" t="inlineStr">
        <is>
          <t>THBKK</t>
        </is>
      </c>
      <c r="G539" s="4" t="inlineStr">
        <is>
          <t>VNSGN</t>
        </is>
      </c>
      <c r="H539" s="4" t="inlineStr">
        <is>
          <t xml:space="preserve">40Hx1 </t>
        </is>
      </c>
      <c r="I539" s="4" t="inlineStr">
        <is>
          <t>BKK01</t>
        </is>
      </c>
      <c r="J539" s="4" t="inlineStr">
        <is>
          <t>PAT TERMINAL 2 (PORT AUTHORITY OF THAILAND)</t>
        </is>
      </c>
      <c r="K539" s="4" t="inlineStr">
        <is>
          <t>20261009</t>
        </is>
      </c>
      <c r="L539" s="4" t="inlineStr">
        <is>
          <t>PROFREIGHT INTERNATIONAL CO., LTD.</t>
        </is>
      </c>
      <c r="M539" s="4" t="inlineStr">
        <is>
          <t>SIAM BROTHERS CORP.,LTD.</t>
        </is>
      </c>
      <c r="N539" s="4" t="inlineStr">
        <is>
          <t>FISHING NETS</t>
        </is>
      </c>
      <c r="O539" s="4" t="inlineStr">
        <is>
          <t>REQ: GOOD &amp; CLEAN CONTAINER,NO LEAK,NO RUST,NO SMELL,NO BURR,NOT WET,GOOD FLOOR.</t>
        </is>
      </c>
      <c r="P539" s="4" t="inlineStr">
        <is>
          <t xml:space="preserve">STUFFING CARGO @PAT (SPORTLIGHT TOWER NO.2) DD.09/10/26 CLS TIME CFS DD.09/10/26 - 17:00HRS.
</t>
        </is>
      </c>
      <c r="Q539" s="4" t="n">
        <v>0</v>
      </c>
      <c r="R539" s="4" t="n">
        <v>0</v>
      </c>
      <c r="S539" s="4" t="n">
        <v>1</v>
      </c>
      <c r="T539" s="4" t="n">
        <v>0</v>
      </c>
      <c r="U539" s="4" t="n">
        <v>0</v>
      </c>
      <c r="V539" s="4" t="n">
        <v>0</v>
      </c>
      <c r="W539" s="4" t="n">
        <v>0</v>
      </c>
      <c r="X539" s="4" t="n">
        <v>0</v>
      </c>
      <c r="Y539" s="4" t="n">
        <v>0</v>
      </c>
      <c r="Z539" s="4" t="n">
        <v>0</v>
      </c>
      <c r="AA539" s="4" t="n">
        <v>0</v>
      </c>
      <c r="AB539" s="4">
        <f>SUM(Q539:Y539)-Z539</f>
        <v/>
      </c>
      <c r="AC539" s="4">
        <f>IF(I539="","",IF(OR(LEFT(I539,3)="BKK",I539="LCH55"),"BKK",IF(LEFT(I539,3)="LCH","LCH","OTHER")))</f>
        <v/>
      </c>
      <c r="AD539" s="4">
        <f>MAX(0,Q539-MAX(0,Z539))</f>
        <v/>
      </c>
      <c r="AE539" s="4">
        <f>MAX(0,R539-MAX(0,Z539-SUM(Q539:Q539)))</f>
        <v/>
      </c>
      <c r="AF539" s="4">
        <f>MAX(0,S539-MAX(0,Z539-SUM(Q539:R539)))</f>
        <v/>
      </c>
      <c r="AG539" s="4">
        <f>MAX(0,T539-MAX(0,Z539-SUM(Q539:S539)))</f>
        <v/>
      </c>
      <c r="AH539" s="4">
        <f>MAX(0,U539-MAX(0,Z539-SUM(Q539:T539)))</f>
        <v/>
      </c>
      <c r="AI539" s="4">
        <f>MAX(0,V539-MAX(0,Z539-SUM(Q539:U539)))</f>
        <v/>
      </c>
      <c r="AJ539" s="4">
        <f>MAX(0,W539-MAX(0,Z539-SUM(Q539:V539)))</f>
        <v/>
      </c>
      <c r="AK539" s="4">
        <f>MAX(0,X539-MAX(0,Z539-SUM(Q539:W539)))</f>
        <v/>
      </c>
      <c r="AL539" s="4">
        <f>MAX(0,Y539-MAX(0,Z539-SUM(Q539:X539)))</f>
        <v/>
      </c>
    </row>
    <row r="540">
      <c r="A540" s="4" t="inlineStr">
        <is>
          <t>HASLS22260801791</t>
        </is>
      </c>
      <c r="B540" s="4" t="inlineStr">
        <is>
          <t>KMBK</t>
        </is>
      </c>
      <c r="C540" s="4" t="inlineStr">
        <is>
          <t>2611N</t>
        </is>
      </c>
      <c r="D540" s="4" t="inlineStr">
        <is>
          <t>202610030900</t>
        </is>
      </c>
      <c r="E540" s="4" t="inlineStr"/>
      <c r="F540" s="4" t="inlineStr">
        <is>
          <t>THBKK</t>
        </is>
      </c>
      <c r="G540" s="4" t="inlineStr">
        <is>
          <t>VNSGN</t>
        </is>
      </c>
      <c r="H540" s="4" t="inlineStr">
        <is>
          <t xml:space="preserve">40Hx1 </t>
        </is>
      </c>
      <c r="I540" s="4" t="inlineStr">
        <is>
          <t>BKK01</t>
        </is>
      </c>
      <c r="J540" s="4" t="inlineStr">
        <is>
          <t>PAT TERMINAL 2 (PORT AUTHORITY OF THAILAND)</t>
        </is>
      </c>
      <c r="K540" s="4" t="inlineStr">
        <is>
          <t>20261001</t>
        </is>
      </c>
      <c r="L540" s="4" t="inlineStr">
        <is>
          <t>PROFREIGHT INTERNATIONAL CO., LTD.</t>
        </is>
      </c>
      <c r="M540" s="4" t="inlineStr">
        <is>
          <t>SIAM BROTHERS CORP.,LTD.</t>
        </is>
      </c>
      <c r="N540" s="4" t="inlineStr">
        <is>
          <t>FISHING NETS</t>
        </is>
      </c>
      <c r="O540" s="4" t="inlineStr">
        <is>
          <t>REQ: GOOD &amp; CLEAN CONTAINER,NO LEAK,NO RUST,NO SMELL,NO BURR,NOT WET,GOOD FLOOR.</t>
        </is>
      </c>
      <c r="P540" s="4" t="inlineStr">
        <is>
          <t xml:space="preserve">STUFFING CARGO @PAT (SPORTLIGHT TOWER NO.2) DD.01/10/26 CLS TIME CFS DD.01/10/26 - 17:00HRS. 
</t>
        </is>
      </c>
      <c r="Q540" s="4" t="n">
        <v>0</v>
      </c>
      <c r="R540" s="4" t="n">
        <v>0</v>
      </c>
      <c r="S540" s="4" t="n">
        <v>1</v>
      </c>
      <c r="T540" s="4" t="n">
        <v>0</v>
      </c>
      <c r="U540" s="4" t="n">
        <v>0</v>
      </c>
      <c r="V540" s="4" t="n">
        <v>0</v>
      </c>
      <c r="W540" s="4" t="n">
        <v>0</v>
      </c>
      <c r="X540" s="4" t="n">
        <v>0</v>
      </c>
      <c r="Y540" s="4" t="n">
        <v>0</v>
      </c>
      <c r="Z540" s="4" t="n">
        <v>0</v>
      </c>
      <c r="AA540" s="4" t="n">
        <v>0</v>
      </c>
      <c r="AB540" s="4">
        <f>SUM(Q540:Y540)-Z540</f>
        <v/>
      </c>
      <c r="AC540" s="4">
        <f>IF(I540="","",IF(OR(LEFT(I540,3)="BKK",I540="LCH55"),"BKK",IF(LEFT(I540,3)="LCH","LCH","OTHER")))</f>
        <v/>
      </c>
      <c r="AD540" s="4">
        <f>MAX(0,Q540-MAX(0,Z540))</f>
        <v/>
      </c>
      <c r="AE540" s="4">
        <f>MAX(0,R540-MAX(0,Z540-SUM(Q540:Q540)))</f>
        <v/>
      </c>
      <c r="AF540" s="4">
        <f>MAX(0,S540-MAX(0,Z540-SUM(Q540:R540)))</f>
        <v/>
      </c>
      <c r="AG540" s="4">
        <f>MAX(0,T540-MAX(0,Z540-SUM(Q540:S540)))</f>
        <v/>
      </c>
      <c r="AH540" s="4">
        <f>MAX(0,U540-MAX(0,Z540-SUM(Q540:T540)))</f>
        <v/>
      </c>
      <c r="AI540" s="4">
        <f>MAX(0,V540-MAX(0,Z540-SUM(Q540:U540)))</f>
        <v/>
      </c>
      <c r="AJ540" s="4">
        <f>MAX(0,W540-MAX(0,Z540-SUM(Q540:V540)))</f>
        <v/>
      </c>
      <c r="AK540" s="4">
        <f>MAX(0,X540-MAX(0,Z540-SUM(Q540:W540)))</f>
        <v/>
      </c>
      <c r="AL540" s="4">
        <f>MAX(0,Y540-MAX(0,Z540-SUM(Q540:X540)))</f>
        <v/>
      </c>
    </row>
    <row r="541">
      <c r="A541" s="4" t="inlineStr">
        <is>
          <t>HASLS22260801991</t>
        </is>
      </c>
      <c r="B541" s="4" t="inlineStr">
        <is>
          <t>SWAT</t>
        </is>
      </c>
      <c r="C541" s="4" t="inlineStr">
        <is>
          <t>2610N</t>
        </is>
      </c>
      <c r="D541" s="4" t="inlineStr">
        <is>
          <t>202610071700</t>
        </is>
      </c>
      <c r="E541" s="4" t="inlineStr"/>
      <c r="F541" s="4" t="inlineStr">
        <is>
          <t>THBKK</t>
        </is>
      </c>
      <c r="G541" s="4" t="inlineStr">
        <is>
          <t>HKHKG</t>
        </is>
      </c>
      <c r="H541" s="4" t="inlineStr">
        <is>
          <t xml:space="preserve">40Hx1 20'x1 </t>
        </is>
      </c>
      <c r="I541" s="4" t="inlineStr">
        <is>
          <t>BKK01</t>
        </is>
      </c>
      <c r="J541" s="4" t="inlineStr">
        <is>
          <t>PAT TERMINAL 2 (PORT AUTHORITY OF THAILAND)</t>
        </is>
      </c>
      <c r="K541" s="4" t="inlineStr">
        <is>
          <t>20261001</t>
        </is>
      </c>
      <c r="L541" s="4" t="inlineStr">
        <is>
          <t>YUSEN LOGISTICS (THAILAND) CO., LTD.</t>
        </is>
      </c>
      <c r="M541" s="4" t="inlineStr">
        <is>
          <t>YUSEN LOGISTICS (THAILAND) CO., LTD.</t>
        </is>
      </c>
      <c r="N541" s="4" t="inlineStr">
        <is>
          <t>GENERAL CARGO (CONSOL)</t>
        </is>
      </c>
      <c r="O541" s="4" t="inlineStr">
        <is>
          <t>CONSOL</t>
        </is>
      </c>
      <c r="P541" s="4" t="inlineStr">
        <is>
          <t xml:space="preserve">Pickup : 2026-10-01, Return : 2026-10-01 CONSOL  </t>
        </is>
      </c>
      <c r="Q541" s="4" t="n">
        <v>1</v>
      </c>
      <c r="R541" s="4" t="n">
        <v>0</v>
      </c>
      <c r="S541" s="4" t="n">
        <v>1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>
        <f>SUM(Q541:Y541)-Z541</f>
        <v/>
      </c>
      <c r="AC541" s="4">
        <f>IF(I541="","",IF(OR(LEFT(I541,3)="BKK",I541="LCH55"),"BKK",IF(LEFT(I541,3)="LCH","LCH","OTHER")))</f>
        <v/>
      </c>
      <c r="AD541" s="4">
        <f>MAX(0,Q541-MAX(0,Z541))</f>
        <v/>
      </c>
      <c r="AE541" s="4">
        <f>MAX(0,R541-MAX(0,Z541-SUM(Q541:Q541)))</f>
        <v/>
      </c>
      <c r="AF541" s="4">
        <f>MAX(0,S541-MAX(0,Z541-SUM(Q541:R541)))</f>
        <v/>
      </c>
      <c r="AG541" s="4">
        <f>MAX(0,T541-MAX(0,Z541-SUM(Q541:S541)))</f>
        <v/>
      </c>
      <c r="AH541" s="4">
        <f>MAX(0,U541-MAX(0,Z541-SUM(Q541:T541)))</f>
        <v/>
      </c>
      <c r="AI541" s="4">
        <f>MAX(0,V541-MAX(0,Z541-SUM(Q541:U541)))</f>
        <v/>
      </c>
      <c r="AJ541" s="4">
        <f>MAX(0,W541-MAX(0,Z541-SUM(Q541:V541)))</f>
        <v/>
      </c>
      <c r="AK541" s="4">
        <f>MAX(0,X541-MAX(0,Z541-SUM(Q541:W541)))</f>
        <v/>
      </c>
      <c r="AL541" s="4">
        <f>MAX(0,Y541-MAX(0,Z541-SUM(Q541:X541)))</f>
        <v/>
      </c>
    </row>
    <row r="542">
      <c r="A542" s="4" t="inlineStr">
        <is>
          <t>HASLS22260802180</t>
        </is>
      </c>
      <c r="B542" s="4" t="inlineStr">
        <is>
          <t>SWSR</t>
        </is>
      </c>
      <c r="C542" s="4" t="inlineStr">
        <is>
          <t>2611N</t>
        </is>
      </c>
      <c r="D542" s="4" t="inlineStr">
        <is>
          <t>202610110900</t>
        </is>
      </c>
      <c r="E542" s="4" t="inlineStr"/>
      <c r="F542" s="4" t="inlineStr">
        <is>
          <t>THBKK</t>
        </is>
      </c>
      <c r="G542" s="4" t="inlineStr">
        <is>
          <t>KRPUS</t>
        </is>
      </c>
      <c r="H542" s="4" t="inlineStr">
        <is>
          <t xml:space="preserve">40Hx3 </t>
        </is>
      </c>
      <c r="I542" s="4" t="inlineStr">
        <is>
          <t>BKK01</t>
        </is>
      </c>
      <c r="J542" s="4" t="inlineStr">
        <is>
          <t>PAT TERMINAL 2 (PORT AUTHORITY OF THAILAND)</t>
        </is>
      </c>
      <c r="K542" s="4" t="inlineStr">
        <is>
          <t>20261002</t>
        </is>
      </c>
      <c r="L542" s="4" t="inlineStr">
        <is>
          <t>ECU WORLDWIDE (THAILAND) CO., LTD.</t>
        </is>
      </c>
      <c r="M542" s="4" t="inlineStr">
        <is>
          <t>ECU WORLDWIDE (THAILAND) CO., LTD.</t>
        </is>
      </c>
      <c r="N542" s="4" t="inlineStr">
        <is>
          <t>GENERAL CARGO (CONSOL)</t>
        </is>
      </c>
      <c r="O542" s="4" t="inlineStr">
        <is>
          <t>CONSOL</t>
        </is>
      </c>
      <c r="P542" s="4" t="inlineStr">
        <is>
          <t xml:space="preserve">Pickup : 2026-10-02, Return : 2026-10-03 CONSOL  </t>
        </is>
      </c>
      <c r="Q542" s="4" t="n">
        <v>0</v>
      </c>
      <c r="R542" s="4" t="n">
        <v>0</v>
      </c>
      <c r="S542" s="4" t="n">
        <v>3</v>
      </c>
      <c r="T542" s="4" t="n">
        <v>0</v>
      </c>
      <c r="U542" s="4" t="n">
        <v>0</v>
      </c>
      <c r="V542" s="4" t="n">
        <v>0</v>
      </c>
      <c r="W542" s="4" t="n">
        <v>0</v>
      </c>
      <c r="X542" s="4" t="n">
        <v>0</v>
      </c>
      <c r="Y542" s="4" t="n">
        <v>0</v>
      </c>
      <c r="Z542" s="4" t="n">
        <v>0</v>
      </c>
      <c r="AA542" s="4" t="n">
        <v>0</v>
      </c>
      <c r="AB542" s="4">
        <f>SUM(Q542:Y542)-Z542</f>
        <v/>
      </c>
      <c r="AC542" s="4">
        <f>IF(I542="","",IF(OR(LEFT(I542,3)="BKK",I542="LCH55"),"BKK",IF(LEFT(I542,3)="LCH","LCH","OTHER")))</f>
        <v/>
      </c>
      <c r="AD542" s="4">
        <f>MAX(0,Q542-MAX(0,Z542))</f>
        <v/>
      </c>
      <c r="AE542" s="4">
        <f>MAX(0,R542-MAX(0,Z542-SUM(Q542:Q542)))</f>
        <v/>
      </c>
      <c r="AF542" s="4">
        <f>MAX(0,S542-MAX(0,Z542-SUM(Q542:R542)))</f>
        <v/>
      </c>
      <c r="AG542" s="4">
        <f>MAX(0,T542-MAX(0,Z542-SUM(Q542:S542)))</f>
        <v/>
      </c>
      <c r="AH542" s="4">
        <f>MAX(0,U542-MAX(0,Z542-SUM(Q542:T542)))</f>
        <v/>
      </c>
      <c r="AI542" s="4">
        <f>MAX(0,V542-MAX(0,Z542-SUM(Q542:U542)))</f>
        <v/>
      </c>
      <c r="AJ542" s="4">
        <f>MAX(0,W542-MAX(0,Z542-SUM(Q542:V542)))</f>
        <v/>
      </c>
      <c r="AK542" s="4">
        <f>MAX(0,X542-MAX(0,Z542-SUM(Q542:W542)))</f>
        <v/>
      </c>
      <c r="AL542" s="4">
        <f>MAX(0,Y542-MAX(0,Z542-SUM(Q542:X542)))</f>
        <v/>
      </c>
    </row>
    <row r="543">
      <c r="A543" s="4" t="inlineStr">
        <is>
          <t>HASLS22260802450</t>
        </is>
      </c>
      <c r="B543" s="4" t="inlineStr">
        <is>
          <t>SWAT</t>
        </is>
      </c>
      <c r="C543" s="4" t="inlineStr">
        <is>
          <t>2610N</t>
        </is>
      </c>
      <c r="D543" s="4" t="inlineStr">
        <is>
          <t>202610071700</t>
        </is>
      </c>
      <c r="E543" s="4" t="inlineStr"/>
      <c r="F543" s="4" t="inlineStr">
        <is>
          <t>THBKK</t>
        </is>
      </c>
      <c r="G543" s="4" t="inlineStr">
        <is>
          <t>KRPUS</t>
        </is>
      </c>
      <c r="H543" s="4" t="inlineStr">
        <is>
          <t xml:space="preserve">40Hx3 </t>
        </is>
      </c>
      <c r="I543" s="4" t="inlineStr">
        <is>
          <t>BKK01</t>
        </is>
      </c>
      <c r="J543" s="4" t="inlineStr">
        <is>
          <t>PAT TERMINAL 2 (PORT AUTHORITY OF THAILAND)</t>
        </is>
      </c>
      <c r="K543" s="4" t="inlineStr">
        <is>
          <t>20260924</t>
        </is>
      </c>
      <c r="L543" s="4" t="inlineStr">
        <is>
          <t>ECU WORLDWIDE (THAILAND) CO., LTD.</t>
        </is>
      </c>
      <c r="M543" s="4" t="inlineStr">
        <is>
          <t>ECU WORLDWIDE (THAILAND) CO., LTD.</t>
        </is>
      </c>
      <c r="N543" s="4" t="inlineStr">
        <is>
          <t>GENERAL CARGO (CONSOL)</t>
        </is>
      </c>
      <c r="O543" s="4" t="inlineStr">
        <is>
          <t>CONSOL</t>
        </is>
      </c>
      <c r="P543" s="4" t="inlineStr">
        <is>
          <t>Pickup : 2026-09-24, Return : 2026-09-25 CONSOL</t>
        </is>
      </c>
      <c r="Q543" s="4" t="n">
        <v>0</v>
      </c>
      <c r="R543" s="4" t="n">
        <v>0</v>
      </c>
      <c r="S543" s="4" t="n">
        <v>3</v>
      </c>
      <c r="T543" s="4" t="n">
        <v>0</v>
      </c>
      <c r="U543" s="4" t="n">
        <v>0</v>
      </c>
      <c r="V543" s="4" t="n">
        <v>0</v>
      </c>
      <c r="W543" s="4" t="n">
        <v>0</v>
      </c>
      <c r="X543" s="4" t="n">
        <v>0</v>
      </c>
      <c r="Y543" s="4" t="n">
        <v>0</v>
      </c>
      <c r="Z543" s="4" t="n">
        <v>0</v>
      </c>
      <c r="AA543" s="4" t="n">
        <v>0</v>
      </c>
      <c r="AB543" s="4">
        <f>SUM(Q543:Y543)-Z543</f>
        <v/>
      </c>
      <c r="AC543" s="4">
        <f>IF(I543="","",IF(OR(LEFT(I543,3)="BKK",I543="LCH55"),"BKK",IF(LEFT(I543,3)="LCH","LCH","OTHER")))</f>
        <v/>
      </c>
      <c r="AD543" s="4">
        <f>MAX(0,Q543-MAX(0,Z543))</f>
        <v/>
      </c>
      <c r="AE543" s="4">
        <f>MAX(0,R543-MAX(0,Z543-SUM(Q543:Q543)))</f>
        <v/>
      </c>
      <c r="AF543" s="4">
        <f>MAX(0,S543-MAX(0,Z543-SUM(Q543:R543)))</f>
        <v/>
      </c>
      <c r="AG543" s="4">
        <f>MAX(0,T543-MAX(0,Z543-SUM(Q543:S543)))</f>
        <v/>
      </c>
      <c r="AH543" s="4">
        <f>MAX(0,U543-MAX(0,Z543-SUM(Q543:T543)))</f>
        <v/>
      </c>
      <c r="AI543" s="4">
        <f>MAX(0,V543-MAX(0,Z543-SUM(Q543:U543)))</f>
        <v/>
      </c>
      <c r="AJ543" s="4">
        <f>MAX(0,W543-MAX(0,Z543-SUM(Q543:V543)))</f>
        <v/>
      </c>
      <c r="AK543" s="4">
        <f>MAX(0,X543-MAX(0,Z543-SUM(Q543:W543)))</f>
        <v/>
      </c>
      <c r="AL543" s="4">
        <f>MAX(0,Y543-MAX(0,Z543-SUM(Q543:X543)))</f>
        <v/>
      </c>
    </row>
    <row r="544">
      <c r="A544" s="4" t="inlineStr">
        <is>
          <t>HASLS22260802591</t>
        </is>
      </c>
      <c r="B544" s="4" t="inlineStr">
        <is>
          <t>KMBK</t>
        </is>
      </c>
      <c r="C544" s="4" t="inlineStr">
        <is>
          <t>2611N</t>
        </is>
      </c>
      <c r="D544" s="4" t="inlineStr">
        <is>
          <t>202610030900</t>
        </is>
      </c>
      <c r="E544" s="4" t="inlineStr"/>
      <c r="F544" s="4" t="inlineStr">
        <is>
          <t>THBKK</t>
        </is>
      </c>
      <c r="G544" s="4" t="inlineStr">
        <is>
          <t>VNSGN</t>
        </is>
      </c>
      <c r="H544" s="4" t="inlineStr">
        <is>
          <t xml:space="preserve">40Hx2 </t>
        </is>
      </c>
      <c r="I544" s="4" t="inlineStr">
        <is>
          <t>BKK01</t>
        </is>
      </c>
      <c r="J544" s="4" t="inlineStr">
        <is>
          <t>PAT TERMINAL 2 (PORT AUTHORITY OF THAILAND)</t>
        </is>
      </c>
      <c r="K544" s="4" t="inlineStr">
        <is>
          <t>20261001</t>
        </is>
      </c>
      <c r="L544" s="4" t="inlineStr">
        <is>
          <t>QUANTERM LOGISTICS (THAILAND) CO., LTD.</t>
        </is>
      </c>
      <c r="M544" s="4" t="inlineStr">
        <is>
          <t>QUANTERM LOGISTICS (THAILAND) CO., LTD.</t>
        </is>
      </c>
      <c r="N544" s="4" t="inlineStr">
        <is>
          <t>GENERAL CARGO / CONSOL</t>
        </is>
      </c>
      <c r="O544" s="4" t="inlineStr">
        <is>
          <t>CONSOL</t>
        </is>
      </c>
      <c r="P544" s="4" t="inlineStr">
        <is>
          <t>Pickup : 2026-10-01, Return : 2026-10-01 CONSOL</t>
        </is>
      </c>
      <c r="Q544" s="4" t="n">
        <v>0</v>
      </c>
      <c r="R544" s="4" t="n">
        <v>0</v>
      </c>
      <c r="S544" s="4" t="n">
        <v>2</v>
      </c>
      <c r="T544" s="4" t="n">
        <v>0</v>
      </c>
      <c r="U544" s="4" t="n">
        <v>0</v>
      </c>
      <c r="V544" s="4" t="n">
        <v>0</v>
      </c>
      <c r="W544" s="4" t="n">
        <v>0</v>
      </c>
      <c r="X544" s="4" t="n">
        <v>0</v>
      </c>
      <c r="Y544" s="4" t="n">
        <v>0</v>
      </c>
      <c r="Z544" s="4" t="n">
        <v>0</v>
      </c>
      <c r="AA544" s="4" t="n">
        <v>0</v>
      </c>
      <c r="AB544" s="4">
        <f>SUM(Q544:Y544)-Z544</f>
        <v/>
      </c>
      <c r="AC544" s="4">
        <f>IF(I544="","",IF(OR(LEFT(I544,3)="BKK",I544="LCH55"),"BKK",IF(LEFT(I544,3)="LCH","LCH","OTHER")))</f>
        <v/>
      </c>
      <c r="AD544" s="4">
        <f>MAX(0,Q544-MAX(0,Z544))</f>
        <v/>
      </c>
      <c r="AE544" s="4">
        <f>MAX(0,R544-MAX(0,Z544-SUM(Q544:Q544)))</f>
        <v/>
      </c>
      <c r="AF544" s="4">
        <f>MAX(0,S544-MAX(0,Z544-SUM(Q544:R544)))</f>
        <v/>
      </c>
      <c r="AG544" s="4">
        <f>MAX(0,T544-MAX(0,Z544-SUM(Q544:S544)))</f>
        <v/>
      </c>
      <c r="AH544" s="4">
        <f>MAX(0,U544-MAX(0,Z544-SUM(Q544:T544)))</f>
        <v/>
      </c>
      <c r="AI544" s="4">
        <f>MAX(0,V544-MAX(0,Z544-SUM(Q544:U544)))</f>
        <v/>
      </c>
      <c r="AJ544" s="4">
        <f>MAX(0,W544-MAX(0,Z544-SUM(Q544:V544)))</f>
        <v/>
      </c>
      <c r="AK544" s="4">
        <f>MAX(0,X544-MAX(0,Z544-SUM(Q544:W544)))</f>
        <v/>
      </c>
      <c r="AL544" s="4">
        <f>MAX(0,Y544-MAX(0,Z544-SUM(Q544:X544)))</f>
        <v/>
      </c>
    </row>
    <row r="545">
      <c r="A545" s="4" t="inlineStr">
        <is>
          <t>HASLS22260900165</t>
        </is>
      </c>
      <c r="B545" s="4" t="inlineStr">
        <is>
          <t>SWAT</t>
        </is>
      </c>
      <c r="C545" s="4" t="inlineStr">
        <is>
          <t>2610N</t>
        </is>
      </c>
      <c r="D545" s="4" t="inlineStr">
        <is>
          <t>202610071700</t>
        </is>
      </c>
      <c r="E545" s="4" t="inlineStr"/>
      <c r="F545" s="4" t="inlineStr">
        <is>
          <t>THBKK</t>
        </is>
      </c>
      <c r="G545" s="4" t="inlineStr">
        <is>
          <t>KRPUS</t>
        </is>
      </c>
      <c r="H545" s="4" t="inlineStr">
        <is>
          <t xml:space="preserve">20'x1 </t>
        </is>
      </c>
      <c r="I545" s="4" t="inlineStr">
        <is>
          <t>BKK01</t>
        </is>
      </c>
      <c r="J545" s="4" t="inlineStr">
        <is>
          <t>PAT TERMINAL 2 (PORT AUTHORITY OF THAILAND)</t>
        </is>
      </c>
      <c r="K545" s="4" t="inlineStr">
        <is>
          <t>20260925</t>
        </is>
      </c>
      <c r="L545" s="4" t="inlineStr">
        <is>
          <t>CARGOPORT (THAILAND) LTD.</t>
        </is>
      </c>
      <c r="M545" s="4" t="inlineStr">
        <is>
          <t>CARGOPORT (THAILAND) LTD.</t>
        </is>
      </c>
      <c r="N545" s="4" t="inlineStr">
        <is>
          <t>GENERAL CARGO (CONSOL)</t>
        </is>
      </c>
      <c r="O545" s="4" t="inlineStr">
        <is>
          <t>CONSOL</t>
        </is>
      </c>
      <c r="P545" s="4" t="inlineStr">
        <is>
          <t>Pickup : 2026-09-25, Return : 2026-09-25 CONSOL</t>
        </is>
      </c>
      <c r="Q545" s="4" t="n">
        <v>1</v>
      </c>
      <c r="R545" s="4" t="n">
        <v>0</v>
      </c>
      <c r="S545" s="4" t="n">
        <v>0</v>
      </c>
      <c r="T545" s="4" t="n">
        <v>0</v>
      </c>
      <c r="U545" s="4" t="n">
        <v>0</v>
      </c>
      <c r="V545" s="4" t="n">
        <v>0</v>
      </c>
      <c r="W545" s="4" t="n">
        <v>0</v>
      </c>
      <c r="X545" s="4" t="n">
        <v>0</v>
      </c>
      <c r="Y545" s="4" t="n">
        <v>0</v>
      </c>
      <c r="Z545" s="4" t="n">
        <v>0</v>
      </c>
      <c r="AA545" s="4" t="n">
        <v>0</v>
      </c>
      <c r="AB545" s="4">
        <f>SUM(Q545:Y545)-Z545</f>
        <v/>
      </c>
      <c r="AC545" s="4">
        <f>IF(I545="","",IF(OR(LEFT(I545,3)="BKK",I545="LCH55"),"BKK",IF(LEFT(I545,3)="LCH","LCH","OTHER")))</f>
        <v/>
      </c>
      <c r="AD545" s="4">
        <f>MAX(0,Q545-MAX(0,Z545))</f>
        <v/>
      </c>
      <c r="AE545" s="4">
        <f>MAX(0,R545-MAX(0,Z545-SUM(Q545:Q545)))</f>
        <v/>
      </c>
      <c r="AF545" s="4">
        <f>MAX(0,S545-MAX(0,Z545-SUM(Q545:R545)))</f>
        <v/>
      </c>
      <c r="AG545" s="4">
        <f>MAX(0,T545-MAX(0,Z545-SUM(Q545:S545)))</f>
        <v/>
      </c>
      <c r="AH545" s="4">
        <f>MAX(0,U545-MAX(0,Z545-SUM(Q545:T545)))</f>
        <v/>
      </c>
      <c r="AI545" s="4">
        <f>MAX(0,V545-MAX(0,Z545-SUM(Q545:U545)))</f>
        <v/>
      </c>
      <c r="AJ545" s="4">
        <f>MAX(0,W545-MAX(0,Z545-SUM(Q545:V545)))</f>
        <v/>
      </c>
      <c r="AK545" s="4">
        <f>MAX(0,X545-MAX(0,Z545-SUM(Q545:W545)))</f>
        <v/>
      </c>
      <c r="AL545" s="4">
        <f>MAX(0,Y545-MAX(0,Z545-SUM(Q545:X545)))</f>
        <v/>
      </c>
    </row>
    <row r="546">
      <c r="A546" s="4" t="inlineStr">
        <is>
          <t>HASLS22260900204</t>
        </is>
      </c>
      <c r="B546" s="4" t="inlineStr">
        <is>
          <t>SWAT</t>
        </is>
      </c>
      <c r="C546" s="4" t="inlineStr">
        <is>
          <t>2611N</t>
        </is>
      </c>
      <c r="D546" s="4" t="inlineStr">
        <is>
          <t>202610282200</t>
        </is>
      </c>
      <c r="E546" s="4" t="inlineStr"/>
      <c r="F546" s="4" t="inlineStr">
        <is>
          <t>THBKK</t>
        </is>
      </c>
      <c r="G546" s="4" t="inlineStr">
        <is>
          <t>KRPUS</t>
        </is>
      </c>
      <c r="H546" s="4" t="inlineStr">
        <is>
          <t xml:space="preserve">40Hx3 </t>
        </is>
      </c>
      <c r="I546" s="4" t="inlineStr">
        <is>
          <t>BKK01</t>
        </is>
      </c>
      <c r="J546" s="4" t="inlineStr">
        <is>
          <t>PAT TERMINAL 2 (PORT AUTHORITY OF THAILAND)</t>
        </is>
      </c>
      <c r="K546" s="4" t="inlineStr">
        <is>
          <t>20261015</t>
        </is>
      </c>
      <c r="L546" s="4" t="inlineStr">
        <is>
          <t>ECU WORLDWIDE (THAILAND) CO., LTD.</t>
        </is>
      </c>
      <c r="M546" s="4" t="inlineStr">
        <is>
          <t>ECU WORLDWIDE (THAILAND) CO., LTD.</t>
        </is>
      </c>
      <c r="N546" s="4" t="inlineStr">
        <is>
          <t>GENERAL CARGO (CONSOL)</t>
        </is>
      </c>
      <c r="O546" s="4" t="inlineStr">
        <is>
          <t>CONSOL</t>
        </is>
      </c>
      <c r="P546" s="4" t="inlineStr">
        <is>
          <t>Pickup : 2026-10-15, Return : 2026-10-16 CONSOL</t>
        </is>
      </c>
      <c r="Q546" s="4" t="n">
        <v>0</v>
      </c>
      <c r="R546" s="4" t="n">
        <v>0</v>
      </c>
      <c r="S546" s="4" t="n">
        <v>3</v>
      </c>
      <c r="T546" s="4" t="n">
        <v>0</v>
      </c>
      <c r="U546" s="4" t="n">
        <v>0</v>
      </c>
      <c r="V546" s="4" t="n">
        <v>0</v>
      </c>
      <c r="W546" s="4" t="n">
        <v>0</v>
      </c>
      <c r="X546" s="4" t="n">
        <v>0</v>
      </c>
      <c r="Y546" s="4" t="n">
        <v>0</v>
      </c>
      <c r="Z546" s="4" t="n">
        <v>0</v>
      </c>
      <c r="AA546" s="4" t="n">
        <v>0</v>
      </c>
      <c r="AB546" s="4">
        <f>SUM(Q546:Y546)-Z546</f>
        <v/>
      </c>
      <c r="AC546" s="4">
        <f>IF(I546="","",IF(OR(LEFT(I546,3)="BKK",I546="LCH55"),"BKK",IF(LEFT(I546,3)="LCH","LCH","OTHER")))</f>
        <v/>
      </c>
      <c r="AD546" s="4">
        <f>MAX(0,Q546-MAX(0,Z546))</f>
        <v/>
      </c>
      <c r="AE546" s="4">
        <f>MAX(0,R546-MAX(0,Z546-SUM(Q546:Q546)))</f>
        <v/>
      </c>
      <c r="AF546" s="4">
        <f>MAX(0,S546-MAX(0,Z546-SUM(Q546:R546)))</f>
        <v/>
      </c>
      <c r="AG546" s="4">
        <f>MAX(0,T546-MAX(0,Z546-SUM(Q546:S546)))</f>
        <v/>
      </c>
      <c r="AH546" s="4">
        <f>MAX(0,U546-MAX(0,Z546-SUM(Q546:T546)))</f>
        <v/>
      </c>
      <c r="AI546" s="4">
        <f>MAX(0,V546-MAX(0,Z546-SUM(Q546:U546)))</f>
        <v/>
      </c>
      <c r="AJ546" s="4">
        <f>MAX(0,W546-MAX(0,Z546-SUM(Q546:V546)))</f>
        <v/>
      </c>
      <c r="AK546" s="4">
        <f>MAX(0,X546-MAX(0,Z546-SUM(Q546:W546)))</f>
        <v/>
      </c>
      <c r="AL546" s="4">
        <f>MAX(0,Y546-MAX(0,Z546-SUM(Q546:X546)))</f>
        <v/>
      </c>
    </row>
    <row r="547">
      <c r="A547" s="4" t="inlineStr">
        <is>
          <t>HASLS22260900628</t>
        </is>
      </c>
      <c r="B547" s="4" t="inlineStr">
        <is>
          <t>KJT</t>
        </is>
      </c>
      <c r="C547" s="4" t="inlineStr">
        <is>
          <t>2611N</t>
        </is>
      </c>
      <c r="D547" s="4" t="inlineStr">
        <is>
          <t>202610141800</t>
        </is>
      </c>
      <c r="E547" s="4" t="inlineStr"/>
      <c r="F547" s="4" t="inlineStr">
        <is>
          <t>THBKK</t>
        </is>
      </c>
      <c r="G547" s="4" t="inlineStr">
        <is>
          <t>TWKEL</t>
        </is>
      </c>
      <c r="H547" s="4" t="inlineStr">
        <is>
          <t xml:space="preserve">20'x1 </t>
        </is>
      </c>
      <c r="I547" s="4" t="inlineStr">
        <is>
          <t>BKK01</t>
        </is>
      </c>
      <c r="J547" s="4" t="inlineStr">
        <is>
          <t>PAT TERMINAL 2 (PORT AUTHORITY OF THAILAND)</t>
        </is>
      </c>
      <c r="K547" s="4" t="inlineStr">
        <is>
          <t>20261012</t>
        </is>
      </c>
      <c r="L547" s="4" t="inlineStr">
        <is>
          <t>HANDLE INTER CONSOLIDATION CO., LTD.</t>
        </is>
      </c>
      <c r="M547" s="4" t="inlineStr">
        <is>
          <t>SAHAPARA RUBBER CO.,LTD.</t>
        </is>
      </c>
      <c r="N547" s="4" t="inlineStr">
        <is>
          <t>NATURAL RUBBER</t>
        </is>
      </c>
      <c r="O547" s="4" t="inlineStr">
        <is>
          <t>Special request: FS grade Clean and good grade containers for transportation of Natural rubber (BALES)</t>
        </is>
      </c>
      <c r="P547" s="4" t="inlineStr">
        <is>
          <t>STUFFING @PAT (SPORT LIGHT TOWER 2) DD.12/10/26 *CLS TIME CFS DD.13/10/26 - 17:00HRS.*.
(1ST CFS 12/10/26 WO/RENT)</t>
        </is>
      </c>
      <c r="Q547" s="4" t="n">
        <v>1</v>
      </c>
      <c r="R547" s="4" t="n">
        <v>0</v>
      </c>
      <c r="S547" s="4" t="n">
        <v>0</v>
      </c>
      <c r="T547" s="4" t="n">
        <v>0</v>
      </c>
      <c r="U547" s="4" t="n">
        <v>0</v>
      </c>
      <c r="V547" s="4" t="n">
        <v>0</v>
      </c>
      <c r="W547" s="4" t="n">
        <v>0</v>
      </c>
      <c r="X547" s="4" t="n">
        <v>0</v>
      </c>
      <c r="Y547" s="4" t="n">
        <v>0</v>
      </c>
      <c r="Z547" s="4" t="n">
        <v>0</v>
      </c>
      <c r="AA547" s="4" t="n">
        <v>0</v>
      </c>
      <c r="AB547" s="4">
        <f>SUM(Q547:Y547)-Z547</f>
        <v/>
      </c>
      <c r="AC547" s="4">
        <f>IF(I547="","",IF(OR(LEFT(I547,3)="BKK",I547="LCH55"),"BKK",IF(LEFT(I547,3)="LCH","LCH","OTHER")))</f>
        <v/>
      </c>
      <c r="AD547" s="4">
        <f>MAX(0,Q547-MAX(0,Z547))</f>
        <v/>
      </c>
      <c r="AE547" s="4">
        <f>MAX(0,R547-MAX(0,Z547-SUM(Q547:Q547)))</f>
        <v/>
      </c>
      <c r="AF547" s="4">
        <f>MAX(0,S547-MAX(0,Z547-SUM(Q547:R547)))</f>
        <v/>
      </c>
      <c r="AG547" s="4">
        <f>MAX(0,T547-MAX(0,Z547-SUM(Q547:S547)))</f>
        <v/>
      </c>
      <c r="AH547" s="4">
        <f>MAX(0,U547-MAX(0,Z547-SUM(Q547:T547)))</f>
        <v/>
      </c>
      <c r="AI547" s="4">
        <f>MAX(0,V547-MAX(0,Z547-SUM(Q547:U547)))</f>
        <v/>
      </c>
      <c r="AJ547" s="4">
        <f>MAX(0,W547-MAX(0,Z547-SUM(Q547:V547)))</f>
        <v/>
      </c>
      <c r="AK547" s="4">
        <f>MAX(0,X547-MAX(0,Z547-SUM(Q547:W547)))</f>
        <v/>
      </c>
      <c r="AL547" s="4">
        <f>MAX(0,Y547-MAX(0,Z547-SUM(Q547:X547)))</f>
        <v/>
      </c>
    </row>
    <row r="548">
      <c r="A548" s="4" t="inlineStr">
        <is>
          <t>HASLS22260900789</t>
        </is>
      </c>
      <c r="B548" s="4" t="inlineStr">
        <is>
          <t>KJT</t>
        </is>
      </c>
      <c r="C548" s="4" t="inlineStr">
        <is>
          <t>2611N</t>
        </is>
      </c>
      <c r="D548" s="4" t="inlineStr">
        <is>
          <t>202610141800</t>
        </is>
      </c>
      <c r="E548" s="4" t="inlineStr"/>
      <c r="F548" s="4" t="inlineStr">
        <is>
          <t>THBKK</t>
        </is>
      </c>
      <c r="G548" s="4" t="inlineStr">
        <is>
          <t>HKHKG</t>
        </is>
      </c>
      <c r="H548" s="4" t="inlineStr">
        <is>
          <t xml:space="preserve">40Hx1 </t>
        </is>
      </c>
      <c r="I548" s="4" t="inlineStr">
        <is>
          <t>BKK01</t>
        </is>
      </c>
      <c r="J548" s="4" t="inlineStr">
        <is>
          <t>PAT TERMINAL 2 (PORT AUTHORITY OF THAILAND)</t>
        </is>
      </c>
      <c r="K548" s="4" t="inlineStr">
        <is>
          <t>20261009</t>
        </is>
      </c>
      <c r="L548" s="4" t="inlineStr">
        <is>
          <t>YUSEN LOGISTICS (THAILAND) CO., LTD.</t>
        </is>
      </c>
      <c r="M548" s="4" t="inlineStr">
        <is>
          <t>YUSEN LOGISTICS (THAILAND) CO., LTD.</t>
        </is>
      </c>
      <c r="N548" s="4" t="inlineStr">
        <is>
          <t>MIX-LOAD</t>
        </is>
      </c>
      <c r="O548" s="4" t="inlineStr">
        <is>
          <t>CONSOL</t>
        </is>
      </c>
      <c r="P548" s="4" t="inlineStr">
        <is>
          <t>Pickup : 2026-10-09, Return : 2026-10-09 CONSOL</t>
        </is>
      </c>
      <c r="Q548" s="4" t="n">
        <v>0</v>
      </c>
      <c r="R548" s="4" t="n">
        <v>0</v>
      </c>
      <c r="S548" s="4" t="n">
        <v>1</v>
      </c>
      <c r="T548" s="4" t="n">
        <v>0</v>
      </c>
      <c r="U548" s="4" t="n">
        <v>0</v>
      </c>
      <c r="V548" s="4" t="n">
        <v>0</v>
      </c>
      <c r="W548" s="4" t="n">
        <v>0</v>
      </c>
      <c r="X548" s="4" t="n">
        <v>0</v>
      </c>
      <c r="Y548" s="4" t="n">
        <v>0</v>
      </c>
      <c r="Z548" s="4" t="n">
        <v>0</v>
      </c>
      <c r="AA548" s="4" t="n">
        <v>0</v>
      </c>
      <c r="AB548" s="4">
        <f>SUM(Q548:Y548)-Z548</f>
        <v/>
      </c>
      <c r="AC548" s="4">
        <f>IF(I548="","",IF(OR(LEFT(I548,3)="BKK",I548="LCH55"),"BKK",IF(LEFT(I548,3)="LCH","LCH","OTHER")))</f>
        <v/>
      </c>
      <c r="AD548" s="4">
        <f>MAX(0,Q548-MAX(0,Z548))</f>
        <v/>
      </c>
      <c r="AE548" s="4">
        <f>MAX(0,R548-MAX(0,Z548-SUM(Q548:Q548)))</f>
        <v/>
      </c>
      <c r="AF548" s="4">
        <f>MAX(0,S548-MAX(0,Z548-SUM(Q548:R548)))</f>
        <v/>
      </c>
      <c r="AG548" s="4">
        <f>MAX(0,T548-MAX(0,Z548-SUM(Q548:S548)))</f>
        <v/>
      </c>
      <c r="AH548" s="4">
        <f>MAX(0,U548-MAX(0,Z548-SUM(Q548:T548)))</f>
        <v/>
      </c>
      <c r="AI548" s="4">
        <f>MAX(0,V548-MAX(0,Z548-SUM(Q548:U548)))</f>
        <v/>
      </c>
      <c r="AJ548" s="4">
        <f>MAX(0,W548-MAX(0,Z548-SUM(Q548:V548)))</f>
        <v/>
      </c>
      <c r="AK548" s="4">
        <f>MAX(0,X548-MAX(0,Z548-SUM(Q548:W548)))</f>
        <v/>
      </c>
      <c r="AL548" s="4">
        <f>MAX(0,Y548-MAX(0,Z548-SUM(Q548:X548)))</f>
        <v/>
      </c>
    </row>
    <row r="549">
      <c r="A549" s="4" t="inlineStr">
        <is>
          <t>HASLS22260900896</t>
        </is>
      </c>
      <c r="B549" s="4" t="inlineStr">
        <is>
          <t>KMBK</t>
        </is>
      </c>
      <c r="C549" s="4" t="inlineStr">
        <is>
          <t>2611N</t>
        </is>
      </c>
      <c r="D549" s="4" t="inlineStr">
        <is>
          <t>202610030900</t>
        </is>
      </c>
      <c r="E549" s="4" t="inlineStr"/>
      <c r="F549" s="4" t="inlineStr">
        <is>
          <t>THBKK</t>
        </is>
      </c>
      <c r="G549" s="4" t="inlineStr">
        <is>
          <t>KRPUS</t>
        </is>
      </c>
      <c r="H549" s="4" t="inlineStr">
        <is>
          <t xml:space="preserve">20'x1 </t>
        </is>
      </c>
      <c r="I549" s="4" t="inlineStr">
        <is>
          <t>BKK01</t>
        </is>
      </c>
      <c r="J549" s="4" t="inlineStr">
        <is>
          <t>PAT TERMINAL 2 (PORT AUTHORITY OF THAILAND)</t>
        </is>
      </c>
      <c r="K549" s="4" t="inlineStr">
        <is>
          <t>20260930</t>
        </is>
      </c>
      <c r="L549" s="4" t="inlineStr">
        <is>
          <t>ACCORD PILOT LOGISTICS (THAILAND) CO., LTD.</t>
        </is>
      </c>
      <c r="M549" s="4" t="inlineStr">
        <is>
          <t>ACCORD PILOT LOGISTICS (THAILAND) CO., LTD.</t>
        </is>
      </c>
      <c r="N549" s="4" t="inlineStr">
        <is>
          <t>Console</t>
        </is>
      </c>
      <c r="O549" s="4" t="inlineStr">
        <is>
          <t>CONSOL</t>
        </is>
      </c>
      <c r="P549" s="4" t="inlineStr">
        <is>
          <t>Pickup : 2026-09-30, Return : 2026-10-01CONSOL</t>
        </is>
      </c>
      <c r="Q549" s="4" t="n">
        <v>1</v>
      </c>
      <c r="R549" s="4" t="n">
        <v>0</v>
      </c>
      <c r="S549" s="4" t="n">
        <v>0</v>
      </c>
      <c r="T549" s="4" t="n">
        <v>0</v>
      </c>
      <c r="U549" s="4" t="n">
        <v>0</v>
      </c>
      <c r="V549" s="4" t="n">
        <v>0</v>
      </c>
      <c r="W549" s="4" t="n">
        <v>0</v>
      </c>
      <c r="X549" s="4" t="n">
        <v>0</v>
      </c>
      <c r="Y549" s="4" t="n">
        <v>0</v>
      </c>
      <c r="Z549" s="4" t="n">
        <v>0</v>
      </c>
      <c r="AA549" s="4" t="n">
        <v>0</v>
      </c>
      <c r="AB549" s="4">
        <f>SUM(Q549:Y549)-Z549</f>
        <v/>
      </c>
      <c r="AC549" s="4">
        <f>IF(I549="","",IF(OR(LEFT(I549,3)="BKK",I549="LCH55"),"BKK",IF(LEFT(I549,3)="LCH","LCH","OTHER")))</f>
        <v/>
      </c>
      <c r="AD549" s="4">
        <f>MAX(0,Q549-MAX(0,Z549))</f>
        <v/>
      </c>
      <c r="AE549" s="4">
        <f>MAX(0,R549-MAX(0,Z549-SUM(Q549:Q549)))</f>
        <v/>
      </c>
      <c r="AF549" s="4">
        <f>MAX(0,S549-MAX(0,Z549-SUM(Q549:R549)))</f>
        <v/>
      </c>
      <c r="AG549" s="4">
        <f>MAX(0,T549-MAX(0,Z549-SUM(Q549:S549)))</f>
        <v/>
      </c>
      <c r="AH549" s="4">
        <f>MAX(0,U549-MAX(0,Z549-SUM(Q549:T549)))</f>
        <v/>
      </c>
      <c r="AI549" s="4">
        <f>MAX(0,V549-MAX(0,Z549-SUM(Q549:U549)))</f>
        <v/>
      </c>
      <c r="AJ549" s="4">
        <f>MAX(0,W549-MAX(0,Z549-SUM(Q549:V549)))</f>
        <v/>
      </c>
      <c r="AK549" s="4">
        <f>MAX(0,X549-MAX(0,Z549-SUM(Q549:W549)))</f>
        <v/>
      </c>
      <c r="AL549" s="4">
        <f>MAX(0,Y549-MAX(0,Z549-SUM(Q549:X549)))</f>
        <v/>
      </c>
    </row>
    <row r="550">
      <c r="A550" s="4" t="inlineStr">
        <is>
          <t>HASLS22260901096</t>
        </is>
      </c>
      <c r="B550" s="4" t="inlineStr">
        <is>
          <t>SWAT</t>
        </is>
      </c>
      <c r="C550" s="4" t="inlineStr">
        <is>
          <t>2610N</t>
        </is>
      </c>
      <c r="D550" s="4" t="inlineStr">
        <is>
          <t>202610071700</t>
        </is>
      </c>
      <c r="E550" s="4" t="inlineStr"/>
      <c r="F550" s="4" t="inlineStr">
        <is>
          <t>THBKK</t>
        </is>
      </c>
      <c r="G550" s="4" t="inlineStr">
        <is>
          <t>HKHKG</t>
        </is>
      </c>
      <c r="H550" s="4" t="inlineStr">
        <is>
          <t xml:space="preserve">20'x1 </t>
        </is>
      </c>
      <c r="I550" s="4" t="inlineStr">
        <is>
          <t>BKK01</t>
        </is>
      </c>
      <c r="J550" s="4" t="inlineStr">
        <is>
          <t>PAT TERMINAL 2 (PORT AUTHORITY OF THAILAND)</t>
        </is>
      </c>
      <c r="K550" s="4" t="inlineStr">
        <is>
          <t>20261002</t>
        </is>
      </c>
      <c r="L550" s="4" t="inlineStr">
        <is>
          <t>POLAR STAR CO., LTD.</t>
        </is>
      </c>
      <c r="M550" s="4" t="inlineStr">
        <is>
          <t>CHAI SAN SAN TRADING LIMITED</t>
        </is>
      </c>
      <c r="N550" s="4" t="inlineStr">
        <is>
          <t>NOODLE</t>
        </is>
      </c>
      <c r="O550" s="4" t="inlineStr">
        <is>
          <t>GOOD AND CLEAN CONTAINER</t>
        </is>
      </c>
      <c r="P550" s="4" t="inlineStr">
        <is>
          <t xml:space="preserve">STUFFING CARGO @PAT (SPORTLIGHT TOWER NO.2) DD.02/10/26 CLS TIME CFS DD.02/10/26- 17:00HRS.
</t>
        </is>
      </c>
      <c r="Q550" s="4" t="n">
        <v>1</v>
      </c>
      <c r="R550" s="4" t="n">
        <v>0</v>
      </c>
      <c r="S550" s="4" t="n">
        <v>0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0</v>
      </c>
      <c r="AB550" s="4">
        <f>SUM(Q550:Y550)-Z550</f>
        <v/>
      </c>
      <c r="AC550" s="4">
        <f>IF(I550="","",IF(OR(LEFT(I550,3)="BKK",I550="LCH55"),"BKK",IF(LEFT(I550,3)="LCH","LCH","OTHER")))</f>
        <v/>
      </c>
      <c r="AD550" s="4">
        <f>MAX(0,Q550-MAX(0,Z550))</f>
        <v/>
      </c>
      <c r="AE550" s="4">
        <f>MAX(0,R550-MAX(0,Z550-SUM(Q550:Q550)))</f>
        <v/>
      </c>
      <c r="AF550" s="4">
        <f>MAX(0,S550-MAX(0,Z550-SUM(Q550:R550)))</f>
        <v/>
      </c>
      <c r="AG550" s="4">
        <f>MAX(0,T550-MAX(0,Z550-SUM(Q550:S550)))</f>
        <v/>
      </c>
      <c r="AH550" s="4">
        <f>MAX(0,U550-MAX(0,Z550-SUM(Q550:T550)))</f>
        <v/>
      </c>
      <c r="AI550" s="4">
        <f>MAX(0,V550-MAX(0,Z550-SUM(Q550:U550)))</f>
        <v/>
      </c>
      <c r="AJ550" s="4">
        <f>MAX(0,W550-MAX(0,Z550-SUM(Q550:V550)))</f>
        <v/>
      </c>
      <c r="AK550" s="4">
        <f>MAX(0,X550-MAX(0,Z550-SUM(Q550:W550)))</f>
        <v/>
      </c>
      <c r="AL550" s="4">
        <f>MAX(0,Y550-MAX(0,Z550-SUM(Q550:X550)))</f>
        <v/>
      </c>
    </row>
    <row r="551">
      <c r="A551" s="4" t="inlineStr">
        <is>
          <t>HASLS22260901130</t>
        </is>
      </c>
      <c r="B551" s="4" t="inlineStr">
        <is>
          <t>SWSR</t>
        </is>
      </c>
      <c r="C551" s="4" t="inlineStr">
        <is>
          <t>2611N</t>
        </is>
      </c>
      <c r="D551" s="4" t="inlineStr">
        <is>
          <t>202610110900</t>
        </is>
      </c>
      <c r="E551" s="4" t="inlineStr"/>
      <c r="F551" s="4" t="inlineStr">
        <is>
          <t>THBKK</t>
        </is>
      </c>
      <c r="G551" s="4" t="inlineStr">
        <is>
          <t>KRPUS</t>
        </is>
      </c>
      <c r="H551" s="4" t="inlineStr">
        <is>
          <t xml:space="preserve">40Hx1 </t>
        </is>
      </c>
      <c r="I551" s="4" t="inlineStr">
        <is>
          <t>BKK01</t>
        </is>
      </c>
      <c r="J551" s="4" t="inlineStr">
        <is>
          <t>PAT TERMINAL 2 (PORT AUTHORITY OF THAILAND)</t>
        </is>
      </c>
      <c r="K551" s="4" t="inlineStr">
        <is>
          <t>20261001</t>
        </is>
      </c>
      <c r="L551" s="4" t="inlineStr">
        <is>
          <t>CARGOPORT (THAILAND) LTD.</t>
        </is>
      </c>
      <c r="M551" s="4" t="inlineStr">
        <is>
          <t>CARGOPORT (THAILAND) LTD.</t>
        </is>
      </c>
      <c r="N551" s="4" t="inlineStr">
        <is>
          <t>GENERAL CARGO (CONSOL)</t>
        </is>
      </c>
      <c r="O551" s="4" t="inlineStr">
        <is>
          <t>(CONSOL)</t>
        </is>
      </c>
      <c r="P551" s="4" t="inlineStr">
        <is>
          <t xml:space="preserve">CY-RTN : 01-02/10/20206 (CONSOL)
</t>
        </is>
      </c>
      <c r="Q551" s="4" t="n">
        <v>0</v>
      </c>
      <c r="R551" s="4" t="n">
        <v>0</v>
      </c>
      <c r="S551" s="4" t="n">
        <v>1</v>
      </c>
      <c r="T551" s="4" t="n">
        <v>0</v>
      </c>
      <c r="U551" s="4" t="n">
        <v>0</v>
      </c>
      <c r="V551" s="4" t="n">
        <v>0</v>
      </c>
      <c r="W551" s="4" t="n">
        <v>0</v>
      </c>
      <c r="X551" s="4" t="n">
        <v>0</v>
      </c>
      <c r="Y551" s="4" t="n">
        <v>0</v>
      </c>
      <c r="Z551" s="4" t="n">
        <v>0</v>
      </c>
      <c r="AA551" s="4" t="n">
        <v>0</v>
      </c>
      <c r="AB551" s="4">
        <f>SUM(Q551:Y551)-Z551</f>
        <v/>
      </c>
      <c r="AC551" s="4">
        <f>IF(I551="","",IF(OR(LEFT(I551,3)="BKK",I551="LCH55"),"BKK",IF(LEFT(I551,3)="LCH","LCH","OTHER")))</f>
        <v/>
      </c>
      <c r="AD551" s="4">
        <f>MAX(0,Q551-MAX(0,Z551))</f>
        <v/>
      </c>
      <c r="AE551" s="4">
        <f>MAX(0,R551-MAX(0,Z551-SUM(Q551:Q551)))</f>
        <v/>
      </c>
      <c r="AF551" s="4">
        <f>MAX(0,S551-MAX(0,Z551-SUM(Q551:R551)))</f>
        <v/>
      </c>
      <c r="AG551" s="4">
        <f>MAX(0,T551-MAX(0,Z551-SUM(Q551:S551)))</f>
        <v/>
      </c>
      <c r="AH551" s="4">
        <f>MAX(0,U551-MAX(0,Z551-SUM(Q551:T551)))</f>
        <v/>
      </c>
      <c r="AI551" s="4">
        <f>MAX(0,V551-MAX(0,Z551-SUM(Q551:U551)))</f>
        <v/>
      </c>
      <c r="AJ551" s="4">
        <f>MAX(0,W551-MAX(0,Z551-SUM(Q551:V551)))</f>
        <v/>
      </c>
      <c r="AK551" s="4">
        <f>MAX(0,X551-MAX(0,Z551-SUM(Q551:W551)))</f>
        <v/>
      </c>
      <c r="AL551" s="4">
        <f>MAX(0,Y551-MAX(0,Z551-SUM(Q551:X551)))</f>
        <v/>
      </c>
    </row>
    <row r="552">
      <c r="A552" s="4" t="inlineStr">
        <is>
          <t>HASLS22260901132</t>
        </is>
      </c>
      <c r="B552" s="4" t="inlineStr">
        <is>
          <t>SWIC</t>
        </is>
      </c>
      <c r="C552" s="4" t="inlineStr">
        <is>
          <t>2611N</t>
        </is>
      </c>
      <c r="D552" s="4" t="inlineStr">
        <is>
          <t>202610130700</t>
        </is>
      </c>
      <c r="E552" s="4" t="inlineStr"/>
      <c r="F552" s="4" t="inlineStr">
        <is>
          <t>THBKK</t>
        </is>
      </c>
      <c r="G552" s="4" t="inlineStr">
        <is>
          <t>KRPUS</t>
        </is>
      </c>
      <c r="H552" s="4" t="inlineStr">
        <is>
          <t xml:space="preserve">40Hx1 </t>
        </is>
      </c>
      <c r="I552" s="4" t="inlineStr">
        <is>
          <t>BKK01</t>
        </is>
      </c>
      <c r="J552" s="4" t="inlineStr">
        <is>
          <t>PAT TERMINAL 2 (PORT AUTHORITY OF THAILAND)</t>
        </is>
      </c>
      <c r="K552" s="4" t="inlineStr">
        <is>
          <t>20261008</t>
        </is>
      </c>
      <c r="L552" s="4" t="inlineStr">
        <is>
          <t>CARGOPORT (THAILAND) LTD.</t>
        </is>
      </c>
      <c r="M552" s="4" t="inlineStr">
        <is>
          <t>CARGOPORT (THAILAND) LTD.</t>
        </is>
      </c>
      <c r="N552" s="4" t="inlineStr">
        <is>
          <t>GENERAL CARGO (CONSOL)</t>
        </is>
      </c>
      <c r="O552" s="4" t="inlineStr">
        <is>
          <t>(CONSOL)</t>
        </is>
      </c>
      <c r="P552" s="4" t="inlineStr">
        <is>
          <t xml:space="preserve">CY-RTN : 08-09/10/20206 (CONSOL)
</t>
        </is>
      </c>
      <c r="Q552" s="4" t="n">
        <v>0</v>
      </c>
      <c r="R552" s="4" t="n">
        <v>0</v>
      </c>
      <c r="S552" s="4" t="n">
        <v>1</v>
      </c>
      <c r="T552" s="4" t="n">
        <v>0</v>
      </c>
      <c r="U552" s="4" t="n">
        <v>0</v>
      </c>
      <c r="V552" s="4" t="n">
        <v>0</v>
      </c>
      <c r="W552" s="4" t="n">
        <v>0</v>
      </c>
      <c r="X552" s="4" t="n">
        <v>0</v>
      </c>
      <c r="Y552" s="4" t="n">
        <v>0</v>
      </c>
      <c r="Z552" s="4" t="n">
        <v>0</v>
      </c>
      <c r="AA552" s="4" t="n">
        <v>0</v>
      </c>
      <c r="AB552" s="4">
        <f>SUM(Q552:Y552)-Z552</f>
        <v/>
      </c>
      <c r="AC552" s="4">
        <f>IF(I552="","",IF(OR(LEFT(I552,3)="BKK",I552="LCH55"),"BKK",IF(LEFT(I552,3)="LCH","LCH","OTHER")))</f>
        <v/>
      </c>
      <c r="AD552" s="4">
        <f>MAX(0,Q552-MAX(0,Z552))</f>
        <v/>
      </c>
      <c r="AE552" s="4">
        <f>MAX(0,R552-MAX(0,Z552-SUM(Q552:Q552)))</f>
        <v/>
      </c>
      <c r="AF552" s="4">
        <f>MAX(0,S552-MAX(0,Z552-SUM(Q552:R552)))</f>
        <v/>
      </c>
      <c r="AG552" s="4">
        <f>MAX(0,T552-MAX(0,Z552-SUM(Q552:S552)))</f>
        <v/>
      </c>
      <c r="AH552" s="4">
        <f>MAX(0,U552-MAX(0,Z552-SUM(Q552:T552)))</f>
        <v/>
      </c>
      <c r="AI552" s="4">
        <f>MAX(0,V552-MAX(0,Z552-SUM(Q552:U552)))</f>
        <v/>
      </c>
      <c r="AJ552" s="4">
        <f>MAX(0,W552-MAX(0,Z552-SUM(Q552:V552)))</f>
        <v/>
      </c>
      <c r="AK552" s="4">
        <f>MAX(0,X552-MAX(0,Z552-SUM(Q552:W552)))</f>
        <v/>
      </c>
      <c r="AL552" s="4">
        <f>MAX(0,Y552-MAX(0,Z552-SUM(Q552:X552)))</f>
        <v/>
      </c>
    </row>
    <row r="553">
      <c r="A553" s="4" t="inlineStr">
        <is>
          <t>HASLS22260901133</t>
        </is>
      </c>
      <c r="B553" s="4" t="inlineStr">
        <is>
          <t>SKOR</t>
        </is>
      </c>
      <c r="C553" s="4" t="inlineStr">
        <is>
          <t>2612N</t>
        </is>
      </c>
      <c r="D553" s="4" t="inlineStr">
        <is>
          <t>202610181700</t>
        </is>
      </c>
      <c r="E553" s="4" t="inlineStr"/>
      <c r="F553" s="4" t="inlineStr">
        <is>
          <t>THBKK</t>
        </is>
      </c>
      <c r="G553" s="4" t="inlineStr">
        <is>
          <t>KRPUS</t>
        </is>
      </c>
      <c r="H553" s="4" t="inlineStr">
        <is>
          <t xml:space="preserve">40Hx1 </t>
        </is>
      </c>
      <c r="I553" s="4" t="inlineStr">
        <is>
          <t>BKK01</t>
        </is>
      </c>
      <c r="J553" s="4" t="inlineStr">
        <is>
          <t>PAT TERMINAL 2 (PORT AUTHORITY OF THAILAND)</t>
        </is>
      </c>
      <c r="K553" s="4" t="inlineStr">
        <is>
          <t>20261012</t>
        </is>
      </c>
      <c r="L553" s="4" t="inlineStr">
        <is>
          <t>CARGOPORT (THAILAND) LTD.</t>
        </is>
      </c>
      <c r="M553" s="4" t="inlineStr">
        <is>
          <t>CARGOPORT (THAILAND) LTD.</t>
        </is>
      </c>
      <c r="N553" s="4" t="inlineStr">
        <is>
          <t>GENERAL CARGO (CONSOL)</t>
        </is>
      </c>
      <c r="O553" s="4" t="inlineStr">
        <is>
          <t>(CONSOL)</t>
        </is>
      </c>
      <c r="P553" s="4" t="inlineStr">
        <is>
          <t xml:space="preserve">CY-RTN : 12-14/10/20206 (CONSOL)
</t>
        </is>
      </c>
      <c r="Q553" s="4" t="n">
        <v>0</v>
      </c>
      <c r="R553" s="4" t="n">
        <v>0</v>
      </c>
      <c r="S553" s="4" t="n">
        <v>1</v>
      </c>
      <c r="T553" s="4" t="n">
        <v>0</v>
      </c>
      <c r="U553" s="4" t="n">
        <v>0</v>
      </c>
      <c r="V553" s="4" t="n">
        <v>0</v>
      </c>
      <c r="W553" s="4" t="n">
        <v>0</v>
      </c>
      <c r="X553" s="4" t="n">
        <v>0</v>
      </c>
      <c r="Y553" s="4" t="n">
        <v>0</v>
      </c>
      <c r="Z553" s="4" t="n">
        <v>0</v>
      </c>
      <c r="AA553" s="4" t="n">
        <v>0</v>
      </c>
      <c r="AB553" s="4">
        <f>SUM(Q553:Y553)-Z553</f>
        <v/>
      </c>
      <c r="AC553" s="4">
        <f>IF(I553="","",IF(OR(LEFT(I553,3)="BKK",I553="LCH55"),"BKK",IF(LEFT(I553,3)="LCH","LCH","OTHER")))</f>
        <v/>
      </c>
      <c r="AD553" s="4">
        <f>MAX(0,Q553-MAX(0,Z553))</f>
        <v/>
      </c>
      <c r="AE553" s="4">
        <f>MAX(0,R553-MAX(0,Z553-SUM(Q553:Q553)))</f>
        <v/>
      </c>
      <c r="AF553" s="4">
        <f>MAX(0,S553-MAX(0,Z553-SUM(Q553:R553)))</f>
        <v/>
      </c>
      <c r="AG553" s="4">
        <f>MAX(0,T553-MAX(0,Z553-SUM(Q553:S553)))</f>
        <v/>
      </c>
      <c r="AH553" s="4">
        <f>MAX(0,U553-MAX(0,Z553-SUM(Q553:T553)))</f>
        <v/>
      </c>
      <c r="AI553" s="4">
        <f>MAX(0,V553-MAX(0,Z553-SUM(Q553:U553)))</f>
        <v/>
      </c>
      <c r="AJ553" s="4">
        <f>MAX(0,W553-MAX(0,Z553-SUM(Q553:V553)))</f>
        <v/>
      </c>
      <c r="AK553" s="4">
        <f>MAX(0,X553-MAX(0,Z553-SUM(Q553:W553)))</f>
        <v/>
      </c>
      <c r="AL553" s="4">
        <f>MAX(0,Y553-MAX(0,Z553-SUM(Q553:X553)))</f>
        <v/>
      </c>
    </row>
    <row r="554">
      <c r="A554" s="4" t="inlineStr">
        <is>
          <t>HASLS22260901134</t>
        </is>
      </c>
      <c r="B554" s="4" t="inlineStr">
        <is>
          <t>CMA</t>
        </is>
      </c>
      <c r="C554" s="4" t="inlineStr">
        <is>
          <t>2615N</t>
        </is>
      </c>
      <c r="D554" s="4" t="inlineStr">
        <is>
          <t>202610172300</t>
        </is>
      </c>
      <c r="E554" s="4" t="inlineStr"/>
      <c r="F554" s="4" t="inlineStr">
        <is>
          <t>THBKK</t>
        </is>
      </c>
      <c r="G554" s="4" t="inlineStr">
        <is>
          <t>KRPUS</t>
        </is>
      </c>
      <c r="H554" s="4" t="inlineStr">
        <is>
          <t xml:space="preserve">40Hx1 </t>
        </is>
      </c>
      <c r="I554" s="4" t="inlineStr">
        <is>
          <t>BKK01</t>
        </is>
      </c>
      <c r="J554" s="4" t="inlineStr">
        <is>
          <t>PAT TERMINAL 2 (PORT AUTHORITY OF THAILAND)</t>
        </is>
      </c>
      <c r="K554" s="4" t="inlineStr">
        <is>
          <t>20261012</t>
        </is>
      </c>
      <c r="L554" s="4" t="inlineStr">
        <is>
          <t>CARGOPORT (THAILAND) LTD.</t>
        </is>
      </c>
      <c r="M554" s="4" t="inlineStr">
        <is>
          <t>CARGOPORT (THAILAND) LTD.</t>
        </is>
      </c>
      <c r="N554" s="4" t="inlineStr">
        <is>
          <t>GENERAL CARGO (CONSOL)</t>
        </is>
      </c>
      <c r="O554" s="4" t="inlineStr">
        <is>
          <t>(CONSOL)</t>
        </is>
      </c>
      <c r="P554" s="4" t="inlineStr">
        <is>
          <t xml:space="preserve">CY-RTN : 12-14/10/20206 (CONSOL)
</t>
        </is>
      </c>
      <c r="Q554" s="4" t="n">
        <v>0</v>
      </c>
      <c r="R554" s="4" t="n">
        <v>0</v>
      </c>
      <c r="S554" s="4" t="n">
        <v>1</v>
      </c>
      <c r="T554" s="4" t="n">
        <v>0</v>
      </c>
      <c r="U554" s="4" t="n">
        <v>0</v>
      </c>
      <c r="V554" s="4" t="n">
        <v>0</v>
      </c>
      <c r="W554" s="4" t="n">
        <v>0</v>
      </c>
      <c r="X554" s="4" t="n">
        <v>0</v>
      </c>
      <c r="Y554" s="4" t="n">
        <v>0</v>
      </c>
      <c r="Z554" s="4" t="n">
        <v>0</v>
      </c>
      <c r="AA554" s="4" t="n">
        <v>0</v>
      </c>
      <c r="AB554" s="4">
        <f>SUM(Q554:Y554)-Z554</f>
        <v/>
      </c>
      <c r="AC554" s="4">
        <f>IF(I554="","",IF(OR(LEFT(I554,3)="BKK",I554="LCH55"),"BKK",IF(LEFT(I554,3)="LCH","LCH","OTHER")))</f>
        <v/>
      </c>
      <c r="AD554" s="4">
        <f>MAX(0,Q554-MAX(0,Z554))</f>
        <v/>
      </c>
      <c r="AE554" s="4">
        <f>MAX(0,R554-MAX(0,Z554-SUM(Q554:Q554)))</f>
        <v/>
      </c>
      <c r="AF554" s="4">
        <f>MAX(0,S554-MAX(0,Z554-SUM(Q554:R554)))</f>
        <v/>
      </c>
      <c r="AG554" s="4">
        <f>MAX(0,T554-MAX(0,Z554-SUM(Q554:S554)))</f>
        <v/>
      </c>
      <c r="AH554" s="4">
        <f>MAX(0,U554-MAX(0,Z554-SUM(Q554:T554)))</f>
        <v/>
      </c>
      <c r="AI554" s="4">
        <f>MAX(0,V554-MAX(0,Z554-SUM(Q554:U554)))</f>
        <v/>
      </c>
      <c r="AJ554" s="4">
        <f>MAX(0,W554-MAX(0,Z554-SUM(Q554:V554)))</f>
        <v/>
      </c>
      <c r="AK554" s="4">
        <f>MAX(0,X554-MAX(0,Z554-SUM(Q554:W554)))</f>
        <v/>
      </c>
      <c r="AL554" s="4">
        <f>MAX(0,Y554-MAX(0,Z554-SUM(Q554:X554)))</f>
        <v/>
      </c>
    </row>
    <row r="555">
      <c r="A555" s="4" t="inlineStr">
        <is>
          <t>HASLS22260901157</t>
        </is>
      </c>
      <c r="B555" s="4" t="inlineStr">
        <is>
          <t>SWSR</t>
        </is>
      </c>
      <c r="C555" s="4" t="inlineStr">
        <is>
          <t>2611N</t>
        </is>
      </c>
      <c r="D555" s="4" t="inlineStr">
        <is>
          <t>202610110900</t>
        </is>
      </c>
      <c r="E555" s="4" t="inlineStr"/>
      <c r="F555" s="4" t="inlineStr">
        <is>
          <t>THBKK</t>
        </is>
      </c>
      <c r="G555" s="4" t="inlineStr">
        <is>
          <t>HKHKG</t>
        </is>
      </c>
      <c r="H555" s="4" t="inlineStr">
        <is>
          <t xml:space="preserve">40Hx1 </t>
        </is>
      </c>
      <c r="I555" s="4" t="inlineStr">
        <is>
          <t>BKK01</t>
        </is>
      </c>
      <c r="J555" s="4" t="inlineStr">
        <is>
          <t>PAT TERMINAL 2 (PORT AUTHORITY OF THAILAND)</t>
        </is>
      </c>
      <c r="K555" s="4" t="inlineStr">
        <is>
          <t>20261002</t>
        </is>
      </c>
      <c r="L555" s="4" t="inlineStr">
        <is>
          <t>YUSEN LOGISTICS (THAILAND) CO., LTD.</t>
        </is>
      </c>
      <c r="M555" s="4" t="inlineStr">
        <is>
          <t>YUSEN LOGISTICS (THAILAND) CO., LTD.</t>
        </is>
      </c>
      <c r="N555" s="4" t="inlineStr">
        <is>
          <t>GENERAL CARGO (CONSOL)</t>
        </is>
      </c>
      <c r="O555" s="4" t="inlineStr">
        <is>
          <t>CONSOL</t>
        </is>
      </c>
      <c r="P555" s="4" t="inlineStr">
        <is>
          <t>Pickup : 2026-10-02, Return : 2026-10-02 CONSOL</t>
        </is>
      </c>
      <c r="Q555" s="4" t="n">
        <v>0</v>
      </c>
      <c r="R555" s="4" t="n">
        <v>0</v>
      </c>
      <c r="S555" s="4" t="n">
        <v>1</v>
      </c>
      <c r="T555" s="4" t="n">
        <v>0</v>
      </c>
      <c r="U555" s="4" t="n">
        <v>0</v>
      </c>
      <c r="V555" s="4" t="n">
        <v>0</v>
      </c>
      <c r="W555" s="4" t="n">
        <v>0</v>
      </c>
      <c r="X555" s="4" t="n">
        <v>0</v>
      </c>
      <c r="Y555" s="4" t="n">
        <v>0</v>
      </c>
      <c r="Z555" s="4" t="n">
        <v>0</v>
      </c>
      <c r="AA555" s="4" t="n">
        <v>0</v>
      </c>
      <c r="AB555" s="4">
        <f>SUM(Q555:Y555)-Z555</f>
        <v/>
      </c>
      <c r="AC555" s="4">
        <f>IF(I555="","",IF(OR(LEFT(I555,3)="BKK",I555="LCH55"),"BKK",IF(LEFT(I555,3)="LCH","LCH","OTHER")))</f>
        <v/>
      </c>
      <c r="AD555" s="4">
        <f>MAX(0,Q555-MAX(0,Z555))</f>
        <v/>
      </c>
      <c r="AE555" s="4">
        <f>MAX(0,R555-MAX(0,Z555-SUM(Q555:Q555)))</f>
        <v/>
      </c>
      <c r="AF555" s="4">
        <f>MAX(0,S555-MAX(0,Z555-SUM(Q555:R555)))</f>
        <v/>
      </c>
      <c r="AG555" s="4">
        <f>MAX(0,T555-MAX(0,Z555-SUM(Q555:S555)))</f>
        <v/>
      </c>
      <c r="AH555" s="4">
        <f>MAX(0,U555-MAX(0,Z555-SUM(Q555:T555)))</f>
        <v/>
      </c>
      <c r="AI555" s="4">
        <f>MAX(0,V555-MAX(0,Z555-SUM(Q555:U555)))</f>
        <v/>
      </c>
      <c r="AJ555" s="4">
        <f>MAX(0,W555-MAX(0,Z555-SUM(Q555:V555)))</f>
        <v/>
      </c>
      <c r="AK555" s="4">
        <f>MAX(0,X555-MAX(0,Z555-SUM(Q555:W555)))</f>
        <v/>
      </c>
      <c r="AL555" s="4">
        <f>MAX(0,Y555-MAX(0,Z555-SUM(Q555:X555)))</f>
        <v/>
      </c>
    </row>
    <row r="556">
      <c r="A556" s="4" t="inlineStr">
        <is>
          <t>HASLS22260901158</t>
        </is>
      </c>
      <c r="B556" s="4" t="inlineStr">
        <is>
          <t>KMTP</t>
        </is>
      </c>
      <c r="C556" s="4" t="inlineStr">
        <is>
          <t>2612N</t>
        </is>
      </c>
      <c r="D556" s="4" t="inlineStr">
        <is>
          <t>202610120800</t>
        </is>
      </c>
      <c r="E556" s="4" t="inlineStr"/>
      <c r="F556" s="4" t="inlineStr">
        <is>
          <t>THBKK</t>
        </is>
      </c>
      <c r="G556" s="4" t="inlineStr">
        <is>
          <t>HKHKG</t>
        </is>
      </c>
      <c r="H556" s="4" t="inlineStr">
        <is>
          <t xml:space="preserve">40Hx1 </t>
        </is>
      </c>
      <c r="I556" s="4" t="inlineStr">
        <is>
          <t>BKK01</t>
        </is>
      </c>
      <c r="J556" s="4" t="inlineStr">
        <is>
          <t>PAT TERMINAL 2 (PORT AUTHORITY OF THAILAND)</t>
        </is>
      </c>
      <c r="K556" s="4" t="inlineStr">
        <is>
          <t>20261008</t>
        </is>
      </c>
      <c r="L556" s="4" t="inlineStr">
        <is>
          <t>YUSEN LOGISTICS (THAILAND) CO., LTD.</t>
        </is>
      </c>
      <c r="M556" s="4" t="inlineStr">
        <is>
          <t>YUSEN LOGISTICS (THAILAND) CO., LTD.</t>
        </is>
      </c>
      <c r="N556" s="4" t="inlineStr">
        <is>
          <t>GENERAL CARGO (CONSOL)</t>
        </is>
      </c>
      <c r="O556" s="4" t="inlineStr">
        <is>
          <t>CONSOL</t>
        </is>
      </c>
      <c r="P556" s="4" t="inlineStr">
        <is>
          <t>Pickup : 2026-10-08, Return : 2026-10-08 CONSOL</t>
        </is>
      </c>
      <c r="Q556" s="4" t="n">
        <v>0</v>
      </c>
      <c r="R556" s="4" t="n">
        <v>0</v>
      </c>
      <c r="S556" s="4" t="n">
        <v>1</v>
      </c>
      <c r="T556" s="4" t="n">
        <v>0</v>
      </c>
      <c r="U556" s="4" t="n">
        <v>0</v>
      </c>
      <c r="V556" s="4" t="n">
        <v>0</v>
      </c>
      <c r="W556" s="4" t="n">
        <v>0</v>
      </c>
      <c r="X556" s="4" t="n">
        <v>0</v>
      </c>
      <c r="Y556" s="4" t="n">
        <v>0</v>
      </c>
      <c r="Z556" s="4" t="n">
        <v>0</v>
      </c>
      <c r="AA556" s="4" t="n">
        <v>0</v>
      </c>
      <c r="AB556" s="4">
        <f>SUM(Q556:Y556)-Z556</f>
        <v/>
      </c>
      <c r="AC556" s="4">
        <f>IF(I556="","",IF(OR(LEFT(I556,3)="BKK",I556="LCH55"),"BKK",IF(LEFT(I556,3)="LCH","LCH","OTHER")))</f>
        <v/>
      </c>
      <c r="AD556" s="4">
        <f>MAX(0,Q556-MAX(0,Z556))</f>
        <v/>
      </c>
      <c r="AE556" s="4">
        <f>MAX(0,R556-MAX(0,Z556-SUM(Q556:Q556)))</f>
        <v/>
      </c>
      <c r="AF556" s="4">
        <f>MAX(0,S556-MAX(0,Z556-SUM(Q556:R556)))</f>
        <v/>
      </c>
      <c r="AG556" s="4">
        <f>MAX(0,T556-MAX(0,Z556-SUM(Q556:S556)))</f>
        <v/>
      </c>
      <c r="AH556" s="4">
        <f>MAX(0,U556-MAX(0,Z556-SUM(Q556:T556)))</f>
        <v/>
      </c>
      <c r="AI556" s="4">
        <f>MAX(0,V556-MAX(0,Z556-SUM(Q556:U556)))</f>
        <v/>
      </c>
      <c r="AJ556" s="4">
        <f>MAX(0,W556-MAX(0,Z556-SUM(Q556:V556)))</f>
        <v/>
      </c>
      <c r="AK556" s="4">
        <f>MAX(0,X556-MAX(0,Z556-SUM(Q556:W556)))</f>
        <v/>
      </c>
      <c r="AL556" s="4">
        <f>MAX(0,Y556-MAX(0,Z556-SUM(Q556:X556)))</f>
        <v/>
      </c>
    </row>
    <row r="557">
      <c r="A557" s="4" t="inlineStr">
        <is>
          <t>HASLS22260901159</t>
        </is>
      </c>
      <c r="B557" s="4" t="inlineStr">
        <is>
          <t>SKOR</t>
        </is>
      </c>
      <c r="C557" s="4" t="inlineStr">
        <is>
          <t>2612N</t>
        </is>
      </c>
      <c r="D557" s="4" t="inlineStr">
        <is>
          <t>202610181700</t>
        </is>
      </c>
      <c r="E557" s="4" t="inlineStr"/>
      <c r="F557" s="4" t="inlineStr">
        <is>
          <t>THBKK</t>
        </is>
      </c>
      <c r="G557" s="4" t="inlineStr">
        <is>
          <t>HKHKG</t>
        </is>
      </c>
      <c r="H557" s="4" t="inlineStr">
        <is>
          <t xml:space="preserve">40Hx1 </t>
        </is>
      </c>
      <c r="I557" s="4" t="inlineStr">
        <is>
          <t>BKK01</t>
        </is>
      </c>
      <c r="J557" s="4" t="inlineStr">
        <is>
          <t>PAT TERMINAL 2 (PORT AUTHORITY OF THAILAND)</t>
        </is>
      </c>
      <c r="K557" s="4" t="inlineStr">
        <is>
          <t>20261013</t>
        </is>
      </c>
      <c r="L557" s="4" t="inlineStr">
        <is>
          <t>YUSEN LOGISTICS (THAILAND) CO., LTD.</t>
        </is>
      </c>
      <c r="M557" s="4" t="inlineStr">
        <is>
          <t>YUSEN LOGISTICS (THAILAND) CO., LTD.</t>
        </is>
      </c>
      <c r="N557" s="4" t="inlineStr">
        <is>
          <t>GENERAL CARGO (CONSOL)</t>
        </is>
      </c>
      <c r="O557" s="4" t="inlineStr">
        <is>
          <t>CONSOL</t>
        </is>
      </c>
      <c r="P557" s="4" t="inlineStr">
        <is>
          <t>Pickup : 2026-10-13, Return : 2026-10-13 CONSOL</t>
        </is>
      </c>
      <c r="Q557" s="4" t="n">
        <v>0</v>
      </c>
      <c r="R557" s="4" t="n">
        <v>0</v>
      </c>
      <c r="S557" s="4" t="n">
        <v>1</v>
      </c>
      <c r="T557" s="4" t="n">
        <v>0</v>
      </c>
      <c r="U557" s="4" t="n">
        <v>0</v>
      </c>
      <c r="V557" s="4" t="n">
        <v>0</v>
      </c>
      <c r="W557" s="4" t="n">
        <v>0</v>
      </c>
      <c r="X557" s="4" t="n">
        <v>0</v>
      </c>
      <c r="Y557" s="4" t="n">
        <v>0</v>
      </c>
      <c r="Z557" s="4" t="n">
        <v>0</v>
      </c>
      <c r="AA557" s="4" t="n">
        <v>0</v>
      </c>
      <c r="AB557" s="4">
        <f>SUM(Q557:Y557)-Z557</f>
        <v/>
      </c>
      <c r="AC557" s="4">
        <f>IF(I557="","",IF(OR(LEFT(I557,3)="BKK",I557="LCH55"),"BKK",IF(LEFT(I557,3)="LCH","LCH","OTHER")))</f>
        <v/>
      </c>
      <c r="AD557" s="4">
        <f>MAX(0,Q557-MAX(0,Z557))</f>
        <v/>
      </c>
      <c r="AE557" s="4">
        <f>MAX(0,R557-MAX(0,Z557-SUM(Q557:Q557)))</f>
        <v/>
      </c>
      <c r="AF557" s="4">
        <f>MAX(0,S557-MAX(0,Z557-SUM(Q557:R557)))</f>
        <v/>
      </c>
      <c r="AG557" s="4">
        <f>MAX(0,T557-MAX(0,Z557-SUM(Q557:S557)))</f>
        <v/>
      </c>
      <c r="AH557" s="4">
        <f>MAX(0,U557-MAX(0,Z557-SUM(Q557:T557)))</f>
        <v/>
      </c>
      <c r="AI557" s="4">
        <f>MAX(0,V557-MAX(0,Z557-SUM(Q557:U557)))</f>
        <v/>
      </c>
      <c r="AJ557" s="4">
        <f>MAX(0,W557-MAX(0,Z557-SUM(Q557:V557)))</f>
        <v/>
      </c>
      <c r="AK557" s="4">
        <f>MAX(0,X557-MAX(0,Z557-SUM(Q557:W557)))</f>
        <v/>
      </c>
      <c r="AL557" s="4">
        <f>MAX(0,Y557-MAX(0,Z557-SUM(Q557:X557)))</f>
        <v/>
      </c>
    </row>
    <row r="558">
      <c r="A558" s="4" t="inlineStr">
        <is>
          <t>HASLS22260901291</t>
        </is>
      </c>
      <c r="B558" s="4" t="inlineStr">
        <is>
          <t>KMTP</t>
        </is>
      </c>
      <c r="C558" s="4" t="inlineStr">
        <is>
          <t>2612N</t>
        </is>
      </c>
      <c r="D558" s="4" t="inlineStr">
        <is>
          <t>202610120800</t>
        </is>
      </c>
      <c r="E558" s="4" t="inlineStr"/>
      <c r="F558" s="4" t="inlineStr">
        <is>
          <t>THBKK</t>
        </is>
      </c>
      <c r="G558" s="4" t="inlineStr">
        <is>
          <t>HKHKG</t>
        </is>
      </c>
      <c r="H558" s="4" t="inlineStr">
        <is>
          <t xml:space="preserve">40Hx2 </t>
        </is>
      </c>
      <c r="I558" s="4" t="inlineStr">
        <is>
          <t>BKK01</t>
        </is>
      </c>
      <c r="J558" s="4" t="inlineStr">
        <is>
          <t>PAT TERMINAL 2 (PORT AUTHORITY OF THAILAND)</t>
        </is>
      </c>
      <c r="K558" s="4" t="inlineStr">
        <is>
          <t>20261008</t>
        </is>
      </c>
      <c r="L558" s="4" t="inlineStr">
        <is>
          <t>THE M CORP GLOBAL CO., LTD.</t>
        </is>
      </c>
      <c r="M558" s="4" t="inlineStr">
        <is>
          <t>THE M CORP GLOBAL CO., LTD.</t>
        </is>
      </c>
      <c r="N558" s="4" t="inlineStr">
        <is>
          <t>GENERAL CARGO</t>
        </is>
      </c>
      <c r="O558" s="4" t="inlineStr">
        <is>
          <t>CONSOL</t>
        </is>
      </c>
      <c r="P558" s="4" t="inlineStr">
        <is>
          <t>Pickup : 2026-10-08, Return : 2026-10-08 CONSOL</t>
        </is>
      </c>
      <c r="Q558" s="4" t="n">
        <v>0</v>
      </c>
      <c r="R558" s="4" t="n">
        <v>0</v>
      </c>
      <c r="S558" s="4" t="n">
        <v>2</v>
      </c>
      <c r="T558" s="4" t="n">
        <v>0</v>
      </c>
      <c r="U558" s="4" t="n">
        <v>0</v>
      </c>
      <c r="V558" s="4" t="n">
        <v>0</v>
      </c>
      <c r="W558" s="4" t="n">
        <v>0</v>
      </c>
      <c r="X558" s="4" t="n">
        <v>0</v>
      </c>
      <c r="Y558" s="4" t="n">
        <v>0</v>
      </c>
      <c r="Z558" s="4" t="n">
        <v>0</v>
      </c>
      <c r="AA558" s="4" t="n">
        <v>0</v>
      </c>
      <c r="AB558" s="4">
        <f>SUM(Q558:Y558)-Z558</f>
        <v/>
      </c>
      <c r="AC558" s="4">
        <f>IF(I558="","",IF(OR(LEFT(I558,3)="BKK",I558="LCH55"),"BKK",IF(LEFT(I558,3)="LCH","LCH","OTHER")))</f>
        <v/>
      </c>
      <c r="AD558" s="4">
        <f>MAX(0,Q558-MAX(0,Z558))</f>
        <v/>
      </c>
      <c r="AE558" s="4">
        <f>MAX(0,R558-MAX(0,Z558-SUM(Q558:Q558)))</f>
        <v/>
      </c>
      <c r="AF558" s="4">
        <f>MAX(0,S558-MAX(0,Z558-SUM(Q558:R558)))</f>
        <v/>
      </c>
      <c r="AG558" s="4">
        <f>MAX(0,T558-MAX(0,Z558-SUM(Q558:S558)))</f>
        <v/>
      </c>
      <c r="AH558" s="4">
        <f>MAX(0,U558-MAX(0,Z558-SUM(Q558:T558)))</f>
        <v/>
      </c>
      <c r="AI558" s="4">
        <f>MAX(0,V558-MAX(0,Z558-SUM(Q558:U558)))</f>
        <v/>
      </c>
      <c r="AJ558" s="4">
        <f>MAX(0,W558-MAX(0,Z558-SUM(Q558:V558)))</f>
        <v/>
      </c>
      <c r="AK558" s="4">
        <f>MAX(0,X558-MAX(0,Z558-SUM(Q558:W558)))</f>
        <v/>
      </c>
      <c r="AL558" s="4">
        <f>MAX(0,Y558-MAX(0,Z558-SUM(Q558:X558)))</f>
        <v/>
      </c>
    </row>
    <row r="559">
      <c r="A559" s="4" t="inlineStr">
        <is>
          <t>HASLS22260901391</t>
        </is>
      </c>
      <c r="B559" s="4" t="inlineStr">
        <is>
          <t>SWAT</t>
        </is>
      </c>
      <c r="C559" s="4" t="inlineStr">
        <is>
          <t>2610N</t>
        </is>
      </c>
      <c r="D559" s="4" t="inlineStr">
        <is>
          <t>202610071700</t>
        </is>
      </c>
      <c r="E559" s="4" t="inlineStr"/>
      <c r="F559" s="4" t="inlineStr">
        <is>
          <t>THBKK</t>
        </is>
      </c>
      <c r="G559" s="4" t="inlineStr">
        <is>
          <t>HKHKG</t>
        </is>
      </c>
      <c r="H559" s="4" t="inlineStr">
        <is>
          <t xml:space="preserve">20'x1 </t>
        </is>
      </c>
      <c r="I559" s="4" t="inlineStr">
        <is>
          <t>BKK01</t>
        </is>
      </c>
      <c r="J559" s="4" t="inlineStr">
        <is>
          <t>PAT TERMINAL 2 (PORT AUTHORITY OF THAILAND)</t>
        </is>
      </c>
      <c r="K559" s="4" t="inlineStr">
        <is>
          <t>20260930</t>
        </is>
      </c>
      <c r="L559" s="4" t="inlineStr">
        <is>
          <t>YUSEN LOGISTICS (THAILAND) CO., LTD.</t>
        </is>
      </c>
      <c r="M559" s="4" t="inlineStr">
        <is>
          <t>V.C.E. COMPANY LIMITED</t>
        </is>
      </c>
      <c r="N559" s="4" t="inlineStr">
        <is>
          <t>TAPIOCA STARCH</t>
        </is>
      </c>
      <c r="O559" s="4" t="inlineStr">
        <is>
          <t>GOOD AND CLEAN CONTAINER</t>
        </is>
      </c>
      <c r="P559" s="4" t="inlineStr">
        <is>
          <t>STUFFING @PAT (SPORT LIGHT TOWER 2) DD.30/09/26 *CLS TIME CFS DD.01/10/26 - 17:00HRS.*</t>
        </is>
      </c>
      <c r="Q559" s="4" t="n">
        <v>1</v>
      </c>
      <c r="R559" s="4" t="n">
        <v>0</v>
      </c>
      <c r="S559" s="4" t="n">
        <v>0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>
        <f>SUM(Q559:Y559)-Z559</f>
        <v/>
      </c>
      <c r="AC559" s="4">
        <f>IF(I559="","",IF(OR(LEFT(I559,3)="BKK",I559="LCH55"),"BKK",IF(LEFT(I559,3)="LCH","LCH","OTHER")))</f>
        <v/>
      </c>
      <c r="AD559" s="4">
        <f>MAX(0,Q559-MAX(0,Z559))</f>
        <v/>
      </c>
      <c r="AE559" s="4">
        <f>MAX(0,R559-MAX(0,Z559-SUM(Q559:Q559)))</f>
        <v/>
      </c>
      <c r="AF559" s="4">
        <f>MAX(0,S559-MAX(0,Z559-SUM(Q559:R559)))</f>
        <v/>
      </c>
      <c r="AG559" s="4">
        <f>MAX(0,T559-MAX(0,Z559-SUM(Q559:S559)))</f>
        <v/>
      </c>
      <c r="AH559" s="4">
        <f>MAX(0,U559-MAX(0,Z559-SUM(Q559:T559)))</f>
        <v/>
      </c>
      <c r="AI559" s="4">
        <f>MAX(0,V559-MAX(0,Z559-SUM(Q559:U559)))</f>
        <v/>
      </c>
      <c r="AJ559" s="4">
        <f>MAX(0,W559-MAX(0,Z559-SUM(Q559:V559)))</f>
        <v/>
      </c>
      <c r="AK559" s="4">
        <f>MAX(0,X559-MAX(0,Z559-SUM(Q559:W559)))</f>
        <v/>
      </c>
      <c r="AL559" s="4">
        <f>MAX(0,Y559-MAX(0,Z559-SUM(Q559:X559)))</f>
        <v/>
      </c>
    </row>
    <row r="560">
      <c r="A560" s="4" t="inlineStr">
        <is>
          <t>HASLS22260901507</t>
        </is>
      </c>
      <c r="B560" s="4" t="inlineStr">
        <is>
          <t>HAHM</t>
        </is>
      </c>
      <c r="C560" s="4" t="inlineStr">
        <is>
          <t>2612N</t>
        </is>
      </c>
      <c r="D560" s="4" t="inlineStr">
        <is>
          <t>202610211800</t>
        </is>
      </c>
      <c r="E560" s="4" t="inlineStr"/>
      <c r="F560" s="4" t="inlineStr">
        <is>
          <t>THBKK</t>
        </is>
      </c>
      <c r="G560" s="4" t="inlineStr">
        <is>
          <t>KRPUS</t>
        </is>
      </c>
      <c r="H560" s="4" t="inlineStr">
        <is>
          <t xml:space="preserve">40Hx3 </t>
        </is>
      </c>
      <c r="I560" s="4" t="inlineStr">
        <is>
          <t>BKK01</t>
        </is>
      </c>
      <c r="J560" s="4" t="inlineStr">
        <is>
          <t>PAT TERMINAL 2 (PORT AUTHORITY OF THAILAND)</t>
        </is>
      </c>
      <c r="K560" s="4" t="inlineStr">
        <is>
          <t>20261015</t>
        </is>
      </c>
      <c r="L560" s="4" t="inlineStr">
        <is>
          <t>ECU WORLDWIDE (THAILAND) CO., LTD.</t>
        </is>
      </c>
      <c r="M560" s="4" t="inlineStr">
        <is>
          <t>ECU WORLDWIDE (THAILAND) CO., LTD.</t>
        </is>
      </c>
      <c r="N560" s="4" t="inlineStr">
        <is>
          <t>GENERAL CARGO (CONSOL)</t>
        </is>
      </c>
      <c r="O560" s="4" t="inlineStr">
        <is>
          <t>CONSOL</t>
        </is>
      </c>
      <c r="P560" s="4" t="inlineStr">
        <is>
          <t xml:space="preserve">Pickup : 2026-10-15, Return : 2026-10-16  CONSOL </t>
        </is>
      </c>
      <c r="Q560" s="4" t="n">
        <v>0</v>
      </c>
      <c r="R560" s="4" t="n">
        <v>0</v>
      </c>
      <c r="S560" s="4" t="n">
        <v>3</v>
      </c>
      <c r="T560" s="4" t="n">
        <v>0</v>
      </c>
      <c r="U560" s="4" t="n">
        <v>0</v>
      </c>
      <c r="V560" s="4" t="n">
        <v>0</v>
      </c>
      <c r="W560" s="4" t="n">
        <v>0</v>
      </c>
      <c r="X560" s="4" t="n">
        <v>0</v>
      </c>
      <c r="Y560" s="4" t="n">
        <v>0</v>
      </c>
      <c r="Z560" s="4" t="n">
        <v>0</v>
      </c>
      <c r="AA560" s="4" t="n">
        <v>0</v>
      </c>
      <c r="AB560" s="4">
        <f>SUM(Q560:Y560)-Z560</f>
        <v/>
      </c>
      <c r="AC560" s="4">
        <f>IF(I560="","",IF(OR(LEFT(I560,3)="BKK",I560="LCH55"),"BKK",IF(LEFT(I560,3)="LCH","LCH","OTHER")))</f>
        <v/>
      </c>
      <c r="AD560" s="4">
        <f>MAX(0,Q560-MAX(0,Z560))</f>
        <v/>
      </c>
      <c r="AE560" s="4">
        <f>MAX(0,R560-MAX(0,Z560-SUM(Q560:Q560)))</f>
        <v/>
      </c>
      <c r="AF560" s="4">
        <f>MAX(0,S560-MAX(0,Z560-SUM(Q560:R560)))</f>
        <v/>
      </c>
      <c r="AG560" s="4">
        <f>MAX(0,T560-MAX(0,Z560-SUM(Q560:S560)))</f>
        <v/>
      </c>
      <c r="AH560" s="4">
        <f>MAX(0,U560-MAX(0,Z560-SUM(Q560:T560)))</f>
        <v/>
      </c>
      <c r="AI560" s="4">
        <f>MAX(0,V560-MAX(0,Z560-SUM(Q560:U560)))</f>
        <v/>
      </c>
      <c r="AJ560" s="4">
        <f>MAX(0,W560-MAX(0,Z560-SUM(Q560:V560)))</f>
        <v/>
      </c>
      <c r="AK560" s="4">
        <f>MAX(0,X560-MAX(0,Z560-SUM(Q560:W560)))</f>
        <v/>
      </c>
      <c r="AL560" s="4">
        <f>MAX(0,Y560-MAX(0,Z560-SUM(Q560:X560)))</f>
        <v/>
      </c>
    </row>
    <row r="561">
      <c r="A561" s="4" t="inlineStr">
        <is>
          <t>HASLS22260901553</t>
        </is>
      </c>
      <c r="B561" s="4" t="inlineStr">
        <is>
          <t>KMTP</t>
        </is>
      </c>
      <c r="C561" s="4" t="inlineStr">
        <is>
          <t>2612N</t>
        </is>
      </c>
      <c r="D561" s="4" t="inlineStr">
        <is>
          <t>202610120800</t>
        </is>
      </c>
      <c r="E561" s="4" t="inlineStr"/>
      <c r="F561" s="4" t="inlineStr">
        <is>
          <t>THBKK</t>
        </is>
      </c>
      <c r="G561" s="4" t="inlineStr">
        <is>
          <t>HKHKG</t>
        </is>
      </c>
      <c r="H561" s="4" t="inlineStr">
        <is>
          <t xml:space="preserve">40Hx4 </t>
        </is>
      </c>
      <c r="I561" s="4" t="inlineStr">
        <is>
          <t>BKK01</t>
        </is>
      </c>
      <c r="J561" s="4" t="inlineStr">
        <is>
          <t>PAT TERMINAL 2 (PORT AUTHORITY OF THAILAND)</t>
        </is>
      </c>
      <c r="K561" s="4" t="inlineStr">
        <is>
          <t>20261008</t>
        </is>
      </c>
      <c r="L561" s="4" t="inlineStr">
        <is>
          <t>PILOT CONSOLIDATOR CO., LTD.</t>
        </is>
      </c>
      <c r="M561" s="4" t="inlineStr">
        <is>
          <t>PILOT CONSOLIDATOR CO., LTD.</t>
        </is>
      </c>
      <c r="N561" s="4" t="inlineStr">
        <is>
          <t>Console</t>
        </is>
      </c>
      <c r="O561" s="4" t="inlineStr">
        <is>
          <t>CONSOL
CLEAN &amp; GOOD CONTAINERS</t>
        </is>
      </c>
      <c r="P561" s="4" t="inlineStr">
        <is>
          <t>Pickup : 2026-10-08, Return : 2026-10-09 CONSOL</t>
        </is>
      </c>
      <c r="Q561" s="4" t="n">
        <v>0</v>
      </c>
      <c r="R561" s="4" t="n">
        <v>0</v>
      </c>
      <c r="S561" s="4" t="n">
        <v>4</v>
      </c>
      <c r="T561" s="4" t="n">
        <v>0</v>
      </c>
      <c r="U561" s="4" t="n">
        <v>0</v>
      </c>
      <c r="V561" s="4" t="n">
        <v>0</v>
      </c>
      <c r="W561" s="4" t="n">
        <v>0</v>
      </c>
      <c r="X561" s="4" t="n">
        <v>0</v>
      </c>
      <c r="Y561" s="4" t="n">
        <v>0</v>
      </c>
      <c r="Z561" s="4" t="n">
        <v>0</v>
      </c>
      <c r="AA561" s="4" t="n">
        <v>0</v>
      </c>
      <c r="AB561" s="4">
        <f>SUM(Q561:Y561)-Z561</f>
        <v/>
      </c>
      <c r="AC561" s="4">
        <f>IF(I561="","",IF(OR(LEFT(I561,3)="BKK",I561="LCH55"),"BKK",IF(LEFT(I561,3)="LCH","LCH","OTHER")))</f>
        <v/>
      </c>
      <c r="AD561" s="4">
        <f>MAX(0,Q561-MAX(0,Z561))</f>
        <v/>
      </c>
      <c r="AE561" s="4">
        <f>MAX(0,R561-MAX(0,Z561-SUM(Q561:Q561)))</f>
        <v/>
      </c>
      <c r="AF561" s="4">
        <f>MAX(0,S561-MAX(0,Z561-SUM(Q561:R561)))</f>
        <v/>
      </c>
      <c r="AG561" s="4">
        <f>MAX(0,T561-MAX(0,Z561-SUM(Q561:S561)))</f>
        <v/>
      </c>
      <c r="AH561" s="4">
        <f>MAX(0,U561-MAX(0,Z561-SUM(Q561:T561)))</f>
        <v/>
      </c>
      <c r="AI561" s="4">
        <f>MAX(0,V561-MAX(0,Z561-SUM(Q561:U561)))</f>
        <v/>
      </c>
      <c r="AJ561" s="4">
        <f>MAX(0,W561-MAX(0,Z561-SUM(Q561:V561)))</f>
        <v/>
      </c>
      <c r="AK561" s="4">
        <f>MAX(0,X561-MAX(0,Z561-SUM(Q561:W561)))</f>
        <v/>
      </c>
      <c r="AL561" s="4">
        <f>MAX(0,Y561-MAX(0,Z561-SUM(Q561:X561)))</f>
        <v/>
      </c>
    </row>
    <row r="562">
      <c r="A562" s="4" t="inlineStr">
        <is>
          <t>HASLS22260901556</t>
        </is>
      </c>
      <c r="B562" s="4" t="inlineStr">
        <is>
          <t>SKOR</t>
        </is>
      </c>
      <c r="C562" s="4" t="inlineStr">
        <is>
          <t>2612N</t>
        </is>
      </c>
      <c r="D562" s="4" t="inlineStr">
        <is>
          <t>202610181700</t>
        </is>
      </c>
      <c r="E562" s="4" t="inlineStr"/>
      <c r="F562" s="4" t="inlineStr">
        <is>
          <t>THBKK</t>
        </is>
      </c>
      <c r="G562" s="4" t="inlineStr">
        <is>
          <t>HKHKG</t>
        </is>
      </c>
      <c r="H562" s="4" t="inlineStr">
        <is>
          <t xml:space="preserve">40Hx4 </t>
        </is>
      </c>
      <c r="I562" s="4" t="inlineStr">
        <is>
          <t>BKK01</t>
        </is>
      </c>
      <c r="J562" s="4" t="inlineStr">
        <is>
          <t>PAT TERMINAL 2 (PORT AUTHORITY OF THAILAND)</t>
        </is>
      </c>
      <c r="K562" s="4" t="inlineStr">
        <is>
          <t>20261013</t>
        </is>
      </c>
      <c r="L562" s="4" t="inlineStr">
        <is>
          <t>PILOT CONSOLIDATOR CO., LTD.</t>
        </is>
      </c>
      <c r="M562" s="4" t="inlineStr">
        <is>
          <t>PILOT CONSOLIDATOR CO., LTD.</t>
        </is>
      </c>
      <c r="N562" s="4" t="inlineStr">
        <is>
          <t>Console</t>
        </is>
      </c>
      <c r="O562" s="4" t="inlineStr">
        <is>
          <t>CONSOL CLEAN &amp; GOOD CONTAINERS</t>
        </is>
      </c>
      <c r="P562" s="4" t="inlineStr">
        <is>
          <t>Pickup : 2026-10-13, Return : 2026-10-14 CONSOL</t>
        </is>
      </c>
      <c r="Q562" s="4" t="n">
        <v>0</v>
      </c>
      <c r="R562" s="4" t="n">
        <v>0</v>
      </c>
      <c r="S562" s="4" t="n">
        <v>4</v>
      </c>
      <c r="T562" s="4" t="n">
        <v>0</v>
      </c>
      <c r="U562" s="4" t="n">
        <v>0</v>
      </c>
      <c r="V562" s="4" t="n">
        <v>0</v>
      </c>
      <c r="W562" s="4" t="n">
        <v>0</v>
      </c>
      <c r="X562" s="4" t="n">
        <v>0</v>
      </c>
      <c r="Y562" s="4" t="n">
        <v>0</v>
      </c>
      <c r="Z562" s="4" t="n">
        <v>0</v>
      </c>
      <c r="AA562" s="4" t="n">
        <v>0</v>
      </c>
      <c r="AB562" s="4">
        <f>SUM(Q562:Y562)-Z562</f>
        <v/>
      </c>
      <c r="AC562" s="4">
        <f>IF(I562="","",IF(OR(LEFT(I562,3)="BKK",I562="LCH55"),"BKK",IF(LEFT(I562,3)="LCH","LCH","OTHER")))</f>
        <v/>
      </c>
      <c r="AD562" s="4">
        <f>MAX(0,Q562-MAX(0,Z562))</f>
        <v/>
      </c>
      <c r="AE562" s="4">
        <f>MAX(0,R562-MAX(0,Z562-SUM(Q562:Q562)))</f>
        <v/>
      </c>
      <c r="AF562" s="4">
        <f>MAX(0,S562-MAX(0,Z562-SUM(Q562:R562)))</f>
        <v/>
      </c>
      <c r="AG562" s="4">
        <f>MAX(0,T562-MAX(0,Z562-SUM(Q562:S562)))</f>
        <v/>
      </c>
      <c r="AH562" s="4">
        <f>MAX(0,U562-MAX(0,Z562-SUM(Q562:T562)))</f>
        <v/>
      </c>
      <c r="AI562" s="4">
        <f>MAX(0,V562-MAX(0,Z562-SUM(Q562:U562)))</f>
        <v/>
      </c>
      <c r="AJ562" s="4">
        <f>MAX(0,W562-MAX(0,Z562-SUM(Q562:V562)))</f>
        <v/>
      </c>
      <c r="AK562" s="4">
        <f>MAX(0,X562-MAX(0,Z562-SUM(Q562:W562)))</f>
        <v/>
      </c>
      <c r="AL562" s="4">
        <f>MAX(0,Y562-MAX(0,Z562-SUM(Q562:X562)))</f>
        <v/>
      </c>
    </row>
    <row r="563">
      <c r="A563" s="4" t="inlineStr">
        <is>
          <t>HASLS22260901567</t>
        </is>
      </c>
      <c r="B563" s="4" t="inlineStr">
        <is>
          <t>SWAT</t>
        </is>
      </c>
      <c r="C563" s="4" t="inlineStr">
        <is>
          <t>2610N</t>
        </is>
      </c>
      <c r="D563" s="4" t="inlineStr">
        <is>
          <t>202610071700</t>
        </is>
      </c>
      <c r="E563" s="4" t="inlineStr"/>
      <c r="F563" s="4" t="inlineStr">
        <is>
          <t>THBKK</t>
        </is>
      </c>
      <c r="G563" s="4" t="inlineStr">
        <is>
          <t>HKHKG</t>
        </is>
      </c>
      <c r="H563" s="4" t="inlineStr">
        <is>
          <t xml:space="preserve">40Hx2 </t>
        </is>
      </c>
      <c r="I563" s="4" t="inlineStr">
        <is>
          <t>BKK01</t>
        </is>
      </c>
      <c r="J563" s="4" t="inlineStr">
        <is>
          <t>PAT TERMINAL 2 (PORT AUTHORITY OF THAILAND)</t>
        </is>
      </c>
      <c r="K563" s="4" t="inlineStr">
        <is>
          <t>20261001</t>
        </is>
      </c>
      <c r="L563" s="4" t="inlineStr">
        <is>
          <t>ECU WORLDWIDE (THAILAND) CO., LTD.</t>
        </is>
      </c>
      <c r="M563" s="4" t="inlineStr">
        <is>
          <t>ECU WORLDWIDE (THAILAND) CO., LTD.</t>
        </is>
      </c>
      <c r="N563" s="4" t="inlineStr">
        <is>
          <t>GENERAL CARGO (CONSOL)</t>
        </is>
      </c>
      <c r="O563" s="4" t="inlineStr">
        <is>
          <t>CONSOL</t>
        </is>
      </c>
      <c r="P563" s="4" t="inlineStr">
        <is>
          <t>Pickup : 2026-10-01, Return : 2026-10-02 CONSOL</t>
        </is>
      </c>
      <c r="Q563" s="4" t="n">
        <v>0</v>
      </c>
      <c r="R563" s="4" t="n">
        <v>0</v>
      </c>
      <c r="S563" s="4" t="n">
        <v>2</v>
      </c>
      <c r="T563" s="4" t="n">
        <v>0</v>
      </c>
      <c r="U563" s="4" t="n">
        <v>0</v>
      </c>
      <c r="V563" s="4" t="n">
        <v>0</v>
      </c>
      <c r="W563" s="4" t="n">
        <v>0</v>
      </c>
      <c r="X563" s="4" t="n">
        <v>0</v>
      </c>
      <c r="Y563" s="4" t="n">
        <v>0</v>
      </c>
      <c r="Z563" s="4" t="n">
        <v>0</v>
      </c>
      <c r="AA563" s="4" t="n">
        <v>0</v>
      </c>
      <c r="AB563" s="4">
        <f>SUM(Q563:Y563)-Z563</f>
        <v/>
      </c>
      <c r="AC563" s="4">
        <f>IF(I563="","",IF(OR(LEFT(I563,3)="BKK",I563="LCH55"),"BKK",IF(LEFT(I563,3)="LCH","LCH","OTHER")))</f>
        <v/>
      </c>
      <c r="AD563" s="4">
        <f>MAX(0,Q563-MAX(0,Z563))</f>
        <v/>
      </c>
      <c r="AE563" s="4">
        <f>MAX(0,R563-MAX(0,Z563-SUM(Q563:Q563)))</f>
        <v/>
      </c>
      <c r="AF563" s="4">
        <f>MAX(0,S563-MAX(0,Z563-SUM(Q563:R563)))</f>
        <v/>
      </c>
      <c r="AG563" s="4">
        <f>MAX(0,T563-MAX(0,Z563-SUM(Q563:S563)))</f>
        <v/>
      </c>
      <c r="AH563" s="4">
        <f>MAX(0,U563-MAX(0,Z563-SUM(Q563:T563)))</f>
        <v/>
      </c>
      <c r="AI563" s="4">
        <f>MAX(0,V563-MAX(0,Z563-SUM(Q563:U563)))</f>
        <v/>
      </c>
      <c r="AJ563" s="4">
        <f>MAX(0,W563-MAX(0,Z563-SUM(Q563:V563)))</f>
        <v/>
      </c>
      <c r="AK563" s="4">
        <f>MAX(0,X563-MAX(0,Z563-SUM(Q563:W563)))</f>
        <v/>
      </c>
      <c r="AL563" s="4">
        <f>MAX(0,Y563-MAX(0,Z563-SUM(Q563:X563)))</f>
        <v/>
      </c>
    </row>
    <row r="564">
      <c r="A564" s="4" t="inlineStr">
        <is>
          <t>HASLS22260901603</t>
        </is>
      </c>
      <c r="B564" s="4" t="inlineStr">
        <is>
          <t>KMTP</t>
        </is>
      </c>
      <c r="C564" s="4" t="inlineStr">
        <is>
          <t>2612N</t>
        </is>
      </c>
      <c r="D564" s="4" t="inlineStr">
        <is>
          <t>202610120800</t>
        </is>
      </c>
      <c r="E564" s="4" t="inlineStr"/>
      <c r="F564" s="4" t="inlineStr">
        <is>
          <t>THBKK</t>
        </is>
      </c>
      <c r="G564" s="4" t="inlineStr">
        <is>
          <t>KRPUS</t>
        </is>
      </c>
      <c r="H564" s="4" t="inlineStr">
        <is>
          <t xml:space="preserve">40Hx1 20'x1 </t>
        </is>
      </c>
      <c r="I564" s="4" t="inlineStr">
        <is>
          <t>BKK01</t>
        </is>
      </c>
      <c r="J564" s="4" t="inlineStr">
        <is>
          <t>PAT TERMINAL 2 (PORT AUTHORITY OF THAILAND)</t>
        </is>
      </c>
      <c r="K564" s="4" t="inlineStr">
        <is>
          <t>20261008</t>
        </is>
      </c>
      <c r="L564" s="4" t="inlineStr">
        <is>
          <t>GATEWAY CONTAINER LINE CO., LTD.</t>
        </is>
      </c>
      <c r="M564" s="4" t="inlineStr">
        <is>
          <t>GATEWAY CONTAINER LINE CO., LTD.</t>
        </is>
      </c>
      <c r="N564" s="4" t="inlineStr">
        <is>
          <t>GENERAL CARGO CONSOL</t>
        </is>
      </c>
      <c r="O564" s="4" t="inlineStr">
        <is>
          <t>CONSOL</t>
        </is>
      </c>
      <c r="P564" s="4" t="inlineStr">
        <is>
          <t>Pickup : 2026-10-08, Return : 2026-10-09 CONSOL</t>
        </is>
      </c>
      <c r="Q564" s="4" t="n">
        <v>1</v>
      </c>
      <c r="R564" s="4" t="n">
        <v>0</v>
      </c>
      <c r="S564" s="4" t="n">
        <v>1</v>
      </c>
      <c r="T564" s="4" t="n">
        <v>0</v>
      </c>
      <c r="U564" s="4" t="n">
        <v>0</v>
      </c>
      <c r="V564" s="4" t="n">
        <v>0</v>
      </c>
      <c r="W564" s="4" t="n">
        <v>0</v>
      </c>
      <c r="X564" s="4" t="n">
        <v>0</v>
      </c>
      <c r="Y564" s="4" t="n">
        <v>0</v>
      </c>
      <c r="Z564" s="4" t="n">
        <v>0</v>
      </c>
      <c r="AA564" s="4" t="n">
        <v>0</v>
      </c>
      <c r="AB564" s="4">
        <f>SUM(Q564:Y564)-Z564</f>
        <v/>
      </c>
      <c r="AC564" s="4">
        <f>IF(I564="","",IF(OR(LEFT(I564,3)="BKK",I564="LCH55"),"BKK",IF(LEFT(I564,3)="LCH","LCH","OTHER")))</f>
        <v/>
      </c>
      <c r="AD564" s="4">
        <f>MAX(0,Q564-MAX(0,Z564))</f>
        <v/>
      </c>
      <c r="AE564" s="4">
        <f>MAX(0,R564-MAX(0,Z564-SUM(Q564:Q564)))</f>
        <v/>
      </c>
      <c r="AF564" s="4">
        <f>MAX(0,S564-MAX(0,Z564-SUM(Q564:R564)))</f>
        <v/>
      </c>
      <c r="AG564" s="4">
        <f>MAX(0,T564-MAX(0,Z564-SUM(Q564:S564)))</f>
        <v/>
      </c>
      <c r="AH564" s="4">
        <f>MAX(0,U564-MAX(0,Z564-SUM(Q564:T564)))</f>
        <v/>
      </c>
      <c r="AI564" s="4">
        <f>MAX(0,V564-MAX(0,Z564-SUM(Q564:U564)))</f>
        <v/>
      </c>
      <c r="AJ564" s="4">
        <f>MAX(0,W564-MAX(0,Z564-SUM(Q564:V564)))</f>
        <v/>
      </c>
      <c r="AK564" s="4">
        <f>MAX(0,X564-MAX(0,Z564-SUM(Q564:W564)))</f>
        <v/>
      </c>
      <c r="AL564" s="4">
        <f>MAX(0,Y564-MAX(0,Z564-SUM(Q564:X564)))</f>
        <v/>
      </c>
    </row>
    <row r="565">
      <c r="A565" s="4" t="inlineStr">
        <is>
          <t>HASLS22260901655</t>
        </is>
      </c>
      <c r="B565" s="4" t="inlineStr">
        <is>
          <t>SWIC</t>
        </is>
      </c>
      <c r="C565" s="4" t="inlineStr">
        <is>
          <t>2611N</t>
        </is>
      </c>
      <c r="D565" s="4" t="inlineStr">
        <is>
          <t>202610130700</t>
        </is>
      </c>
      <c r="E565" s="4" t="inlineStr"/>
      <c r="F565" s="4" t="inlineStr">
        <is>
          <t>THBKK</t>
        </is>
      </c>
      <c r="G565" s="4" t="inlineStr">
        <is>
          <t>VNSGN</t>
        </is>
      </c>
      <c r="H565" s="4" t="inlineStr">
        <is>
          <t xml:space="preserve">20'x1 </t>
        </is>
      </c>
      <c r="I565" s="4" t="inlineStr">
        <is>
          <t>BKK01</t>
        </is>
      </c>
      <c r="J565" s="4" t="inlineStr">
        <is>
          <t>PAT TERMINAL 2 (PORT AUTHORITY OF THAILAND)</t>
        </is>
      </c>
      <c r="K565" s="4" t="inlineStr">
        <is>
          <t>20261008</t>
        </is>
      </c>
      <c r="L565" s="4" t="inlineStr">
        <is>
          <t>EXPEDITORS (THAILAND) LTD.</t>
        </is>
      </c>
      <c r="M565" s="4" t="inlineStr">
        <is>
          <t>MRD-ECC CO.,LTD.</t>
        </is>
      </c>
      <c r="N565" s="4" t="inlineStr">
        <is>
          <t>BALL CLAY</t>
        </is>
      </c>
      <c r="O565" s="4" t="inlineStr">
        <is>
          <t>GOOD AND CLEAN CONTAINER</t>
        </is>
      </c>
      <c r="P565" s="4" t="inlineStr">
        <is>
          <t xml:space="preserve">STUFFING @PAT (SPORT LIGHT TOWER 2) DD.08/10/26 *CLS TIME CFS DD.09/10/26 - 17:00HRS.*  </t>
        </is>
      </c>
      <c r="Q565" s="4" t="n">
        <v>1</v>
      </c>
      <c r="R565" s="4" t="n">
        <v>0</v>
      </c>
      <c r="S565" s="4" t="n">
        <v>0</v>
      </c>
      <c r="T565" s="4" t="n">
        <v>0</v>
      </c>
      <c r="U565" s="4" t="n">
        <v>0</v>
      </c>
      <c r="V565" s="4" t="n">
        <v>0</v>
      </c>
      <c r="W565" s="4" t="n">
        <v>0</v>
      </c>
      <c r="X565" s="4" t="n">
        <v>0</v>
      </c>
      <c r="Y565" s="4" t="n">
        <v>0</v>
      </c>
      <c r="Z565" s="4" t="n">
        <v>0</v>
      </c>
      <c r="AA565" s="4" t="n">
        <v>0</v>
      </c>
      <c r="AB565" s="4">
        <f>SUM(Q565:Y565)-Z565</f>
        <v/>
      </c>
      <c r="AC565" s="4">
        <f>IF(I565="","",IF(OR(LEFT(I565,3)="BKK",I565="LCH55"),"BKK",IF(LEFT(I565,3)="LCH","LCH","OTHER")))</f>
        <v/>
      </c>
      <c r="AD565" s="4">
        <f>MAX(0,Q565-MAX(0,Z565))</f>
        <v/>
      </c>
      <c r="AE565" s="4">
        <f>MAX(0,R565-MAX(0,Z565-SUM(Q565:Q565)))</f>
        <v/>
      </c>
      <c r="AF565" s="4">
        <f>MAX(0,S565-MAX(0,Z565-SUM(Q565:R565)))</f>
        <v/>
      </c>
      <c r="AG565" s="4">
        <f>MAX(0,T565-MAX(0,Z565-SUM(Q565:S565)))</f>
        <v/>
      </c>
      <c r="AH565" s="4">
        <f>MAX(0,U565-MAX(0,Z565-SUM(Q565:T565)))</f>
        <v/>
      </c>
      <c r="AI565" s="4">
        <f>MAX(0,V565-MAX(0,Z565-SUM(Q565:U565)))</f>
        <v/>
      </c>
      <c r="AJ565" s="4">
        <f>MAX(0,W565-MAX(0,Z565-SUM(Q565:V565)))</f>
        <v/>
      </c>
      <c r="AK565" s="4">
        <f>MAX(0,X565-MAX(0,Z565-SUM(Q565:W565)))</f>
        <v/>
      </c>
      <c r="AL565" s="4">
        <f>MAX(0,Y565-MAX(0,Z565-SUM(Q565:X565)))</f>
        <v/>
      </c>
    </row>
    <row r="566">
      <c r="A566" s="4" t="inlineStr">
        <is>
          <t>HASLS22260901752</t>
        </is>
      </c>
      <c r="B566" s="4" t="inlineStr">
        <is>
          <t>CMA</t>
        </is>
      </c>
      <c r="C566" s="4" t="inlineStr">
        <is>
          <t>2615N</t>
        </is>
      </c>
      <c r="D566" s="4" t="inlineStr">
        <is>
          <t>202610172300</t>
        </is>
      </c>
      <c r="E566" s="4" t="inlineStr"/>
      <c r="F566" s="4" t="inlineStr">
        <is>
          <t>THBKK</t>
        </is>
      </c>
      <c r="G566" s="4" t="inlineStr">
        <is>
          <t>HKHKG</t>
        </is>
      </c>
      <c r="H566" s="4" t="inlineStr">
        <is>
          <t xml:space="preserve">20'x1 </t>
        </is>
      </c>
      <c r="I566" s="4" t="inlineStr">
        <is>
          <t>BKK01</t>
        </is>
      </c>
      <c r="J566" s="4" t="inlineStr">
        <is>
          <t>PAT TERMINAL 2 (PORT AUTHORITY OF THAILAND)</t>
        </is>
      </c>
      <c r="K566" s="4" t="inlineStr">
        <is>
          <t>20261014</t>
        </is>
      </c>
      <c r="L566" s="4" t="inlineStr">
        <is>
          <t>STAR CONCORD (THAILAND) CO., LTD.</t>
        </is>
      </c>
      <c r="M566" s="4" t="inlineStr">
        <is>
          <t>STAR CONCORD (THAILAND) CO., LTD.</t>
        </is>
      </c>
      <c r="N566" s="4" t="inlineStr">
        <is>
          <t>GENERAL CARGO (CONSOL)</t>
        </is>
      </c>
      <c r="O566" s="4" t="inlineStr">
        <is>
          <t>CONSOL  GOOD AND CLEAN CONTAINER</t>
        </is>
      </c>
      <c r="P566" s="4" t="inlineStr">
        <is>
          <t>Pickup : 2026-10-14, Return : 2026-10-14 CONSOL</t>
        </is>
      </c>
      <c r="Q566" s="4" t="n">
        <v>1</v>
      </c>
      <c r="R566" s="4" t="n">
        <v>0</v>
      </c>
      <c r="S566" s="4" t="n">
        <v>0</v>
      </c>
      <c r="T566" s="4" t="n">
        <v>0</v>
      </c>
      <c r="U566" s="4" t="n">
        <v>0</v>
      </c>
      <c r="V566" s="4" t="n">
        <v>0</v>
      </c>
      <c r="W566" s="4" t="n">
        <v>0</v>
      </c>
      <c r="X566" s="4" t="n">
        <v>0</v>
      </c>
      <c r="Y566" s="4" t="n">
        <v>0</v>
      </c>
      <c r="Z566" s="4" t="n">
        <v>0</v>
      </c>
      <c r="AA566" s="4" t="n">
        <v>0</v>
      </c>
      <c r="AB566" s="4">
        <f>SUM(Q566:Y566)-Z566</f>
        <v/>
      </c>
      <c r="AC566" s="4">
        <f>IF(I566="","",IF(OR(LEFT(I566,3)="BKK",I566="LCH55"),"BKK",IF(LEFT(I566,3)="LCH","LCH","OTHER")))</f>
        <v/>
      </c>
      <c r="AD566" s="4">
        <f>MAX(0,Q566-MAX(0,Z566))</f>
        <v/>
      </c>
      <c r="AE566" s="4">
        <f>MAX(0,R566-MAX(0,Z566-SUM(Q566:Q566)))</f>
        <v/>
      </c>
      <c r="AF566" s="4">
        <f>MAX(0,S566-MAX(0,Z566-SUM(Q566:R566)))</f>
        <v/>
      </c>
      <c r="AG566" s="4">
        <f>MAX(0,T566-MAX(0,Z566-SUM(Q566:S566)))</f>
        <v/>
      </c>
      <c r="AH566" s="4">
        <f>MAX(0,U566-MAX(0,Z566-SUM(Q566:T566)))</f>
        <v/>
      </c>
      <c r="AI566" s="4">
        <f>MAX(0,V566-MAX(0,Z566-SUM(Q566:U566)))</f>
        <v/>
      </c>
      <c r="AJ566" s="4">
        <f>MAX(0,W566-MAX(0,Z566-SUM(Q566:V566)))</f>
        <v/>
      </c>
      <c r="AK566" s="4">
        <f>MAX(0,X566-MAX(0,Z566-SUM(Q566:W566)))</f>
        <v/>
      </c>
      <c r="AL566" s="4">
        <f>MAX(0,Y566-MAX(0,Z566-SUM(Q566:X566)))</f>
        <v/>
      </c>
    </row>
    <row r="567">
      <c r="A567" s="4" t="inlineStr">
        <is>
          <t>HASLS22260901755</t>
        </is>
      </c>
      <c r="B567" s="4" t="inlineStr">
        <is>
          <t>SWIC</t>
        </is>
      </c>
      <c r="C567" s="4" t="inlineStr">
        <is>
          <t>2611N</t>
        </is>
      </c>
      <c r="D567" s="4" t="inlineStr">
        <is>
          <t>202610130700</t>
        </is>
      </c>
      <c r="E567" s="4" t="inlineStr"/>
      <c r="F567" s="4" t="inlineStr">
        <is>
          <t>THBKK</t>
        </is>
      </c>
      <c r="G567" s="4" t="inlineStr">
        <is>
          <t>VNSGN</t>
        </is>
      </c>
      <c r="H567" s="4" t="inlineStr">
        <is>
          <t xml:space="preserve">40Hx1 </t>
        </is>
      </c>
      <c r="I567" s="4" t="inlineStr">
        <is>
          <t>BKK01</t>
        </is>
      </c>
      <c r="J567" s="4" t="inlineStr">
        <is>
          <t>PAT TERMINAL 2 (PORT AUTHORITY OF THAILAND)</t>
        </is>
      </c>
      <c r="K567" s="4" t="inlineStr">
        <is>
          <t>20261009</t>
        </is>
      </c>
      <c r="L567" s="4" t="inlineStr">
        <is>
          <t>PROFREIGHT INTERNATIONAL CO., LTD.</t>
        </is>
      </c>
      <c r="M567" s="4" t="inlineStr">
        <is>
          <t>SIAM BROTHERS CORP.,LTD.</t>
        </is>
      </c>
      <c r="N567" s="4" t="inlineStr">
        <is>
          <t>FISHING NETS</t>
        </is>
      </c>
      <c r="O567" s="4" t="inlineStr">
        <is>
          <t>REQ: GOOD &amp; CLEAN CONTAINER,NO LEAK,NO RUST,NO SMELL,NO BURR,NOT WET,GOOD FLOOR.</t>
        </is>
      </c>
      <c r="P567" s="4" t="inlineStr">
        <is>
          <t xml:space="preserve">STUFFING CARGO @PAT (SPORTLIGHT TOWER NO.2) DD.09/10/26 CLS TIME CFS DD.09/10/26 - 17:00HRS.
</t>
        </is>
      </c>
      <c r="Q567" s="4" t="n">
        <v>0</v>
      </c>
      <c r="R567" s="4" t="n">
        <v>0</v>
      </c>
      <c r="S567" s="4" t="n">
        <v>1</v>
      </c>
      <c r="T567" s="4" t="n">
        <v>0</v>
      </c>
      <c r="U567" s="4" t="n">
        <v>0</v>
      </c>
      <c r="V567" s="4" t="n">
        <v>0</v>
      </c>
      <c r="W567" s="4" t="n">
        <v>0</v>
      </c>
      <c r="X567" s="4" t="n">
        <v>0</v>
      </c>
      <c r="Y567" s="4" t="n">
        <v>0</v>
      </c>
      <c r="Z567" s="4" t="n">
        <v>0</v>
      </c>
      <c r="AA567" s="4" t="n">
        <v>0</v>
      </c>
      <c r="AB567" s="4">
        <f>SUM(Q567:Y567)-Z567</f>
        <v/>
      </c>
      <c r="AC567" s="4">
        <f>IF(I567="","",IF(OR(LEFT(I567,3)="BKK",I567="LCH55"),"BKK",IF(LEFT(I567,3)="LCH","LCH","OTHER")))</f>
        <v/>
      </c>
      <c r="AD567" s="4">
        <f>MAX(0,Q567-MAX(0,Z567))</f>
        <v/>
      </c>
      <c r="AE567" s="4">
        <f>MAX(0,R567-MAX(0,Z567-SUM(Q567:Q567)))</f>
        <v/>
      </c>
      <c r="AF567" s="4">
        <f>MAX(0,S567-MAX(0,Z567-SUM(Q567:R567)))</f>
        <v/>
      </c>
      <c r="AG567" s="4">
        <f>MAX(0,T567-MAX(0,Z567-SUM(Q567:S567)))</f>
        <v/>
      </c>
      <c r="AH567" s="4">
        <f>MAX(0,U567-MAX(0,Z567-SUM(Q567:T567)))</f>
        <v/>
      </c>
      <c r="AI567" s="4">
        <f>MAX(0,V567-MAX(0,Z567-SUM(Q567:U567)))</f>
        <v/>
      </c>
      <c r="AJ567" s="4">
        <f>MAX(0,W567-MAX(0,Z567-SUM(Q567:V567)))</f>
        <v/>
      </c>
      <c r="AK567" s="4">
        <f>MAX(0,X567-MAX(0,Z567-SUM(Q567:W567)))</f>
        <v/>
      </c>
      <c r="AL567" s="4">
        <f>MAX(0,Y567-MAX(0,Z567-SUM(Q567:X567)))</f>
        <v/>
      </c>
    </row>
    <row r="568">
      <c r="A568" s="4" t="inlineStr">
        <is>
          <t>HASLS22260901758</t>
        </is>
      </c>
      <c r="B568" s="4" t="inlineStr">
        <is>
          <t>HAHM</t>
        </is>
      </c>
      <c r="C568" s="4" t="inlineStr">
        <is>
          <t>2612N</t>
        </is>
      </c>
      <c r="D568" s="4" t="inlineStr">
        <is>
          <t>202610211800</t>
        </is>
      </c>
      <c r="E568" s="4" t="inlineStr"/>
      <c r="F568" s="4" t="inlineStr">
        <is>
          <t>THBKK</t>
        </is>
      </c>
      <c r="G568" s="4" t="inlineStr">
        <is>
          <t>VNSGN</t>
        </is>
      </c>
      <c r="H568" s="4" t="inlineStr">
        <is>
          <t xml:space="preserve">40Hx1 </t>
        </is>
      </c>
      <c r="I568" s="4" t="inlineStr">
        <is>
          <t>BKK01</t>
        </is>
      </c>
      <c r="J568" s="4" t="inlineStr">
        <is>
          <t>PAT TERMINAL 2 (PORT AUTHORITY OF THAILAND)</t>
        </is>
      </c>
      <c r="K568" s="4" t="inlineStr">
        <is>
          <t>20261016</t>
        </is>
      </c>
      <c r="L568" s="4" t="inlineStr">
        <is>
          <t>PROFREIGHT INTERNATIONAL CO., LTD.</t>
        </is>
      </c>
      <c r="M568" s="4" t="inlineStr">
        <is>
          <t>SIAM BROTHERS CORP.,LTD.</t>
        </is>
      </c>
      <c r="N568" s="4" t="inlineStr">
        <is>
          <t>FISHING NETS</t>
        </is>
      </c>
      <c r="O568" s="4" t="inlineStr">
        <is>
          <t>REQ: GOOD &amp; CLEAN CONTAINER,NO LEAK,NO RUST,NO SMELL,NO BURR,NOT WET,GOOD FLOOR.</t>
        </is>
      </c>
      <c r="P568" s="4" t="inlineStr">
        <is>
          <t xml:space="preserve">STUFFING CARGO @PAT (SPORTLIGHT TOWER NO.2) DD.16/10/26 CLS TIME CFS DD.19/10/26 - 17:00HRS.
</t>
        </is>
      </c>
      <c r="Q568" s="4" t="n">
        <v>0</v>
      </c>
      <c r="R568" s="4" t="n">
        <v>0</v>
      </c>
      <c r="S568" s="4" t="n">
        <v>1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>
        <f>SUM(Q568:Y568)-Z568</f>
        <v/>
      </c>
      <c r="AC568" s="4">
        <f>IF(I568="","",IF(OR(LEFT(I568,3)="BKK",I568="LCH55"),"BKK",IF(LEFT(I568,3)="LCH","LCH","OTHER")))</f>
        <v/>
      </c>
      <c r="AD568" s="4">
        <f>MAX(0,Q568-MAX(0,Z568))</f>
        <v/>
      </c>
      <c r="AE568" s="4">
        <f>MAX(0,R568-MAX(0,Z568-SUM(Q568:Q568)))</f>
        <v/>
      </c>
      <c r="AF568" s="4">
        <f>MAX(0,S568-MAX(0,Z568-SUM(Q568:R568)))</f>
        <v/>
      </c>
      <c r="AG568" s="4">
        <f>MAX(0,T568-MAX(0,Z568-SUM(Q568:S568)))</f>
        <v/>
      </c>
      <c r="AH568" s="4">
        <f>MAX(0,U568-MAX(0,Z568-SUM(Q568:T568)))</f>
        <v/>
      </c>
      <c r="AI568" s="4">
        <f>MAX(0,V568-MAX(0,Z568-SUM(Q568:U568)))</f>
        <v/>
      </c>
      <c r="AJ568" s="4">
        <f>MAX(0,W568-MAX(0,Z568-SUM(Q568:V568)))</f>
        <v/>
      </c>
      <c r="AK568" s="4">
        <f>MAX(0,X568-MAX(0,Z568-SUM(Q568:W568)))</f>
        <v/>
      </c>
      <c r="AL568" s="4">
        <f>MAX(0,Y568-MAX(0,Z568-SUM(Q568:X568)))</f>
        <v/>
      </c>
    </row>
    <row r="569">
      <c r="A569" s="4" t="inlineStr">
        <is>
          <t>HASLS22260901816</t>
        </is>
      </c>
      <c r="B569" s="4" t="inlineStr">
        <is>
          <t>KJT</t>
        </is>
      </c>
      <c r="C569" s="4" t="inlineStr">
        <is>
          <t>2611N</t>
        </is>
      </c>
      <c r="D569" s="4" t="inlineStr">
        <is>
          <t>202610141800</t>
        </is>
      </c>
      <c r="E569" s="4" t="inlineStr"/>
      <c r="F569" s="4" t="inlineStr">
        <is>
          <t>THBKK</t>
        </is>
      </c>
      <c r="G569" s="4" t="inlineStr">
        <is>
          <t>HKHKG</t>
        </is>
      </c>
      <c r="H569" s="4" t="inlineStr">
        <is>
          <t xml:space="preserve">20'x1 </t>
        </is>
      </c>
      <c r="I569" s="4" t="inlineStr">
        <is>
          <t>BKK01</t>
        </is>
      </c>
      <c r="J569" s="4" t="inlineStr">
        <is>
          <t>PAT TERMINAL 2 (PORT AUTHORITY OF THAILAND)</t>
        </is>
      </c>
      <c r="K569" s="4" t="inlineStr">
        <is>
          <t>20261009</t>
        </is>
      </c>
      <c r="L569" s="4" t="inlineStr">
        <is>
          <t>STAR CONCORD (THAILAND) CO., LTD.</t>
        </is>
      </c>
      <c r="M569" s="4" t="inlineStr">
        <is>
          <t>STAR CONCORD (THAILAND) CO., LTD.</t>
        </is>
      </c>
      <c r="N569" s="4" t="inlineStr">
        <is>
          <t>GENERAL CARGO (CONSOL)</t>
        </is>
      </c>
      <c r="O569" s="4" t="inlineStr">
        <is>
          <t>CONSOL GOOD AND CLEAN CONTAINER /</t>
        </is>
      </c>
      <c r="P569" s="4" t="inlineStr">
        <is>
          <t>Pickup : 2026-10-09, Return : 2026-10-09 CONSOL</t>
        </is>
      </c>
      <c r="Q569" s="4" t="n">
        <v>1</v>
      </c>
      <c r="R569" s="4" t="n">
        <v>0</v>
      </c>
      <c r="S569" s="4" t="n">
        <v>0</v>
      </c>
      <c r="T569" s="4" t="n">
        <v>0</v>
      </c>
      <c r="U569" s="4" t="n">
        <v>0</v>
      </c>
      <c r="V569" s="4" t="n">
        <v>0</v>
      </c>
      <c r="W569" s="4" t="n">
        <v>0</v>
      </c>
      <c r="X569" s="4" t="n">
        <v>0</v>
      </c>
      <c r="Y569" s="4" t="n">
        <v>0</v>
      </c>
      <c r="Z569" s="4" t="n">
        <v>0</v>
      </c>
      <c r="AA569" s="4" t="n">
        <v>0</v>
      </c>
      <c r="AB569" s="4">
        <f>SUM(Q569:Y569)-Z569</f>
        <v/>
      </c>
      <c r="AC569" s="4">
        <f>IF(I569="","",IF(OR(LEFT(I569,3)="BKK",I569="LCH55"),"BKK",IF(LEFT(I569,3)="LCH","LCH","OTHER")))</f>
        <v/>
      </c>
      <c r="AD569" s="4">
        <f>MAX(0,Q569-MAX(0,Z569))</f>
        <v/>
      </c>
      <c r="AE569" s="4">
        <f>MAX(0,R569-MAX(0,Z569-SUM(Q569:Q569)))</f>
        <v/>
      </c>
      <c r="AF569" s="4">
        <f>MAX(0,S569-MAX(0,Z569-SUM(Q569:R569)))</f>
        <v/>
      </c>
      <c r="AG569" s="4">
        <f>MAX(0,T569-MAX(0,Z569-SUM(Q569:S569)))</f>
        <v/>
      </c>
      <c r="AH569" s="4">
        <f>MAX(0,U569-MAX(0,Z569-SUM(Q569:T569)))</f>
        <v/>
      </c>
      <c r="AI569" s="4">
        <f>MAX(0,V569-MAX(0,Z569-SUM(Q569:U569)))</f>
        <v/>
      </c>
      <c r="AJ569" s="4">
        <f>MAX(0,W569-MAX(0,Z569-SUM(Q569:V569)))</f>
        <v/>
      </c>
      <c r="AK569" s="4">
        <f>MAX(0,X569-MAX(0,Z569-SUM(Q569:W569)))</f>
        <v/>
      </c>
      <c r="AL569" s="4">
        <f>MAX(0,Y569-MAX(0,Z569-SUM(Q569:X569)))</f>
        <v/>
      </c>
    </row>
    <row r="570">
      <c r="A570" s="4" t="inlineStr">
        <is>
          <t>HASLS22260901887</t>
        </is>
      </c>
      <c r="B570" s="4" t="inlineStr">
        <is>
          <t>SWSR</t>
        </is>
      </c>
      <c r="C570" s="4" t="inlineStr">
        <is>
          <t>2611N</t>
        </is>
      </c>
      <c r="D570" s="4" t="inlineStr">
        <is>
          <t>202610110900</t>
        </is>
      </c>
      <c r="E570" s="4" t="inlineStr"/>
      <c r="F570" s="4" t="inlineStr">
        <is>
          <t>THBKK</t>
        </is>
      </c>
      <c r="G570" s="4" t="inlineStr">
        <is>
          <t>HKHKG</t>
        </is>
      </c>
      <c r="H570" s="4" t="inlineStr">
        <is>
          <t xml:space="preserve">20'x1 </t>
        </is>
      </c>
      <c r="I570" s="4" t="inlineStr">
        <is>
          <t>BKK01</t>
        </is>
      </c>
      <c r="J570" s="4" t="inlineStr">
        <is>
          <t>PAT TERMINAL 2 (PORT AUTHORITY OF THAILAND)</t>
        </is>
      </c>
      <c r="K570" s="4" t="inlineStr">
        <is>
          <t>20261005</t>
        </is>
      </c>
      <c r="L570" s="4" t="inlineStr">
        <is>
          <t>QUANTERM LOGISTICS (THAILAND) CO., LTD.</t>
        </is>
      </c>
      <c r="M570" s="4" t="inlineStr">
        <is>
          <t>QUANTERM LOGISTICS (THAILAND) CO., LTD.</t>
        </is>
      </c>
      <c r="N570" s="4" t="inlineStr">
        <is>
          <t>GENERAL CARGO (CONSOL)</t>
        </is>
      </c>
      <c r="O570" s="4" t="inlineStr">
        <is>
          <t>CONSOL</t>
        </is>
      </c>
      <c r="P570" s="4" t="inlineStr">
        <is>
          <t>Pickup : 2026-10-05, Return : 2026-10-05 CONSOL
**1ST RETURN CNTR DD.07/10/2026**</t>
        </is>
      </c>
      <c r="Q570" s="4" t="n">
        <v>1</v>
      </c>
      <c r="R570" s="4" t="n">
        <v>0</v>
      </c>
      <c r="S570" s="4" t="n">
        <v>0</v>
      </c>
      <c r="T570" s="4" t="n">
        <v>0</v>
      </c>
      <c r="U570" s="4" t="n">
        <v>0</v>
      </c>
      <c r="V570" s="4" t="n">
        <v>0</v>
      </c>
      <c r="W570" s="4" t="n">
        <v>0</v>
      </c>
      <c r="X570" s="4" t="n">
        <v>0</v>
      </c>
      <c r="Y570" s="4" t="n">
        <v>0</v>
      </c>
      <c r="Z570" s="4" t="n">
        <v>0</v>
      </c>
      <c r="AA570" s="4" t="n">
        <v>0</v>
      </c>
      <c r="AB570" s="4">
        <f>SUM(Q570:Y570)-Z570</f>
        <v/>
      </c>
      <c r="AC570" s="4">
        <f>IF(I570="","",IF(OR(LEFT(I570,3)="BKK",I570="LCH55"),"BKK",IF(LEFT(I570,3)="LCH","LCH","OTHER")))</f>
        <v/>
      </c>
      <c r="AD570" s="4">
        <f>MAX(0,Q570-MAX(0,Z570))</f>
        <v/>
      </c>
      <c r="AE570" s="4">
        <f>MAX(0,R570-MAX(0,Z570-SUM(Q570:Q570)))</f>
        <v/>
      </c>
      <c r="AF570" s="4">
        <f>MAX(0,S570-MAX(0,Z570-SUM(Q570:R570)))</f>
        <v/>
      </c>
      <c r="AG570" s="4">
        <f>MAX(0,T570-MAX(0,Z570-SUM(Q570:S570)))</f>
        <v/>
      </c>
      <c r="AH570" s="4">
        <f>MAX(0,U570-MAX(0,Z570-SUM(Q570:T570)))</f>
        <v/>
      </c>
      <c r="AI570" s="4">
        <f>MAX(0,V570-MAX(0,Z570-SUM(Q570:U570)))</f>
        <v/>
      </c>
      <c r="AJ570" s="4">
        <f>MAX(0,W570-MAX(0,Z570-SUM(Q570:V570)))</f>
        <v/>
      </c>
      <c r="AK570" s="4">
        <f>MAX(0,X570-MAX(0,Z570-SUM(Q570:W570)))</f>
        <v/>
      </c>
      <c r="AL570" s="4">
        <f>MAX(0,Y570-MAX(0,Z570-SUM(Q570:X570)))</f>
        <v/>
      </c>
    </row>
    <row r="571">
      <c r="A571" s="4" t="inlineStr">
        <is>
          <t>HASLS22260901979</t>
        </is>
      </c>
      <c r="B571" s="4" t="inlineStr">
        <is>
          <t>KMTP</t>
        </is>
      </c>
      <c r="C571" s="4" t="inlineStr">
        <is>
          <t>2612N</t>
        </is>
      </c>
      <c r="D571" s="4" t="inlineStr">
        <is>
          <t>202610120800</t>
        </is>
      </c>
      <c r="E571" s="4" t="inlineStr"/>
      <c r="F571" s="4" t="inlineStr">
        <is>
          <t>THBKK</t>
        </is>
      </c>
      <c r="G571" s="4" t="inlineStr">
        <is>
          <t>HKHKG</t>
        </is>
      </c>
      <c r="H571" s="4" t="inlineStr">
        <is>
          <t xml:space="preserve">40Hx1 </t>
        </is>
      </c>
      <c r="I571" s="4" t="inlineStr">
        <is>
          <t>BKK01</t>
        </is>
      </c>
      <c r="J571" s="4" t="inlineStr">
        <is>
          <t>PAT TERMINAL 2 (PORT AUTHORITY OF THAILAND)</t>
        </is>
      </c>
      <c r="K571" s="4" t="inlineStr">
        <is>
          <t>20261008</t>
        </is>
      </c>
      <c r="L571" s="4" t="inlineStr">
        <is>
          <t>CARGOPORT (THAILAND) LTD.</t>
        </is>
      </c>
      <c r="M571" s="4" t="inlineStr">
        <is>
          <t>CARGOPORT (THAILAND) LTD.</t>
        </is>
      </c>
      <c r="N571" s="4" t="inlineStr">
        <is>
          <t>GENERAL CARGO (CONSOL)</t>
        </is>
      </c>
      <c r="O571" s="4" t="inlineStr">
        <is>
          <t>(CONSOL)</t>
        </is>
      </c>
      <c r="P571" s="4" t="inlineStr">
        <is>
          <t xml:space="preserve">CY-RTN :08-09/10/20206 (CONSOL)
</t>
        </is>
      </c>
      <c r="Q571" s="4" t="n">
        <v>0</v>
      </c>
      <c r="R571" s="4" t="n">
        <v>0</v>
      </c>
      <c r="S571" s="4" t="n">
        <v>1</v>
      </c>
      <c r="T571" s="4" t="n">
        <v>0</v>
      </c>
      <c r="U571" s="4" t="n">
        <v>0</v>
      </c>
      <c r="V571" s="4" t="n">
        <v>0</v>
      </c>
      <c r="W571" s="4" t="n">
        <v>0</v>
      </c>
      <c r="X571" s="4" t="n">
        <v>0</v>
      </c>
      <c r="Y571" s="4" t="n">
        <v>0</v>
      </c>
      <c r="Z571" s="4" t="n">
        <v>0</v>
      </c>
      <c r="AA571" s="4" t="n">
        <v>0</v>
      </c>
      <c r="AB571" s="4">
        <f>SUM(Q571:Y571)-Z571</f>
        <v/>
      </c>
      <c r="AC571" s="4">
        <f>IF(I571="","",IF(OR(LEFT(I571,3)="BKK",I571="LCH55"),"BKK",IF(LEFT(I571,3)="LCH","LCH","OTHER")))</f>
        <v/>
      </c>
      <c r="AD571" s="4">
        <f>MAX(0,Q571-MAX(0,Z571))</f>
        <v/>
      </c>
      <c r="AE571" s="4">
        <f>MAX(0,R571-MAX(0,Z571-SUM(Q571:Q571)))</f>
        <v/>
      </c>
      <c r="AF571" s="4">
        <f>MAX(0,S571-MAX(0,Z571-SUM(Q571:R571)))</f>
        <v/>
      </c>
      <c r="AG571" s="4">
        <f>MAX(0,T571-MAX(0,Z571-SUM(Q571:S571)))</f>
        <v/>
      </c>
      <c r="AH571" s="4">
        <f>MAX(0,U571-MAX(0,Z571-SUM(Q571:T571)))</f>
        <v/>
      </c>
      <c r="AI571" s="4">
        <f>MAX(0,V571-MAX(0,Z571-SUM(Q571:U571)))</f>
        <v/>
      </c>
      <c r="AJ571" s="4">
        <f>MAX(0,W571-MAX(0,Z571-SUM(Q571:V571)))</f>
        <v/>
      </c>
      <c r="AK571" s="4">
        <f>MAX(0,X571-MAX(0,Z571-SUM(Q571:W571)))</f>
        <v/>
      </c>
      <c r="AL571" s="4">
        <f>MAX(0,Y571-MAX(0,Z571-SUM(Q571:X571)))</f>
        <v/>
      </c>
    </row>
    <row r="572">
      <c r="A572" s="4" t="inlineStr">
        <is>
          <t>HASLS22260901980</t>
        </is>
      </c>
      <c r="B572" s="4" t="inlineStr">
        <is>
          <t>KJT</t>
        </is>
      </c>
      <c r="C572" s="4" t="inlineStr">
        <is>
          <t>2611N</t>
        </is>
      </c>
      <c r="D572" s="4" t="inlineStr">
        <is>
          <t>202610141800</t>
        </is>
      </c>
      <c r="E572" s="4" t="inlineStr"/>
      <c r="F572" s="4" t="inlineStr">
        <is>
          <t>THBKK</t>
        </is>
      </c>
      <c r="G572" s="4" t="inlineStr">
        <is>
          <t>HKHKG</t>
        </is>
      </c>
      <c r="H572" s="4" t="inlineStr">
        <is>
          <t xml:space="preserve">40Hx1 </t>
        </is>
      </c>
      <c r="I572" s="4" t="inlineStr">
        <is>
          <t>BKK01</t>
        </is>
      </c>
      <c r="J572" s="4" t="inlineStr">
        <is>
          <t>PAT TERMINAL 2 (PORT AUTHORITY OF THAILAND)</t>
        </is>
      </c>
      <c r="K572" s="4" t="inlineStr">
        <is>
          <t>20261009</t>
        </is>
      </c>
      <c r="L572" s="4" t="inlineStr">
        <is>
          <t>CARGOPORT (THAILAND) LTD.</t>
        </is>
      </c>
      <c r="M572" s="4" t="inlineStr">
        <is>
          <t>CARGOPORT (THAILAND) LTD.</t>
        </is>
      </c>
      <c r="N572" s="4" t="inlineStr">
        <is>
          <t>GENERAL CARGO (CONSOL)</t>
        </is>
      </c>
      <c r="O572" s="4" t="inlineStr">
        <is>
          <t>(CONSOL)</t>
        </is>
      </c>
      <c r="P572" s="4" t="inlineStr">
        <is>
          <t xml:space="preserve">CY-RTN :09-09/10/20206 (CONSOL)
</t>
        </is>
      </c>
      <c r="Q572" s="4" t="n">
        <v>0</v>
      </c>
      <c r="R572" s="4" t="n">
        <v>0</v>
      </c>
      <c r="S572" s="4" t="n">
        <v>1</v>
      </c>
      <c r="T572" s="4" t="n">
        <v>0</v>
      </c>
      <c r="U572" s="4" t="n">
        <v>0</v>
      </c>
      <c r="V572" s="4" t="n">
        <v>0</v>
      </c>
      <c r="W572" s="4" t="n">
        <v>0</v>
      </c>
      <c r="X572" s="4" t="n">
        <v>0</v>
      </c>
      <c r="Y572" s="4" t="n">
        <v>0</v>
      </c>
      <c r="Z572" s="4" t="n">
        <v>0</v>
      </c>
      <c r="AA572" s="4" t="n">
        <v>0</v>
      </c>
      <c r="AB572" s="4">
        <f>SUM(Q572:Y572)-Z572</f>
        <v/>
      </c>
      <c r="AC572" s="4">
        <f>IF(I572="","",IF(OR(LEFT(I572,3)="BKK",I572="LCH55"),"BKK",IF(LEFT(I572,3)="LCH","LCH","OTHER")))</f>
        <v/>
      </c>
      <c r="AD572" s="4">
        <f>MAX(0,Q572-MAX(0,Z572))</f>
        <v/>
      </c>
      <c r="AE572" s="4">
        <f>MAX(0,R572-MAX(0,Z572-SUM(Q572:Q572)))</f>
        <v/>
      </c>
      <c r="AF572" s="4">
        <f>MAX(0,S572-MAX(0,Z572-SUM(Q572:R572)))</f>
        <v/>
      </c>
      <c r="AG572" s="4">
        <f>MAX(0,T572-MAX(0,Z572-SUM(Q572:S572)))</f>
        <v/>
      </c>
      <c r="AH572" s="4">
        <f>MAX(0,U572-MAX(0,Z572-SUM(Q572:T572)))</f>
        <v/>
      </c>
      <c r="AI572" s="4">
        <f>MAX(0,V572-MAX(0,Z572-SUM(Q572:U572)))</f>
        <v/>
      </c>
      <c r="AJ572" s="4">
        <f>MAX(0,W572-MAX(0,Z572-SUM(Q572:V572)))</f>
        <v/>
      </c>
      <c r="AK572" s="4">
        <f>MAX(0,X572-MAX(0,Z572-SUM(Q572:W572)))</f>
        <v/>
      </c>
      <c r="AL572" s="4">
        <f>MAX(0,Y572-MAX(0,Z572-SUM(Q572:X572)))</f>
        <v/>
      </c>
    </row>
    <row r="573">
      <c r="A573" s="4" t="inlineStr">
        <is>
          <t>HASLS22260902097</t>
        </is>
      </c>
      <c r="B573" s="4" t="inlineStr">
        <is>
          <t>SWIC</t>
        </is>
      </c>
      <c r="C573" s="4" t="inlineStr">
        <is>
          <t>2611N</t>
        </is>
      </c>
      <c r="D573" s="4" t="inlineStr">
        <is>
          <t>202610130700</t>
        </is>
      </c>
      <c r="E573" s="4" t="inlineStr"/>
      <c r="F573" s="4" t="inlineStr">
        <is>
          <t>THBKK</t>
        </is>
      </c>
      <c r="G573" s="4" t="inlineStr">
        <is>
          <t>VNSGN</t>
        </is>
      </c>
      <c r="H573" s="4" t="inlineStr">
        <is>
          <t xml:space="preserve">40Hx1 </t>
        </is>
      </c>
      <c r="I573" s="4" t="inlineStr">
        <is>
          <t>BKK01</t>
        </is>
      </c>
      <c r="J573" s="4" t="inlineStr">
        <is>
          <t>PAT TERMINAL 2 (PORT AUTHORITY OF THAILAND)</t>
        </is>
      </c>
      <c r="K573" s="4" t="inlineStr">
        <is>
          <t>20261009</t>
        </is>
      </c>
      <c r="L573" s="4" t="inlineStr">
        <is>
          <t>QUANTERM LOGISTICS (THAILAND) CO., LTD.</t>
        </is>
      </c>
      <c r="M573" s="4" t="inlineStr">
        <is>
          <t>QUANTERM LOGISTICS (THAILAND) CO., LTD.</t>
        </is>
      </c>
      <c r="N573" s="4" t="inlineStr">
        <is>
          <t>GENERAL CARGO</t>
        </is>
      </c>
      <c r="O573" s="4" t="inlineStr">
        <is>
          <t>CONSOL</t>
        </is>
      </c>
      <c r="P573" s="4" t="inlineStr">
        <is>
          <t>Pickup : 2026-10-09, Return : 2026-10-09 CONSOL</t>
        </is>
      </c>
      <c r="Q573" s="4" t="n">
        <v>0</v>
      </c>
      <c r="R573" s="4" t="n">
        <v>0</v>
      </c>
      <c r="S573" s="4" t="n">
        <v>1</v>
      </c>
      <c r="T573" s="4" t="n">
        <v>0</v>
      </c>
      <c r="U573" s="4" t="n">
        <v>0</v>
      </c>
      <c r="V573" s="4" t="n">
        <v>0</v>
      </c>
      <c r="W573" s="4" t="n">
        <v>0</v>
      </c>
      <c r="X573" s="4" t="n">
        <v>0</v>
      </c>
      <c r="Y573" s="4" t="n">
        <v>0</v>
      </c>
      <c r="Z573" s="4" t="n">
        <v>0</v>
      </c>
      <c r="AA573" s="4" t="n">
        <v>0</v>
      </c>
      <c r="AB573" s="4">
        <f>SUM(Q573:Y573)-Z573</f>
        <v/>
      </c>
      <c r="AC573" s="4">
        <f>IF(I573="","",IF(OR(LEFT(I573,3)="BKK",I573="LCH55"),"BKK",IF(LEFT(I573,3)="LCH","LCH","OTHER")))</f>
        <v/>
      </c>
      <c r="AD573" s="4">
        <f>MAX(0,Q573-MAX(0,Z573))</f>
        <v/>
      </c>
      <c r="AE573" s="4">
        <f>MAX(0,R573-MAX(0,Z573-SUM(Q573:Q573)))</f>
        <v/>
      </c>
      <c r="AF573" s="4">
        <f>MAX(0,S573-MAX(0,Z573-SUM(Q573:R573)))</f>
        <v/>
      </c>
      <c r="AG573" s="4">
        <f>MAX(0,T573-MAX(0,Z573-SUM(Q573:S573)))</f>
        <v/>
      </c>
      <c r="AH573" s="4">
        <f>MAX(0,U573-MAX(0,Z573-SUM(Q573:T573)))</f>
        <v/>
      </c>
      <c r="AI573" s="4">
        <f>MAX(0,V573-MAX(0,Z573-SUM(Q573:U573)))</f>
        <v/>
      </c>
      <c r="AJ573" s="4">
        <f>MAX(0,W573-MAX(0,Z573-SUM(Q573:V573)))</f>
        <v/>
      </c>
      <c r="AK573" s="4">
        <f>MAX(0,X573-MAX(0,Z573-SUM(Q573:W573)))</f>
        <v/>
      </c>
      <c r="AL573" s="4">
        <f>MAX(0,Y573-MAX(0,Z573-SUM(Q573:X573)))</f>
        <v/>
      </c>
    </row>
    <row r="574">
      <c r="A574" s="4" t="inlineStr">
        <is>
          <t>HASLS22260902130</t>
        </is>
      </c>
      <c r="B574" s="4" t="inlineStr">
        <is>
          <t>SKOR</t>
        </is>
      </c>
      <c r="C574" s="4" t="inlineStr">
        <is>
          <t>2612N</t>
        </is>
      </c>
      <c r="D574" s="4" t="inlineStr">
        <is>
          <t>202610181700</t>
        </is>
      </c>
      <c r="E574" s="4" t="inlineStr"/>
      <c r="F574" s="4" t="inlineStr">
        <is>
          <t>THBKK</t>
        </is>
      </c>
      <c r="G574" s="4" t="inlineStr">
        <is>
          <t>HKHKG</t>
        </is>
      </c>
      <c r="H574" s="4" t="inlineStr">
        <is>
          <t xml:space="preserve">40Hx1 </t>
        </is>
      </c>
      <c r="I574" s="4" t="inlineStr">
        <is>
          <t>BKK01</t>
        </is>
      </c>
      <c r="J574" s="4" t="inlineStr">
        <is>
          <t>PAT TERMINAL 2 (PORT AUTHORITY OF THAILAND)</t>
        </is>
      </c>
      <c r="K574" s="4" t="inlineStr">
        <is>
          <t>20261015</t>
        </is>
      </c>
      <c r="L574" s="4" t="inlineStr">
        <is>
          <t>ACCORD PILOT LOGISTICS (THAILAND) CO., LTD.</t>
        </is>
      </c>
      <c r="M574" s="4" t="inlineStr">
        <is>
          <t>ACCORD PILOT LOGISTICS (THAILAND) CO., LTD.</t>
        </is>
      </c>
      <c r="N574" s="4" t="inlineStr">
        <is>
          <t>Console</t>
        </is>
      </c>
      <c r="O574" s="4" t="inlineStr">
        <is>
          <t>CONSOL</t>
        </is>
      </c>
      <c r="P574" s="4" t="inlineStr">
        <is>
          <t>Pickup : 2026-10-15, Return : 2026-10-15 CONSOL</t>
        </is>
      </c>
      <c r="Q574" s="4" t="n">
        <v>0</v>
      </c>
      <c r="R574" s="4" t="n">
        <v>0</v>
      </c>
      <c r="S574" s="4" t="n">
        <v>1</v>
      </c>
      <c r="T574" s="4" t="n">
        <v>0</v>
      </c>
      <c r="U574" s="4" t="n">
        <v>0</v>
      </c>
      <c r="V574" s="4" t="n">
        <v>0</v>
      </c>
      <c r="W574" s="4" t="n">
        <v>0</v>
      </c>
      <c r="X574" s="4" t="n">
        <v>0</v>
      </c>
      <c r="Y574" s="4" t="n">
        <v>0</v>
      </c>
      <c r="Z574" s="4" t="n">
        <v>0</v>
      </c>
      <c r="AA574" s="4" t="n">
        <v>0</v>
      </c>
      <c r="AB574" s="4">
        <f>SUM(Q574:Y574)-Z574</f>
        <v/>
      </c>
      <c r="AC574" s="4">
        <f>IF(I574="","",IF(OR(LEFT(I574,3)="BKK",I574="LCH55"),"BKK",IF(LEFT(I574,3)="LCH","LCH","OTHER")))</f>
        <v/>
      </c>
      <c r="AD574" s="4">
        <f>MAX(0,Q574-MAX(0,Z574))</f>
        <v/>
      </c>
      <c r="AE574" s="4">
        <f>MAX(0,R574-MAX(0,Z574-SUM(Q574:Q574)))</f>
        <v/>
      </c>
      <c r="AF574" s="4">
        <f>MAX(0,S574-MAX(0,Z574-SUM(Q574:R574)))</f>
        <v/>
      </c>
      <c r="AG574" s="4">
        <f>MAX(0,T574-MAX(0,Z574-SUM(Q574:S574)))</f>
        <v/>
      </c>
      <c r="AH574" s="4">
        <f>MAX(0,U574-MAX(0,Z574-SUM(Q574:T574)))</f>
        <v/>
      </c>
      <c r="AI574" s="4">
        <f>MAX(0,V574-MAX(0,Z574-SUM(Q574:U574)))</f>
        <v/>
      </c>
      <c r="AJ574" s="4">
        <f>MAX(0,W574-MAX(0,Z574-SUM(Q574:V574)))</f>
        <v/>
      </c>
      <c r="AK574" s="4">
        <f>MAX(0,X574-MAX(0,Z574-SUM(Q574:W574)))</f>
        <v/>
      </c>
      <c r="AL574" s="4">
        <f>MAX(0,Y574-MAX(0,Z574-SUM(Q574:X574)))</f>
        <v/>
      </c>
    </row>
    <row r="575">
      <c r="A575" s="4" t="inlineStr">
        <is>
          <t>HASLS22260902170</t>
        </is>
      </c>
      <c r="B575" s="4" t="inlineStr">
        <is>
          <t>KJT</t>
        </is>
      </c>
      <c r="C575" s="4" t="inlineStr">
        <is>
          <t>2611N</t>
        </is>
      </c>
      <c r="D575" s="4" t="inlineStr">
        <is>
          <t>202610141800</t>
        </is>
      </c>
      <c r="E575" s="4" t="inlineStr"/>
      <c r="F575" s="4" t="inlineStr">
        <is>
          <t>THBKK</t>
        </is>
      </c>
      <c r="G575" s="4" t="inlineStr">
        <is>
          <t>HKHKG</t>
        </is>
      </c>
      <c r="H575" s="4" t="inlineStr">
        <is>
          <t xml:space="preserve">20'x1 </t>
        </is>
      </c>
      <c r="I575" s="4" t="inlineStr">
        <is>
          <t>BKK01</t>
        </is>
      </c>
      <c r="J575" s="4" t="inlineStr">
        <is>
          <t>PAT TERMINAL 2 (PORT AUTHORITY OF THAILAND)</t>
        </is>
      </c>
      <c r="K575" s="4" t="inlineStr">
        <is>
          <t>20261009</t>
        </is>
      </c>
      <c r="L575" s="4" t="inlineStr">
        <is>
          <t>MULTI FREIGHT SYSTEM CO., LTD.</t>
        </is>
      </c>
      <c r="M575" s="4" t="inlineStr">
        <is>
          <t>KUANG PEI SAN FOOD PRODUCTS PUBLIC CO., LTD.</t>
        </is>
      </c>
      <c r="N575" s="4" t="inlineStr">
        <is>
          <t>FOOD STUFFS</t>
        </is>
      </c>
      <c r="O575" s="4" t="inlineStr">
        <is>
          <t>GOOD AND CLEAN CONTAINER</t>
        </is>
      </c>
      <c r="P575" s="4" t="inlineStr">
        <is>
          <t xml:space="preserve">STUFFING @PAT (SPORT LIGHT TOWER 2) DD.09/10/26 *CLS TIME CFS DD.12/10/26 - 17:00HRS.* </t>
        </is>
      </c>
      <c r="Q575" s="4" t="n">
        <v>1</v>
      </c>
      <c r="R575" s="4" t="n">
        <v>0</v>
      </c>
      <c r="S575" s="4" t="n">
        <v>0</v>
      </c>
      <c r="T575" s="4" t="n">
        <v>0</v>
      </c>
      <c r="U575" s="4" t="n">
        <v>0</v>
      </c>
      <c r="V575" s="4" t="n">
        <v>0</v>
      </c>
      <c r="W575" s="4" t="n">
        <v>0</v>
      </c>
      <c r="X575" s="4" t="n">
        <v>0</v>
      </c>
      <c r="Y575" s="4" t="n">
        <v>0</v>
      </c>
      <c r="Z575" s="4" t="n">
        <v>0</v>
      </c>
      <c r="AA575" s="4" t="n">
        <v>0</v>
      </c>
      <c r="AB575" s="4">
        <f>SUM(Q575:Y575)-Z575</f>
        <v/>
      </c>
      <c r="AC575" s="4">
        <f>IF(I575="","",IF(OR(LEFT(I575,3)="BKK",I575="LCH55"),"BKK",IF(LEFT(I575,3)="LCH","LCH","OTHER")))</f>
        <v/>
      </c>
      <c r="AD575" s="4">
        <f>MAX(0,Q575-MAX(0,Z575))</f>
        <v/>
      </c>
      <c r="AE575" s="4">
        <f>MAX(0,R575-MAX(0,Z575-SUM(Q575:Q575)))</f>
        <v/>
      </c>
      <c r="AF575" s="4">
        <f>MAX(0,S575-MAX(0,Z575-SUM(Q575:R575)))</f>
        <v/>
      </c>
      <c r="AG575" s="4">
        <f>MAX(0,T575-MAX(0,Z575-SUM(Q575:S575)))</f>
        <v/>
      </c>
      <c r="AH575" s="4">
        <f>MAX(0,U575-MAX(0,Z575-SUM(Q575:T575)))</f>
        <v/>
      </c>
      <c r="AI575" s="4">
        <f>MAX(0,V575-MAX(0,Z575-SUM(Q575:U575)))</f>
        <v/>
      </c>
      <c r="AJ575" s="4">
        <f>MAX(0,W575-MAX(0,Z575-SUM(Q575:V575)))</f>
        <v/>
      </c>
      <c r="AK575" s="4">
        <f>MAX(0,X575-MAX(0,Z575-SUM(Q575:W575)))</f>
        <v/>
      </c>
      <c r="AL575" s="4">
        <f>MAX(0,Y575-MAX(0,Z575-SUM(Q575:X575)))</f>
        <v/>
      </c>
    </row>
    <row r="576">
      <c r="A576" s="4" t="inlineStr">
        <is>
          <t>HASLS22260902198</t>
        </is>
      </c>
      <c r="B576" s="4" t="inlineStr">
        <is>
          <t>KMTP</t>
        </is>
      </c>
      <c r="C576" s="4" t="inlineStr">
        <is>
          <t>2612N</t>
        </is>
      </c>
      <c r="D576" s="4" t="inlineStr">
        <is>
          <t>202610120800</t>
        </is>
      </c>
      <c r="E576" s="4" t="inlineStr"/>
      <c r="F576" s="4" t="inlineStr">
        <is>
          <t>THBKK</t>
        </is>
      </c>
      <c r="G576" s="4" t="inlineStr">
        <is>
          <t>KRPUS</t>
        </is>
      </c>
      <c r="H576" s="4" t="inlineStr">
        <is>
          <t xml:space="preserve">40Hx2 </t>
        </is>
      </c>
      <c r="I576" s="4" t="inlineStr">
        <is>
          <t>BKK01</t>
        </is>
      </c>
      <c r="J576" s="4" t="inlineStr">
        <is>
          <t>PAT TERMINAL 2 (PORT AUTHORITY OF THAILAND)</t>
        </is>
      </c>
      <c r="K576" s="4" t="inlineStr">
        <is>
          <t>20261008</t>
        </is>
      </c>
      <c r="L576" s="4" t="inlineStr">
        <is>
          <t>ECU WORLDWIDE (THAILAND) CO., LTD.</t>
        </is>
      </c>
      <c r="M576" s="4" t="inlineStr">
        <is>
          <t>ECU WORLDWIDE (THAILAND) CO., LTD.</t>
        </is>
      </c>
      <c r="N576" s="4" t="inlineStr">
        <is>
          <t>GENERAL CARGO (CONSOL)</t>
        </is>
      </c>
      <c r="O576" s="4" t="inlineStr">
        <is>
          <t>CONSOL</t>
        </is>
      </c>
      <c r="P576" s="4" t="inlineStr">
        <is>
          <t>CY-RTN : 08-09/10/2026 (CONSOL)</t>
        </is>
      </c>
      <c r="Q576" s="4" t="n">
        <v>0</v>
      </c>
      <c r="R576" s="4" t="n">
        <v>0</v>
      </c>
      <c r="S576" s="4" t="n">
        <v>2</v>
      </c>
      <c r="T576" s="4" t="n">
        <v>0</v>
      </c>
      <c r="U576" s="4" t="n">
        <v>0</v>
      </c>
      <c r="V576" s="4" t="n">
        <v>0</v>
      </c>
      <c r="W576" s="4" t="n">
        <v>0</v>
      </c>
      <c r="X576" s="4" t="n">
        <v>0</v>
      </c>
      <c r="Y576" s="4" t="n">
        <v>0</v>
      </c>
      <c r="Z576" s="4" t="n">
        <v>0</v>
      </c>
      <c r="AA576" s="4" t="n">
        <v>0</v>
      </c>
      <c r="AB576" s="4">
        <f>SUM(Q576:Y576)-Z576</f>
        <v/>
      </c>
      <c r="AC576" s="4">
        <f>IF(I576="","",IF(OR(LEFT(I576,3)="BKK",I576="LCH55"),"BKK",IF(LEFT(I576,3)="LCH","LCH","OTHER")))</f>
        <v/>
      </c>
      <c r="AD576" s="4">
        <f>MAX(0,Q576-MAX(0,Z576))</f>
        <v/>
      </c>
      <c r="AE576" s="4">
        <f>MAX(0,R576-MAX(0,Z576-SUM(Q576:Q576)))</f>
        <v/>
      </c>
      <c r="AF576" s="4">
        <f>MAX(0,S576-MAX(0,Z576-SUM(Q576:R576)))</f>
        <v/>
      </c>
      <c r="AG576" s="4">
        <f>MAX(0,T576-MAX(0,Z576-SUM(Q576:S576)))</f>
        <v/>
      </c>
      <c r="AH576" s="4">
        <f>MAX(0,U576-MAX(0,Z576-SUM(Q576:T576)))</f>
        <v/>
      </c>
      <c r="AI576" s="4">
        <f>MAX(0,V576-MAX(0,Z576-SUM(Q576:U576)))</f>
        <v/>
      </c>
      <c r="AJ576" s="4">
        <f>MAX(0,W576-MAX(0,Z576-SUM(Q576:V576)))</f>
        <v/>
      </c>
      <c r="AK576" s="4">
        <f>MAX(0,X576-MAX(0,Z576-SUM(Q576:W576)))</f>
        <v/>
      </c>
      <c r="AL576" s="4">
        <f>MAX(0,Y576-MAX(0,Z576-SUM(Q576:X576)))</f>
        <v/>
      </c>
    </row>
    <row r="577">
      <c r="A577" s="4" t="inlineStr">
        <is>
          <t>HASLS22260902264</t>
        </is>
      </c>
      <c r="B577" s="4" t="inlineStr">
        <is>
          <t>KJT</t>
        </is>
      </c>
      <c r="C577" s="4" t="inlineStr">
        <is>
          <t>2611N</t>
        </is>
      </c>
      <c r="D577" s="4" t="inlineStr">
        <is>
          <t>202610141800</t>
        </is>
      </c>
      <c r="E577" s="4" t="inlineStr"/>
      <c r="F577" s="4" t="inlineStr">
        <is>
          <t>THBKK</t>
        </is>
      </c>
      <c r="G577" s="4" t="inlineStr">
        <is>
          <t>HKHKG</t>
        </is>
      </c>
      <c r="H577" s="4" t="inlineStr">
        <is>
          <t xml:space="preserve">20'x1 </t>
        </is>
      </c>
      <c r="I577" s="4" t="inlineStr">
        <is>
          <t>BKK01</t>
        </is>
      </c>
      <c r="J577" s="4" t="inlineStr">
        <is>
          <t>PAT TERMINAL 2 (PORT AUTHORITY OF THAILAND)</t>
        </is>
      </c>
      <c r="K577" s="4" t="inlineStr">
        <is>
          <t>20261012</t>
        </is>
      </c>
      <c r="L577" s="4" t="inlineStr">
        <is>
          <t>MULTI FREIGHT SYSTEM CO., LTD.</t>
        </is>
      </c>
      <c r="M577" s="4" t="inlineStr">
        <is>
          <t>THAI WORLD FOODS AND FRUITS CO., LTD.</t>
        </is>
      </c>
      <c r="N577" s="4" t="inlineStr">
        <is>
          <t>FOOD STUFFS</t>
        </is>
      </c>
      <c r="O577" s="4" t="inlineStr">
        <is>
          <t>GOOD AND CLEAN CONTAINER</t>
        </is>
      </c>
      <c r="P577" s="4" t="inlineStr">
        <is>
          <t xml:space="preserve">STUFFING CARGO @PAT (SPORTLIGHT TOWER NO.2) DD.12/10/26 CLS TIME CFS DD.12/10/26 - 17:00HRS.
</t>
        </is>
      </c>
      <c r="Q577" s="4" t="n">
        <v>1</v>
      </c>
      <c r="R577" s="4" t="n">
        <v>0</v>
      </c>
      <c r="S577" s="4" t="n">
        <v>0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>
        <f>SUM(Q577:Y577)-Z577</f>
        <v/>
      </c>
      <c r="AC577" s="4">
        <f>IF(I577="","",IF(OR(LEFT(I577,3)="BKK",I577="LCH55"),"BKK",IF(LEFT(I577,3)="LCH","LCH","OTHER")))</f>
        <v/>
      </c>
      <c r="AD577" s="4">
        <f>MAX(0,Q577-MAX(0,Z577))</f>
        <v/>
      </c>
      <c r="AE577" s="4">
        <f>MAX(0,R577-MAX(0,Z577-SUM(Q577:Q577)))</f>
        <v/>
      </c>
      <c r="AF577" s="4">
        <f>MAX(0,S577-MAX(0,Z577-SUM(Q577:R577)))</f>
        <v/>
      </c>
      <c r="AG577" s="4">
        <f>MAX(0,T577-MAX(0,Z577-SUM(Q577:S577)))</f>
        <v/>
      </c>
      <c r="AH577" s="4">
        <f>MAX(0,U577-MAX(0,Z577-SUM(Q577:T577)))</f>
        <v/>
      </c>
      <c r="AI577" s="4">
        <f>MAX(0,V577-MAX(0,Z577-SUM(Q577:U577)))</f>
        <v/>
      </c>
      <c r="AJ577" s="4">
        <f>MAX(0,W577-MAX(0,Z577-SUM(Q577:V577)))</f>
        <v/>
      </c>
      <c r="AK577" s="4">
        <f>MAX(0,X577-MAX(0,Z577-SUM(Q577:W577)))</f>
        <v/>
      </c>
      <c r="AL577" s="4">
        <f>MAX(0,Y577-MAX(0,Z577-SUM(Q577:X577)))</f>
        <v/>
      </c>
    </row>
    <row r="578">
      <c r="A578" s="4" t="inlineStr">
        <is>
          <t>HASLS22260902324</t>
        </is>
      </c>
      <c r="B578" s="4" t="inlineStr">
        <is>
          <t>CMA</t>
        </is>
      </c>
      <c r="C578" s="4" t="inlineStr">
        <is>
          <t>2615N</t>
        </is>
      </c>
      <c r="D578" s="4" t="inlineStr">
        <is>
          <t>202610172300</t>
        </is>
      </c>
      <c r="E578" s="4" t="inlineStr"/>
      <c r="F578" s="4" t="inlineStr">
        <is>
          <t>THBKK</t>
        </is>
      </c>
      <c r="G578" s="4" t="inlineStr">
        <is>
          <t>HKHKG</t>
        </is>
      </c>
      <c r="H578" s="4" t="inlineStr">
        <is>
          <t xml:space="preserve">20'x1 </t>
        </is>
      </c>
      <c r="I578" s="4" t="inlineStr">
        <is>
          <t>BKK01</t>
        </is>
      </c>
      <c r="J578" s="4" t="inlineStr">
        <is>
          <t>PAT TERMINAL 2 (PORT AUTHORITY OF THAILAND)</t>
        </is>
      </c>
      <c r="K578" s="4" t="inlineStr">
        <is>
          <t>20261014</t>
        </is>
      </c>
      <c r="L578" s="4" t="inlineStr">
        <is>
          <t>QUANTERM LOGISTICS (THAILAND) CO., LTD.</t>
        </is>
      </c>
      <c r="M578" s="4" t="inlineStr">
        <is>
          <t>QUANTERM LOGISTICS (THAILAND) CO., LTD.</t>
        </is>
      </c>
      <c r="N578" s="4" t="inlineStr">
        <is>
          <t>GENERAL CARGO</t>
        </is>
      </c>
      <c r="O578" s="4" t="inlineStr">
        <is>
          <t>CONSOL</t>
        </is>
      </c>
      <c r="P578" s="4" t="inlineStr">
        <is>
          <t>Pickup : 2026-10-14, Return : 2026-10-14 CONSOL</t>
        </is>
      </c>
      <c r="Q578" s="4" t="n">
        <v>1</v>
      </c>
      <c r="R578" s="4" t="n">
        <v>0</v>
      </c>
      <c r="S578" s="4" t="n">
        <v>0</v>
      </c>
      <c r="T578" s="4" t="n">
        <v>0</v>
      </c>
      <c r="U578" s="4" t="n">
        <v>0</v>
      </c>
      <c r="V578" s="4" t="n">
        <v>0</v>
      </c>
      <c r="W578" s="4" t="n">
        <v>0</v>
      </c>
      <c r="X578" s="4" t="n">
        <v>0</v>
      </c>
      <c r="Y578" s="4" t="n">
        <v>0</v>
      </c>
      <c r="Z578" s="4" t="n">
        <v>0</v>
      </c>
      <c r="AA578" s="4" t="n">
        <v>0</v>
      </c>
      <c r="AB578" s="4">
        <f>SUM(Q578:Y578)-Z578</f>
        <v/>
      </c>
      <c r="AC578" s="4">
        <f>IF(I578="","",IF(OR(LEFT(I578,3)="BKK",I578="LCH55"),"BKK",IF(LEFT(I578,3)="LCH","LCH","OTHER")))</f>
        <v/>
      </c>
      <c r="AD578" s="4">
        <f>MAX(0,Q578-MAX(0,Z578))</f>
        <v/>
      </c>
      <c r="AE578" s="4">
        <f>MAX(0,R578-MAX(0,Z578-SUM(Q578:Q578)))</f>
        <v/>
      </c>
      <c r="AF578" s="4">
        <f>MAX(0,S578-MAX(0,Z578-SUM(Q578:R578)))</f>
        <v/>
      </c>
      <c r="AG578" s="4">
        <f>MAX(0,T578-MAX(0,Z578-SUM(Q578:S578)))</f>
        <v/>
      </c>
      <c r="AH578" s="4">
        <f>MAX(0,U578-MAX(0,Z578-SUM(Q578:T578)))</f>
        <v/>
      </c>
      <c r="AI578" s="4">
        <f>MAX(0,V578-MAX(0,Z578-SUM(Q578:U578)))</f>
        <v/>
      </c>
      <c r="AJ578" s="4">
        <f>MAX(0,W578-MAX(0,Z578-SUM(Q578:V578)))</f>
        <v/>
      </c>
      <c r="AK578" s="4">
        <f>MAX(0,X578-MAX(0,Z578-SUM(Q578:W578)))</f>
        <v/>
      </c>
      <c r="AL578" s="4">
        <f>MAX(0,Y578-MAX(0,Z578-SUM(Q578:X578)))</f>
        <v/>
      </c>
    </row>
    <row r="579">
      <c r="A579" s="4" t="inlineStr">
        <is>
          <t>HASLS22260902404</t>
        </is>
      </c>
      <c r="B579" s="4" t="inlineStr">
        <is>
          <t>HAHM</t>
        </is>
      </c>
      <c r="C579" s="4" t="inlineStr">
        <is>
          <t>2612N</t>
        </is>
      </c>
      <c r="D579" s="4" t="inlineStr">
        <is>
          <t>202610211800</t>
        </is>
      </c>
      <c r="E579" s="4" t="inlineStr"/>
      <c r="F579" s="4" t="inlineStr">
        <is>
          <t>THBKK</t>
        </is>
      </c>
      <c r="G579" s="4" t="inlineStr">
        <is>
          <t>VNSGN</t>
        </is>
      </c>
      <c r="H579" s="4" t="inlineStr">
        <is>
          <t xml:space="preserve">20'x12 </t>
        </is>
      </c>
      <c r="I579" s="4" t="inlineStr">
        <is>
          <t>BKK01</t>
        </is>
      </c>
      <c r="J579" s="4" t="inlineStr">
        <is>
          <t>PAT TERMINAL 2 (PORT AUTHORITY OF THAILAND)</t>
        </is>
      </c>
      <c r="K579" s="4" t="inlineStr">
        <is>
          <t>20261015</t>
        </is>
      </c>
      <c r="L579" s="4" t="inlineStr">
        <is>
          <t>CAPRICORN LOGISTICS CO., LTD.</t>
        </is>
      </c>
      <c r="M579" s="4" t="inlineStr">
        <is>
          <t>SIBELCO MINERALS (THAILAND) CO., LTD.</t>
        </is>
      </c>
      <c r="N579" s="4" t="inlineStr">
        <is>
          <t>BALL CLAY</t>
        </is>
      </c>
      <c r="O579" s="4" t="inlineStr">
        <is>
          <t>RQST CONTAINER 30 TONS. // REQUEST CONTAINER GOOD GRADE</t>
        </is>
      </c>
      <c r="P579" s="4" t="inlineStr">
        <is>
          <t>STUFFING @PAT (SPORT LIGHT TOWER 2) DD 15/10/26 CLS TIME 19/10 @17.00HRS 
 1ST CFS : 16/10 W/O RENT</t>
        </is>
      </c>
      <c r="Q579" s="4" t="n">
        <v>12</v>
      </c>
      <c r="R579" s="4" t="n">
        <v>0</v>
      </c>
      <c r="S579" s="4" t="n">
        <v>0</v>
      </c>
      <c r="T579" s="4" t="n">
        <v>0</v>
      </c>
      <c r="U579" s="4" t="n">
        <v>0</v>
      </c>
      <c r="V579" s="4" t="n">
        <v>0</v>
      </c>
      <c r="W579" s="4" t="n">
        <v>0</v>
      </c>
      <c r="X579" s="4" t="n">
        <v>0</v>
      </c>
      <c r="Y579" s="4" t="n">
        <v>0</v>
      </c>
      <c r="Z579" s="4" t="n">
        <v>0</v>
      </c>
      <c r="AA579" s="4" t="n">
        <v>0</v>
      </c>
      <c r="AB579" s="4">
        <f>SUM(Q579:Y579)-Z579</f>
        <v/>
      </c>
      <c r="AC579" s="4">
        <f>IF(I579="","",IF(OR(LEFT(I579,3)="BKK",I579="LCH55"),"BKK",IF(LEFT(I579,3)="LCH","LCH","OTHER")))</f>
        <v/>
      </c>
      <c r="AD579" s="4">
        <f>MAX(0,Q579-MAX(0,Z579))</f>
        <v/>
      </c>
      <c r="AE579" s="4">
        <f>MAX(0,R579-MAX(0,Z579-SUM(Q579:Q579)))</f>
        <v/>
      </c>
      <c r="AF579" s="4">
        <f>MAX(0,S579-MAX(0,Z579-SUM(Q579:R579)))</f>
        <v/>
      </c>
      <c r="AG579" s="4">
        <f>MAX(0,T579-MAX(0,Z579-SUM(Q579:S579)))</f>
        <v/>
      </c>
      <c r="AH579" s="4">
        <f>MAX(0,U579-MAX(0,Z579-SUM(Q579:T579)))</f>
        <v/>
      </c>
      <c r="AI579" s="4">
        <f>MAX(0,V579-MAX(0,Z579-SUM(Q579:U579)))</f>
        <v/>
      </c>
      <c r="AJ579" s="4">
        <f>MAX(0,W579-MAX(0,Z579-SUM(Q579:V579)))</f>
        <v/>
      </c>
      <c r="AK579" s="4">
        <f>MAX(0,X579-MAX(0,Z579-SUM(Q579:W579)))</f>
        <v/>
      </c>
      <c r="AL579" s="4">
        <f>MAX(0,Y579-MAX(0,Z579-SUM(Q579:X579)))</f>
        <v/>
      </c>
    </row>
    <row r="580">
      <c r="A580" s="4" t="inlineStr">
        <is>
          <t>HASLS22260902431</t>
        </is>
      </c>
      <c r="B580" s="4" t="inlineStr">
        <is>
          <t>KJT</t>
        </is>
      </c>
      <c r="C580" s="4" t="inlineStr">
        <is>
          <t>2611N</t>
        </is>
      </c>
      <c r="D580" s="4" t="inlineStr">
        <is>
          <t>202610141800</t>
        </is>
      </c>
      <c r="E580" s="4" t="inlineStr"/>
      <c r="F580" s="4" t="inlineStr">
        <is>
          <t>THBKK</t>
        </is>
      </c>
      <c r="G580" s="4" t="inlineStr">
        <is>
          <t>HKHKG</t>
        </is>
      </c>
      <c r="H580" s="4" t="inlineStr">
        <is>
          <t xml:space="preserve">20'x1 </t>
        </is>
      </c>
      <c r="I580" s="4" t="inlineStr">
        <is>
          <t>BKK01</t>
        </is>
      </c>
      <c r="J580" s="4" t="inlineStr">
        <is>
          <t>PAT TERMINAL 2 (PORT AUTHORITY OF THAILAND)</t>
        </is>
      </c>
      <c r="K580" s="4" t="inlineStr">
        <is>
          <t>20261009</t>
        </is>
      </c>
      <c r="L580" s="4" t="inlineStr">
        <is>
          <t>MITSUBISHI LOGISTICS (THAILAND) CO., LTD.</t>
        </is>
      </c>
      <c r="M580" s="4" t="inlineStr">
        <is>
          <t>SOUTHEAST ASIAN PACKAGING AND CANNING LIMITED</t>
        </is>
      </c>
      <c r="N580" s="4" t="inlineStr">
        <is>
          <t>FOOD STUFF</t>
        </is>
      </c>
      <c r="O580" s="4" t="inlineStr">
        <is>
          <t>GOOD AND CLEAN CONTAINER</t>
        </is>
      </c>
      <c r="P580" s="4" t="inlineStr">
        <is>
          <t xml:space="preserve">STUFFING @PAT (SPORT LIGHT TOWER 2) DD 09/10/26 CLS TIME 09/10 @17.00HRS 
 CARGO G.W. : 4.5 TONS </t>
        </is>
      </c>
      <c r="Q580" s="4" t="n">
        <v>1</v>
      </c>
      <c r="R580" s="4" t="n">
        <v>0</v>
      </c>
      <c r="S580" s="4" t="n">
        <v>0</v>
      </c>
      <c r="T580" s="4" t="n">
        <v>0</v>
      </c>
      <c r="U580" s="4" t="n">
        <v>0</v>
      </c>
      <c r="V580" s="4" t="n">
        <v>0</v>
      </c>
      <c r="W580" s="4" t="n">
        <v>0</v>
      </c>
      <c r="X580" s="4" t="n">
        <v>0</v>
      </c>
      <c r="Y580" s="4" t="n">
        <v>0</v>
      </c>
      <c r="Z580" s="4" t="n">
        <v>0</v>
      </c>
      <c r="AA580" s="4" t="n">
        <v>0</v>
      </c>
      <c r="AB580" s="4">
        <f>SUM(Q580:Y580)-Z580</f>
        <v/>
      </c>
      <c r="AC580" s="4">
        <f>IF(I580="","",IF(OR(LEFT(I580,3)="BKK",I580="LCH55"),"BKK",IF(LEFT(I580,3)="LCH","LCH","OTHER")))</f>
        <v/>
      </c>
      <c r="AD580" s="4">
        <f>MAX(0,Q580-MAX(0,Z580))</f>
        <v/>
      </c>
      <c r="AE580" s="4">
        <f>MAX(0,R580-MAX(0,Z580-SUM(Q580:Q580)))</f>
        <v/>
      </c>
      <c r="AF580" s="4">
        <f>MAX(0,S580-MAX(0,Z580-SUM(Q580:R580)))</f>
        <v/>
      </c>
      <c r="AG580" s="4">
        <f>MAX(0,T580-MAX(0,Z580-SUM(Q580:S580)))</f>
        <v/>
      </c>
      <c r="AH580" s="4">
        <f>MAX(0,U580-MAX(0,Z580-SUM(Q580:T580)))</f>
        <v/>
      </c>
      <c r="AI580" s="4">
        <f>MAX(0,V580-MAX(0,Z580-SUM(Q580:U580)))</f>
        <v/>
      </c>
      <c r="AJ580" s="4">
        <f>MAX(0,W580-MAX(0,Z580-SUM(Q580:V580)))</f>
        <v/>
      </c>
      <c r="AK580" s="4">
        <f>MAX(0,X580-MAX(0,Z580-SUM(Q580:W580)))</f>
        <v/>
      </c>
      <c r="AL580" s="4">
        <f>MAX(0,Y580-MAX(0,Z580-SUM(Q580:X580)))</f>
        <v/>
      </c>
    </row>
    <row r="581">
      <c r="A581" s="4" t="inlineStr">
        <is>
          <t>HASLS22260902434</t>
        </is>
      </c>
      <c r="B581" s="4" t="inlineStr">
        <is>
          <t>SWAT</t>
        </is>
      </c>
      <c r="C581" s="4" t="inlineStr">
        <is>
          <t>2611N</t>
        </is>
      </c>
      <c r="D581" s="4" t="inlineStr">
        <is>
          <t>202610282200</t>
        </is>
      </c>
      <c r="E581" s="4" t="inlineStr"/>
      <c r="F581" s="4" t="inlineStr">
        <is>
          <t>THBKK</t>
        </is>
      </c>
      <c r="G581" s="4" t="inlineStr">
        <is>
          <t>HKHKG</t>
        </is>
      </c>
      <c r="H581" s="4" t="inlineStr">
        <is>
          <t xml:space="preserve">40Hx1 </t>
        </is>
      </c>
      <c r="I581" s="4" t="inlineStr">
        <is>
          <t>BKK01</t>
        </is>
      </c>
      <c r="J581" s="4" t="inlineStr">
        <is>
          <t>PAT TERMINAL 2 (PORT AUTHORITY OF THAILAND)</t>
        </is>
      </c>
      <c r="K581" s="4" t="inlineStr">
        <is>
          <t>20260923</t>
        </is>
      </c>
      <c r="L581" s="4" t="inlineStr">
        <is>
          <t>YUSEN LOGISTICS (THAILAND) CO., LTD.</t>
        </is>
      </c>
      <c r="M581" s="4" t="inlineStr">
        <is>
          <t>YUSEN LOGISTICS (THAILAND) CO., LTD.</t>
        </is>
      </c>
      <c r="N581" s="4" t="inlineStr">
        <is>
          <t>GENERAL CARGO (CONSOL)</t>
        </is>
      </c>
      <c r="O581" s="4" t="inlineStr">
        <is>
          <t>CONSOL</t>
        </is>
      </c>
      <c r="P581" s="4" t="inlineStr">
        <is>
          <t>Pickup : 2026-09-23, Return : 2026-09-23 CONSOL</t>
        </is>
      </c>
      <c r="Q581" s="4" t="n">
        <v>0</v>
      </c>
      <c r="R581" s="4" t="n">
        <v>0</v>
      </c>
      <c r="S581" s="4" t="n">
        <v>1</v>
      </c>
      <c r="T581" s="4" t="n">
        <v>0</v>
      </c>
      <c r="U581" s="4" t="n">
        <v>0</v>
      </c>
      <c r="V581" s="4" t="n">
        <v>0</v>
      </c>
      <c r="W581" s="4" t="n">
        <v>0</v>
      </c>
      <c r="X581" s="4" t="n">
        <v>0</v>
      </c>
      <c r="Y581" s="4" t="n">
        <v>0</v>
      </c>
      <c r="Z581" s="4" t="n">
        <v>0</v>
      </c>
      <c r="AA581" s="4" t="n">
        <v>0</v>
      </c>
      <c r="AB581" s="4">
        <f>SUM(Q581:Y581)-Z581</f>
        <v/>
      </c>
      <c r="AC581" s="4">
        <f>IF(I581="","",IF(OR(LEFT(I581,3)="BKK",I581="LCH55"),"BKK",IF(LEFT(I581,3)="LCH","LCH","OTHER")))</f>
        <v/>
      </c>
      <c r="AD581" s="4">
        <f>MAX(0,Q581-MAX(0,Z581))</f>
        <v/>
      </c>
      <c r="AE581" s="4">
        <f>MAX(0,R581-MAX(0,Z581-SUM(Q581:Q581)))</f>
        <v/>
      </c>
      <c r="AF581" s="4">
        <f>MAX(0,S581-MAX(0,Z581-SUM(Q581:R581)))</f>
        <v/>
      </c>
      <c r="AG581" s="4">
        <f>MAX(0,T581-MAX(0,Z581-SUM(Q581:S581)))</f>
        <v/>
      </c>
      <c r="AH581" s="4">
        <f>MAX(0,U581-MAX(0,Z581-SUM(Q581:T581)))</f>
        <v/>
      </c>
      <c r="AI581" s="4">
        <f>MAX(0,V581-MAX(0,Z581-SUM(Q581:U581)))</f>
        <v/>
      </c>
      <c r="AJ581" s="4">
        <f>MAX(0,W581-MAX(0,Z581-SUM(Q581:V581)))</f>
        <v/>
      </c>
      <c r="AK581" s="4">
        <f>MAX(0,X581-MAX(0,Z581-SUM(Q581:W581)))</f>
        <v/>
      </c>
      <c r="AL581" s="4">
        <f>MAX(0,Y581-MAX(0,Z581-SUM(Q581:X581)))</f>
        <v/>
      </c>
    </row>
    <row r="582">
      <c r="A582" s="4" t="inlineStr">
        <is>
          <t>HASLS22260902453</t>
        </is>
      </c>
      <c r="B582" s="4" t="inlineStr">
        <is>
          <t>KJT</t>
        </is>
      </c>
      <c r="C582" s="4" t="inlineStr">
        <is>
          <t>2611N</t>
        </is>
      </c>
      <c r="D582" s="4" t="inlineStr">
        <is>
          <t>202610141800</t>
        </is>
      </c>
      <c r="E582" s="4" t="inlineStr"/>
      <c r="F582" s="4" t="inlineStr">
        <is>
          <t>THBKK</t>
        </is>
      </c>
      <c r="G582" s="4" t="inlineStr">
        <is>
          <t>KRPUS</t>
        </is>
      </c>
      <c r="H582" s="4" t="inlineStr">
        <is>
          <t xml:space="preserve">40Hx2 </t>
        </is>
      </c>
      <c r="I582" s="4" t="inlineStr">
        <is>
          <t>BKK01</t>
        </is>
      </c>
      <c r="J582" s="4" t="inlineStr">
        <is>
          <t>PAT TERMINAL 2 (PORT AUTHORITY OF THAILAND)</t>
        </is>
      </c>
      <c r="K582" s="4" t="inlineStr">
        <is>
          <t>20261009</t>
        </is>
      </c>
      <c r="L582" s="4" t="inlineStr">
        <is>
          <t>ECU WORLDWIDE (THAILAND) CO., LTD.</t>
        </is>
      </c>
      <c r="M582" s="4" t="inlineStr">
        <is>
          <t>ECU WORLDWIDE (THAILAND) CO., LTD.</t>
        </is>
      </c>
      <c r="N582" s="4" t="inlineStr">
        <is>
          <t>GENERAL CARGO (CONSOL)</t>
        </is>
      </c>
      <c r="O582" s="4" t="inlineStr">
        <is>
          <t>CONSOL</t>
        </is>
      </c>
      <c r="P582" s="4" t="inlineStr">
        <is>
          <t>Pickup : 2026-10-09, Return : 2026-10-10 CONSOL</t>
        </is>
      </c>
      <c r="Q582" s="4" t="n">
        <v>0</v>
      </c>
      <c r="R582" s="4" t="n">
        <v>0</v>
      </c>
      <c r="S582" s="4" t="n">
        <v>2</v>
      </c>
      <c r="T582" s="4" t="n">
        <v>0</v>
      </c>
      <c r="U582" s="4" t="n">
        <v>0</v>
      </c>
      <c r="V582" s="4" t="n">
        <v>0</v>
      </c>
      <c r="W582" s="4" t="n">
        <v>0</v>
      </c>
      <c r="X582" s="4" t="n">
        <v>0</v>
      </c>
      <c r="Y582" s="4" t="n">
        <v>0</v>
      </c>
      <c r="Z582" s="4" t="n">
        <v>0</v>
      </c>
      <c r="AA582" s="4" t="n">
        <v>0</v>
      </c>
      <c r="AB582" s="4">
        <f>SUM(Q582:Y582)-Z582</f>
        <v/>
      </c>
      <c r="AC582" s="4">
        <f>IF(I582="","",IF(OR(LEFT(I582,3)="BKK",I582="LCH55"),"BKK",IF(LEFT(I582,3)="LCH","LCH","OTHER")))</f>
        <v/>
      </c>
      <c r="AD582" s="4">
        <f>MAX(0,Q582-MAX(0,Z582))</f>
        <v/>
      </c>
      <c r="AE582" s="4">
        <f>MAX(0,R582-MAX(0,Z582-SUM(Q582:Q582)))</f>
        <v/>
      </c>
      <c r="AF582" s="4">
        <f>MAX(0,S582-MAX(0,Z582-SUM(Q582:R582)))</f>
        <v/>
      </c>
      <c r="AG582" s="4">
        <f>MAX(0,T582-MAX(0,Z582-SUM(Q582:S582)))</f>
        <v/>
      </c>
      <c r="AH582" s="4">
        <f>MAX(0,U582-MAX(0,Z582-SUM(Q582:T582)))</f>
        <v/>
      </c>
      <c r="AI582" s="4">
        <f>MAX(0,V582-MAX(0,Z582-SUM(Q582:U582)))</f>
        <v/>
      </c>
      <c r="AJ582" s="4">
        <f>MAX(0,W582-MAX(0,Z582-SUM(Q582:V582)))</f>
        <v/>
      </c>
      <c r="AK582" s="4">
        <f>MAX(0,X582-MAX(0,Z582-SUM(Q582:W582)))</f>
        <v/>
      </c>
      <c r="AL582" s="4">
        <f>MAX(0,Y582-MAX(0,Z582-SUM(Q582:X582)))</f>
        <v/>
      </c>
    </row>
    <row r="583">
      <c r="A583" s="4" t="inlineStr">
        <is>
          <t>HASLS22260902454</t>
        </is>
      </c>
      <c r="B583" s="4" t="inlineStr">
        <is>
          <t>CMA</t>
        </is>
      </c>
      <c r="C583" s="4" t="inlineStr">
        <is>
          <t>2615N</t>
        </is>
      </c>
      <c r="D583" s="4" t="inlineStr">
        <is>
          <t>202610172300</t>
        </is>
      </c>
      <c r="E583" s="4" t="inlineStr"/>
      <c r="F583" s="4" t="inlineStr">
        <is>
          <t>THBKK</t>
        </is>
      </c>
      <c r="G583" s="4" t="inlineStr">
        <is>
          <t>KRPUS</t>
        </is>
      </c>
      <c r="H583" s="4" t="inlineStr">
        <is>
          <t xml:space="preserve">40Hx2 </t>
        </is>
      </c>
      <c r="I583" s="4" t="inlineStr">
        <is>
          <t>BKK01</t>
        </is>
      </c>
      <c r="J583" s="4" t="inlineStr">
        <is>
          <t>PAT TERMINAL 2 (PORT AUTHORITY OF THAILAND)</t>
        </is>
      </c>
      <c r="K583" s="4" t="inlineStr">
        <is>
          <t>20261014</t>
        </is>
      </c>
      <c r="L583" s="4" t="inlineStr">
        <is>
          <t>ECU WORLDWIDE (THAILAND) CO., LTD.</t>
        </is>
      </c>
      <c r="M583" s="4" t="inlineStr">
        <is>
          <t>ECU WORLDWIDE (THAILAND) CO., LTD.</t>
        </is>
      </c>
      <c r="N583" s="4" t="inlineStr">
        <is>
          <t>GENERAL CARGO (CONSOL)</t>
        </is>
      </c>
      <c r="O583" s="4" t="inlineStr">
        <is>
          <t>CONSOL</t>
        </is>
      </c>
      <c r="P583" s="4" t="inlineStr">
        <is>
          <t xml:space="preserve">Pickup : 2026-10-14, Return : 2026-10-15 CONSOL 
 CLS TIME 15/10 @23.59 </t>
        </is>
      </c>
      <c r="Q583" s="4" t="n">
        <v>0</v>
      </c>
      <c r="R583" s="4" t="n">
        <v>0</v>
      </c>
      <c r="S583" s="4" t="n">
        <v>2</v>
      </c>
      <c r="T583" s="4" t="n">
        <v>0</v>
      </c>
      <c r="U583" s="4" t="n">
        <v>0</v>
      </c>
      <c r="V583" s="4" t="n">
        <v>0</v>
      </c>
      <c r="W583" s="4" t="n">
        <v>0</v>
      </c>
      <c r="X583" s="4" t="n">
        <v>0</v>
      </c>
      <c r="Y583" s="4" t="n">
        <v>0</v>
      </c>
      <c r="Z583" s="4" t="n">
        <v>0</v>
      </c>
      <c r="AA583" s="4" t="n">
        <v>0</v>
      </c>
      <c r="AB583" s="4">
        <f>SUM(Q583:Y583)-Z583</f>
        <v/>
      </c>
      <c r="AC583" s="4">
        <f>IF(I583="","",IF(OR(LEFT(I583,3)="BKK",I583="LCH55"),"BKK",IF(LEFT(I583,3)="LCH","LCH","OTHER")))</f>
        <v/>
      </c>
      <c r="AD583" s="4">
        <f>MAX(0,Q583-MAX(0,Z583))</f>
        <v/>
      </c>
      <c r="AE583" s="4">
        <f>MAX(0,R583-MAX(0,Z583-SUM(Q583:Q583)))</f>
        <v/>
      </c>
      <c r="AF583" s="4">
        <f>MAX(0,S583-MAX(0,Z583-SUM(Q583:R583)))</f>
        <v/>
      </c>
      <c r="AG583" s="4">
        <f>MAX(0,T583-MAX(0,Z583-SUM(Q583:S583)))</f>
        <v/>
      </c>
      <c r="AH583" s="4">
        <f>MAX(0,U583-MAX(0,Z583-SUM(Q583:T583)))</f>
        <v/>
      </c>
      <c r="AI583" s="4">
        <f>MAX(0,V583-MAX(0,Z583-SUM(Q583:U583)))</f>
        <v/>
      </c>
      <c r="AJ583" s="4">
        <f>MAX(0,W583-MAX(0,Z583-SUM(Q583:V583)))</f>
        <v/>
      </c>
      <c r="AK583" s="4">
        <f>MAX(0,X583-MAX(0,Z583-SUM(Q583:W583)))</f>
        <v/>
      </c>
      <c r="AL583" s="4">
        <f>MAX(0,Y583-MAX(0,Z583-SUM(Q583:X583)))</f>
        <v/>
      </c>
    </row>
    <row r="584">
      <c r="A584" s="4" t="inlineStr">
        <is>
          <t>HASLS22260902575</t>
        </is>
      </c>
      <c r="B584" s="4" t="inlineStr">
        <is>
          <t>KMBK</t>
        </is>
      </c>
      <c r="C584" s="4" t="inlineStr">
        <is>
          <t>2611N</t>
        </is>
      </c>
      <c r="D584" s="4" t="inlineStr">
        <is>
          <t>202610030900</t>
        </is>
      </c>
      <c r="E584" s="4" t="inlineStr"/>
      <c r="F584" s="4" t="inlineStr">
        <is>
          <t>THBKK</t>
        </is>
      </c>
      <c r="G584" s="4" t="inlineStr">
        <is>
          <t>VNSGN</t>
        </is>
      </c>
      <c r="H584" s="4" t="inlineStr">
        <is>
          <t xml:space="preserve">40Hx1 </t>
        </is>
      </c>
      <c r="I584" s="4" t="inlineStr">
        <is>
          <t>BKK01</t>
        </is>
      </c>
      <c r="J584" s="4" t="inlineStr">
        <is>
          <t>PAT TERMINAL 2 (PORT AUTHORITY OF THAILAND)</t>
        </is>
      </c>
      <c r="K584" s="4" t="inlineStr">
        <is>
          <t>20261001</t>
        </is>
      </c>
      <c r="L584" s="4" t="inlineStr">
        <is>
          <t>QUANTERM LOGISTICS (THAILAND) CO., LTD.</t>
        </is>
      </c>
      <c r="M584" s="4" t="inlineStr">
        <is>
          <t>QUANTERM LOGISTICS (THAILAND) CO., LTD.</t>
        </is>
      </c>
      <c r="N584" s="4" t="inlineStr">
        <is>
          <t>GENERAL CARGO</t>
        </is>
      </c>
      <c r="O584" s="4" t="inlineStr">
        <is>
          <t>**DO NOT RELEASE CTNR PLS WAIT APPROVAL**DG45GPx1 (CLS 8 / UN 1903)</t>
        </is>
      </c>
      <c r="P584" s="4" t="inlineStr">
        <is>
          <t>**DO NOT RELEASE CTNR PLS WAIT APPROVAL**
Pickup : 2026-10-01, Return : 2026-10-01 DG45GPx1 (CLS 8 / UN 1903) CONSOL</t>
        </is>
      </c>
      <c r="Q584" s="4" t="n">
        <v>0</v>
      </c>
      <c r="R584" s="4" t="n">
        <v>0</v>
      </c>
      <c r="S584" s="4" t="n">
        <v>1</v>
      </c>
      <c r="T584" s="4" t="n">
        <v>0</v>
      </c>
      <c r="U584" s="4" t="n">
        <v>0</v>
      </c>
      <c r="V584" s="4" t="n">
        <v>0</v>
      </c>
      <c r="W584" s="4" t="n">
        <v>0</v>
      </c>
      <c r="X584" s="4" t="n">
        <v>0</v>
      </c>
      <c r="Y584" s="4" t="n">
        <v>0</v>
      </c>
      <c r="Z584" s="4" t="n">
        <v>0</v>
      </c>
      <c r="AA584" s="4" t="n">
        <v>0</v>
      </c>
      <c r="AB584" s="4">
        <f>SUM(Q584:Y584)-Z584</f>
        <v/>
      </c>
      <c r="AC584" s="4">
        <f>IF(I584="","",IF(OR(LEFT(I584,3)="BKK",I584="LCH55"),"BKK",IF(LEFT(I584,3)="LCH","LCH","OTHER")))</f>
        <v/>
      </c>
      <c r="AD584" s="4">
        <f>MAX(0,Q584-MAX(0,Z584))</f>
        <v/>
      </c>
      <c r="AE584" s="4">
        <f>MAX(0,R584-MAX(0,Z584-SUM(Q584:Q584)))</f>
        <v/>
      </c>
      <c r="AF584" s="4">
        <f>MAX(0,S584-MAX(0,Z584-SUM(Q584:R584)))</f>
        <v/>
      </c>
      <c r="AG584" s="4">
        <f>MAX(0,T584-MAX(0,Z584-SUM(Q584:S584)))</f>
        <v/>
      </c>
      <c r="AH584" s="4">
        <f>MAX(0,U584-MAX(0,Z584-SUM(Q584:T584)))</f>
        <v/>
      </c>
      <c r="AI584" s="4">
        <f>MAX(0,V584-MAX(0,Z584-SUM(Q584:U584)))</f>
        <v/>
      </c>
      <c r="AJ584" s="4">
        <f>MAX(0,W584-MAX(0,Z584-SUM(Q584:V584)))</f>
        <v/>
      </c>
      <c r="AK584" s="4">
        <f>MAX(0,X584-MAX(0,Z584-SUM(Q584:W584)))</f>
        <v/>
      </c>
      <c r="AL584" s="4">
        <f>MAX(0,Y584-MAX(0,Z584-SUM(Q584:X584)))</f>
        <v/>
      </c>
    </row>
    <row r="585">
      <c r="A585" s="4" t="inlineStr">
        <is>
          <t>HASLS22260701528</t>
        </is>
      </c>
      <c r="B585" s="4" t="inlineStr">
        <is>
          <t>SWRG</t>
        </is>
      </c>
      <c r="C585" s="4" t="inlineStr">
        <is>
          <t>2609N</t>
        </is>
      </c>
      <c r="D585" s="4" t="inlineStr">
        <is>
          <t>202610131130</t>
        </is>
      </c>
      <c r="E585" s="4" t="inlineStr"/>
      <c r="F585" s="4" t="inlineStr">
        <is>
          <t>THLCH</t>
        </is>
      </c>
      <c r="G585" s="4" t="inlineStr">
        <is>
          <t>KRPUS</t>
        </is>
      </c>
      <c r="H585" s="4" t="inlineStr">
        <is>
          <t xml:space="preserve">20'x1 </t>
        </is>
      </c>
      <c r="I585" s="4" t="inlineStr">
        <is>
          <t>LCHY5</t>
        </is>
      </c>
      <c r="J585" s="4" t="inlineStr">
        <is>
          <t>PW DEPOT CO., LTD.</t>
        </is>
      </c>
      <c r="K585" s="4" t="inlineStr">
        <is>
          <t>20261007</t>
        </is>
      </c>
      <c r="L585" s="4" t="inlineStr">
        <is>
          <t>PROFREIGHT INTERNATIONAL CO., LTD.</t>
        </is>
      </c>
      <c r="M585" s="4" t="inlineStr">
        <is>
          <t>ALUCON PUBLIC COMPANY LIMITED</t>
        </is>
      </c>
      <c r="N585" s="4" t="inlineStr">
        <is>
          <t>ALUMINIUM COLLAPSIBLE TUBES</t>
        </is>
      </c>
      <c r="O585" s="4" t="inlineStr">
        <is>
          <t>REQ : GOOD &amp; CLEAN CONTAINER &amp; NO RUST &amp; NO SMELL &amp; NO BURR &amp; NO LEAK &amp; GOOD FLOOR &amp; NOT WET</t>
        </is>
      </c>
      <c r="P585" s="4" t="inlineStr">
        <is>
          <t xml:space="preserve">Pickup : 2026-10-07, Return : 2026-10-08 // EXTEND CLS TIME 08/0 @23.59 
 ** PLEASE CHECK OPEN GATE BEFORE RETURN CNTR **
</t>
        </is>
      </c>
      <c r="Q585" s="4" t="n">
        <v>1</v>
      </c>
      <c r="R585" s="4" t="n">
        <v>0</v>
      </c>
      <c r="S585" s="4" t="n">
        <v>0</v>
      </c>
      <c r="T585" s="4" t="n">
        <v>0</v>
      </c>
      <c r="U585" s="4" t="n">
        <v>0</v>
      </c>
      <c r="V585" s="4" t="n">
        <v>0</v>
      </c>
      <c r="W585" s="4" t="n">
        <v>0</v>
      </c>
      <c r="X585" s="4" t="n">
        <v>0</v>
      </c>
      <c r="Y585" s="4" t="n">
        <v>0</v>
      </c>
      <c r="Z585" s="4" t="n">
        <v>0</v>
      </c>
      <c r="AA585" s="4" t="n">
        <v>0</v>
      </c>
      <c r="AB585" s="4">
        <f>SUM(Q585:Y585)-Z585</f>
        <v/>
      </c>
      <c r="AC585" s="4">
        <f>IF(I585="","",IF(OR(LEFT(I585,3)="BKK",I585="LCH55"),"BKK",IF(LEFT(I585,3)="LCH","LCH","OTHER")))</f>
        <v/>
      </c>
      <c r="AD585" s="4">
        <f>MAX(0,Q585-MAX(0,Z585))</f>
        <v/>
      </c>
      <c r="AE585" s="4">
        <f>MAX(0,R585-MAX(0,Z585-SUM(Q585:Q585)))</f>
        <v/>
      </c>
      <c r="AF585" s="4">
        <f>MAX(0,S585-MAX(0,Z585-SUM(Q585:R585)))</f>
        <v/>
      </c>
      <c r="AG585" s="4">
        <f>MAX(0,T585-MAX(0,Z585-SUM(Q585:S585)))</f>
        <v/>
      </c>
      <c r="AH585" s="4">
        <f>MAX(0,U585-MAX(0,Z585-SUM(Q585:T585)))</f>
        <v/>
      </c>
      <c r="AI585" s="4">
        <f>MAX(0,V585-MAX(0,Z585-SUM(Q585:U585)))</f>
        <v/>
      </c>
      <c r="AJ585" s="4">
        <f>MAX(0,W585-MAX(0,Z585-SUM(Q585:V585)))</f>
        <v/>
      </c>
      <c r="AK585" s="4">
        <f>MAX(0,X585-MAX(0,Z585-SUM(Q585:W585)))</f>
        <v/>
      </c>
      <c r="AL585" s="4">
        <f>MAX(0,Y585-MAX(0,Z585-SUM(Q585:X585)))</f>
        <v/>
      </c>
    </row>
    <row r="586">
      <c r="A586" s="4" t="inlineStr">
        <is>
          <t>HASLS22260701768</t>
        </is>
      </c>
      <c r="B586" s="4" t="inlineStr">
        <is>
          <t>TBN</t>
        </is>
      </c>
      <c r="C586" s="4" t="inlineStr">
        <is>
          <t>001</t>
        </is>
      </c>
      <c r="D586" s="4" t="inlineStr"/>
      <c r="E586" s="4" t="inlineStr"/>
      <c r="F586" s="4" t="inlineStr">
        <is>
          <t>THLCH</t>
        </is>
      </c>
      <c r="G586" s="4" t="inlineStr">
        <is>
          <t>JPYKK</t>
        </is>
      </c>
      <c r="H586" s="4" t="inlineStr">
        <is>
          <t xml:space="preserve">20'x2 </t>
        </is>
      </c>
      <c r="I586" s="4" t="inlineStr">
        <is>
          <t>LCHY5</t>
        </is>
      </c>
      <c r="J586" s="4" t="inlineStr">
        <is>
          <t>PW DEPOT CO., LTD.</t>
        </is>
      </c>
      <c r="K586" s="4" t="inlineStr">
        <is>
          <t>20260805</t>
        </is>
      </c>
      <c r="L586" s="4" t="inlineStr">
        <is>
          <t>DOW CHEMICAL THAILAND LTD.</t>
        </is>
      </c>
      <c r="M586" s="4" t="inlineStr">
        <is>
          <t>DOW CHEMICAL THAILAND LTD.</t>
        </is>
      </c>
      <c r="N586" s="4" t="inlineStr">
        <is>
          <t>RESIN</t>
        </is>
      </c>
      <c r="O586" s="4" t="inlineStr">
        <is>
          <t>RQST CNTR SEABULK &amp; GRADE A</t>
        </is>
      </c>
      <c r="P586" s="4" t="inlineStr">
        <is>
          <t>CY CNTR DD.05/08/2026 RQST CNTR SEABULK &amp; GRADE A</t>
        </is>
      </c>
      <c r="Q586" s="4" t="n">
        <v>2</v>
      </c>
      <c r="R586" s="4" t="n">
        <v>0</v>
      </c>
      <c r="S586" s="4" t="n">
        <v>0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>
        <f>SUM(Q586:Y586)-Z586</f>
        <v/>
      </c>
      <c r="AC586" s="4">
        <f>IF(I586="","",IF(OR(LEFT(I586,3)="BKK",I586="LCH55"),"BKK",IF(LEFT(I586,3)="LCH","LCH","OTHER")))</f>
        <v/>
      </c>
      <c r="AD586" s="4">
        <f>MAX(0,Q586-MAX(0,Z586))</f>
        <v/>
      </c>
      <c r="AE586" s="4">
        <f>MAX(0,R586-MAX(0,Z586-SUM(Q586:Q586)))</f>
        <v/>
      </c>
      <c r="AF586" s="4">
        <f>MAX(0,S586-MAX(0,Z586-SUM(Q586:R586)))</f>
        <v/>
      </c>
      <c r="AG586" s="4">
        <f>MAX(0,T586-MAX(0,Z586-SUM(Q586:S586)))</f>
        <v/>
      </c>
      <c r="AH586" s="4">
        <f>MAX(0,U586-MAX(0,Z586-SUM(Q586:T586)))</f>
        <v/>
      </c>
      <c r="AI586" s="4">
        <f>MAX(0,V586-MAX(0,Z586-SUM(Q586:U586)))</f>
        <v/>
      </c>
      <c r="AJ586" s="4">
        <f>MAX(0,W586-MAX(0,Z586-SUM(Q586:V586)))</f>
        <v/>
      </c>
      <c r="AK586" s="4">
        <f>MAX(0,X586-MAX(0,Z586-SUM(Q586:W586)))</f>
        <v/>
      </c>
      <c r="AL586" s="4">
        <f>MAX(0,Y586-MAX(0,Z586-SUM(Q586:X586)))</f>
        <v/>
      </c>
    </row>
    <row r="587">
      <c r="A587" s="4" t="inlineStr">
        <is>
          <t>HASLS22260701770</t>
        </is>
      </c>
      <c r="B587" s="4" t="inlineStr">
        <is>
          <t>TBN</t>
        </is>
      </c>
      <c r="C587" s="4" t="inlineStr">
        <is>
          <t>001</t>
        </is>
      </c>
      <c r="D587" s="4" t="inlineStr"/>
      <c r="E587" s="4" t="inlineStr"/>
      <c r="F587" s="4" t="inlineStr">
        <is>
          <t>THLCH</t>
        </is>
      </c>
      <c r="G587" s="4" t="inlineStr">
        <is>
          <t>JPYKK</t>
        </is>
      </c>
      <c r="H587" s="4" t="inlineStr">
        <is>
          <t xml:space="preserve">20'x5 </t>
        </is>
      </c>
      <c r="I587" s="4" t="inlineStr">
        <is>
          <t>LCHY5</t>
        </is>
      </c>
      <c r="J587" s="4" t="inlineStr">
        <is>
          <t>PW DEPOT CO., LTD.</t>
        </is>
      </c>
      <c r="K587" s="4" t="inlineStr">
        <is>
          <t>20260806</t>
        </is>
      </c>
      <c r="L587" s="4" t="inlineStr">
        <is>
          <t>DOW CHEMICAL THAILAND LTD.</t>
        </is>
      </c>
      <c r="M587" s="4" t="inlineStr">
        <is>
          <t>DOW CHEMICAL THAILAND LTD.</t>
        </is>
      </c>
      <c r="N587" s="4" t="inlineStr">
        <is>
          <t>RESIN</t>
        </is>
      </c>
      <c r="O587" s="4" t="inlineStr">
        <is>
          <t>RQST CNTR SEABULK &amp; GRADE A</t>
        </is>
      </c>
      <c r="P587" s="4" t="inlineStr">
        <is>
          <t>CY CNTR DD.06/08/2026 RQST CNTR SEABULK &amp; GRADE A</t>
        </is>
      </c>
      <c r="Q587" s="4" t="n">
        <v>5</v>
      </c>
      <c r="R587" s="4" t="n">
        <v>0</v>
      </c>
      <c r="S587" s="4" t="n">
        <v>0</v>
      </c>
      <c r="T587" s="4" t="n">
        <v>0</v>
      </c>
      <c r="U587" s="4" t="n">
        <v>0</v>
      </c>
      <c r="V587" s="4" t="n">
        <v>0</v>
      </c>
      <c r="W587" s="4" t="n">
        <v>0</v>
      </c>
      <c r="X587" s="4" t="n">
        <v>0</v>
      </c>
      <c r="Y587" s="4" t="n">
        <v>0</v>
      </c>
      <c r="Z587" s="4" t="n">
        <v>2</v>
      </c>
      <c r="AA587" s="4" t="n">
        <v>0</v>
      </c>
      <c r="AB587" s="4">
        <f>SUM(Q587:Y587)-Z587</f>
        <v/>
      </c>
      <c r="AC587" s="4">
        <f>IF(I587="","",IF(OR(LEFT(I587,3)="BKK",I587="LCH55"),"BKK",IF(LEFT(I587,3)="LCH","LCH","OTHER")))</f>
        <v/>
      </c>
      <c r="AD587" s="4">
        <f>MAX(0,Q587-MAX(0,Z587))</f>
        <v/>
      </c>
      <c r="AE587" s="4">
        <f>MAX(0,R587-MAX(0,Z587-SUM(Q587:Q587)))</f>
        <v/>
      </c>
      <c r="AF587" s="4">
        <f>MAX(0,S587-MAX(0,Z587-SUM(Q587:R587)))</f>
        <v/>
      </c>
      <c r="AG587" s="4">
        <f>MAX(0,T587-MAX(0,Z587-SUM(Q587:S587)))</f>
        <v/>
      </c>
      <c r="AH587" s="4">
        <f>MAX(0,U587-MAX(0,Z587-SUM(Q587:T587)))</f>
        <v/>
      </c>
      <c r="AI587" s="4">
        <f>MAX(0,V587-MAX(0,Z587-SUM(Q587:U587)))</f>
        <v/>
      </c>
      <c r="AJ587" s="4">
        <f>MAX(0,W587-MAX(0,Z587-SUM(Q587:V587)))</f>
        <v/>
      </c>
      <c r="AK587" s="4">
        <f>MAX(0,X587-MAX(0,Z587-SUM(Q587:W587)))</f>
        <v/>
      </c>
      <c r="AL587" s="4">
        <f>MAX(0,Y587-MAX(0,Z587-SUM(Q587:X587)))</f>
        <v/>
      </c>
    </row>
    <row r="588">
      <c r="A588" s="4" t="inlineStr">
        <is>
          <t>HASLS22260800164</t>
        </is>
      </c>
      <c r="B588" s="4" t="inlineStr">
        <is>
          <t>TBN</t>
        </is>
      </c>
      <c r="C588" s="4" t="inlineStr">
        <is>
          <t>001</t>
        </is>
      </c>
      <c r="D588" s="4" t="inlineStr"/>
      <c r="E588" s="4" t="inlineStr"/>
      <c r="F588" s="4" t="inlineStr">
        <is>
          <t>THLCH</t>
        </is>
      </c>
      <c r="G588" s="4" t="inlineStr">
        <is>
          <t>JPTRG</t>
        </is>
      </c>
      <c r="H588" s="4" t="inlineStr">
        <is>
          <t xml:space="preserve">20'x9 </t>
        </is>
      </c>
      <c r="I588" s="4" t="inlineStr">
        <is>
          <t>LCHY5</t>
        </is>
      </c>
      <c r="J588" s="4" t="inlineStr">
        <is>
          <t>PW DEPOT CO., LTD.</t>
        </is>
      </c>
      <c r="K588" s="4" t="inlineStr">
        <is>
          <t>20260813</t>
        </is>
      </c>
      <c r="L588" s="4" t="inlineStr">
        <is>
          <t>DOW CHEMICAL THAILAND LTD.</t>
        </is>
      </c>
      <c r="M588" s="4" t="inlineStr">
        <is>
          <t>DOW CHEMICAL THAILAND LTD.</t>
        </is>
      </c>
      <c r="N588" s="4" t="inlineStr">
        <is>
          <t>RESIN</t>
        </is>
      </c>
      <c r="O588" s="4" t="inlineStr">
        <is>
          <t>RQST CNTR SEABULK &amp; GRADE A</t>
        </is>
      </c>
      <c r="P588" s="4" t="inlineStr">
        <is>
          <t>CY CNTR DD.13/082026 RQST CNTR SEABULK &amp; GRADE A</t>
        </is>
      </c>
      <c r="Q588" s="4" t="n">
        <v>9</v>
      </c>
      <c r="R588" s="4" t="n">
        <v>0</v>
      </c>
      <c r="S588" s="4" t="n">
        <v>0</v>
      </c>
      <c r="T588" s="4" t="n">
        <v>0</v>
      </c>
      <c r="U588" s="4" t="n">
        <v>0</v>
      </c>
      <c r="V588" s="4" t="n">
        <v>0</v>
      </c>
      <c r="W588" s="4" t="n">
        <v>0</v>
      </c>
      <c r="X588" s="4" t="n">
        <v>0</v>
      </c>
      <c r="Y588" s="4" t="n">
        <v>0</v>
      </c>
      <c r="Z588" s="4" t="n">
        <v>7</v>
      </c>
      <c r="AA588" s="4" t="n">
        <v>0</v>
      </c>
      <c r="AB588" s="4">
        <f>SUM(Q588:Y588)-Z588</f>
        <v/>
      </c>
      <c r="AC588" s="4">
        <f>IF(I588="","",IF(OR(LEFT(I588,3)="BKK",I588="LCH55"),"BKK",IF(LEFT(I588,3)="LCH","LCH","OTHER")))</f>
        <v/>
      </c>
      <c r="AD588" s="4">
        <f>MAX(0,Q588-MAX(0,Z588))</f>
        <v/>
      </c>
      <c r="AE588" s="4">
        <f>MAX(0,R588-MAX(0,Z588-SUM(Q588:Q588)))</f>
        <v/>
      </c>
      <c r="AF588" s="4">
        <f>MAX(0,S588-MAX(0,Z588-SUM(Q588:R588)))</f>
        <v/>
      </c>
      <c r="AG588" s="4">
        <f>MAX(0,T588-MAX(0,Z588-SUM(Q588:S588)))</f>
        <v/>
      </c>
      <c r="AH588" s="4">
        <f>MAX(0,U588-MAX(0,Z588-SUM(Q588:T588)))</f>
        <v/>
      </c>
      <c r="AI588" s="4">
        <f>MAX(0,V588-MAX(0,Z588-SUM(Q588:U588)))</f>
        <v/>
      </c>
      <c r="AJ588" s="4">
        <f>MAX(0,W588-MAX(0,Z588-SUM(Q588:V588)))</f>
        <v/>
      </c>
      <c r="AK588" s="4">
        <f>MAX(0,X588-MAX(0,Z588-SUM(Q588:W588)))</f>
        <v/>
      </c>
      <c r="AL588" s="4">
        <f>MAX(0,Y588-MAX(0,Z588-SUM(Q588:X588)))</f>
        <v/>
      </c>
    </row>
    <row r="589">
      <c r="A589" s="4" t="inlineStr">
        <is>
          <t>HASLS22260800165</t>
        </is>
      </c>
      <c r="B589" s="4" t="inlineStr">
        <is>
          <t>TBN</t>
        </is>
      </c>
      <c r="C589" s="4" t="inlineStr">
        <is>
          <t>001</t>
        </is>
      </c>
      <c r="D589" s="4" t="inlineStr"/>
      <c r="E589" s="4" t="inlineStr"/>
      <c r="F589" s="4" t="inlineStr">
        <is>
          <t>THLCH</t>
        </is>
      </c>
      <c r="G589" s="4" t="inlineStr">
        <is>
          <t>JPYKK</t>
        </is>
      </c>
      <c r="H589" s="4" t="inlineStr">
        <is>
          <t xml:space="preserve">20'x4 </t>
        </is>
      </c>
      <c r="I589" s="4" t="inlineStr">
        <is>
          <t>LCHY5</t>
        </is>
      </c>
      <c r="J589" s="4" t="inlineStr">
        <is>
          <t>PW DEPOT CO., LTD.</t>
        </is>
      </c>
      <c r="K589" s="4" t="inlineStr">
        <is>
          <t>20260813</t>
        </is>
      </c>
      <c r="L589" s="4" t="inlineStr">
        <is>
          <t>DOW CHEMICAL THAILAND LTD.</t>
        </is>
      </c>
      <c r="M589" s="4" t="inlineStr">
        <is>
          <t>DOW CHEMICAL THAILAND LTD.</t>
        </is>
      </c>
      <c r="N589" s="4" t="inlineStr">
        <is>
          <t>RESIN</t>
        </is>
      </c>
      <c r="O589" s="4" t="inlineStr">
        <is>
          <t>RQST CNTR SEABULK &amp; GRADE A</t>
        </is>
      </c>
      <c r="P589" s="4" t="inlineStr">
        <is>
          <t>CY CNTR DD.13/08/2026 RQST CNTR SEABULK &amp; GRADE A</t>
        </is>
      </c>
      <c r="Q589" s="4" t="n">
        <v>4</v>
      </c>
      <c r="R589" s="4" t="n">
        <v>0</v>
      </c>
      <c r="S589" s="4" t="n">
        <v>0</v>
      </c>
      <c r="T589" s="4" t="n">
        <v>0</v>
      </c>
      <c r="U589" s="4" t="n">
        <v>0</v>
      </c>
      <c r="V589" s="4" t="n">
        <v>0</v>
      </c>
      <c r="W589" s="4" t="n">
        <v>0</v>
      </c>
      <c r="X589" s="4" t="n">
        <v>0</v>
      </c>
      <c r="Y589" s="4" t="n">
        <v>0</v>
      </c>
      <c r="Z589" s="4" t="n">
        <v>0</v>
      </c>
      <c r="AA589" s="4" t="n">
        <v>0</v>
      </c>
      <c r="AB589" s="4">
        <f>SUM(Q589:Y589)-Z589</f>
        <v/>
      </c>
      <c r="AC589" s="4">
        <f>IF(I589="","",IF(OR(LEFT(I589,3)="BKK",I589="LCH55"),"BKK",IF(LEFT(I589,3)="LCH","LCH","OTHER")))</f>
        <v/>
      </c>
      <c r="AD589" s="4">
        <f>MAX(0,Q589-MAX(0,Z589))</f>
        <v/>
      </c>
      <c r="AE589" s="4">
        <f>MAX(0,R589-MAX(0,Z589-SUM(Q589:Q589)))</f>
        <v/>
      </c>
      <c r="AF589" s="4">
        <f>MAX(0,S589-MAX(0,Z589-SUM(Q589:R589)))</f>
        <v/>
      </c>
      <c r="AG589" s="4">
        <f>MAX(0,T589-MAX(0,Z589-SUM(Q589:S589)))</f>
        <v/>
      </c>
      <c r="AH589" s="4">
        <f>MAX(0,U589-MAX(0,Z589-SUM(Q589:T589)))</f>
        <v/>
      </c>
      <c r="AI589" s="4">
        <f>MAX(0,V589-MAX(0,Z589-SUM(Q589:U589)))</f>
        <v/>
      </c>
      <c r="AJ589" s="4">
        <f>MAX(0,W589-MAX(0,Z589-SUM(Q589:V589)))</f>
        <v/>
      </c>
      <c r="AK589" s="4">
        <f>MAX(0,X589-MAX(0,Z589-SUM(Q589:W589)))</f>
        <v/>
      </c>
      <c r="AL589" s="4">
        <f>MAX(0,Y589-MAX(0,Z589-SUM(Q589:X589)))</f>
        <v/>
      </c>
    </row>
    <row r="590">
      <c r="A590" s="4" t="inlineStr">
        <is>
          <t>HASLS22260800403</t>
        </is>
      </c>
      <c r="B590" s="4" t="inlineStr">
        <is>
          <t>KMBK</t>
        </is>
      </c>
      <c r="C590" s="4" t="inlineStr">
        <is>
          <t>2611N</t>
        </is>
      </c>
      <c r="D590" s="4" t="inlineStr">
        <is>
          <t>202610040100</t>
        </is>
      </c>
      <c r="E590" s="4" t="inlineStr"/>
      <c r="F590" s="4" t="inlineStr">
        <is>
          <t>THLCH</t>
        </is>
      </c>
      <c r="G590" s="4" t="inlineStr">
        <is>
          <t>JPAXT</t>
        </is>
      </c>
      <c r="H590" s="4" t="inlineStr">
        <is>
          <t xml:space="preserve">20'x1 </t>
        </is>
      </c>
      <c r="I590" s="4" t="inlineStr">
        <is>
          <t>LCHY5</t>
        </is>
      </c>
      <c r="J590" s="4" t="inlineStr">
        <is>
          <t>PW DEPOT CO., LTD.</t>
        </is>
      </c>
      <c r="K590" s="4" t="inlineStr">
        <is>
          <t>20260928</t>
        </is>
      </c>
      <c r="L590" s="4" t="inlineStr">
        <is>
          <t>ACCORD PILOT LOGISTICS (THAILAND) CO., LTD.</t>
        </is>
      </c>
      <c r="M590" s="4" t="inlineStr">
        <is>
          <t>ALUCON PUBLIC COMPANY LIMITED</t>
        </is>
      </c>
      <c r="N590" s="4" t="inlineStr">
        <is>
          <t>ALUMINIUM SLUG</t>
        </is>
      </c>
      <c r="O590" s="4" t="inlineStr">
        <is>
          <t>GOOD AND CLEAN CONTAINER</t>
        </is>
      </c>
      <c r="P590" s="4" t="inlineStr">
        <is>
          <t>Pickup : 2026-09-28, Return : 2026-09-29 [1ST RTN 30/09/2026 W/O RENT]
**PLS CHECK OPENGATE BEFORE RETURN CNTR**</t>
        </is>
      </c>
      <c r="Q590" s="4" t="n">
        <v>1</v>
      </c>
      <c r="R590" s="4" t="n">
        <v>0</v>
      </c>
      <c r="S590" s="4" t="n">
        <v>0</v>
      </c>
      <c r="T590" s="4" t="n">
        <v>0</v>
      </c>
      <c r="U590" s="4" t="n">
        <v>0</v>
      </c>
      <c r="V590" s="4" t="n">
        <v>0</v>
      </c>
      <c r="W590" s="4" t="n">
        <v>0</v>
      </c>
      <c r="X590" s="4" t="n">
        <v>0</v>
      </c>
      <c r="Y590" s="4" t="n">
        <v>0</v>
      </c>
      <c r="Z590" s="4" t="n">
        <v>0</v>
      </c>
      <c r="AA590" s="4" t="n">
        <v>0</v>
      </c>
      <c r="AB590" s="4">
        <f>SUM(Q590:Y590)-Z590</f>
        <v/>
      </c>
      <c r="AC590" s="4">
        <f>IF(I590="","",IF(OR(LEFT(I590,3)="BKK",I590="LCH55"),"BKK",IF(LEFT(I590,3)="LCH","LCH","OTHER")))</f>
        <v/>
      </c>
      <c r="AD590" s="4">
        <f>MAX(0,Q590-MAX(0,Z590))</f>
        <v/>
      </c>
      <c r="AE590" s="4">
        <f>MAX(0,R590-MAX(0,Z590-SUM(Q590:Q590)))</f>
        <v/>
      </c>
      <c r="AF590" s="4">
        <f>MAX(0,S590-MAX(0,Z590-SUM(Q590:R590)))</f>
        <v/>
      </c>
      <c r="AG590" s="4">
        <f>MAX(0,T590-MAX(0,Z590-SUM(Q590:S590)))</f>
        <v/>
      </c>
      <c r="AH590" s="4">
        <f>MAX(0,U590-MAX(0,Z590-SUM(Q590:T590)))</f>
        <v/>
      </c>
      <c r="AI590" s="4">
        <f>MAX(0,V590-MAX(0,Z590-SUM(Q590:U590)))</f>
        <v/>
      </c>
      <c r="AJ590" s="4">
        <f>MAX(0,W590-MAX(0,Z590-SUM(Q590:V590)))</f>
        <v/>
      </c>
      <c r="AK590" s="4">
        <f>MAX(0,X590-MAX(0,Z590-SUM(Q590:W590)))</f>
        <v/>
      </c>
      <c r="AL590" s="4">
        <f>MAX(0,Y590-MAX(0,Z590-SUM(Q590:X590)))</f>
        <v/>
      </c>
    </row>
    <row r="591">
      <c r="A591" s="4" t="inlineStr">
        <is>
          <t>HASLS22260800514</t>
        </is>
      </c>
      <c r="B591" s="4" t="inlineStr">
        <is>
          <t>KXM</t>
        </is>
      </c>
      <c r="C591" s="4" t="inlineStr">
        <is>
          <t>2608S</t>
        </is>
      </c>
      <c r="D591" s="4" t="inlineStr">
        <is>
          <t>202610100500</t>
        </is>
      </c>
      <c r="E591" s="4" t="inlineStr"/>
      <c r="F591" s="4" t="inlineStr">
        <is>
          <t>THLCH</t>
        </is>
      </c>
      <c r="G591" s="4" t="inlineStr">
        <is>
          <t>IDJKT</t>
        </is>
      </c>
      <c r="H591" s="4" t="inlineStr">
        <is>
          <t xml:space="preserve">20'x1 </t>
        </is>
      </c>
      <c r="I591" s="4" t="inlineStr">
        <is>
          <t>LCHY5</t>
        </is>
      </c>
      <c r="J591" s="4" t="inlineStr">
        <is>
          <t>PW DEPOT CO., LTD.</t>
        </is>
      </c>
      <c r="K591" s="4" t="inlineStr">
        <is>
          <t>20260915</t>
        </is>
      </c>
      <c r="L591" s="4" t="inlineStr">
        <is>
          <t>THAI POLYCARBONATE CO., LTD.</t>
        </is>
      </c>
      <c r="M591" s="4" t="inlineStr">
        <is>
          <t>THAI POLYCARBONATE CO., LTD.</t>
        </is>
      </c>
      <c r="N591" s="4" t="inlineStr">
        <is>
          <t>POLYCARBONATE RESIN , HS CODEIS 3907.40</t>
        </is>
      </c>
      <c r="O591" s="4" t="inlineStr">
        <is>
          <t>,PLEASE PROVIDE GOOD AND CLEAN CONTAINER, NO RUST, NO HOLE, NO SMELL WITH STRONG FLOORBOARD (LOAD BY FORKLIFT) AND BULLET SEAL TO THIS SHIPMENT</t>
        </is>
      </c>
      <c r="P591" s="4" t="inlineStr">
        <is>
          <t>Pickup : 2026-09-15, Return : 2026-09-17</t>
        </is>
      </c>
      <c r="Q591" s="4" t="n">
        <v>1</v>
      </c>
      <c r="R591" s="4" t="n">
        <v>0</v>
      </c>
      <c r="S591" s="4" t="n">
        <v>0</v>
      </c>
      <c r="T591" s="4" t="n">
        <v>0</v>
      </c>
      <c r="U591" s="4" t="n">
        <v>0</v>
      </c>
      <c r="V591" s="4" t="n">
        <v>0</v>
      </c>
      <c r="W591" s="4" t="n">
        <v>0</v>
      </c>
      <c r="X591" s="4" t="n">
        <v>0</v>
      </c>
      <c r="Y591" s="4" t="n">
        <v>0</v>
      </c>
      <c r="Z591" s="4" t="n">
        <v>0</v>
      </c>
      <c r="AA591" s="4" t="n">
        <v>0</v>
      </c>
      <c r="AB591" s="4">
        <f>SUM(Q591:Y591)-Z591</f>
        <v/>
      </c>
      <c r="AC591" s="4">
        <f>IF(I591="","",IF(OR(LEFT(I591,3)="BKK",I591="LCH55"),"BKK",IF(LEFT(I591,3)="LCH","LCH","OTHER")))</f>
        <v/>
      </c>
      <c r="AD591" s="4">
        <f>MAX(0,Q591-MAX(0,Z591))</f>
        <v/>
      </c>
      <c r="AE591" s="4">
        <f>MAX(0,R591-MAX(0,Z591-SUM(Q591:Q591)))</f>
        <v/>
      </c>
      <c r="AF591" s="4">
        <f>MAX(0,S591-MAX(0,Z591-SUM(Q591:R591)))</f>
        <v/>
      </c>
      <c r="AG591" s="4">
        <f>MAX(0,T591-MAX(0,Z591-SUM(Q591:S591)))</f>
        <v/>
      </c>
      <c r="AH591" s="4">
        <f>MAX(0,U591-MAX(0,Z591-SUM(Q591:T591)))</f>
        <v/>
      </c>
      <c r="AI591" s="4">
        <f>MAX(0,V591-MAX(0,Z591-SUM(Q591:U591)))</f>
        <v/>
      </c>
      <c r="AJ591" s="4">
        <f>MAX(0,W591-MAX(0,Z591-SUM(Q591:V591)))</f>
        <v/>
      </c>
      <c r="AK591" s="4">
        <f>MAX(0,X591-MAX(0,Z591-SUM(Q591:W591)))</f>
        <v/>
      </c>
      <c r="AL591" s="4">
        <f>MAX(0,Y591-MAX(0,Z591-SUM(Q591:X591)))</f>
        <v/>
      </c>
    </row>
    <row r="592">
      <c r="A592" s="4" t="inlineStr">
        <is>
          <t>HASLS22260800583</t>
        </is>
      </c>
      <c r="B592" s="4" t="inlineStr">
        <is>
          <t>SWAT</t>
        </is>
      </c>
      <c r="C592" s="4" t="inlineStr">
        <is>
          <t>2610N</t>
        </is>
      </c>
      <c r="D592" s="4" t="inlineStr">
        <is>
          <t>202610081000</t>
        </is>
      </c>
      <c r="E592" s="4" t="inlineStr"/>
      <c r="F592" s="4" t="inlineStr">
        <is>
          <t>THLCH</t>
        </is>
      </c>
      <c r="G592" s="4" t="inlineStr">
        <is>
          <t>KRPUS</t>
        </is>
      </c>
      <c r="H592" s="4" t="inlineStr">
        <is>
          <t xml:space="preserve">40Hx1 </t>
        </is>
      </c>
      <c r="I592" s="4" t="inlineStr">
        <is>
          <t>LCHY5</t>
        </is>
      </c>
      <c r="J592" s="4" t="inlineStr">
        <is>
          <t>PW DEPOT CO., LTD.</t>
        </is>
      </c>
      <c r="K592" s="4" t="inlineStr">
        <is>
          <t>20261005</t>
        </is>
      </c>
      <c r="L592" s="4" t="inlineStr">
        <is>
          <t>TRUE MARINE CO., LTD.</t>
        </is>
      </c>
      <c r="M592" s="4" t="inlineStr">
        <is>
          <t>INOAC (THAILAND) CO., LTD.</t>
        </is>
      </c>
      <c r="N592" s="4" t="inlineStr">
        <is>
          <t>POLYURETHANE FOAM</t>
        </is>
      </c>
      <c r="O592" s="4" t="inlineStr">
        <is>
          <t>**REQUEST GOOD AND CLEAN CONTAINER</t>
        </is>
      </c>
      <c r="P592" s="4" t="inlineStr">
        <is>
          <t>Pickup : 2026-10-05, Return : 2026-10-05</t>
        </is>
      </c>
      <c r="Q592" s="4" t="n">
        <v>0</v>
      </c>
      <c r="R592" s="4" t="n">
        <v>0</v>
      </c>
      <c r="S592" s="4" t="n">
        <v>1</v>
      </c>
      <c r="T592" s="4" t="n">
        <v>0</v>
      </c>
      <c r="U592" s="4" t="n">
        <v>0</v>
      </c>
      <c r="V592" s="4" t="n">
        <v>0</v>
      </c>
      <c r="W592" s="4" t="n">
        <v>0</v>
      </c>
      <c r="X592" s="4" t="n">
        <v>0</v>
      </c>
      <c r="Y592" s="4" t="n">
        <v>0</v>
      </c>
      <c r="Z592" s="4" t="n">
        <v>0</v>
      </c>
      <c r="AA592" s="4" t="n">
        <v>0</v>
      </c>
      <c r="AB592" s="4">
        <f>SUM(Q592:Y592)-Z592</f>
        <v/>
      </c>
      <c r="AC592" s="4">
        <f>IF(I592="","",IF(OR(LEFT(I592,3)="BKK",I592="LCH55"),"BKK",IF(LEFT(I592,3)="LCH","LCH","OTHER")))</f>
        <v/>
      </c>
      <c r="AD592" s="4">
        <f>MAX(0,Q592-MAX(0,Z592))</f>
        <v/>
      </c>
      <c r="AE592" s="4">
        <f>MAX(0,R592-MAX(0,Z592-SUM(Q592:Q592)))</f>
        <v/>
      </c>
      <c r="AF592" s="4">
        <f>MAX(0,S592-MAX(0,Z592-SUM(Q592:R592)))</f>
        <v/>
      </c>
      <c r="AG592" s="4">
        <f>MAX(0,T592-MAX(0,Z592-SUM(Q592:S592)))</f>
        <v/>
      </c>
      <c r="AH592" s="4">
        <f>MAX(0,U592-MAX(0,Z592-SUM(Q592:T592)))</f>
        <v/>
      </c>
      <c r="AI592" s="4">
        <f>MAX(0,V592-MAX(0,Z592-SUM(Q592:U592)))</f>
        <v/>
      </c>
      <c r="AJ592" s="4">
        <f>MAX(0,W592-MAX(0,Z592-SUM(Q592:V592)))</f>
        <v/>
      </c>
      <c r="AK592" s="4">
        <f>MAX(0,X592-MAX(0,Z592-SUM(Q592:W592)))</f>
        <v/>
      </c>
      <c r="AL592" s="4">
        <f>MAX(0,Y592-MAX(0,Z592-SUM(Q592:X592)))</f>
        <v/>
      </c>
    </row>
    <row r="593">
      <c r="A593" s="4" t="inlineStr">
        <is>
          <t>HASLS22260800584</t>
        </is>
      </c>
      <c r="B593" s="4" t="inlineStr">
        <is>
          <t>SWRG</t>
        </is>
      </c>
      <c r="C593" s="4" t="inlineStr">
        <is>
          <t>2609N</t>
        </is>
      </c>
      <c r="D593" s="4" t="inlineStr">
        <is>
          <t>202610131130</t>
        </is>
      </c>
      <c r="E593" s="4" t="inlineStr"/>
      <c r="F593" s="4" t="inlineStr">
        <is>
          <t>THLCH</t>
        </is>
      </c>
      <c r="G593" s="4" t="inlineStr">
        <is>
          <t>KRPUS</t>
        </is>
      </c>
      <c r="H593" s="4" t="inlineStr">
        <is>
          <t xml:space="preserve">40Hx1 </t>
        </is>
      </c>
      <c r="I593" s="4" t="inlineStr">
        <is>
          <t>LCHY5</t>
        </is>
      </c>
      <c r="J593" s="4" t="inlineStr">
        <is>
          <t>PW DEPOT CO., LTD.</t>
        </is>
      </c>
      <c r="K593" s="4" t="inlineStr">
        <is>
          <t>20261009</t>
        </is>
      </c>
      <c r="L593" s="4" t="inlineStr">
        <is>
          <t>TRUE MARINE CO., LTD.</t>
        </is>
      </c>
      <c r="M593" s="4" t="inlineStr">
        <is>
          <t>INOAC (THAILAND) CO., LTD.</t>
        </is>
      </c>
      <c r="N593" s="4" t="inlineStr">
        <is>
          <t>POLYURETHANE FOAM</t>
        </is>
      </c>
      <c r="O593" s="4" t="inlineStr">
        <is>
          <t>**REQUEST GOOD AND CLEAN CONTAINER*</t>
        </is>
      </c>
      <c r="P593" s="4" t="inlineStr">
        <is>
          <t>Pickup : 2026-10-09, Return : 2026-10-09</t>
        </is>
      </c>
      <c r="Q593" s="4" t="n">
        <v>0</v>
      </c>
      <c r="R593" s="4" t="n">
        <v>0</v>
      </c>
      <c r="S593" s="4" t="n">
        <v>1</v>
      </c>
      <c r="T593" s="4" t="n">
        <v>0</v>
      </c>
      <c r="U593" s="4" t="n">
        <v>0</v>
      </c>
      <c r="V593" s="4" t="n">
        <v>0</v>
      </c>
      <c r="W593" s="4" t="n">
        <v>0</v>
      </c>
      <c r="X593" s="4" t="n">
        <v>0</v>
      </c>
      <c r="Y593" s="4" t="n">
        <v>0</v>
      </c>
      <c r="Z593" s="4" t="n">
        <v>0</v>
      </c>
      <c r="AA593" s="4" t="n">
        <v>0</v>
      </c>
      <c r="AB593" s="4">
        <f>SUM(Q593:Y593)-Z593</f>
        <v/>
      </c>
      <c r="AC593" s="4">
        <f>IF(I593="","",IF(OR(LEFT(I593,3)="BKK",I593="LCH55"),"BKK",IF(LEFT(I593,3)="LCH","LCH","OTHER")))</f>
        <v/>
      </c>
      <c r="AD593" s="4">
        <f>MAX(0,Q593-MAX(0,Z593))</f>
        <v/>
      </c>
      <c r="AE593" s="4">
        <f>MAX(0,R593-MAX(0,Z593-SUM(Q593:Q593)))</f>
        <v/>
      </c>
      <c r="AF593" s="4">
        <f>MAX(0,S593-MAX(0,Z593-SUM(Q593:R593)))</f>
        <v/>
      </c>
      <c r="AG593" s="4">
        <f>MAX(0,T593-MAX(0,Z593-SUM(Q593:S593)))</f>
        <v/>
      </c>
      <c r="AH593" s="4">
        <f>MAX(0,U593-MAX(0,Z593-SUM(Q593:T593)))</f>
        <v/>
      </c>
      <c r="AI593" s="4">
        <f>MAX(0,V593-MAX(0,Z593-SUM(Q593:U593)))</f>
        <v/>
      </c>
      <c r="AJ593" s="4">
        <f>MAX(0,W593-MAX(0,Z593-SUM(Q593:V593)))</f>
        <v/>
      </c>
      <c r="AK593" s="4">
        <f>MAX(0,X593-MAX(0,Z593-SUM(Q593:W593)))</f>
        <v/>
      </c>
      <c r="AL593" s="4">
        <f>MAX(0,Y593-MAX(0,Z593-SUM(Q593:X593)))</f>
        <v/>
      </c>
    </row>
    <row r="594">
      <c r="A594" s="4" t="inlineStr">
        <is>
          <t>HASLS22260800651</t>
        </is>
      </c>
      <c r="B594" s="4" t="inlineStr">
        <is>
          <t>KMTP</t>
        </is>
      </c>
      <c r="C594" s="4" t="inlineStr">
        <is>
          <t>2612N</t>
        </is>
      </c>
      <c r="D594" s="4" t="inlineStr">
        <is>
          <t>202610122200</t>
        </is>
      </c>
      <c r="E594" s="4" t="inlineStr"/>
      <c r="F594" s="4" t="inlineStr">
        <is>
          <t>THLCH</t>
        </is>
      </c>
      <c r="G594" s="4" t="inlineStr">
        <is>
          <t>HKHKG</t>
        </is>
      </c>
      <c r="H594" s="4" t="inlineStr">
        <is>
          <t xml:space="preserve">40Hx1 </t>
        </is>
      </c>
      <c r="I594" s="4" t="inlineStr">
        <is>
          <t>LCHY5</t>
        </is>
      </c>
      <c r="J594" s="4" t="inlineStr">
        <is>
          <t>PW DEPOT CO., LTD.</t>
        </is>
      </c>
      <c r="K594" s="4" t="inlineStr">
        <is>
          <t>20261009</t>
        </is>
      </c>
      <c r="L594" s="4" t="inlineStr">
        <is>
          <t>NIPPON EXPRESS LOGISTICS (THAILAND) CO., LTD.</t>
        </is>
      </c>
      <c r="M594" s="4" t="inlineStr">
        <is>
          <t>STERIS TOMOE (THAILAND) LTD.</t>
        </is>
      </c>
      <c r="N594" s="4" t="inlineStr">
        <is>
          <t>OTHER INSTRUMENTS IN MEDICAL, SURGICAL,</t>
        </is>
      </c>
      <c r="O594" s="4" t="inlineStr">
        <is>
          <t>REQUEST CONTAINER GRADE A</t>
        </is>
      </c>
      <c r="P594" s="4" t="inlineStr">
        <is>
          <t>Pickup : 2026-10-09, Return : 2026-10-09
**CHECK OPENGATE BEFORE RETURN CNTR**</t>
        </is>
      </c>
      <c r="Q594" s="4" t="n">
        <v>0</v>
      </c>
      <c r="R594" s="4" t="n">
        <v>0</v>
      </c>
      <c r="S594" s="4" t="n">
        <v>1</v>
      </c>
      <c r="T594" s="4" t="n">
        <v>0</v>
      </c>
      <c r="U594" s="4" t="n">
        <v>0</v>
      </c>
      <c r="V594" s="4" t="n">
        <v>0</v>
      </c>
      <c r="W594" s="4" t="n">
        <v>0</v>
      </c>
      <c r="X594" s="4" t="n">
        <v>0</v>
      </c>
      <c r="Y594" s="4" t="n">
        <v>0</v>
      </c>
      <c r="Z594" s="4" t="n">
        <v>0</v>
      </c>
      <c r="AA594" s="4" t="n">
        <v>0</v>
      </c>
      <c r="AB594" s="4">
        <f>SUM(Q594:Y594)-Z594</f>
        <v/>
      </c>
      <c r="AC594" s="4">
        <f>IF(I594="","",IF(OR(LEFT(I594,3)="BKK",I594="LCH55"),"BKK",IF(LEFT(I594,3)="LCH","LCH","OTHER")))</f>
        <v/>
      </c>
      <c r="AD594" s="4">
        <f>MAX(0,Q594-MAX(0,Z594))</f>
        <v/>
      </c>
      <c r="AE594" s="4">
        <f>MAX(0,R594-MAX(0,Z594-SUM(Q594:Q594)))</f>
        <v/>
      </c>
      <c r="AF594" s="4">
        <f>MAX(0,S594-MAX(0,Z594-SUM(Q594:R594)))</f>
        <v/>
      </c>
      <c r="AG594" s="4">
        <f>MAX(0,T594-MAX(0,Z594-SUM(Q594:S594)))</f>
        <v/>
      </c>
      <c r="AH594" s="4">
        <f>MAX(0,U594-MAX(0,Z594-SUM(Q594:T594)))</f>
        <v/>
      </c>
      <c r="AI594" s="4">
        <f>MAX(0,V594-MAX(0,Z594-SUM(Q594:U594)))</f>
        <v/>
      </c>
      <c r="AJ594" s="4">
        <f>MAX(0,W594-MAX(0,Z594-SUM(Q594:V594)))</f>
        <v/>
      </c>
      <c r="AK594" s="4">
        <f>MAX(0,X594-MAX(0,Z594-SUM(Q594:W594)))</f>
        <v/>
      </c>
      <c r="AL594" s="4">
        <f>MAX(0,Y594-MAX(0,Z594-SUM(Q594:X594)))</f>
        <v/>
      </c>
    </row>
    <row r="595">
      <c r="A595" s="4" t="inlineStr">
        <is>
          <t>HASLS22260800677</t>
        </is>
      </c>
      <c r="B595" s="4" t="inlineStr">
        <is>
          <t>SWAT</t>
        </is>
      </c>
      <c r="C595" s="4" t="inlineStr">
        <is>
          <t>2610N</t>
        </is>
      </c>
      <c r="D595" s="4" t="inlineStr">
        <is>
          <t>202610081000</t>
        </is>
      </c>
      <c r="E595" s="4" t="inlineStr"/>
      <c r="F595" s="4" t="inlineStr">
        <is>
          <t>THLCH</t>
        </is>
      </c>
      <c r="G595" s="4" t="inlineStr">
        <is>
          <t>HKHKG</t>
        </is>
      </c>
      <c r="H595" s="4" t="inlineStr">
        <is>
          <t xml:space="preserve">20'x1 </t>
        </is>
      </c>
      <c r="I595" s="4" t="inlineStr">
        <is>
          <t>LCHY5</t>
        </is>
      </c>
      <c r="J595" s="4" t="inlineStr">
        <is>
          <t>PW DEPOT CO., LTD.</t>
        </is>
      </c>
      <c r="K595" s="4" t="inlineStr">
        <is>
          <t>20261003</t>
        </is>
      </c>
      <c r="L595" s="4" t="inlineStr">
        <is>
          <t>CARGO CARE LOGISTICS CO., LTD.</t>
        </is>
      </c>
      <c r="M595" s="4" t="inlineStr">
        <is>
          <t>SIAM DEL MONTE CO., LTD.</t>
        </is>
      </c>
      <c r="N595" s="4" t="inlineStr">
        <is>
          <t>SWEET CORN</t>
        </is>
      </c>
      <c r="O595" s="4" t="inlineStr">
        <is>
          <t>Good and Clean Container (Food Grade)
(No leaks, no odors, and no oil stains.)</t>
        </is>
      </c>
      <c r="P595" s="4" t="inlineStr">
        <is>
          <t xml:space="preserve">Pickup : 2026-10-03, Return : 2026-10-05
** PLEASE CHECK OPEN GATE BEFORE RETURN CONTAINER ** </t>
        </is>
      </c>
      <c r="Q595" s="4" t="n">
        <v>1</v>
      </c>
      <c r="R595" s="4" t="n">
        <v>0</v>
      </c>
      <c r="S595" s="4" t="n">
        <v>0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>
        <f>SUM(Q595:Y595)-Z595</f>
        <v/>
      </c>
      <c r="AC595" s="4">
        <f>IF(I595="","",IF(OR(LEFT(I595,3)="BKK",I595="LCH55"),"BKK",IF(LEFT(I595,3)="LCH","LCH","OTHER")))</f>
        <v/>
      </c>
      <c r="AD595" s="4">
        <f>MAX(0,Q595-MAX(0,Z595))</f>
        <v/>
      </c>
      <c r="AE595" s="4">
        <f>MAX(0,R595-MAX(0,Z595-SUM(Q595:Q595)))</f>
        <v/>
      </c>
      <c r="AF595" s="4">
        <f>MAX(0,S595-MAX(0,Z595-SUM(Q595:R595)))</f>
        <v/>
      </c>
      <c r="AG595" s="4">
        <f>MAX(0,T595-MAX(0,Z595-SUM(Q595:S595)))</f>
        <v/>
      </c>
      <c r="AH595" s="4">
        <f>MAX(0,U595-MAX(0,Z595-SUM(Q595:T595)))</f>
        <v/>
      </c>
      <c r="AI595" s="4">
        <f>MAX(0,V595-MAX(0,Z595-SUM(Q595:U595)))</f>
        <v/>
      </c>
      <c r="AJ595" s="4">
        <f>MAX(0,W595-MAX(0,Z595-SUM(Q595:V595)))</f>
        <v/>
      </c>
      <c r="AK595" s="4">
        <f>MAX(0,X595-MAX(0,Z595-SUM(Q595:W595)))</f>
        <v/>
      </c>
      <c r="AL595" s="4">
        <f>MAX(0,Y595-MAX(0,Z595-SUM(Q595:X595)))</f>
        <v/>
      </c>
    </row>
    <row r="596">
      <c r="A596" s="4" t="inlineStr">
        <is>
          <t>HASLS22260800955</t>
        </is>
      </c>
      <c r="B596" s="4" t="inlineStr">
        <is>
          <t>KUS</t>
        </is>
      </c>
      <c r="C596" s="4" t="inlineStr">
        <is>
          <t>2616N</t>
        </is>
      </c>
      <c r="D596" s="4" t="inlineStr">
        <is>
          <t>202610150400</t>
        </is>
      </c>
      <c r="E596" s="4" t="inlineStr"/>
      <c r="F596" s="4" t="inlineStr">
        <is>
          <t>THLCH</t>
        </is>
      </c>
      <c r="G596" s="4" t="inlineStr">
        <is>
          <t>VNSGN</t>
        </is>
      </c>
      <c r="H596" s="4" t="inlineStr">
        <is>
          <t xml:space="preserve">20'x6 </t>
        </is>
      </c>
      <c r="I596" s="4" t="inlineStr">
        <is>
          <t>LCHY5</t>
        </is>
      </c>
      <c r="J596" s="4" t="inlineStr">
        <is>
          <t>PW DEPOT CO., LTD.</t>
        </is>
      </c>
      <c r="K596" s="4" t="inlineStr">
        <is>
          <t>20261002</t>
        </is>
      </c>
      <c r="L596" s="4" t="inlineStr">
        <is>
          <t>WHA GC LOGISTICS COMPANY LIMITED</t>
        </is>
      </c>
      <c r="M596" s="4" t="inlineStr">
        <is>
          <t>PTT GLOBAL CHEMICAL PUBLIC COMPANY LIMITED</t>
        </is>
      </c>
      <c r="N596" s="4" t="inlineStr">
        <is>
          <t>RESIN</t>
        </is>
      </c>
      <c r="O596" s="4" t="inlineStr">
        <is>
          <t>*** REQ. GOOD &amp; CLEAN  CONT. .( NO SMELL)  ***</t>
        </is>
      </c>
      <c r="P596" s="4" t="inlineStr">
        <is>
          <t>CY-RTN : 02-09/10/2026</t>
        </is>
      </c>
      <c r="Q596" s="4" t="n">
        <v>6</v>
      </c>
      <c r="R596" s="4" t="n">
        <v>0</v>
      </c>
      <c r="S596" s="4" t="n">
        <v>0</v>
      </c>
      <c r="T596" s="4" t="n">
        <v>0</v>
      </c>
      <c r="U596" s="4" t="n">
        <v>0</v>
      </c>
      <c r="V596" s="4" t="n">
        <v>0</v>
      </c>
      <c r="W596" s="4" t="n">
        <v>0</v>
      </c>
      <c r="X596" s="4" t="n">
        <v>0</v>
      </c>
      <c r="Y596" s="4" t="n">
        <v>0</v>
      </c>
      <c r="Z596" s="4" t="n">
        <v>0</v>
      </c>
      <c r="AA596" s="4" t="n">
        <v>0</v>
      </c>
      <c r="AB596" s="4">
        <f>SUM(Q596:Y596)-Z596</f>
        <v/>
      </c>
      <c r="AC596" s="4">
        <f>IF(I596="","",IF(OR(LEFT(I596,3)="BKK",I596="LCH55"),"BKK",IF(LEFT(I596,3)="LCH","LCH","OTHER")))</f>
        <v/>
      </c>
      <c r="AD596" s="4">
        <f>MAX(0,Q596-MAX(0,Z596))</f>
        <v/>
      </c>
      <c r="AE596" s="4">
        <f>MAX(0,R596-MAX(0,Z596-SUM(Q596:Q596)))</f>
        <v/>
      </c>
      <c r="AF596" s="4">
        <f>MAX(0,S596-MAX(0,Z596-SUM(Q596:R596)))</f>
        <v/>
      </c>
      <c r="AG596" s="4">
        <f>MAX(0,T596-MAX(0,Z596-SUM(Q596:S596)))</f>
        <v/>
      </c>
      <c r="AH596" s="4">
        <f>MAX(0,U596-MAX(0,Z596-SUM(Q596:T596)))</f>
        <v/>
      </c>
      <c r="AI596" s="4">
        <f>MAX(0,V596-MAX(0,Z596-SUM(Q596:U596)))</f>
        <v/>
      </c>
      <c r="AJ596" s="4">
        <f>MAX(0,W596-MAX(0,Z596-SUM(Q596:V596)))</f>
        <v/>
      </c>
      <c r="AK596" s="4">
        <f>MAX(0,X596-MAX(0,Z596-SUM(Q596:W596)))</f>
        <v/>
      </c>
      <c r="AL596" s="4">
        <f>MAX(0,Y596-MAX(0,Z596-SUM(Q596:X596)))</f>
        <v/>
      </c>
    </row>
    <row r="597">
      <c r="A597" s="4" t="inlineStr">
        <is>
          <t>HASLS22260800964</t>
        </is>
      </c>
      <c r="B597" s="4" t="inlineStr">
        <is>
          <t>SWSP</t>
        </is>
      </c>
      <c r="C597" s="4" t="inlineStr">
        <is>
          <t>2609N</t>
        </is>
      </c>
      <c r="D597" s="4" t="inlineStr">
        <is>
          <t>202610080830</t>
        </is>
      </c>
      <c r="E597" s="4" t="inlineStr"/>
      <c r="F597" s="4" t="inlineStr">
        <is>
          <t>THLCH</t>
        </is>
      </c>
      <c r="G597" s="4" t="inlineStr">
        <is>
          <t>VNSGN</t>
        </is>
      </c>
      <c r="H597" s="4" t="inlineStr">
        <is>
          <t xml:space="preserve">40Hx10 </t>
        </is>
      </c>
      <c r="I597" s="4" t="inlineStr">
        <is>
          <t>LCHY5</t>
        </is>
      </c>
      <c r="J597" s="4" t="inlineStr">
        <is>
          <t>PW DEPOT CO., LTD.</t>
        </is>
      </c>
      <c r="K597" s="4" t="inlineStr">
        <is>
          <t>20260925</t>
        </is>
      </c>
      <c r="L597" s="4" t="inlineStr">
        <is>
          <t>WHA GC LOGISTICS COMPANY LIMITED</t>
        </is>
      </c>
      <c r="M597" s="4" t="inlineStr">
        <is>
          <t>PTT GLOBAL CHEMICAL PUBLIC COMPANY LIMITED</t>
        </is>
      </c>
      <c r="N597" s="4" t="inlineStr">
        <is>
          <t>RESIN</t>
        </is>
      </c>
      <c r="O597" s="4" t="inlineStr">
        <is>
          <t>*** REQ. GOOD &amp; CLEAN  CONT. .( NO SMELL)  ***</t>
        </is>
      </c>
      <c r="P597" s="4" t="inlineStr">
        <is>
          <t>CY 25/09/26 , RTN 29/09/26 (PR2610003238)
*PLS CHECK OPEN GATE BEFORE RETURN CTNR*</t>
        </is>
      </c>
      <c r="Q597" s="4" t="n">
        <v>0</v>
      </c>
      <c r="R597" s="4" t="n">
        <v>0</v>
      </c>
      <c r="S597" s="4" t="n">
        <v>10</v>
      </c>
      <c r="T597" s="4" t="n">
        <v>0</v>
      </c>
      <c r="U597" s="4" t="n">
        <v>0</v>
      </c>
      <c r="V597" s="4" t="n">
        <v>0</v>
      </c>
      <c r="W597" s="4" t="n">
        <v>0</v>
      </c>
      <c r="X597" s="4" t="n">
        <v>0</v>
      </c>
      <c r="Y597" s="4" t="n">
        <v>0</v>
      </c>
      <c r="Z597" s="4" t="n">
        <v>0</v>
      </c>
      <c r="AA597" s="4" t="n">
        <v>0</v>
      </c>
      <c r="AB597" s="4">
        <f>SUM(Q597:Y597)-Z597</f>
        <v/>
      </c>
      <c r="AC597" s="4">
        <f>IF(I597="","",IF(OR(LEFT(I597,3)="BKK",I597="LCH55"),"BKK",IF(LEFT(I597,3)="LCH","LCH","OTHER")))</f>
        <v/>
      </c>
      <c r="AD597" s="4">
        <f>MAX(0,Q597-MAX(0,Z597))</f>
        <v/>
      </c>
      <c r="AE597" s="4">
        <f>MAX(0,R597-MAX(0,Z597-SUM(Q597:Q597)))</f>
        <v/>
      </c>
      <c r="AF597" s="4">
        <f>MAX(0,S597-MAX(0,Z597-SUM(Q597:R597)))</f>
        <v/>
      </c>
      <c r="AG597" s="4">
        <f>MAX(0,T597-MAX(0,Z597-SUM(Q597:S597)))</f>
        <v/>
      </c>
      <c r="AH597" s="4">
        <f>MAX(0,U597-MAX(0,Z597-SUM(Q597:T597)))</f>
        <v/>
      </c>
      <c r="AI597" s="4">
        <f>MAX(0,V597-MAX(0,Z597-SUM(Q597:U597)))</f>
        <v/>
      </c>
      <c r="AJ597" s="4">
        <f>MAX(0,W597-MAX(0,Z597-SUM(Q597:V597)))</f>
        <v/>
      </c>
      <c r="AK597" s="4">
        <f>MAX(0,X597-MAX(0,Z597-SUM(Q597:W597)))</f>
        <v/>
      </c>
      <c r="AL597" s="4">
        <f>MAX(0,Y597-MAX(0,Z597-SUM(Q597:X597)))</f>
        <v/>
      </c>
    </row>
    <row r="598">
      <c r="A598" s="4" t="inlineStr">
        <is>
          <t>HASLS22260800966</t>
        </is>
      </c>
      <c r="B598" s="4" t="inlineStr">
        <is>
          <t>PGPO</t>
        </is>
      </c>
      <c r="C598" s="4" t="inlineStr">
        <is>
          <t>2612N</t>
        </is>
      </c>
      <c r="D598" s="4" t="inlineStr">
        <is>
          <t>202610151200</t>
        </is>
      </c>
      <c r="E598" s="4" t="inlineStr"/>
      <c r="F598" s="4" t="inlineStr">
        <is>
          <t>THLCH</t>
        </is>
      </c>
      <c r="G598" s="4" t="inlineStr">
        <is>
          <t>VNSGN</t>
        </is>
      </c>
      <c r="H598" s="4" t="inlineStr">
        <is>
          <t xml:space="preserve">40Hx10 </t>
        </is>
      </c>
      <c r="I598" s="4" t="inlineStr">
        <is>
          <t>LCHY5</t>
        </is>
      </c>
      <c r="J598" s="4" t="inlineStr">
        <is>
          <t>PW DEPOT CO., LTD.</t>
        </is>
      </c>
      <c r="K598" s="4" t="inlineStr">
        <is>
          <t>20261002</t>
        </is>
      </c>
      <c r="L598" s="4" t="inlineStr">
        <is>
          <t>WHA GC LOGISTICS COMPANY LIMITED</t>
        </is>
      </c>
      <c r="M598" s="4" t="inlineStr">
        <is>
          <t>PTT GLOBAL CHEMICAL PUBLIC COMPANY LIMITED</t>
        </is>
      </c>
      <c r="N598" s="4" t="inlineStr">
        <is>
          <t>RESIN</t>
        </is>
      </c>
      <c r="O598" s="4" t="inlineStr">
        <is>
          <t>*** REQ. GOOD &amp; CLEAN  CONT. .( NO SMELL)  ***</t>
        </is>
      </c>
      <c r="P598" s="4" t="inlineStr">
        <is>
          <t>CY 02/10/26 , RTN 08/10/26
*PLS CHECK OPEN GATE BEFOER RETURN CTNR*</t>
        </is>
      </c>
      <c r="Q598" s="4" t="n">
        <v>0</v>
      </c>
      <c r="R598" s="4" t="n">
        <v>0</v>
      </c>
      <c r="S598" s="4" t="n">
        <v>10</v>
      </c>
      <c r="T598" s="4" t="n">
        <v>0</v>
      </c>
      <c r="U598" s="4" t="n">
        <v>0</v>
      </c>
      <c r="V598" s="4" t="n">
        <v>0</v>
      </c>
      <c r="W598" s="4" t="n">
        <v>0</v>
      </c>
      <c r="X598" s="4" t="n">
        <v>0</v>
      </c>
      <c r="Y598" s="4" t="n">
        <v>0</v>
      </c>
      <c r="Z598" s="4" t="n">
        <v>0</v>
      </c>
      <c r="AA598" s="4" t="n">
        <v>0</v>
      </c>
      <c r="AB598" s="4">
        <f>SUM(Q598:Y598)-Z598</f>
        <v/>
      </c>
      <c r="AC598" s="4">
        <f>IF(I598="","",IF(OR(LEFT(I598,3)="BKK",I598="LCH55"),"BKK",IF(LEFT(I598,3)="LCH","LCH","OTHER")))</f>
        <v/>
      </c>
      <c r="AD598" s="4">
        <f>MAX(0,Q598-MAX(0,Z598))</f>
        <v/>
      </c>
      <c r="AE598" s="4">
        <f>MAX(0,R598-MAX(0,Z598-SUM(Q598:Q598)))</f>
        <v/>
      </c>
      <c r="AF598" s="4">
        <f>MAX(0,S598-MAX(0,Z598-SUM(Q598:R598)))</f>
        <v/>
      </c>
      <c r="AG598" s="4">
        <f>MAX(0,T598-MAX(0,Z598-SUM(Q598:S598)))</f>
        <v/>
      </c>
      <c r="AH598" s="4">
        <f>MAX(0,U598-MAX(0,Z598-SUM(Q598:T598)))</f>
        <v/>
      </c>
      <c r="AI598" s="4">
        <f>MAX(0,V598-MAX(0,Z598-SUM(Q598:U598)))</f>
        <v/>
      </c>
      <c r="AJ598" s="4">
        <f>MAX(0,W598-MAX(0,Z598-SUM(Q598:V598)))</f>
        <v/>
      </c>
      <c r="AK598" s="4">
        <f>MAX(0,X598-MAX(0,Z598-SUM(Q598:W598)))</f>
        <v/>
      </c>
      <c r="AL598" s="4">
        <f>MAX(0,Y598-MAX(0,Z598-SUM(Q598:X598)))</f>
        <v/>
      </c>
    </row>
    <row r="599">
      <c r="A599" s="4" t="inlineStr">
        <is>
          <t>HASLS22260800970</t>
        </is>
      </c>
      <c r="B599" s="4" t="inlineStr">
        <is>
          <t>SWIC</t>
        </is>
      </c>
      <c r="C599" s="4" t="inlineStr">
        <is>
          <t>2611N</t>
        </is>
      </c>
      <c r="D599" s="4" t="inlineStr">
        <is>
          <t>202610132300</t>
        </is>
      </c>
      <c r="E599" s="4" t="inlineStr"/>
      <c r="F599" s="4" t="inlineStr">
        <is>
          <t>THLCH</t>
        </is>
      </c>
      <c r="G599" s="4" t="inlineStr">
        <is>
          <t>VNSGN</t>
        </is>
      </c>
      <c r="H599" s="4" t="inlineStr">
        <is>
          <t xml:space="preserve">40Hx9 </t>
        </is>
      </c>
      <c r="I599" s="4" t="inlineStr">
        <is>
          <t>LCHY5</t>
        </is>
      </c>
      <c r="J599" s="4" t="inlineStr">
        <is>
          <t>PW DEPOT CO., LTD.</t>
        </is>
      </c>
      <c r="K599" s="4" t="inlineStr">
        <is>
          <t>20261002</t>
        </is>
      </c>
      <c r="L599" s="4" t="inlineStr">
        <is>
          <t>WHA GC LOGISTICS COMPANY LIMITED</t>
        </is>
      </c>
      <c r="M599" s="4" t="inlineStr">
        <is>
          <t>PTT GLOBAL CHEMICAL PUBLIC COMPANY LIMITED</t>
        </is>
      </c>
      <c r="N599" s="4" t="inlineStr">
        <is>
          <t>RESIN</t>
        </is>
      </c>
      <c r="O599" s="4" t="inlineStr">
        <is>
          <t>*** REQ. GOOD &amp; CLEAN  CONT. .( NO SMELL)  ***</t>
        </is>
      </c>
      <c r="P599" s="4" t="inlineStr">
        <is>
          <t xml:space="preserve">CY : 02/10/26 , RTN : 04/10/26 [1ST RTN 08/10/2026 W/O RENT]
** PLEASE CHECK OPEN GATE BEFORE RETURN CONTAINER ** 
</t>
        </is>
      </c>
      <c r="Q599" s="4" t="n">
        <v>0</v>
      </c>
      <c r="R599" s="4" t="n">
        <v>0</v>
      </c>
      <c r="S599" s="4" t="n">
        <v>9</v>
      </c>
      <c r="T599" s="4" t="n">
        <v>0</v>
      </c>
      <c r="U599" s="4" t="n">
        <v>0</v>
      </c>
      <c r="V599" s="4" t="n">
        <v>0</v>
      </c>
      <c r="W599" s="4" t="n">
        <v>0</v>
      </c>
      <c r="X599" s="4" t="n">
        <v>0</v>
      </c>
      <c r="Y599" s="4" t="n">
        <v>0</v>
      </c>
      <c r="Z599" s="4" t="n">
        <v>0</v>
      </c>
      <c r="AA599" s="4" t="n">
        <v>0</v>
      </c>
      <c r="AB599" s="4">
        <f>SUM(Q599:Y599)-Z599</f>
        <v/>
      </c>
      <c r="AC599" s="4">
        <f>IF(I599="","",IF(OR(LEFT(I599,3)="BKK",I599="LCH55"),"BKK",IF(LEFT(I599,3)="LCH","LCH","OTHER")))</f>
        <v/>
      </c>
      <c r="AD599" s="4">
        <f>MAX(0,Q599-MAX(0,Z599))</f>
        <v/>
      </c>
      <c r="AE599" s="4">
        <f>MAX(0,R599-MAX(0,Z599-SUM(Q599:Q599)))</f>
        <v/>
      </c>
      <c r="AF599" s="4">
        <f>MAX(0,S599-MAX(0,Z599-SUM(Q599:R599)))</f>
        <v/>
      </c>
      <c r="AG599" s="4">
        <f>MAX(0,T599-MAX(0,Z599-SUM(Q599:S599)))</f>
        <v/>
      </c>
      <c r="AH599" s="4">
        <f>MAX(0,U599-MAX(0,Z599-SUM(Q599:T599)))</f>
        <v/>
      </c>
      <c r="AI599" s="4">
        <f>MAX(0,V599-MAX(0,Z599-SUM(Q599:U599)))</f>
        <v/>
      </c>
      <c r="AJ599" s="4">
        <f>MAX(0,W599-MAX(0,Z599-SUM(Q599:V599)))</f>
        <v/>
      </c>
      <c r="AK599" s="4">
        <f>MAX(0,X599-MAX(0,Z599-SUM(Q599:W599)))</f>
        <v/>
      </c>
      <c r="AL599" s="4">
        <f>MAX(0,Y599-MAX(0,Z599-SUM(Q599:X599)))</f>
        <v/>
      </c>
    </row>
    <row r="600">
      <c r="A600" s="4" t="inlineStr">
        <is>
          <t>HASLS22260801507</t>
        </is>
      </c>
      <c r="B600" s="4" t="inlineStr">
        <is>
          <t>SWMM</t>
        </is>
      </c>
      <c r="C600" s="4" t="inlineStr">
        <is>
          <t>2610N</t>
        </is>
      </c>
      <c r="D600" s="4" t="inlineStr">
        <is>
          <t>202610212100</t>
        </is>
      </c>
      <c r="E600" s="4" t="inlineStr"/>
      <c r="F600" s="4" t="inlineStr">
        <is>
          <t>THLCH</t>
        </is>
      </c>
      <c r="G600" s="4" t="inlineStr">
        <is>
          <t>KRPTK</t>
        </is>
      </c>
      <c r="H600" s="4" t="inlineStr">
        <is>
          <t xml:space="preserve">40Hx40 </t>
        </is>
      </c>
      <c r="I600" s="4" t="inlineStr">
        <is>
          <t>LCHY5</t>
        </is>
      </c>
      <c r="J600" s="4" t="inlineStr">
        <is>
          <t>PW DEPOT CO., LTD.</t>
        </is>
      </c>
      <c r="K600" s="4" t="inlineStr">
        <is>
          <t>20261010</t>
        </is>
      </c>
      <c r="L600" s="4" t="inlineStr">
        <is>
          <t>SAMSUNG SDS GLOBAL SCL (THAILAND) CO.,LTD.</t>
        </is>
      </c>
      <c r="M600" s="4" t="inlineStr">
        <is>
          <t>THAI SAMSUNG ELECTRONICS CO., LTD.</t>
        </is>
      </c>
      <c r="N600" s="4" t="inlineStr">
        <is>
          <t>REFRIGERATOR</t>
        </is>
      </c>
      <c r="O600" s="4" t="inlineStr">
        <is>
          <t>*No containers with cut and patch marks inside*
GOOD CLEAN CONTIANER NO BLEAM (ELECTRONICS GOODS)</t>
        </is>
      </c>
      <c r="P600" s="4" t="inlineStr">
        <is>
          <t xml:space="preserve">Pickup : 2026-10-10, Return : 2026-10-11 [1ST RTN 11/10/2026 W/O RENT]
** PLEASE CHECK OPEN GATE BEFORE RETURN CONTAINER ** </t>
        </is>
      </c>
      <c r="Q600" s="4" t="n">
        <v>0</v>
      </c>
      <c r="R600" s="4" t="n">
        <v>0</v>
      </c>
      <c r="S600" s="4" t="n">
        <v>40</v>
      </c>
      <c r="T600" s="4" t="n">
        <v>0</v>
      </c>
      <c r="U600" s="4" t="n">
        <v>0</v>
      </c>
      <c r="V600" s="4" t="n">
        <v>0</v>
      </c>
      <c r="W600" s="4" t="n">
        <v>0</v>
      </c>
      <c r="X600" s="4" t="n">
        <v>0</v>
      </c>
      <c r="Y600" s="4" t="n">
        <v>0</v>
      </c>
      <c r="Z600" s="4" t="n">
        <v>0</v>
      </c>
      <c r="AA600" s="4" t="n">
        <v>0</v>
      </c>
      <c r="AB600" s="4">
        <f>SUM(Q600:Y600)-Z600</f>
        <v/>
      </c>
      <c r="AC600" s="4">
        <f>IF(I600="","",IF(OR(LEFT(I600,3)="BKK",I600="LCH55"),"BKK",IF(LEFT(I600,3)="LCH","LCH","OTHER")))</f>
        <v/>
      </c>
      <c r="AD600" s="4">
        <f>MAX(0,Q600-MAX(0,Z600))</f>
        <v/>
      </c>
      <c r="AE600" s="4">
        <f>MAX(0,R600-MAX(0,Z600-SUM(Q600:Q600)))</f>
        <v/>
      </c>
      <c r="AF600" s="4">
        <f>MAX(0,S600-MAX(0,Z600-SUM(Q600:R600)))</f>
        <v/>
      </c>
      <c r="AG600" s="4">
        <f>MAX(0,T600-MAX(0,Z600-SUM(Q600:S600)))</f>
        <v/>
      </c>
      <c r="AH600" s="4">
        <f>MAX(0,U600-MAX(0,Z600-SUM(Q600:T600)))</f>
        <v/>
      </c>
      <c r="AI600" s="4">
        <f>MAX(0,V600-MAX(0,Z600-SUM(Q600:U600)))</f>
        <v/>
      </c>
      <c r="AJ600" s="4">
        <f>MAX(0,W600-MAX(0,Z600-SUM(Q600:V600)))</f>
        <v/>
      </c>
      <c r="AK600" s="4">
        <f>MAX(0,X600-MAX(0,Z600-SUM(Q600:W600)))</f>
        <v/>
      </c>
      <c r="AL600" s="4">
        <f>MAX(0,Y600-MAX(0,Z600-SUM(Q600:X600)))</f>
        <v/>
      </c>
    </row>
    <row r="601">
      <c r="A601" s="4" t="inlineStr">
        <is>
          <t>HASLS22260801640</t>
        </is>
      </c>
      <c r="B601" s="4" t="inlineStr">
        <is>
          <t>SWSP</t>
        </is>
      </c>
      <c r="C601" s="4" t="inlineStr">
        <is>
          <t>2609N</t>
        </is>
      </c>
      <c r="D601" s="4" t="inlineStr">
        <is>
          <t>202610080830</t>
        </is>
      </c>
      <c r="E601" s="4" t="inlineStr"/>
      <c r="F601" s="4" t="inlineStr">
        <is>
          <t>THLCH</t>
        </is>
      </c>
      <c r="G601" s="4" t="inlineStr">
        <is>
          <t>JPTRG</t>
        </is>
      </c>
      <c r="H601" s="4" t="inlineStr">
        <is>
          <t xml:space="preserve">40Hx7 </t>
        </is>
      </c>
      <c r="I601" s="4" t="inlineStr">
        <is>
          <t>LCHY5</t>
        </is>
      </c>
      <c r="J601" s="4" t="inlineStr">
        <is>
          <t>PW DEPOT CO., LTD.</t>
        </is>
      </c>
      <c r="K601" s="4" t="inlineStr">
        <is>
          <t>20260918</t>
        </is>
      </c>
      <c r="L601" s="4" t="inlineStr">
        <is>
          <t>SCGJWD LOGISTICS PUBLIC COMPANY LIMITED</t>
        </is>
      </c>
      <c r="M601" s="4" t="inlineStr">
        <is>
          <t>THAI POLYETHYLENE CO., LTD.</t>
        </is>
      </c>
      <c r="N601" s="4" t="inlineStr">
        <is>
          <t>RESIN</t>
        </is>
      </c>
      <c r="O601" s="4" t="inlineStr">
        <is>
          <t>RQST NO RED WALL CONTAINER,CLEAN CONTAINER NO OIL STAINS , NO RUSTY ,NO CUT OR HOLE</t>
        </is>
      </c>
      <c r="P601" s="4" t="inlineStr">
        <is>
          <t xml:space="preserve">CY-RTN : 18-21/09/2026
INV : 3031060601
RQST NO RED WALL CONTAINER,CLEAN CONTAINER NO OIL STAINS , NO RUSTY ,NO CUT OR HOLE    </t>
        </is>
      </c>
      <c r="Q601" s="4" t="n">
        <v>0</v>
      </c>
      <c r="R601" s="4" t="n">
        <v>0</v>
      </c>
      <c r="S601" s="4" t="n">
        <v>7</v>
      </c>
      <c r="T601" s="4" t="n">
        <v>0</v>
      </c>
      <c r="U601" s="4" t="n">
        <v>0</v>
      </c>
      <c r="V601" s="4" t="n">
        <v>0</v>
      </c>
      <c r="W601" s="4" t="n">
        <v>0</v>
      </c>
      <c r="X601" s="4" t="n">
        <v>0</v>
      </c>
      <c r="Y601" s="4" t="n">
        <v>0</v>
      </c>
      <c r="Z601" s="4" t="n">
        <v>3</v>
      </c>
      <c r="AA601" s="4" t="n">
        <v>0</v>
      </c>
      <c r="AB601" s="4">
        <f>SUM(Q601:Y601)-Z601</f>
        <v/>
      </c>
      <c r="AC601" s="4">
        <f>IF(I601="","",IF(OR(LEFT(I601,3)="BKK",I601="LCH55"),"BKK",IF(LEFT(I601,3)="LCH","LCH","OTHER")))</f>
        <v/>
      </c>
      <c r="AD601" s="4">
        <f>MAX(0,Q601-MAX(0,Z601))</f>
        <v/>
      </c>
      <c r="AE601" s="4">
        <f>MAX(0,R601-MAX(0,Z601-SUM(Q601:Q601)))</f>
        <v/>
      </c>
      <c r="AF601" s="4">
        <f>MAX(0,S601-MAX(0,Z601-SUM(Q601:R601)))</f>
        <v/>
      </c>
      <c r="AG601" s="4">
        <f>MAX(0,T601-MAX(0,Z601-SUM(Q601:S601)))</f>
        <v/>
      </c>
      <c r="AH601" s="4">
        <f>MAX(0,U601-MAX(0,Z601-SUM(Q601:T601)))</f>
        <v/>
      </c>
      <c r="AI601" s="4">
        <f>MAX(0,V601-MAX(0,Z601-SUM(Q601:U601)))</f>
        <v/>
      </c>
      <c r="AJ601" s="4">
        <f>MAX(0,W601-MAX(0,Z601-SUM(Q601:V601)))</f>
        <v/>
      </c>
      <c r="AK601" s="4">
        <f>MAX(0,X601-MAX(0,Z601-SUM(Q601:W601)))</f>
        <v/>
      </c>
      <c r="AL601" s="4">
        <f>MAX(0,Y601-MAX(0,Z601-SUM(Q601:X601)))</f>
        <v/>
      </c>
    </row>
    <row r="602">
      <c r="A602" s="4" t="inlineStr">
        <is>
          <t>HASLS22260801848</t>
        </is>
      </c>
      <c r="B602" s="4" t="inlineStr">
        <is>
          <t>TBN</t>
        </is>
      </c>
      <c r="C602" s="4" t="inlineStr">
        <is>
          <t>001</t>
        </is>
      </c>
      <c r="D602" s="4" t="inlineStr"/>
      <c r="E602" s="4" t="inlineStr"/>
      <c r="F602" s="4" t="inlineStr">
        <is>
          <t>THLCH</t>
        </is>
      </c>
      <c r="G602" s="4" t="inlineStr">
        <is>
          <t>JPYKK</t>
        </is>
      </c>
      <c r="H602" s="4" t="inlineStr">
        <is>
          <t xml:space="preserve">20'x3 </t>
        </is>
      </c>
      <c r="I602" s="4" t="inlineStr">
        <is>
          <t>LCHY5</t>
        </is>
      </c>
      <c r="J602" s="4" t="inlineStr">
        <is>
          <t>PW DEPOT CO., LTD.</t>
        </is>
      </c>
      <c r="K602" s="4" t="inlineStr">
        <is>
          <t>20260908</t>
        </is>
      </c>
      <c r="L602" s="4" t="inlineStr">
        <is>
          <t>DOW CHEMICAL THAILAND LTD.</t>
        </is>
      </c>
      <c r="M602" s="4" t="inlineStr">
        <is>
          <t>DOW CHEMICAL THAILAND LTD.</t>
        </is>
      </c>
      <c r="N602" s="4" t="inlineStr">
        <is>
          <t>RESIN</t>
        </is>
      </c>
      <c r="O602" s="4" t="inlineStr">
        <is>
          <t>RQST CNTR SEABULK &amp; GRADE A</t>
        </is>
      </c>
      <c r="P602" s="4" t="inlineStr">
        <is>
          <t>CY CNTR DD.09/09/2026 RQST CNTR SEABULK &amp; GRADE A</t>
        </is>
      </c>
      <c r="Q602" s="4" t="n">
        <v>3</v>
      </c>
      <c r="R602" s="4" t="n">
        <v>0</v>
      </c>
      <c r="S602" s="4" t="n">
        <v>0</v>
      </c>
      <c r="T602" s="4" t="n">
        <v>0</v>
      </c>
      <c r="U602" s="4" t="n">
        <v>0</v>
      </c>
      <c r="V602" s="4" t="n">
        <v>0</v>
      </c>
      <c r="W602" s="4" t="n">
        <v>0</v>
      </c>
      <c r="X602" s="4" t="n">
        <v>0</v>
      </c>
      <c r="Y602" s="4" t="n">
        <v>0</v>
      </c>
      <c r="Z602" s="4" t="n">
        <v>0</v>
      </c>
      <c r="AA602" s="4" t="n">
        <v>0</v>
      </c>
      <c r="AB602" s="4">
        <f>SUM(Q602:Y602)-Z602</f>
        <v/>
      </c>
      <c r="AC602" s="4">
        <f>IF(I602="","",IF(OR(LEFT(I602,3)="BKK",I602="LCH55"),"BKK",IF(LEFT(I602,3)="LCH","LCH","OTHER")))</f>
        <v/>
      </c>
      <c r="AD602" s="4">
        <f>MAX(0,Q602-MAX(0,Z602))</f>
        <v/>
      </c>
      <c r="AE602" s="4">
        <f>MAX(0,R602-MAX(0,Z602-SUM(Q602:Q602)))</f>
        <v/>
      </c>
      <c r="AF602" s="4">
        <f>MAX(0,S602-MAX(0,Z602-SUM(Q602:R602)))</f>
        <v/>
      </c>
      <c r="AG602" s="4">
        <f>MAX(0,T602-MAX(0,Z602-SUM(Q602:S602)))</f>
        <v/>
      </c>
      <c r="AH602" s="4">
        <f>MAX(0,U602-MAX(0,Z602-SUM(Q602:T602)))</f>
        <v/>
      </c>
      <c r="AI602" s="4">
        <f>MAX(0,V602-MAX(0,Z602-SUM(Q602:U602)))</f>
        <v/>
      </c>
      <c r="AJ602" s="4">
        <f>MAX(0,W602-MAX(0,Z602-SUM(Q602:V602)))</f>
        <v/>
      </c>
      <c r="AK602" s="4">
        <f>MAX(0,X602-MAX(0,Z602-SUM(Q602:W602)))</f>
        <v/>
      </c>
      <c r="AL602" s="4">
        <f>MAX(0,Y602-MAX(0,Z602-SUM(Q602:X602)))</f>
        <v/>
      </c>
    </row>
    <row r="603">
      <c r="A603" s="4" t="inlineStr">
        <is>
          <t>HASLS22260801875</t>
        </is>
      </c>
      <c r="B603" s="4" t="inlineStr">
        <is>
          <t>SWAT</t>
        </is>
      </c>
      <c r="C603" s="4" t="inlineStr">
        <is>
          <t>2610N</t>
        </is>
      </c>
      <c r="D603" s="4" t="inlineStr">
        <is>
          <t>202610081000</t>
        </is>
      </c>
      <c r="E603" s="4" t="inlineStr"/>
      <c r="F603" s="4" t="inlineStr">
        <is>
          <t>THLCH</t>
        </is>
      </c>
      <c r="G603" s="4" t="inlineStr">
        <is>
          <t>CNSHK</t>
        </is>
      </c>
      <c r="H603" s="4" t="inlineStr">
        <is>
          <t xml:space="preserve">20'x1 </t>
        </is>
      </c>
      <c r="I603" s="4" t="inlineStr">
        <is>
          <t>LCHY5</t>
        </is>
      </c>
      <c r="J603" s="4" t="inlineStr">
        <is>
          <t>PW DEPOT CO., LTD.</t>
        </is>
      </c>
      <c r="K603" s="4" t="inlineStr">
        <is>
          <t>20261005</t>
        </is>
      </c>
      <c r="L603" s="4" t="inlineStr">
        <is>
          <t>DIMERCO EXPRESS (THAILAND) CO., LTD.</t>
        </is>
      </c>
      <c r="M603" s="4" t="inlineStr">
        <is>
          <t>THAILON TECHNO FIBER LIMITED</t>
        </is>
      </c>
      <c r="N603" s="4" t="inlineStr">
        <is>
          <t>POLYAMIDE 66 TEXTURED YARN</t>
        </is>
      </c>
      <c r="O603" s="4" t="inlineStr">
        <is>
          <t>GOOD AND CLEAN CONTAINER</t>
        </is>
      </c>
      <c r="P603" s="4" t="inlineStr">
        <is>
          <t>Pickup : 2026-10-05, Return : 2026-10-05</t>
        </is>
      </c>
      <c r="Q603" s="4" t="n">
        <v>1</v>
      </c>
      <c r="R603" s="4" t="n">
        <v>0</v>
      </c>
      <c r="S603" s="4" t="n">
        <v>0</v>
      </c>
      <c r="T603" s="4" t="n">
        <v>0</v>
      </c>
      <c r="U603" s="4" t="n">
        <v>0</v>
      </c>
      <c r="V603" s="4" t="n">
        <v>0</v>
      </c>
      <c r="W603" s="4" t="n">
        <v>0</v>
      </c>
      <c r="X603" s="4" t="n">
        <v>0</v>
      </c>
      <c r="Y603" s="4" t="n">
        <v>0</v>
      </c>
      <c r="Z603" s="4" t="n">
        <v>0</v>
      </c>
      <c r="AA603" s="4" t="n">
        <v>0</v>
      </c>
      <c r="AB603" s="4">
        <f>SUM(Q603:Y603)-Z603</f>
        <v/>
      </c>
      <c r="AC603" s="4">
        <f>IF(I603="","",IF(OR(LEFT(I603,3)="BKK",I603="LCH55"),"BKK",IF(LEFT(I603,3)="LCH","LCH","OTHER")))</f>
        <v/>
      </c>
      <c r="AD603" s="4">
        <f>MAX(0,Q603-MAX(0,Z603))</f>
        <v/>
      </c>
      <c r="AE603" s="4">
        <f>MAX(0,R603-MAX(0,Z603-SUM(Q603:Q603)))</f>
        <v/>
      </c>
      <c r="AF603" s="4">
        <f>MAX(0,S603-MAX(0,Z603-SUM(Q603:R603)))</f>
        <v/>
      </c>
      <c r="AG603" s="4">
        <f>MAX(0,T603-MAX(0,Z603-SUM(Q603:S603)))</f>
        <v/>
      </c>
      <c r="AH603" s="4">
        <f>MAX(0,U603-MAX(0,Z603-SUM(Q603:T603)))</f>
        <v/>
      </c>
      <c r="AI603" s="4">
        <f>MAX(0,V603-MAX(0,Z603-SUM(Q603:U603)))</f>
        <v/>
      </c>
      <c r="AJ603" s="4">
        <f>MAX(0,W603-MAX(0,Z603-SUM(Q603:V603)))</f>
        <v/>
      </c>
      <c r="AK603" s="4">
        <f>MAX(0,X603-MAX(0,Z603-SUM(Q603:W603)))</f>
        <v/>
      </c>
      <c r="AL603" s="4">
        <f>MAX(0,Y603-MAX(0,Z603-SUM(Q603:X603)))</f>
        <v/>
      </c>
    </row>
    <row r="604">
      <c r="A604" s="4" t="inlineStr">
        <is>
          <t>HASLS22260802124</t>
        </is>
      </c>
      <c r="B604" s="4" t="inlineStr">
        <is>
          <t>DJCF</t>
        </is>
      </c>
      <c r="C604" s="4" t="inlineStr">
        <is>
          <t>0152N</t>
        </is>
      </c>
      <c r="D604" s="4" t="inlineStr">
        <is>
          <t>202610120400</t>
        </is>
      </c>
      <c r="E604" s="4" t="inlineStr"/>
      <c r="F604" s="4" t="inlineStr">
        <is>
          <t>THLCH</t>
        </is>
      </c>
      <c r="G604" s="4" t="inlineStr">
        <is>
          <t>KRPTK</t>
        </is>
      </c>
      <c r="H604" s="4" t="inlineStr">
        <is>
          <t xml:space="preserve">40Hx8 </t>
        </is>
      </c>
      <c r="I604" s="4" t="inlineStr">
        <is>
          <t>LCHY5</t>
        </is>
      </c>
      <c r="J604" s="4" t="inlineStr">
        <is>
          <t>PW DEPOT CO., LTD.</t>
        </is>
      </c>
      <c r="K604" s="4" t="inlineStr">
        <is>
          <t>20261002</t>
        </is>
      </c>
      <c r="L604" s="4" t="inlineStr">
        <is>
          <t>SAMSUNG SDS GLOBAL SCL (THAILAND) CO.,LTD.</t>
        </is>
      </c>
      <c r="M604" s="4" t="inlineStr">
        <is>
          <t>THAI SAMSUNG ELECTRONICS CO., LTD.</t>
        </is>
      </c>
      <c r="N604" s="4" t="inlineStr">
        <is>
          <t>WASHING MATCHINE</t>
        </is>
      </c>
      <c r="O604" s="4" t="inlineStr">
        <is>
          <t>*No containers with cut and patch marks inside*
GOOD CLEAN CONTIANER NO BLEAM (ELECTRONICS GOODS)</t>
        </is>
      </c>
      <c r="P604" s="4" t="inlineStr">
        <is>
          <t>Pickup : 2026-10-02, Return : 2026-10-04</t>
        </is>
      </c>
      <c r="Q604" s="4" t="n">
        <v>0</v>
      </c>
      <c r="R604" s="4" t="n">
        <v>0</v>
      </c>
      <c r="S604" s="4" t="n">
        <v>8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>
        <f>SUM(Q604:Y604)-Z604</f>
        <v/>
      </c>
      <c r="AC604" s="4">
        <f>IF(I604="","",IF(OR(LEFT(I604,3)="BKK",I604="LCH55"),"BKK",IF(LEFT(I604,3)="LCH","LCH","OTHER")))</f>
        <v/>
      </c>
      <c r="AD604" s="4">
        <f>MAX(0,Q604-MAX(0,Z604))</f>
        <v/>
      </c>
      <c r="AE604" s="4">
        <f>MAX(0,R604-MAX(0,Z604-SUM(Q604:Q604)))</f>
        <v/>
      </c>
      <c r="AF604" s="4">
        <f>MAX(0,S604-MAX(0,Z604-SUM(Q604:R604)))</f>
        <v/>
      </c>
      <c r="AG604" s="4">
        <f>MAX(0,T604-MAX(0,Z604-SUM(Q604:S604)))</f>
        <v/>
      </c>
      <c r="AH604" s="4">
        <f>MAX(0,U604-MAX(0,Z604-SUM(Q604:T604)))</f>
        <v/>
      </c>
      <c r="AI604" s="4">
        <f>MAX(0,V604-MAX(0,Z604-SUM(Q604:U604)))</f>
        <v/>
      </c>
      <c r="AJ604" s="4">
        <f>MAX(0,W604-MAX(0,Z604-SUM(Q604:V604)))</f>
        <v/>
      </c>
      <c r="AK604" s="4">
        <f>MAX(0,X604-MAX(0,Z604-SUM(Q604:W604)))</f>
        <v/>
      </c>
      <c r="AL604" s="4">
        <f>MAX(0,Y604-MAX(0,Z604-SUM(Q604:X604)))</f>
        <v/>
      </c>
    </row>
    <row r="605">
      <c r="A605" s="4" t="inlineStr">
        <is>
          <t>HASLS22260802147</t>
        </is>
      </c>
      <c r="B605" s="4" t="inlineStr">
        <is>
          <t>SWSR</t>
        </is>
      </c>
      <c r="C605" s="4" t="inlineStr">
        <is>
          <t>2611N</t>
        </is>
      </c>
      <c r="D605" s="4" t="inlineStr">
        <is>
          <t>202610112000</t>
        </is>
      </c>
      <c r="E605" s="4" t="inlineStr"/>
      <c r="F605" s="4" t="inlineStr">
        <is>
          <t>THLCH</t>
        </is>
      </c>
      <c r="G605" s="4" t="inlineStr">
        <is>
          <t>HKHKG</t>
        </is>
      </c>
      <c r="H605" s="4" t="inlineStr">
        <is>
          <t xml:space="preserve">40Hx1 </t>
        </is>
      </c>
      <c r="I605" s="4" t="inlineStr">
        <is>
          <t>LCHY5</t>
        </is>
      </c>
      <c r="J605" s="4" t="inlineStr">
        <is>
          <t>PW DEPOT CO., LTD.</t>
        </is>
      </c>
      <c r="K605" s="4" t="inlineStr">
        <is>
          <t>20261005</t>
        </is>
      </c>
      <c r="L605" s="4" t="inlineStr">
        <is>
          <t>YUSEN LOGISTICS (THAILAND) CO., LTD.</t>
        </is>
      </c>
      <c r="M605" s="4" t="inlineStr">
        <is>
          <t>CHIBA METAL (THAILAND) CO.,LTD</t>
        </is>
      </c>
      <c r="N605" s="4" t="inlineStr">
        <is>
          <t xml:space="preserve">ELECTRONIC PART/TERMINAL/MICROSPEAKER </t>
        </is>
      </c>
      <c r="O605" s="4" t="inlineStr">
        <is>
          <t>good, clean, dry, no leak, no hole</t>
        </is>
      </c>
      <c r="P605" s="4" t="inlineStr">
        <is>
          <t xml:space="preserve">Pickup : 2026-10-05, Return : 2026-10-05 
** PLEASE CHECK OPEN GATE BEFORE RETURN CONTAINER ** </t>
        </is>
      </c>
      <c r="Q605" s="4" t="n">
        <v>0</v>
      </c>
      <c r="R605" s="4" t="n">
        <v>0</v>
      </c>
      <c r="S605" s="4" t="n">
        <v>1</v>
      </c>
      <c r="T605" s="4" t="n">
        <v>0</v>
      </c>
      <c r="U605" s="4" t="n">
        <v>0</v>
      </c>
      <c r="V605" s="4" t="n">
        <v>0</v>
      </c>
      <c r="W605" s="4" t="n">
        <v>0</v>
      </c>
      <c r="X605" s="4" t="n">
        <v>0</v>
      </c>
      <c r="Y605" s="4" t="n">
        <v>0</v>
      </c>
      <c r="Z605" s="4" t="n">
        <v>0</v>
      </c>
      <c r="AA605" s="4" t="n">
        <v>0</v>
      </c>
      <c r="AB605" s="4">
        <f>SUM(Q605:Y605)-Z605</f>
        <v/>
      </c>
      <c r="AC605" s="4">
        <f>IF(I605="","",IF(OR(LEFT(I605,3)="BKK",I605="LCH55"),"BKK",IF(LEFT(I605,3)="LCH","LCH","OTHER")))</f>
        <v/>
      </c>
      <c r="AD605" s="4">
        <f>MAX(0,Q605-MAX(0,Z605))</f>
        <v/>
      </c>
      <c r="AE605" s="4">
        <f>MAX(0,R605-MAX(0,Z605-SUM(Q605:Q605)))</f>
        <v/>
      </c>
      <c r="AF605" s="4">
        <f>MAX(0,S605-MAX(0,Z605-SUM(Q605:R605)))</f>
        <v/>
      </c>
      <c r="AG605" s="4">
        <f>MAX(0,T605-MAX(0,Z605-SUM(Q605:S605)))</f>
        <v/>
      </c>
      <c r="AH605" s="4">
        <f>MAX(0,U605-MAX(0,Z605-SUM(Q605:T605)))</f>
        <v/>
      </c>
      <c r="AI605" s="4">
        <f>MAX(0,V605-MAX(0,Z605-SUM(Q605:U605)))</f>
        <v/>
      </c>
      <c r="AJ605" s="4">
        <f>MAX(0,W605-MAX(0,Z605-SUM(Q605:V605)))</f>
        <v/>
      </c>
      <c r="AK605" s="4">
        <f>MAX(0,X605-MAX(0,Z605-SUM(Q605:W605)))</f>
        <v/>
      </c>
      <c r="AL605" s="4">
        <f>MAX(0,Y605-MAX(0,Z605-SUM(Q605:X605)))</f>
        <v/>
      </c>
    </row>
    <row r="606">
      <c r="A606" s="4" t="inlineStr">
        <is>
          <t>HASLS22260802337</t>
        </is>
      </c>
      <c r="B606" s="4" t="inlineStr">
        <is>
          <t>SWIC</t>
        </is>
      </c>
      <c r="C606" s="4" t="inlineStr">
        <is>
          <t>2611N</t>
        </is>
      </c>
      <c r="D606" s="4" t="inlineStr">
        <is>
          <t>202610132300</t>
        </is>
      </c>
      <c r="E606" s="4" t="inlineStr"/>
      <c r="F606" s="4" t="inlineStr">
        <is>
          <t>THLCH</t>
        </is>
      </c>
      <c r="G606" s="4" t="inlineStr">
        <is>
          <t>JPTYO</t>
        </is>
      </c>
      <c r="H606" s="4" t="inlineStr">
        <is>
          <t xml:space="preserve">40Hx3 </t>
        </is>
      </c>
      <c r="I606" s="4" t="inlineStr">
        <is>
          <t>LCHY5</t>
        </is>
      </c>
      <c r="J606" s="4" t="inlineStr">
        <is>
          <t>PW DEPOT CO., LTD.</t>
        </is>
      </c>
      <c r="K606" s="4" t="inlineStr">
        <is>
          <t>20261005</t>
        </is>
      </c>
      <c r="L606" s="4" t="inlineStr">
        <is>
          <t>WHA GC LOGISTICS COMPANY LIMITED</t>
        </is>
      </c>
      <c r="M606" s="4" t="inlineStr">
        <is>
          <t>PTT GLOBAL CHEMICAL PUBLIC COMPANY LIMITED</t>
        </is>
      </c>
      <c r="N606" s="4" t="inlineStr">
        <is>
          <t>RESIN</t>
        </is>
      </c>
      <c r="O606" s="4" t="inlineStr">
        <is>
          <t>GOOD AND CLEAN CTNR</t>
        </is>
      </c>
      <c r="P606" s="4" t="inlineStr">
        <is>
          <t>[FIX]CY-RTN : 05-07/10/2026</t>
        </is>
      </c>
      <c r="Q606" s="4" t="n">
        <v>0</v>
      </c>
      <c r="R606" s="4" t="n">
        <v>0</v>
      </c>
      <c r="S606" s="4" t="n">
        <v>3</v>
      </c>
      <c r="T606" s="4" t="n">
        <v>0</v>
      </c>
      <c r="U606" s="4" t="n">
        <v>0</v>
      </c>
      <c r="V606" s="4" t="n">
        <v>0</v>
      </c>
      <c r="W606" s="4" t="n">
        <v>0</v>
      </c>
      <c r="X606" s="4" t="n">
        <v>0</v>
      </c>
      <c r="Y606" s="4" t="n">
        <v>0</v>
      </c>
      <c r="Z606" s="4" t="n">
        <v>0</v>
      </c>
      <c r="AA606" s="4" t="n">
        <v>0</v>
      </c>
      <c r="AB606" s="4">
        <f>SUM(Q606:Y606)-Z606</f>
        <v/>
      </c>
      <c r="AC606" s="4">
        <f>IF(I606="","",IF(OR(LEFT(I606,3)="BKK",I606="LCH55"),"BKK",IF(LEFT(I606,3)="LCH","LCH","OTHER")))</f>
        <v/>
      </c>
      <c r="AD606" s="4">
        <f>MAX(0,Q606-MAX(0,Z606))</f>
        <v/>
      </c>
      <c r="AE606" s="4">
        <f>MAX(0,R606-MAX(0,Z606-SUM(Q606:Q606)))</f>
        <v/>
      </c>
      <c r="AF606" s="4">
        <f>MAX(0,S606-MAX(0,Z606-SUM(Q606:R606)))</f>
        <v/>
      </c>
      <c r="AG606" s="4">
        <f>MAX(0,T606-MAX(0,Z606-SUM(Q606:S606)))</f>
        <v/>
      </c>
      <c r="AH606" s="4">
        <f>MAX(0,U606-MAX(0,Z606-SUM(Q606:T606)))</f>
        <v/>
      </c>
      <c r="AI606" s="4">
        <f>MAX(0,V606-MAX(0,Z606-SUM(Q606:U606)))</f>
        <v/>
      </c>
      <c r="AJ606" s="4">
        <f>MAX(0,W606-MAX(0,Z606-SUM(Q606:V606)))</f>
        <v/>
      </c>
      <c r="AK606" s="4">
        <f>MAX(0,X606-MAX(0,Z606-SUM(Q606:W606)))</f>
        <v/>
      </c>
      <c r="AL606" s="4">
        <f>MAX(0,Y606-MAX(0,Z606-SUM(Q606:X606)))</f>
        <v/>
      </c>
    </row>
    <row r="607">
      <c r="A607" s="4" t="inlineStr">
        <is>
          <t>HASLS22260802338</t>
        </is>
      </c>
      <c r="B607" s="4" t="inlineStr">
        <is>
          <t>SWIC</t>
        </is>
      </c>
      <c r="C607" s="4" t="inlineStr">
        <is>
          <t>2611N</t>
        </is>
      </c>
      <c r="D607" s="4" t="inlineStr">
        <is>
          <t>202610132300</t>
        </is>
      </c>
      <c r="E607" s="4" t="inlineStr"/>
      <c r="F607" s="4" t="inlineStr">
        <is>
          <t>THLCH</t>
        </is>
      </c>
      <c r="G607" s="4" t="inlineStr">
        <is>
          <t>JPTYO</t>
        </is>
      </c>
      <c r="H607" s="4" t="inlineStr">
        <is>
          <t xml:space="preserve">40Hx4 </t>
        </is>
      </c>
      <c r="I607" s="4" t="inlineStr">
        <is>
          <t>LCHY5</t>
        </is>
      </c>
      <c r="J607" s="4" t="inlineStr">
        <is>
          <t>PW DEPOT CO., LTD.</t>
        </is>
      </c>
      <c r="K607" s="4" t="inlineStr">
        <is>
          <t>20261005</t>
        </is>
      </c>
      <c r="L607" s="4" t="inlineStr">
        <is>
          <t>WHA GC LOGISTICS COMPANY LIMITED</t>
        </is>
      </c>
      <c r="M607" s="4" t="inlineStr">
        <is>
          <t>PTT GLOBAL CHEMICAL PUBLIC COMPANY LIMITED</t>
        </is>
      </c>
      <c r="N607" s="4" t="inlineStr">
        <is>
          <t>RESIN</t>
        </is>
      </c>
      <c r="O607" s="4" t="inlineStr">
        <is>
          <t>GOOD AND CLEAN CTNR</t>
        </is>
      </c>
      <c r="P607" s="4" t="inlineStr">
        <is>
          <t xml:space="preserve">[FIX]CY-RTN 05-07/10/26 </t>
        </is>
      </c>
      <c r="Q607" s="4" t="n">
        <v>0</v>
      </c>
      <c r="R607" s="4" t="n">
        <v>0</v>
      </c>
      <c r="S607" s="4" t="n">
        <v>4</v>
      </c>
      <c r="T607" s="4" t="n">
        <v>0</v>
      </c>
      <c r="U607" s="4" t="n">
        <v>0</v>
      </c>
      <c r="V607" s="4" t="n">
        <v>0</v>
      </c>
      <c r="W607" s="4" t="n">
        <v>0</v>
      </c>
      <c r="X607" s="4" t="n">
        <v>0</v>
      </c>
      <c r="Y607" s="4" t="n">
        <v>0</v>
      </c>
      <c r="Z607" s="4" t="n">
        <v>0</v>
      </c>
      <c r="AA607" s="4" t="n">
        <v>0</v>
      </c>
      <c r="AB607" s="4">
        <f>SUM(Q607:Y607)-Z607</f>
        <v/>
      </c>
      <c r="AC607" s="4">
        <f>IF(I607="","",IF(OR(LEFT(I607,3)="BKK",I607="LCH55"),"BKK",IF(LEFT(I607,3)="LCH","LCH","OTHER")))</f>
        <v/>
      </c>
      <c r="AD607" s="4">
        <f>MAX(0,Q607-MAX(0,Z607))</f>
        <v/>
      </c>
      <c r="AE607" s="4">
        <f>MAX(0,R607-MAX(0,Z607-SUM(Q607:Q607)))</f>
        <v/>
      </c>
      <c r="AF607" s="4">
        <f>MAX(0,S607-MAX(0,Z607-SUM(Q607:R607)))</f>
        <v/>
      </c>
      <c r="AG607" s="4">
        <f>MAX(0,T607-MAX(0,Z607-SUM(Q607:S607)))</f>
        <v/>
      </c>
      <c r="AH607" s="4">
        <f>MAX(0,U607-MAX(0,Z607-SUM(Q607:T607)))</f>
        <v/>
      </c>
      <c r="AI607" s="4">
        <f>MAX(0,V607-MAX(0,Z607-SUM(Q607:U607)))</f>
        <v/>
      </c>
      <c r="AJ607" s="4">
        <f>MAX(0,W607-MAX(0,Z607-SUM(Q607:V607)))</f>
        <v/>
      </c>
      <c r="AK607" s="4">
        <f>MAX(0,X607-MAX(0,Z607-SUM(Q607:W607)))</f>
        <v/>
      </c>
      <c r="AL607" s="4">
        <f>MAX(0,Y607-MAX(0,Z607-SUM(Q607:X607)))</f>
        <v/>
      </c>
    </row>
    <row r="608">
      <c r="A608" s="4" t="inlineStr">
        <is>
          <t>HASLS22260802359</t>
        </is>
      </c>
      <c r="B608" s="4" t="inlineStr">
        <is>
          <t>SWRG</t>
        </is>
      </c>
      <c r="C608" s="4" t="inlineStr">
        <is>
          <t>2609N</t>
        </is>
      </c>
      <c r="D608" s="4" t="inlineStr">
        <is>
          <t>202610131130</t>
        </is>
      </c>
      <c r="E608" s="4" t="inlineStr"/>
      <c r="F608" s="4" t="inlineStr">
        <is>
          <t>THLCH</t>
        </is>
      </c>
      <c r="G608" s="4" t="inlineStr">
        <is>
          <t>JPTYO</t>
        </is>
      </c>
      <c r="H608" s="4" t="inlineStr">
        <is>
          <t xml:space="preserve">40Hx2 </t>
        </is>
      </c>
      <c r="I608" s="4" t="inlineStr">
        <is>
          <t>LCHY5</t>
        </is>
      </c>
      <c r="J608" s="4" t="inlineStr">
        <is>
          <t>PW DEPOT CO., LTD.</t>
        </is>
      </c>
      <c r="K608" s="4" t="inlineStr">
        <is>
          <t>20260924</t>
        </is>
      </c>
      <c r="L608" s="4" t="inlineStr">
        <is>
          <t>WHA GC LOGISTICS COMPANY LIMITED</t>
        </is>
      </c>
      <c r="M608" s="4" t="inlineStr">
        <is>
          <t>PTT GLOBAL CHEMICAL PUBLIC COMPANY LIMITED</t>
        </is>
      </c>
      <c r="N608" s="4" t="inlineStr">
        <is>
          <t>RESIN</t>
        </is>
      </c>
      <c r="O608" s="4" t="inlineStr">
        <is>
          <t>GOOD AND CLEAN CTNR</t>
        </is>
      </c>
      <c r="P608" s="4" t="inlineStr">
        <is>
          <t>CY-RTN 24-27/09/26 (1ST RETURN DATE DD.04/10/26)
*PLS CHECK OPEN GATE BEFORE RETURN CTNR*</t>
        </is>
      </c>
      <c r="Q608" s="4" t="n">
        <v>0</v>
      </c>
      <c r="R608" s="4" t="n">
        <v>0</v>
      </c>
      <c r="S608" s="4" t="n">
        <v>2</v>
      </c>
      <c r="T608" s="4" t="n">
        <v>0</v>
      </c>
      <c r="U608" s="4" t="n">
        <v>0</v>
      </c>
      <c r="V608" s="4" t="n">
        <v>0</v>
      </c>
      <c r="W608" s="4" t="n">
        <v>0</v>
      </c>
      <c r="X608" s="4" t="n">
        <v>0</v>
      </c>
      <c r="Y608" s="4" t="n">
        <v>0</v>
      </c>
      <c r="Z608" s="4" t="n">
        <v>0</v>
      </c>
      <c r="AA608" s="4" t="n">
        <v>0</v>
      </c>
      <c r="AB608" s="4">
        <f>SUM(Q608:Y608)-Z608</f>
        <v/>
      </c>
      <c r="AC608" s="4">
        <f>IF(I608="","",IF(OR(LEFT(I608,3)="BKK",I608="LCH55"),"BKK",IF(LEFT(I608,3)="LCH","LCH","OTHER")))</f>
        <v/>
      </c>
      <c r="AD608" s="4">
        <f>MAX(0,Q608-MAX(0,Z608))</f>
        <v/>
      </c>
      <c r="AE608" s="4">
        <f>MAX(0,R608-MAX(0,Z608-SUM(Q608:Q608)))</f>
        <v/>
      </c>
      <c r="AF608" s="4">
        <f>MAX(0,S608-MAX(0,Z608-SUM(Q608:R608)))</f>
        <v/>
      </c>
      <c r="AG608" s="4">
        <f>MAX(0,T608-MAX(0,Z608-SUM(Q608:S608)))</f>
        <v/>
      </c>
      <c r="AH608" s="4">
        <f>MAX(0,U608-MAX(0,Z608-SUM(Q608:T608)))</f>
        <v/>
      </c>
      <c r="AI608" s="4">
        <f>MAX(0,V608-MAX(0,Z608-SUM(Q608:U608)))</f>
        <v/>
      </c>
      <c r="AJ608" s="4">
        <f>MAX(0,W608-MAX(0,Z608-SUM(Q608:V608)))</f>
        <v/>
      </c>
      <c r="AK608" s="4">
        <f>MAX(0,X608-MAX(0,Z608-SUM(Q608:W608)))</f>
        <v/>
      </c>
      <c r="AL608" s="4">
        <f>MAX(0,Y608-MAX(0,Z608-SUM(Q608:X608)))</f>
        <v/>
      </c>
    </row>
    <row r="609">
      <c r="A609" s="4" t="inlineStr">
        <is>
          <t>HASLS22260900119</t>
        </is>
      </c>
      <c r="B609" s="4" t="inlineStr">
        <is>
          <t>DJCF</t>
        </is>
      </c>
      <c r="C609" s="4" t="inlineStr">
        <is>
          <t>0152N</t>
        </is>
      </c>
      <c r="D609" s="4" t="inlineStr">
        <is>
          <t>202610120400</t>
        </is>
      </c>
      <c r="E609" s="4" t="inlineStr"/>
      <c r="F609" s="4" t="inlineStr">
        <is>
          <t>THLCH</t>
        </is>
      </c>
      <c r="G609" s="4" t="inlineStr">
        <is>
          <t>KRPTK</t>
        </is>
      </c>
      <c r="H609" s="4" t="inlineStr">
        <is>
          <t xml:space="preserve">40Hx1 </t>
        </is>
      </c>
      <c r="I609" s="4" t="inlineStr">
        <is>
          <t>LCHY5</t>
        </is>
      </c>
      <c r="J609" s="4" t="inlineStr">
        <is>
          <t>PW DEPOT CO., LTD.</t>
        </is>
      </c>
      <c r="K609" s="4" t="inlineStr">
        <is>
          <t>20261006</t>
        </is>
      </c>
      <c r="L609" s="4" t="inlineStr">
        <is>
          <t>SDS-ACUTECH CO., LTD.</t>
        </is>
      </c>
      <c r="M609" s="4" t="inlineStr">
        <is>
          <t>3AC (THAILAND) CO., LTD.</t>
        </is>
      </c>
      <c r="N609" s="4" t="inlineStr">
        <is>
          <t>AIR PURIFIER</t>
        </is>
      </c>
      <c r="O609" s="4" t="inlineStr">
        <is>
          <t>GOOD AND CLEAN CONTAINER</t>
        </is>
      </c>
      <c r="P609" s="4" t="inlineStr">
        <is>
          <t>Pickup : 2026-10-06, Return : 2026-10-06</t>
        </is>
      </c>
      <c r="Q609" s="4" t="n">
        <v>0</v>
      </c>
      <c r="R609" s="4" t="n">
        <v>0</v>
      </c>
      <c r="S609" s="4" t="n">
        <v>1</v>
      </c>
      <c r="T609" s="4" t="n">
        <v>0</v>
      </c>
      <c r="U609" s="4" t="n">
        <v>0</v>
      </c>
      <c r="V609" s="4" t="n">
        <v>0</v>
      </c>
      <c r="W609" s="4" t="n">
        <v>0</v>
      </c>
      <c r="X609" s="4" t="n">
        <v>0</v>
      </c>
      <c r="Y609" s="4" t="n">
        <v>0</v>
      </c>
      <c r="Z609" s="4" t="n">
        <v>0</v>
      </c>
      <c r="AA609" s="4" t="n">
        <v>0</v>
      </c>
      <c r="AB609" s="4">
        <f>SUM(Q609:Y609)-Z609</f>
        <v/>
      </c>
      <c r="AC609" s="4">
        <f>IF(I609="","",IF(OR(LEFT(I609,3)="BKK",I609="LCH55"),"BKK",IF(LEFT(I609,3)="LCH","LCH","OTHER")))</f>
        <v/>
      </c>
      <c r="AD609" s="4">
        <f>MAX(0,Q609-MAX(0,Z609))</f>
        <v/>
      </c>
      <c r="AE609" s="4">
        <f>MAX(0,R609-MAX(0,Z609-SUM(Q609:Q609)))</f>
        <v/>
      </c>
      <c r="AF609" s="4">
        <f>MAX(0,S609-MAX(0,Z609-SUM(Q609:R609)))</f>
        <v/>
      </c>
      <c r="AG609" s="4">
        <f>MAX(0,T609-MAX(0,Z609-SUM(Q609:S609)))</f>
        <v/>
      </c>
      <c r="AH609" s="4">
        <f>MAX(0,U609-MAX(0,Z609-SUM(Q609:T609)))</f>
        <v/>
      </c>
      <c r="AI609" s="4">
        <f>MAX(0,V609-MAX(0,Z609-SUM(Q609:U609)))</f>
        <v/>
      </c>
      <c r="AJ609" s="4">
        <f>MAX(0,W609-MAX(0,Z609-SUM(Q609:V609)))</f>
        <v/>
      </c>
      <c r="AK609" s="4">
        <f>MAX(0,X609-MAX(0,Z609-SUM(Q609:W609)))</f>
        <v/>
      </c>
      <c r="AL609" s="4">
        <f>MAX(0,Y609-MAX(0,Z609-SUM(Q609:X609)))</f>
        <v/>
      </c>
    </row>
    <row r="610">
      <c r="A610" s="4" t="inlineStr">
        <is>
          <t>HASLS22260900120</t>
        </is>
      </c>
      <c r="B610" s="4" t="inlineStr">
        <is>
          <t>SWSP</t>
        </is>
      </c>
      <c r="C610" s="4" t="inlineStr">
        <is>
          <t>2609N</t>
        </is>
      </c>
      <c r="D610" s="4" t="inlineStr">
        <is>
          <t>202610080830</t>
        </is>
      </c>
      <c r="E610" s="4" t="inlineStr"/>
      <c r="F610" s="4" t="inlineStr">
        <is>
          <t>THLCH</t>
        </is>
      </c>
      <c r="G610" s="4" t="inlineStr">
        <is>
          <t>KRPTK</t>
        </is>
      </c>
      <c r="H610" s="4" t="inlineStr">
        <is>
          <t xml:space="preserve">40Hx1 </t>
        </is>
      </c>
      <c r="I610" s="4" t="inlineStr">
        <is>
          <t>LCHY5</t>
        </is>
      </c>
      <c r="J610" s="4" t="inlineStr">
        <is>
          <t>PW DEPOT CO., LTD.</t>
        </is>
      </c>
      <c r="K610" s="4" t="inlineStr">
        <is>
          <t>20260928</t>
        </is>
      </c>
      <c r="L610" s="4" t="inlineStr">
        <is>
          <t>SDS-ACUTECH CO., LTD.</t>
        </is>
      </c>
      <c r="M610" s="4" t="inlineStr">
        <is>
          <t>3AC (THAILAND) CO., LTD.</t>
        </is>
      </c>
      <c r="N610" s="4" t="inlineStr">
        <is>
          <t>AIR PURIFIER</t>
        </is>
      </c>
      <c r="O610" s="4" t="inlineStr">
        <is>
          <t>GOOD AND CLEAN CONTAINER</t>
        </is>
      </c>
      <c r="P610" s="4" t="inlineStr">
        <is>
          <t>Pickup : 2026-09-28, Return : 2026-09-28</t>
        </is>
      </c>
      <c r="Q610" s="4" t="n">
        <v>0</v>
      </c>
      <c r="R610" s="4" t="n">
        <v>0</v>
      </c>
      <c r="S610" s="4" t="n">
        <v>1</v>
      </c>
      <c r="T610" s="4" t="n">
        <v>0</v>
      </c>
      <c r="U610" s="4" t="n">
        <v>0</v>
      </c>
      <c r="V610" s="4" t="n">
        <v>0</v>
      </c>
      <c r="W610" s="4" t="n">
        <v>0</v>
      </c>
      <c r="X610" s="4" t="n">
        <v>0</v>
      </c>
      <c r="Y610" s="4" t="n">
        <v>0</v>
      </c>
      <c r="Z610" s="4" t="n">
        <v>0</v>
      </c>
      <c r="AA610" s="4" t="n">
        <v>0</v>
      </c>
      <c r="AB610" s="4">
        <f>SUM(Q610:Y610)-Z610</f>
        <v/>
      </c>
      <c r="AC610" s="4">
        <f>IF(I610="","",IF(OR(LEFT(I610,3)="BKK",I610="LCH55"),"BKK",IF(LEFT(I610,3)="LCH","LCH","OTHER")))</f>
        <v/>
      </c>
      <c r="AD610" s="4">
        <f>MAX(0,Q610-MAX(0,Z610))</f>
        <v/>
      </c>
      <c r="AE610" s="4">
        <f>MAX(0,R610-MAX(0,Z610-SUM(Q610:Q610)))</f>
        <v/>
      </c>
      <c r="AF610" s="4">
        <f>MAX(0,S610-MAX(0,Z610-SUM(Q610:R610)))</f>
        <v/>
      </c>
      <c r="AG610" s="4">
        <f>MAX(0,T610-MAX(0,Z610-SUM(Q610:S610)))</f>
        <v/>
      </c>
      <c r="AH610" s="4">
        <f>MAX(0,U610-MAX(0,Z610-SUM(Q610:T610)))</f>
        <v/>
      </c>
      <c r="AI610" s="4">
        <f>MAX(0,V610-MAX(0,Z610-SUM(Q610:U610)))</f>
        <v/>
      </c>
      <c r="AJ610" s="4">
        <f>MAX(0,W610-MAX(0,Z610-SUM(Q610:V610)))</f>
        <v/>
      </c>
      <c r="AK610" s="4">
        <f>MAX(0,X610-MAX(0,Z610-SUM(Q610:W610)))</f>
        <v/>
      </c>
      <c r="AL610" s="4">
        <f>MAX(0,Y610-MAX(0,Z610-SUM(Q610:X610)))</f>
        <v/>
      </c>
    </row>
    <row r="611">
      <c r="A611" s="4" t="inlineStr">
        <is>
          <t>HASLS22260900169</t>
        </is>
      </c>
      <c r="B611" s="4" t="inlineStr">
        <is>
          <t>HAHM</t>
        </is>
      </c>
      <c r="C611" s="4" t="inlineStr">
        <is>
          <t>2612N</t>
        </is>
      </c>
      <c r="D611" s="4" t="inlineStr">
        <is>
          <t>202610221000</t>
        </is>
      </c>
      <c r="E611" s="4" t="inlineStr"/>
      <c r="F611" s="4" t="inlineStr">
        <is>
          <t>THLCH</t>
        </is>
      </c>
      <c r="G611" s="4" t="inlineStr">
        <is>
          <t>JPTRG</t>
        </is>
      </c>
      <c r="H611" s="4" t="inlineStr">
        <is>
          <t xml:space="preserve">20'x32 </t>
        </is>
      </c>
      <c r="I611" s="4" t="inlineStr">
        <is>
          <t>LCHY5</t>
        </is>
      </c>
      <c r="J611" s="4" t="inlineStr">
        <is>
          <t>PW DEPOT CO., LTD.</t>
        </is>
      </c>
      <c r="K611" s="4" t="inlineStr">
        <is>
          <t>20261013</t>
        </is>
      </c>
      <c r="L611" s="4" t="inlineStr">
        <is>
          <t>PANDA GOGO LOGISTICS CO., LTD.</t>
        </is>
      </c>
      <c r="M611" s="4" t="inlineStr">
        <is>
          <t>GC-M PTA COMPANY LIMITED</t>
        </is>
      </c>
      <c r="N611" s="4" t="inlineStr">
        <is>
          <t>PURIFIED TEREPHTHALIC ACID (HS CODE: 291736)</t>
        </is>
      </c>
      <c r="O611" s="4" t="inlineStr">
        <is>
          <t>SPECIAL REQUEST : SEABULK CONTAINER (FOR TOYOBO SHIPMENT)</t>
        </is>
      </c>
      <c r="P611" s="4" t="inlineStr">
        <is>
          <t>Pickup : 2026-10-13, Return : 2026-10-14</t>
        </is>
      </c>
      <c r="Q611" s="4" t="n">
        <v>32</v>
      </c>
      <c r="R611" s="4" t="n">
        <v>0</v>
      </c>
      <c r="S611" s="4" t="n">
        <v>0</v>
      </c>
      <c r="T611" s="4" t="n">
        <v>0</v>
      </c>
      <c r="U611" s="4" t="n">
        <v>0</v>
      </c>
      <c r="V611" s="4" t="n">
        <v>0</v>
      </c>
      <c r="W611" s="4" t="n">
        <v>0</v>
      </c>
      <c r="X611" s="4" t="n">
        <v>0</v>
      </c>
      <c r="Y611" s="4" t="n">
        <v>0</v>
      </c>
      <c r="Z611" s="4" t="n">
        <v>0</v>
      </c>
      <c r="AA611" s="4" t="n">
        <v>0</v>
      </c>
      <c r="AB611" s="4">
        <f>SUM(Q611:Y611)-Z611</f>
        <v/>
      </c>
      <c r="AC611" s="4">
        <f>IF(I611="","",IF(OR(LEFT(I611,3)="BKK",I611="LCH55"),"BKK",IF(LEFT(I611,3)="LCH","LCH","OTHER")))</f>
        <v/>
      </c>
      <c r="AD611" s="4">
        <f>MAX(0,Q611-MAX(0,Z611))</f>
        <v/>
      </c>
      <c r="AE611" s="4">
        <f>MAX(0,R611-MAX(0,Z611-SUM(Q611:Q611)))</f>
        <v/>
      </c>
      <c r="AF611" s="4">
        <f>MAX(0,S611-MAX(0,Z611-SUM(Q611:R611)))</f>
        <v/>
      </c>
      <c r="AG611" s="4">
        <f>MAX(0,T611-MAX(0,Z611-SUM(Q611:S611)))</f>
        <v/>
      </c>
      <c r="AH611" s="4">
        <f>MAX(0,U611-MAX(0,Z611-SUM(Q611:T611)))</f>
        <v/>
      </c>
      <c r="AI611" s="4">
        <f>MAX(0,V611-MAX(0,Z611-SUM(Q611:U611)))</f>
        <v/>
      </c>
      <c r="AJ611" s="4">
        <f>MAX(0,W611-MAX(0,Z611-SUM(Q611:V611)))</f>
        <v/>
      </c>
      <c r="AK611" s="4">
        <f>MAX(0,X611-MAX(0,Z611-SUM(Q611:W611)))</f>
        <v/>
      </c>
      <c r="AL611" s="4">
        <f>MAX(0,Y611-MAX(0,Z611-SUM(Q611:X611)))</f>
        <v/>
      </c>
    </row>
    <row r="612">
      <c r="A612" s="4" t="inlineStr">
        <is>
          <t>HASLS22260900170</t>
        </is>
      </c>
      <c r="B612" s="4" t="inlineStr">
        <is>
          <t>HMVY</t>
        </is>
      </c>
      <c r="C612" s="4" t="inlineStr">
        <is>
          <t>2609N</t>
        </is>
      </c>
      <c r="D612" s="4" t="inlineStr">
        <is>
          <t>202610200330</t>
        </is>
      </c>
      <c r="E612" s="4" t="inlineStr"/>
      <c r="F612" s="4" t="inlineStr">
        <is>
          <t>THLCH</t>
        </is>
      </c>
      <c r="G612" s="4" t="inlineStr">
        <is>
          <t>JPTRG</t>
        </is>
      </c>
      <c r="H612" s="4" t="inlineStr">
        <is>
          <t xml:space="preserve">20'x32 </t>
        </is>
      </c>
      <c r="I612" s="4" t="inlineStr">
        <is>
          <t>LCHY5</t>
        </is>
      </c>
      <c r="J612" s="4" t="inlineStr">
        <is>
          <t>PW DEPOT CO., LTD.</t>
        </is>
      </c>
      <c r="K612" s="4" t="inlineStr">
        <is>
          <t>20261012</t>
        </is>
      </c>
      <c r="L612" s="4" t="inlineStr">
        <is>
          <t>PANDA GOGO LOGISTICS CO., LTD.</t>
        </is>
      </c>
      <c r="M612" s="4" t="inlineStr">
        <is>
          <t>GC-M PTA COMPANY LIMITED</t>
        </is>
      </c>
      <c r="N612" s="4" t="inlineStr">
        <is>
          <t>PURIFIED TEREPHTHALIC ACID (HS CODE: 291736)</t>
        </is>
      </c>
      <c r="O612" s="4" t="inlineStr">
        <is>
          <t>SPECIAL REQUEST : SEABULK CONTAINER (FOR TOYOBO SHIPMENT)</t>
        </is>
      </c>
      <c r="P612" s="4" t="inlineStr">
        <is>
          <t>Pickup : 2026-10-12, Return : 2026-10-14</t>
        </is>
      </c>
      <c r="Q612" s="4" t="n">
        <v>32</v>
      </c>
      <c r="R612" s="4" t="n">
        <v>0</v>
      </c>
      <c r="S612" s="4" t="n">
        <v>0</v>
      </c>
      <c r="T612" s="4" t="n">
        <v>0</v>
      </c>
      <c r="U612" s="4" t="n">
        <v>0</v>
      </c>
      <c r="V612" s="4" t="n">
        <v>0</v>
      </c>
      <c r="W612" s="4" t="n">
        <v>0</v>
      </c>
      <c r="X612" s="4" t="n">
        <v>0</v>
      </c>
      <c r="Y612" s="4" t="n">
        <v>0</v>
      </c>
      <c r="Z612" s="4" t="n">
        <v>0</v>
      </c>
      <c r="AA612" s="4" t="n">
        <v>0</v>
      </c>
      <c r="AB612" s="4">
        <f>SUM(Q612:Y612)-Z612</f>
        <v/>
      </c>
      <c r="AC612" s="4">
        <f>IF(I612="","",IF(OR(LEFT(I612,3)="BKK",I612="LCH55"),"BKK",IF(LEFT(I612,3)="LCH","LCH","OTHER")))</f>
        <v/>
      </c>
      <c r="AD612" s="4">
        <f>MAX(0,Q612-MAX(0,Z612))</f>
        <v/>
      </c>
      <c r="AE612" s="4">
        <f>MAX(0,R612-MAX(0,Z612-SUM(Q612:Q612)))</f>
        <v/>
      </c>
      <c r="AF612" s="4">
        <f>MAX(0,S612-MAX(0,Z612-SUM(Q612:R612)))</f>
        <v/>
      </c>
      <c r="AG612" s="4">
        <f>MAX(0,T612-MAX(0,Z612-SUM(Q612:S612)))</f>
        <v/>
      </c>
      <c r="AH612" s="4">
        <f>MAX(0,U612-MAX(0,Z612-SUM(Q612:T612)))</f>
        <v/>
      </c>
      <c r="AI612" s="4">
        <f>MAX(0,V612-MAX(0,Z612-SUM(Q612:U612)))</f>
        <v/>
      </c>
      <c r="AJ612" s="4">
        <f>MAX(0,W612-MAX(0,Z612-SUM(Q612:V612)))</f>
        <v/>
      </c>
      <c r="AK612" s="4">
        <f>MAX(0,X612-MAX(0,Z612-SUM(Q612:W612)))</f>
        <v/>
      </c>
      <c r="AL612" s="4">
        <f>MAX(0,Y612-MAX(0,Z612-SUM(Q612:X612)))</f>
        <v/>
      </c>
    </row>
    <row r="613">
      <c r="A613" s="4" t="inlineStr">
        <is>
          <t>HASLS22260900175</t>
        </is>
      </c>
      <c r="B613" s="4" t="inlineStr">
        <is>
          <t>SWIC</t>
        </is>
      </c>
      <c r="C613" s="4" t="inlineStr">
        <is>
          <t>2611N</t>
        </is>
      </c>
      <c r="D613" s="4" t="inlineStr">
        <is>
          <t>202610132300</t>
        </is>
      </c>
      <c r="E613" s="4" t="inlineStr"/>
      <c r="F613" s="4" t="inlineStr">
        <is>
          <t>THLCH</t>
        </is>
      </c>
      <c r="G613" s="4" t="inlineStr">
        <is>
          <t>JPTYO</t>
        </is>
      </c>
      <c r="H613" s="4" t="inlineStr">
        <is>
          <t xml:space="preserve">20'x1 </t>
        </is>
      </c>
      <c r="I613" s="4" t="inlineStr">
        <is>
          <t>LCHY5</t>
        </is>
      </c>
      <c r="J613" s="4" t="inlineStr">
        <is>
          <t>PW DEPOT CO., LTD.</t>
        </is>
      </c>
      <c r="K613" s="4" t="inlineStr">
        <is>
          <t>20261010</t>
        </is>
      </c>
      <c r="L613" s="4" t="inlineStr">
        <is>
          <t>WHA GC LOGISTICS COMPANY LIMITED</t>
        </is>
      </c>
      <c r="M613" s="4" t="inlineStr">
        <is>
          <t>PTT GLOBAL CHEMICAL PUBLIC COMPANY LIMITED</t>
        </is>
      </c>
      <c r="N613" s="4" t="inlineStr">
        <is>
          <t>RESIN</t>
        </is>
      </c>
      <c r="O613" s="4" t="inlineStr">
        <is>
          <t>REQUEST GRADE A CONTAIER + SURVEY EMPTY BEFORE PICK UP DD.15/09/26</t>
        </is>
      </c>
      <c r="P613" s="4" t="inlineStr">
        <is>
          <t xml:space="preserve">CY-RTN 10-11/10/26 (PR2610002350 )
**CHECK OPENGATE BEFORE RETURN CNTR**
</t>
        </is>
      </c>
      <c r="Q613" s="4" t="n">
        <v>1</v>
      </c>
      <c r="R613" s="4" t="n">
        <v>0</v>
      </c>
      <c r="S613" s="4" t="n">
        <v>0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>
        <f>SUM(Q613:Y613)-Z613</f>
        <v/>
      </c>
      <c r="AC613" s="4">
        <f>IF(I613="","",IF(OR(LEFT(I613,3)="BKK",I613="LCH55"),"BKK",IF(LEFT(I613,3)="LCH","LCH","OTHER")))</f>
        <v/>
      </c>
      <c r="AD613" s="4">
        <f>MAX(0,Q613-MAX(0,Z613))</f>
        <v/>
      </c>
      <c r="AE613" s="4">
        <f>MAX(0,R613-MAX(0,Z613-SUM(Q613:Q613)))</f>
        <v/>
      </c>
      <c r="AF613" s="4">
        <f>MAX(0,S613-MAX(0,Z613-SUM(Q613:R613)))</f>
        <v/>
      </c>
      <c r="AG613" s="4">
        <f>MAX(0,T613-MAX(0,Z613-SUM(Q613:S613)))</f>
        <v/>
      </c>
      <c r="AH613" s="4">
        <f>MAX(0,U613-MAX(0,Z613-SUM(Q613:T613)))</f>
        <v/>
      </c>
      <c r="AI613" s="4">
        <f>MAX(0,V613-MAX(0,Z613-SUM(Q613:U613)))</f>
        <v/>
      </c>
      <c r="AJ613" s="4">
        <f>MAX(0,W613-MAX(0,Z613-SUM(Q613:V613)))</f>
        <v/>
      </c>
      <c r="AK613" s="4">
        <f>MAX(0,X613-MAX(0,Z613-SUM(Q613:W613)))</f>
        <v/>
      </c>
      <c r="AL613" s="4">
        <f>MAX(0,Y613-MAX(0,Z613-SUM(Q613:X613)))</f>
        <v/>
      </c>
    </row>
    <row r="614">
      <c r="A614" s="4" t="inlineStr">
        <is>
          <t>HASLS22260900176</t>
        </is>
      </c>
      <c r="B614" s="4" t="inlineStr">
        <is>
          <t>HMVY</t>
        </is>
      </c>
      <c r="C614" s="4" t="inlineStr">
        <is>
          <t>2609N</t>
        </is>
      </c>
      <c r="D614" s="4" t="inlineStr">
        <is>
          <t>202610200330</t>
        </is>
      </c>
      <c r="E614" s="4" t="inlineStr"/>
      <c r="F614" s="4" t="inlineStr">
        <is>
          <t>THLCH</t>
        </is>
      </c>
      <c r="G614" s="4" t="inlineStr">
        <is>
          <t>JPTYO</t>
        </is>
      </c>
      <c r="H614" s="4" t="inlineStr">
        <is>
          <t xml:space="preserve">20'x3 </t>
        </is>
      </c>
      <c r="I614" s="4" t="inlineStr">
        <is>
          <t>LCHY5</t>
        </is>
      </c>
      <c r="J614" s="4" t="inlineStr">
        <is>
          <t>PW DEPOT CO., LTD.</t>
        </is>
      </c>
      <c r="K614" s="4" t="inlineStr">
        <is>
          <t>20261008</t>
        </is>
      </c>
      <c r="L614" s="4" t="inlineStr">
        <is>
          <t>WHA GC LOGISTICS COMPANY LIMITED</t>
        </is>
      </c>
      <c r="M614" s="4" t="inlineStr">
        <is>
          <t>PTT GLOBAL CHEMICAL PUBLIC COMPANY LIMITED</t>
        </is>
      </c>
      <c r="N614" s="4" t="inlineStr">
        <is>
          <t>RESIN</t>
        </is>
      </c>
      <c r="O614" s="4" t="inlineStr">
        <is>
          <t>REQUEST GRADE A CONTAIER + SURVEY EMPTY BEFORE PICK UP DD.15/09/26</t>
        </is>
      </c>
      <c r="P614" s="4" t="inlineStr">
        <is>
          <t xml:space="preserve">CY-RTN 08-10/10/26 (PR2610002349 )
**CHECK OPENGATE BEFORE RETURN CNTR**
</t>
        </is>
      </c>
      <c r="Q614" s="4" t="n">
        <v>3</v>
      </c>
      <c r="R614" s="4" t="n">
        <v>0</v>
      </c>
      <c r="S614" s="4" t="n">
        <v>0</v>
      </c>
      <c r="T614" s="4" t="n">
        <v>0</v>
      </c>
      <c r="U614" s="4" t="n">
        <v>0</v>
      </c>
      <c r="V614" s="4" t="n">
        <v>0</v>
      </c>
      <c r="W614" s="4" t="n">
        <v>0</v>
      </c>
      <c r="X614" s="4" t="n">
        <v>0</v>
      </c>
      <c r="Y614" s="4" t="n">
        <v>0</v>
      </c>
      <c r="Z614" s="4" t="n">
        <v>0</v>
      </c>
      <c r="AA614" s="4" t="n">
        <v>0</v>
      </c>
      <c r="AB614" s="4">
        <f>SUM(Q614:Y614)-Z614</f>
        <v/>
      </c>
      <c r="AC614" s="4">
        <f>IF(I614="","",IF(OR(LEFT(I614,3)="BKK",I614="LCH55"),"BKK",IF(LEFT(I614,3)="LCH","LCH","OTHER")))</f>
        <v/>
      </c>
      <c r="AD614" s="4">
        <f>MAX(0,Q614-MAX(0,Z614))</f>
        <v/>
      </c>
      <c r="AE614" s="4">
        <f>MAX(0,R614-MAX(0,Z614-SUM(Q614:Q614)))</f>
        <v/>
      </c>
      <c r="AF614" s="4">
        <f>MAX(0,S614-MAX(0,Z614-SUM(Q614:R614)))</f>
        <v/>
      </c>
      <c r="AG614" s="4">
        <f>MAX(0,T614-MAX(0,Z614-SUM(Q614:S614)))</f>
        <v/>
      </c>
      <c r="AH614" s="4">
        <f>MAX(0,U614-MAX(0,Z614-SUM(Q614:T614)))</f>
        <v/>
      </c>
      <c r="AI614" s="4">
        <f>MAX(0,V614-MAX(0,Z614-SUM(Q614:U614)))</f>
        <v/>
      </c>
      <c r="AJ614" s="4">
        <f>MAX(0,W614-MAX(0,Z614-SUM(Q614:V614)))</f>
        <v/>
      </c>
      <c r="AK614" s="4">
        <f>MAX(0,X614-MAX(0,Z614-SUM(Q614:W614)))</f>
        <v/>
      </c>
      <c r="AL614" s="4">
        <f>MAX(0,Y614-MAX(0,Z614-SUM(Q614:X614)))</f>
        <v/>
      </c>
    </row>
    <row r="615">
      <c r="A615" s="4" t="inlineStr">
        <is>
          <t>HASLS22260900191</t>
        </is>
      </c>
      <c r="B615" s="4" t="inlineStr">
        <is>
          <t>KMBK</t>
        </is>
      </c>
      <c r="C615" s="4" t="inlineStr">
        <is>
          <t>2611N</t>
        </is>
      </c>
      <c r="D615" s="4" t="inlineStr">
        <is>
          <t>202610040100</t>
        </is>
      </c>
      <c r="E615" s="4" t="inlineStr"/>
      <c r="F615" s="4" t="inlineStr">
        <is>
          <t>THLCH</t>
        </is>
      </c>
      <c r="G615" s="4" t="inlineStr">
        <is>
          <t>RUVVO</t>
        </is>
      </c>
      <c r="H615" s="4" t="inlineStr">
        <is>
          <t xml:space="preserve">20'x1 </t>
        </is>
      </c>
      <c r="I615" s="4" t="inlineStr">
        <is>
          <t>LCHY5</t>
        </is>
      </c>
      <c r="J615" s="4" t="inlineStr">
        <is>
          <t>PW DEPOT CO., LTD.</t>
        </is>
      </c>
      <c r="K615" s="4" t="inlineStr">
        <is>
          <t>20260930</t>
        </is>
      </c>
      <c r="L615" s="4" t="inlineStr">
        <is>
          <t>RICH FREIGHT FORWARDER CO., LTD.</t>
        </is>
      </c>
      <c r="M615" s="4" t="inlineStr">
        <is>
          <t>COCO BLUES (THAILAND) CO.,LTD.</t>
        </is>
      </c>
      <c r="N615" s="4" t="inlineStr">
        <is>
          <t>COSMETICS</t>
        </is>
      </c>
      <c r="O615" s="4" t="inlineStr">
        <is>
          <t>RQST Good &amp; Clean Container</t>
        </is>
      </c>
      <c r="P615" s="4" t="inlineStr">
        <is>
          <t>KMBK/2611N/10/12[FIX] HAB/2611N/10/06[FIX] Pickup : 2026-09-30, Return : 2026-10-01
RQST Good &amp; Clean Container</t>
        </is>
      </c>
      <c r="Q615" s="4" t="n">
        <v>1</v>
      </c>
      <c r="R615" s="4" t="n">
        <v>0</v>
      </c>
      <c r="S615" s="4" t="n">
        <v>0</v>
      </c>
      <c r="T615" s="4" t="n">
        <v>0</v>
      </c>
      <c r="U615" s="4" t="n">
        <v>0</v>
      </c>
      <c r="V615" s="4" t="n">
        <v>0</v>
      </c>
      <c r="W615" s="4" t="n">
        <v>0</v>
      </c>
      <c r="X615" s="4" t="n">
        <v>0</v>
      </c>
      <c r="Y615" s="4" t="n">
        <v>0</v>
      </c>
      <c r="Z615" s="4" t="n">
        <v>0</v>
      </c>
      <c r="AA615" s="4" t="n">
        <v>0</v>
      </c>
      <c r="AB615" s="4">
        <f>SUM(Q615:Y615)-Z615</f>
        <v/>
      </c>
      <c r="AC615" s="4">
        <f>IF(I615="","",IF(OR(LEFT(I615,3)="BKK",I615="LCH55"),"BKK",IF(LEFT(I615,3)="LCH","LCH","OTHER")))</f>
        <v/>
      </c>
      <c r="AD615" s="4">
        <f>MAX(0,Q615-MAX(0,Z615))</f>
        <v/>
      </c>
      <c r="AE615" s="4">
        <f>MAX(0,R615-MAX(0,Z615-SUM(Q615:Q615)))</f>
        <v/>
      </c>
      <c r="AF615" s="4">
        <f>MAX(0,S615-MAX(0,Z615-SUM(Q615:R615)))</f>
        <v/>
      </c>
      <c r="AG615" s="4">
        <f>MAX(0,T615-MAX(0,Z615-SUM(Q615:S615)))</f>
        <v/>
      </c>
      <c r="AH615" s="4">
        <f>MAX(0,U615-MAX(0,Z615-SUM(Q615:T615)))</f>
        <v/>
      </c>
      <c r="AI615" s="4">
        <f>MAX(0,V615-MAX(0,Z615-SUM(Q615:U615)))</f>
        <v/>
      </c>
      <c r="AJ615" s="4">
        <f>MAX(0,W615-MAX(0,Z615-SUM(Q615:V615)))</f>
        <v/>
      </c>
      <c r="AK615" s="4">
        <f>MAX(0,X615-MAX(0,Z615-SUM(Q615:W615)))</f>
        <v/>
      </c>
      <c r="AL615" s="4">
        <f>MAX(0,Y615-MAX(0,Z615-SUM(Q615:X615)))</f>
        <v/>
      </c>
    </row>
    <row r="616">
      <c r="A616" s="4" t="inlineStr">
        <is>
          <t>HASLS22260900390</t>
        </is>
      </c>
      <c r="B616" s="4" t="inlineStr">
        <is>
          <t>SWSP</t>
        </is>
      </c>
      <c r="C616" s="4" t="inlineStr">
        <is>
          <t>2609N</t>
        </is>
      </c>
      <c r="D616" s="4" t="inlineStr">
        <is>
          <t>202610080830</t>
        </is>
      </c>
      <c r="E616" s="4" t="inlineStr"/>
      <c r="F616" s="4" t="inlineStr">
        <is>
          <t>THLCH</t>
        </is>
      </c>
      <c r="G616" s="4" t="inlineStr">
        <is>
          <t>VNSGN</t>
        </is>
      </c>
      <c r="H616" s="4" t="inlineStr">
        <is>
          <t xml:space="preserve">20'x1 </t>
        </is>
      </c>
      <c r="I616" s="4" t="inlineStr">
        <is>
          <t>LCHY5</t>
        </is>
      </c>
      <c r="J616" s="4" t="inlineStr">
        <is>
          <t>PW DEPOT CO., LTD.</t>
        </is>
      </c>
      <c r="K616" s="4" t="inlineStr">
        <is>
          <t>20261006</t>
        </is>
      </c>
      <c r="L616" s="4" t="inlineStr">
        <is>
          <t>CELESTIAL XPRESS LOGISTICS (THAILAND) CO., LTD.</t>
        </is>
      </c>
      <c r="M616" s="4" t="inlineStr">
        <is>
          <t>LONGWELL COMPANY (THAILAND) CO.,LTD.</t>
        </is>
      </c>
      <c r="N616" s="4" t="inlineStr">
        <is>
          <t>POWER CORD</t>
        </is>
      </c>
      <c r="O616" s="4" t="inlineStr">
        <is>
          <t>GOOD AND CLEAN CONTAINER</t>
        </is>
      </c>
      <c r="P616" s="4" t="inlineStr">
        <is>
          <t>Pickup : 2026-10-06, Return : 2026-10-06</t>
        </is>
      </c>
      <c r="Q616" s="4" t="n">
        <v>1</v>
      </c>
      <c r="R616" s="4" t="n">
        <v>0</v>
      </c>
      <c r="S616" s="4" t="n">
        <v>0</v>
      </c>
      <c r="T616" s="4" t="n">
        <v>0</v>
      </c>
      <c r="U616" s="4" t="n">
        <v>0</v>
      </c>
      <c r="V616" s="4" t="n">
        <v>0</v>
      </c>
      <c r="W616" s="4" t="n">
        <v>0</v>
      </c>
      <c r="X616" s="4" t="n">
        <v>0</v>
      </c>
      <c r="Y616" s="4" t="n">
        <v>0</v>
      </c>
      <c r="Z616" s="4" t="n">
        <v>0</v>
      </c>
      <c r="AA616" s="4" t="n">
        <v>0</v>
      </c>
      <c r="AB616" s="4">
        <f>SUM(Q616:Y616)-Z616</f>
        <v/>
      </c>
      <c r="AC616" s="4">
        <f>IF(I616="","",IF(OR(LEFT(I616,3)="BKK",I616="LCH55"),"BKK",IF(LEFT(I616,3)="LCH","LCH","OTHER")))</f>
        <v/>
      </c>
      <c r="AD616" s="4">
        <f>MAX(0,Q616-MAX(0,Z616))</f>
        <v/>
      </c>
      <c r="AE616" s="4">
        <f>MAX(0,R616-MAX(0,Z616-SUM(Q616:Q616)))</f>
        <v/>
      </c>
      <c r="AF616" s="4">
        <f>MAX(0,S616-MAX(0,Z616-SUM(Q616:R616)))</f>
        <v/>
      </c>
      <c r="AG616" s="4">
        <f>MAX(0,T616-MAX(0,Z616-SUM(Q616:S616)))</f>
        <v/>
      </c>
      <c r="AH616" s="4">
        <f>MAX(0,U616-MAX(0,Z616-SUM(Q616:T616)))</f>
        <v/>
      </c>
      <c r="AI616" s="4">
        <f>MAX(0,V616-MAX(0,Z616-SUM(Q616:U616)))</f>
        <v/>
      </c>
      <c r="AJ616" s="4">
        <f>MAX(0,W616-MAX(0,Z616-SUM(Q616:V616)))</f>
        <v/>
      </c>
      <c r="AK616" s="4">
        <f>MAX(0,X616-MAX(0,Z616-SUM(Q616:W616)))</f>
        <v/>
      </c>
      <c r="AL616" s="4">
        <f>MAX(0,Y616-MAX(0,Z616-SUM(Q616:X616)))</f>
        <v/>
      </c>
    </row>
    <row r="617">
      <c r="A617" s="4" t="inlineStr">
        <is>
          <t>HASLS22260900400</t>
        </is>
      </c>
      <c r="B617" s="4" t="inlineStr">
        <is>
          <t>HMVY</t>
        </is>
      </c>
      <c r="C617" s="4" t="inlineStr">
        <is>
          <t>2609N</t>
        </is>
      </c>
      <c r="D617" s="4" t="inlineStr">
        <is>
          <t>202610200330</t>
        </is>
      </c>
      <c r="E617" s="4" t="inlineStr"/>
      <c r="F617" s="4" t="inlineStr">
        <is>
          <t>THLCH</t>
        </is>
      </c>
      <c r="G617" s="4" t="inlineStr">
        <is>
          <t>JPTMK</t>
        </is>
      </c>
      <c r="H617" s="4" t="inlineStr">
        <is>
          <t xml:space="preserve">20'x4 </t>
        </is>
      </c>
      <c r="I617" s="4" t="inlineStr">
        <is>
          <t>LCHY5</t>
        </is>
      </c>
      <c r="J617" s="4" t="inlineStr">
        <is>
          <t>PW DEPOT CO., LTD.</t>
        </is>
      </c>
      <c r="K617" s="4" t="inlineStr">
        <is>
          <t>20261014</t>
        </is>
      </c>
      <c r="L617" s="4" t="inlineStr">
        <is>
          <t>ROJANA DISTRIBUTION CENTER CO., LTD.</t>
        </is>
      </c>
      <c r="M617" s="4" t="inlineStr">
        <is>
          <t>SEI THAI ELECTRIC CONDUCTOR CO., LTD.</t>
        </is>
      </c>
      <c r="N617" s="4" t="inlineStr">
        <is>
          <t>ALUMINUM WIRE ROD</t>
        </is>
      </c>
      <c r="O617" s="4" t="inlineStr">
        <is>
          <t>Condition of container:
Load by forklift, goods grade, smooth and strong floor. Not wet, no oil.</t>
        </is>
      </c>
      <c r="P617" s="4" t="inlineStr">
        <is>
          <t xml:space="preserve">Pickup : 2026-10-14, Return : 2026-10-15 </t>
        </is>
      </c>
      <c r="Q617" s="4" t="n">
        <v>4</v>
      </c>
      <c r="R617" s="4" t="n">
        <v>0</v>
      </c>
      <c r="S617" s="4" t="n">
        <v>0</v>
      </c>
      <c r="T617" s="4" t="n">
        <v>0</v>
      </c>
      <c r="U617" s="4" t="n">
        <v>0</v>
      </c>
      <c r="V617" s="4" t="n">
        <v>0</v>
      </c>
      <c r="W617" s="4" t="n">
        <v>0</v>
      </c>
      <c r="X617" s="4" t="n">
        <v>0</v>
      </c>
      <c r="Y617" s="4" t="n">
        <v>0</v>
      </c>
      <c r="Z617" s="4" t="n">
        <v>0</v>
      </c>
      <c r="AA617" s="4" t="n">
        <v>0</v>
      </c>
      <c r="AB617" s="4">
        <f>SUM(Q617:Y617)-Z617</f>
        <v/>
      </c>
      <c r="AC617" s="4">
        <f>IF(I617="","",IF(OR(LEFT(I617,3)="BKK",I617="LCH55"),"BKK",IF(LEFT(I617,3)="LCH","LCH","OTHER")))</f>
        <v/>
      </c>
      <c r="AD617" s="4">
        <f>MAX(0,Q617-MAX(0,Z617))</f>
        <v/>
      </c>
      <c r="AE617" s="4">
        <f>MAX(0,R617-MAX(0,Z617-SUM(Q617:Q617)))</f>
        <v/>
      </c>
      <c r="AF617" s="4">
        <f>MAX(0,S617-MAX(0,Z617-SUM(Q617:R617)))</f>
        <v/>
      </c>
      <c r="AG617" s="4">
        <f>MAX(0,T617-MAX(0,Z617-SUM(Q617:S617)))</f>
        <v/>
      </c>
      <c r="AH617" s="4">
        <f>MAX(0,U617-MAX(0,Z617-SUM(Q617:T617)))</f>
        <v/>
      </c>
      <c r="AI617" s="4">
        <f>MAX(0,V617-MAX(0,Z617-SUM(Q617:U617)))</f>
        <v/>
      </c>
      <c r="AJ617" s="4">
        <f>MAX(0,W617-MAX(0,Z617-SUM(Q617:V617)))</f>
        <v/>
      </c>
      <c r="AK617" s="4">
        <f>MAX(0,X617-MAX(0,Z617-SUM(Q617:W617)))</f>
        <v/>
      </c>
      <c r="AL617" s="4">
        <f>MAX(0,Y617-MAX(0,Z617-SUM(Q617:X617)))</f>
        <v/>
      </c>
    </row>
    <row r="618">
      <c r="A618" s="4" t="inlineStr">
        <is>
          <t>HASLS22260900403</t>
        </is>
      </c>
      <c r="B618" s="4" t="inlineStr">
        <is>
          <t>HMVY</t>
        </is>
      </c>
      <c r="C618" s="4" t="inlineStr">
        <is>
          <t>2609N</t>
        </is>
      </c>
      <c r="D618" s="4" t="inlineStr">
        <is>
          <t>202610200330</t>
        </is>
      </c>
      <c r="E618" s="4" t="inlineStr"/>
      <c r="F618" s="4" t="inlineStr">
        <is>
          <t>THLCH</t>
        </is>
      </c>
      <c r="G618" s="4" t="inlineStr">
        <is>
          <t>JPHIJ</t>
        </is>
      </c>
      <c r="H618" s="4" t="inlineStr">
        <is>
          <t xml:space="preserve">20'x8 </t>
        </is>
      </c>
      <c r="I618" s="4" t="inlineStr">
        <is>
          <t>LCHY5</t>
        </is>
      </c>
      <c r="J618" s="4" t="inlineStr">
        <is>
          <t>PW DEPOT CO., LTD.</t>
        </is>
      </c>
      <c r="K618" s="4" t="inlineStr">
        <is>
          <t>20261007</t>
        </is>
      </c>
      <c r="L618" s="4" t="inlineStr">
        <is>
          <t>WHA GC LOGISTICS COMPANY LIMITED</t>
        </is>
      </c>
      <c r="M618" s="4" t="inlineStr">
        <is>
          <t>PTT GLOBAL CHEMICAL PUBLIC COMPANY LIMITED</t>
        </is>
      </c>
      <c r="N618" s="4" t="inlineStr">
        <is>
          <t>RESIN</t>
        </is>
      </c>
      <c r="O618" s="4" t="inlineStr">
        <is>
          <t>*** REQ. GOOD &amp; CLEAN  CONT. .( NO SMELL)  ***</t>
        </is>
      </c>
      <c r="P618" s="4" t="inlineStr">
        <is>
          <t>CY-RTN 07-13/10/26 (PR2610001860)
*PLS CHECK OPEN GATE BEFORE RETURN CTNR*</t>
        </is>
      </c>
      <c r="Q618" s="4" t="n">
        <v>8</v>
      </c>
      <c r="R618" s="4" t="n">
        <v>0</v>
      </c>
      <c r="S618" s="4" t="n">
        <v>0</v>
      </c>
      <c r="T618" s="4" t="n">
        <v>0</v>
      </c>
      <c r="U618" s="4" t="n">
        <v>0</v>
      </c>
      <c r="V618" s="4" t="n">
        <v>0</v>
      </c>
      <c r="W618" s="4" t="n">
        <v>0</v>
      </c>
      <c r="X618" s="4" t="n">
        <v>0</v>
      </c>
      <c r="Y618" s="4" t="n">
        <v>0</v>
      </c>
      <c r="Z618" s="4" t="n">
        <v>0</v>
      </c>
      <c r="AA618" s="4" t="n">
        <v>0</v>
      </c>
      <c r="AB618" s="4">
        <f>SUM(Q618:Y618)-Z618</f>
        <v/>
      </c>
      <c r="AC618" s="4">
        <f>IF(I618="","",IF(OR(LEFT(I618,3)="BKK",I618="LCH55"),"BKK",IF(LEFT(I618,3)="LCH","LCH","OTHER")))</f>
        <v/>
      </c>
      <c r="AD618" s="4">
        <f>MAX(0,Q618-MAX(0,Z618))</f>
        <v/>
      </c>
      <c r="AE618" s="4">
        <f>MAX(0,R618-MAX(0,Z618-SUM(Q618:Q618)))</f>
        <v/>
      </c>
      <c r="AF618" s="4">
        <f>MAX(0,S618-MAX(0,Z618-SUM(Q618:R618)))</f>
        <v/>
      </c>
      <c r="AG618" s="4">
        <f>MAX(0,T618-MAX(0,Z618-SUM(Q618:S618)))</f>
        <v/>
      </c>
      <c r="AH618" s="4">
        <f>MAX(0,U618-MAX(0,Z618-SUM(Q618:T618)))</f>
        <v/>
      </c>
      <c r="AI618" s="4">
        <f>MAX(0,V618-MAX(0,Z618-SUM(Q618:U618)))</f>
        <v/>
      </c>
      <c r="AJ618" s="4">
        <f>MAX(0,W618-MAX(0,Z618-SUM(Q618:V618)))</f>
        <v/>
      </c>
      <c r="AK618" s="4">
        <f>MAX(0,X618-MAX(0,Z618-SUM(Q618:W618)))</f>
        <v/>
      </c>
      <c r="AL618" s="4">
        <f>MAX(0,Y618-MAX(0,Z618-SUM(Q618:X618)))</f>
        <v/>
      </c>
    </row>
    <row r="619">
      <c r="A619" s="4" t="inlineStr">
        <is>
          <t>HASLS22260900437</t>
        </is>
      </c>
      <c r="B619" s="4" t="inlineStr">
        <is>
          <t>SWVG</t>
        </is>
      </c>
      <c r="C619" s="4" t="inlineStr">
        <is>
          <t>2612N</t>
        </is>
      </c>
      <c r="D619" s="4" t="inlineStr">
        <is>
          <t>202610070330</t>
        </is>
      </c>
      <c r="E619" s="4" t="inlineStr"/>
      <c r="F619" s="4" t="inlineStr">
        <is>
          <t>THLCH</t>
        </is>
      </c>
      <c r="G619" s="4" t="inlineStr">
        <is>
          <t>JPNGO</t>
        </is>
      </c>
      <c r="H619" s="4" t="inlineStr">
        <is>
          <t xml:space="preserve">20'x1 </t>
        </is>
      </c>
      <c r="I619" s="4" t="inlineStr">
        <is>
          <t>LCHY5</t>
        </is>
      </c>
      <c r="J619" s="4" t="inlineStr">
        <is>
          <t>PW DEPOT CO., LTD.</t>
        </is>
      </c>
      <c r="K619" s="4" t="inlineStr">
        <is>
          <t>20260921</t>
        </is>
      </c>
      <c r="L619" s="4" t="inlineStr">
        <is>
          <t>DOW CHEMICAL THAILAND LTD.</t>
        </is>
      </c>
      <c r="M619" s="4" t="inlineStr">
        <is>
          <t>SIAM POLYETHYLENE CO., LTD.</t>
        </is>
      </c>
      <c r="N619" s="4" t="inlineStr">
        <is>
          <t>RESIN</t>
        </is>
      </c>
      <c r="O619" s="4" t="inlineStr">
        <is>
          <t>1X20' SEABULK</t>
        </is>
      </c>
      <c r="P619" s="4" t="inlineStr">
        <is>
          <t>Pickup : 2026-09-21, Return : 2026-09-26</t>
        </is>
      </c>
      <c r="Q619" s="4" t="n">
        <v>1</v>
      </c>
      <c r="R619" s="4" t="n">
        <v>0</v>
      </c>
      <c r="S619" s="4" t="n">
        <v>0</v>
      </c>
      <c r="T619" s="4" t="n">
        <v>0</v>
      </c>
      <c r="U619" s="4" t="n">
        <v>0</v>
      </c>
      <c r="V619" s="4" t="n">
        <v>0</v>
      </c>
      <c r="W619" s="4" t="n">
        <v>0</v>
      </c>
      <c r="X619" s="4" t="n">
        <v>0</v>
      </c>
      <c r="Y619" s="4" t="n">
        <v>0</v>
      </c>
      <c r="Z619" s="4" t="n">
        <v>0</v>
      </c>
      <c r="AA619" s="4" t="n">
        <v>0</v>
      </c>
      <c r="AB619" s="4">
        <f>SUM(Q619:Y619)-Z619</f>
        <v/>
      </c>
      <c r="AC619" s="4">
        <f>IF(I619="","",IF(OR(LEFT(I619,3)="BKK",I619="LCH55"),"BKK",IF(LEFT(I619,3)="LCH","LCH","OTHER")))</f>
        <v/>
      </c>
      <c r="AD619" s="4">
        <f>MAX(0,Q619-MAX(0,Z619))</f>
        <v/>
      </c>
      <c r="AE619" s="4">
        <f>MAX(0,R619-MAX(0,Z619-SUM(Q619:Q619)))</f>
        <v/>
      </c>
      <c r="AF619" s="4">
        <f>MAX(0,S619-MAX(0,Z619-SUM(Q619:R619)))</f>
        <v/>
      </c>
      <c r="AG619" s="4">
        <f>MAX(0,T619-MAX(0,Z619-SUM(Q619:S619)))</f>
        <v/>
      </c>
      <c r="AH619" s="4">
        <f>MAX(0,U619-MAX(0,Z619-SUM(Q619:T619)))</f>
        <v/>
      </c>
      <c r="AI619" s="4">
        <f>MAX(0,V619-MAX(0,Z619-SUM(Q619:U619)))</f>
        <v/>
      </c>
      <c r="AJ619" s="4">
        <f>MAX(0,W619-MAX(0,Z619-SUM(Q619:V619)))</f>
        <v/>
      </c>
      <c r="AK619" s="4">
        <f>MAX(0,X619-MAX(0,Z619-SUM(Q619:W619)))</f>
        <v/>
      </c>
      <c r="AL619" s="4">
        <f>MAX(0,Y619-MAX(0,Z619-SUM(Q619:X619)))</f>
        <v/>
      </c>
    </row>
    <row r="620">
      <c r="A620" s="4" t="inlineStr">
        <is>
          <t>HASLS22260900438</t>
        </is>
      </c>
      <c r="B620" s="4" t="inlineStr">
        <is>
          <t>SWVG</t>
        </is>
      </c>
      <c r="C620" s="4" t="inlineStr">
        <is>
          <t>2612N</t>
        </is>
      </c>
      <c r="D620" s="4" t="inlineStr">
        <is>
          <t>202610070330</t>
        </is>
      </c>
      <c r="E620" s="4" t="inlineStr"/>
      <c r="F620" s="4" t="inlineStr">
        <is>
          <t>THLCH</t>
        </is>
      </c>
      <c r="G620" s="4" t="inlineStr">
        <is>
          <t>JPNGO</t>
        </is>
      </c>
      <c r="H620" s="4" t="inlineStr">
        <is>
          <t xml:space="preserve">20'x1 </t>
        </is>
      </c>
      <c r="I620" s="4" t="inlineStr">
        <is>
          <t>LCHY5</t>
        </is>
      </c>
      <c r="J620" s="4" t="inlineStr">
        <is>
          <t>PW DEPOT CO., LTD.</t>
        </is>
      </c>
      <c r="K620" s="4" t="inlineStr">
        <is>
          <t>20260921</t>
        </is>
      </c>
      <c r="L620" s="4" t="inlineStr">
        <is>
          <t>DOW CHEMICAL THAILAND LTD.</t>
        </is>
      </c>
      <c r="M620" s="4" t="inlineStr">
        <is>
          <t>SIAM POLYETHYLENE CO., LTD.</t>
        </is>
      </c>
      <c r="N620" s="4" t="inlineStr">
        <is>
          <t>RESIN</t>
        </is>
      </c>
      <c r="O620" s="4" t="inlineStr">
        <is>
          <t>1X20' SEABULK</t>
        </is>
      </c>
      <c r="P620" s="4" t="inlineStr">
        <is>
          <t>Pickup : 2026-09-21, Return : 2026-09-26</t>
        </is>
      </c>
      <c r="Q620" s="4" t="n">
        <v>1</v>
      </c>
      <c r="R620" s="4" t="n">
        <v>0</v>
      </c>
      <c r="S620" s="4" t="n">
        <v>0</v>
      </c>
      <c r="T620" s="4" t="n">
        <v>0</v>
      </c>
      <c r="U620" s="4" t="n">
        <v>0</v>
      </c>
      <c r="V620" s="4" t="n">
        <v>0</v>
      </c>
      <c r="W620" s="4" t="n">
        <v>0</v>
      </c>
      <c r="X620" s="4" t="n">
        <v>0</v>
      </c>
      <c r="Y620" s="4" t="n">
        <v>0</v>
      </c>
      <c r="Z620" s="4" t="n">
        <v>0</v>
      </c>
      <c r="AA620" s="4" t="n">
        <v>0</v>
      </c>
      <c r="AB620" s="4">
        <f>SUM(Q620:Y620)-Z620</f>
        <v/>
      </c>
      <c r="AC620" s="4">
        <f>IF(I620="","",IF(OR(LEFT(I620,3)="BKK",I620="LCH55"),"BKK",IF(LEFT(I620,3)="LCH","LCH","OTHER")))</f>
        <v/>
      </c>
      <c r="AD620" s="4">
        <f>MAX(0,Q620-MAX(0,Z620))</f>
        <v/>
      </c>
      <c r="AE620" s="4">
        <f>MAX(0,R620-MAX(0,Z620-SUM(Q620:Q620)))</f>
        <v/>
      </c>
      <c r="AF620" s="4">
        <f>MAX(0,S620-MAX(0,Z620-SUM(Q620:R620)))</f>
        <v/>
      </c>
      <c r="AG620" s="4">
        <f>MAX(0,T620-MAX(0,Z620-SUM(Q620:S620)))</f>
        <v/>
      </c>
      <c r="AH620" s="4">
        <f>MAX(0,U620-MAX(0,Z620-SUM(Q620:T620)))</f>
        <v/>
      </c>
      <c r="AI620" s="4">
        <f>MAX(0,V620-MAX(0,Z620-SUM(Q620:U620)))</f>
        <v/>
      </c>
      <c r="AJ620" s="4">
        <f>MAX(0,W620-MAX(0,Z620-SUM(Q620:V620)))</f>
        <v/>
      </c>
      <c r="AK620" s="4">
        <f>MAX(0,X620-MAX(0,Z620-SUM(Q620:W620)))</f>
        <v/>
      </c>
      <c r="AL620" s="4">
        <f>MAX(0,Y620-MAX(0,Z620-SUM(Q620:X620)))</f>
        <v/>
      </c>
    </row>
    <row r="621">
      <c r="A621" s="4" t="inlineStr">
        <is>
          <t>HASLS22260900442</t>
        </is>
      </c>
      <c r="B621" s="4" t="inlineStr">
        <is>
          <t>SWVG</t>
        </is>
      </c>
      <c r="C621" s="4" t="inlineStr">
        <is>
          <t>2612N</t>
        </is>
      </c>
      <c r="D621" s="4" t="inlineStr">
        <is>
          <t>202610070330</t>
        </is>
      </c>
      <c r="E621" s="4" t="inlineStr"/>
      <c r="F621" s="4" t="inlineStr">
        <is>
          <t>THLCH</t>
        </is>
      </c>
      <c r="G621" s="4" t="inlineStr">
        <is>
          <t>CNSHA</t>
        </is>
      </c>
      <c r="H621" s="4" t="inlineStr">
        <is>
          <t xml:space="preserve">40Hx30 </t>
        </is>
      </c>
      <c r="I621" s="4" t="inlineStr">
        <is>
          <t>LCHY5</t>
        </is>
      </c>
      <c r="J621" s="4" t="inlineStr">
        <is>
          <t>PW DEPOT CO., LTD.</t>
        </is>
      </c>
      <c r="K621" s="4" t="inlineStr">
        <is>
          <t>20260928</t>
        </is>
      </c>
      <c r="L621" s="4" t="inlineStr">
        <is>
          <t>BARKLAYS LOGISTICS (THAILAND) CO., LTD.</t>
        </is>
      </c>
      <c r="M621" s="4" t="inlineStr">
        <is>
          <t>SHUN YI INTERNATIONAL TRADING CO., LTD.</t>
        </is>
      </c>
      <c r="N621" s="4" t="inlineStr">
        <is>
          <t>PAPER PULP</t>
        </is>
      </c>
      <c r="O621" s="4" t="inlineStr">
        <is>
          <t>RQST CNTR 32.5 TONS // 40'HQ</t>
        </is>
      </c>
      <c r="P621" s="4" t="inlineStr">
        <is>
          <t>Pickup : 2026-09-28, Return : 2026-09-29</t>
        </is>
      </c>
      <c r="Q621" s="4" t="n">
        <v>0</v>
      </c>
      <c r="R621" s="4" t="n">
        <v>0</v>
      </c>
      <c r="S621" s="4" t="n">
        <v>30</v>
      </c>
      <c r="T621" s="4" t="n">
        <v>0</v>
      </c>
      <c r="U621" s="4" t="n">
        <v>0</v>
      </c>
      <c r="V621" s="4" t="n">
        <v>0</v>
      </c>
      <c r="W621" s="4" t="n">
        <v>0</v>
      </c>
      <c r="X621" s="4" t="n">
        <v>0</v>
      </c>
      <c r="Y621" s="4" t="n">
        <v>0</v>
      </c>
      <c r="Z621" s="4" t="n">
        <v>0</v>
      </c>
      <c r="AA621" s="4" t="n">
        <v>0</v>
      </c>
      <c r="AB621" s="4">
        <f>SUM(Q621:Y621)-Z621</f>
        <v/>
      </c>
      <c r="AC621" s="4">
        <f>IF(I621="","",IF(OR(LEFT(I621,3)="BKK",I621="LCH55"),"BKK",IF(LEFT(I621,3)="LCH","LCH","OTHER")))</f>
        <v/>
      </c>
      <c r="AD621" s="4">
        <f>MAX(0,Q621-MAX(0,Z621))</f>
        <v/>
      </c>
      <c r="AE621" s="4">
        <f>MAX(0,R621-MAX(0,Z621-SUM(Q621:Q621)))</f>
        <v/>
      </c>
      <c r="AF621" s="4">
        <f>MAX(0,S621-MAX(0,Z621-SUM(Q621:R621)))</f>
        <v/>
      </c>
      <c r="AG621" s="4">
        <f>MAX(0,T621-MAX(0,Z621-SUM(Q621:S621)))</f>
        <v/>
      </c>
      <c r="AH621" s="4">
        <f>MAX(0,U621-MAX(0,Z621-SUM(Q621:T621)))</f>
        <v/>
      </c>
      <c r="AI621" s="4">
        <f>MAX(0,V621-MAX(0,Z621-SUM(Q621:U621)))</f>
        <v/>
      </c>
      <c r="AJ621" s="4">
        <f>MAX(0,W621-MAX(0,Z621-SUM(Q621:V621)))</f>
        <v/>
      </c>
      <c r="AK621" s="4">
        <f>MAX(0,X621-MAX(0,Z621-SUM(Q621:W621)))</f>
        <v/>
      </c>
      <c r="AL621" s="4">
        <f>MAX(0,Y621-MAX(0,Z621-SUM(Q621:X621)))</f>
        <v/>
      </c>
    </row>
    <row r="622">
      <c r="A622" s="4" t="inlineStr">
        <is>
          <t>HASLS22260900459</t>
        </is>
      </c>
      <c r="B622" s="4" t="inlineStr">
        <is>
          <t>SWAT</t>
        </is>
      </c>
      <c r="C622" s="4" t="inlineStr">
        <is>
          <t>2610N</t>
        </is>
      </c>
      <c r="D622" s="4" t="inlineStr">
        <is>
          <t>202610081000</t>
        </is>
      </c>
      <c r="E622" s="4" t="inlineStr"/>
      <c r="F622" s="4" t="inlineStr">
        <is>
          <t>THLCH</t>
        </is>
      </c>
      <c r="G622" s="4" t="inlineStr">
        <is>
          <t>CNSHK</t>
        </is>
      </c>
      <c r="H622" s="4" t="inlineStr">
        <is>
          <t xml:space="preserve">20'x5 </t>
        </is>
      </c>
      <c r="I622" s="4" t="inlineStr">
        <is>
          <t>LCHY5</t>
        </is>
      </c>
      <c r="J622" s="4" t="inlineStr">
        <is>
          <t>PW DEPOT CO., LTD.</t>
        </is>
      </c>
      <c r="K622" s="4" t="inlineStr">
        <is>
          <t>20260928</t>
        </is>
      </c>
      <c r="L622" s="4" t="inlineStr">
        <is>
          <t>THAI POLYCARBONATE CO., LTD.</t>
        </is>
      </c>
      <c r="M622" s="4" t="inlineStr">
        <is>
          <t>THAI POLYCARBONATE CO., LTD.</t>
        </is>
      </c>
      <c r="N622" s="4" t="inlineStr">
        <is>
          <t>POLYCARBONATE RESIN (HS CODE. 3907.40)</t>
        </is>
      </c>
      <c r="O622" s="4" t="inlineStr">
        <is>
          <t>Loading with pallet-by forklift, required good container with strong floorboard and bullet seal to this shipment***</t>
        </is>
      </c>
      <c r="P622" s="4" t="inlineStr">
        <is>
          <t>Pickup : 2026-09-28, Return : 2026-10-02</t>
        </is>
      </c>
      <c r="Q622" s="4" t="n">
        <v>5</v>
      </c>
      <c r="R622" s="4" t="n">
        <v>0</v>
      </c>
      <c r="S622" s="4" t="n">
        <v>0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4</v>
      </c>
      <c r="AA622" s="4" t="n">
        <v>0</v>
      </c>
      <c r="AB622" s="4">
        <f>SUM(Q622:Y622)-Z622</f>
        <v/>
      </c>
      <c r="AC622" s="4">
        <f>IF(I622="","",IF(OR(LEFT(I622,3)="BKK",I622="LCH55"),"BKK",IF(LEFT(I622,3)="LCH","LCH","OTHER")))</f>
        <v/>
      </c>
      <c r="AD622" s="4">
        <f>MAX(0,Q622-MAX(0,Z622))</f>
        <v/>
      </c>
      <c r="AE622" s="4">
        <f>MAX(0,R622-MAX(0,Z622-SUM(Q622:Q622)))</f>
        <v/>
      </c>
      <c r="AF622" s="4">
        <f>MAX(0,S622-MAX(0,Z622-SUM(Q622:R622)))</f>
        <v/>
      </c>
      <c r="AG622" s="4">
        <f>MAX(0,T622-MAX(0,Z622-SUM(Q622:S622)))</f>
        <v/>
      </c>
      <c r="AH622" s="4">
        <f>MAX(0,U622-MAX(0,Z622-SUM(Q622:T622)))</f>
        <v/>
      </c>
      <c r="AI622" s="4">
        <f>MAX(0,V622-MAX(0,Z622-SUM(Q622:U622)))</f>
        <v/>
      </c>
      <c r="AJ622" s="4">
        <f>MAX(0,W622-MAX(0,Z622-SUM(Q622:V622)))</f>
        <v/>
      </c>
      <c r="AK622" s="4">
        <f>MAX(0,X622-MAX(0,Z622-SUM(Q622:W622)))</f>
        <v/>
      </c>
      <c r="AL622" s="4">
        <f>MAX(0,Y622-MAX(0,Z622-SUM(Q622:X622)))</f>
        <v/>
      </c>
    </row>
    <row r="623">
      <c r="A623" s="4" t="inlineStr">
        <is>
          <t>HASLS22260900547</t>
        </is>
      </c>
      <c r="B623" s="4" t="inlineStr">
        <is>
          <t>TBN</t>
        </is>
      </c>
      <c r="C623" s="4" t="inlineStr">
        <is>
          <t>001</t>
        </is>
      </c>
      <c r="D623" s="4" t="inlineStr"/>
      <c r="E623" s="4" t="inlineStr"/>
      <c r="F623" s="4" t="inlineStr">
        <is>
          <t>THLCH</t>
        </is>
      </c>
      <c r="G623" s="4" t="inlineStr">
        <is>
          <t>JPTRG</t>
        </is>
      </c>
      <c r="H623" s="4" t="inlineStr">
        <is>
          <t xml:space="preserve">20'x3 </t>
        </is>
      </c>
      <c r="I623" s="4" t="inlineStr">
        <is>
          <t>LCHY5</t>
        </is>
      </c>
      <c r="J623" s="4" t="inlineStr">
        <is>
          <t>PW DEPOT CO., LTD.</t>
        </is>
      </c>
      <c r="K623" s="4" t="inlineStr">
        <is>
          <t>20260924</t>
        </is>
      </c>
      <c r="L623" s="4" t="inlineStr">
        <is>
          <t>DOW CHEMICAL THAILAND LTD.</t>
        </is>
      </c>
      <c r="M623" s="4" t="inlineStr">
        <is>
          <t>DOW CHEMICAL THAILAND LTD.</t>
        </is>
      </c>
      <c r="N623" s="4" t="inlineStr">
        <is>
          <t>RESIN</t>
        </is>
      </c>
      <c r="O623" s="4" t="inlineStr">
        <is>
          <t>RQST CNTR SEABULK &amp; GRADE A</t>
        </is>
      </c>
      <c r="P623" s="4" t="inlineStr">
        <is>
          <t>CY CNTR DD.24/09/2026 RQST CNTR SEABULK &amp; GRADE A</t>
        </is>
      </c>
      <c r="Q623" s="4" t="n">
        <v>3</v>
      </c>
      <c r="R623" s="4" t="n">
        <v>0</v>
      </c>
      <c r="S623" s="4" t="n">
        <v>0</v>
      </c>
      <c r="T623" s="4" t="n">
        <v>0</v>
      </c>
      <c r="U623" s="4" t="n">
        <v>0</v>
      </c>
      <c r="V623" s="4" t="n">
        <v>0</v>
      </c>
      <c r="W623" s="4" t="n">
        <v>0</v>
      </c>
      <c r="X623" s="4" t="n">
        <v>0</v>
      </c>
      <c r="Y623" s="4" t="n">
        <v>0</v>
      </c>
      <c r="Z623" s="4" t="n">
        <v>0</v>
      </c>
      <c r="AA623" s="4" t="n">
        <v>0</v>
      </c>
      <c r="AB623" s="4">
        <f>SUM(Q623:Y623)-Z623</f>
        <v/>
      </c>
      <c r="AC623" s="4">
        <f>IF(I623="","",IF(OR(LEFT(I623,3)="BKK",I623="LCH55"),"BKK",IF(LEFT(I623,3)="LCH","LCH","OTHER")))</f>
        <v/>
      </c>
      <c r="AD623" s="4">
        <f>MAX(0,Q623-MAX(0,Z623))</f>
        <v/>
      </c>
      <c r="AE623" s="4">
        <f>MAX(0,R623-MAX(0,Z623-SUM(Q623:Q623)))</f>
        <v/>
      </c>
      <c r="AF623" s="4">
        <f>MAX(0,S623-MAX(0,Z623-SUM(Q623:R623)))</f>
        <v/>
      </c>
      <c r="AG623" s="4">
        <f>MAX(0,T623-MAX(0,Z623-SUM(Q623:S623)))</f>
        <v/>
      </c>
      <c r="AH623" s="4">
        <f>MAX(0,U623-MAX(0,Z623-SUM(Q623:T623)))</f>
        <v/>
      </c>
      <c r="AI623" s="4">
        <f>MAX(0,V623-MAX(0,Z623-SUM(Q623:U623)))</f>
        <v/>
      </c>
      <c r="AJ623" s="4">
        <f>MAX(0,W623-MAX(0,Z623-SUM(Q623:V623)))</f>
        <v/>
      </c>
      <c r="AK623" s="4">
        <f>MAX(0,X623-MAX(0,Z623-SUM(Q623:W623)))</f>
        <v/>
      </c>
      <c r="AL623" s="4">
        <f>MAX(0,Y623-MAX(0,Z623-SUM(Q623:X623)))</f>
        <v/>
      </c>
    </row>
    <row r="624">
      <c r="A624" s="4" t="inlineStr">
        <is>
          <t>HASLS22260900548</t>
        </is>
      </c>
      <c r="B624" s="4" t="inlineStr">
        <is>
          <t>TBN</t>
        </is>
      </c>
      <c r="C624" s="4" t="inlineStr">
        <is>
          <t>001</t>
        </is>
      </c>
      <c r="D624" s="4" t="inlineStr"/>
      <c r="E624" s="4" t="inlineStr"/>
      <c r="F624" s="4" t="inlineStr">
        <is>
          <t>THLCH</t>
        </is>
      </c>
      <c r="G624" s="4" t="inlineStr">
        <is>
          <t>JPTRG</t>
        </is>
      </c>
      <c r="H624" s="4" t="inlineStr">
        <is>
          <t xml:space="preserve">20'x11 </t>
        </is>
      </c>
      <c r="I624" s="4" t="inlineStr">
        <is>
          <t>LCHY5</t>
        </is>
      </c>
      <c r="J624" s="4" t="inlineStr">
        <is>
          <t>PW DEPOT CO., LTD.</t>
        </is>
      </c>
      <c r="K624" s="4" t="inlineStr">
        <is>
          <t>20260925</t>
        </is>
      </c>
      <c r="L624" s="4" t="inlineStr">
        <is>
          <t>DOW CHEMICAL THAILAND LTD.</t>
        </is>
      </c>
      <c r="M624" s="4" t="inlineStr">
        <is>
          <t>DOW CHEMICAL THAILAND LTD.</t>
        </is>
      </c>
      <c r="N624" s="4" t="inlineStr">
        <is>
          <t>RESIN</t>
        </is>
      </c>
      <c r="O624" s="4" t="inlineStr">
        <is>
          <t>RQST CNTR SEABULK &amp; GRADE A</t>
        </is>
      </c>
      <c r="P624" s="4" t="inlineStr">
        <is>
          <t>CY CNTR DD.25/09/2026 RQST CNTR SEABULK &amp; GRADE A</t>
        </is>
      </c>
      <c r="Q624" s="4" t="n">
        <v>11</v>
      </c>
      <c r="R624" s="4" t="n">
        <v>0</v>
      </c>
      <c r="S624" s="4" t="n">
        <v>0</v>
      </c>
      <c r="T624" s="4" t="n">
        <v>0</v>
      </c>
      <c r="U624" s="4" t="n">
        <v>0</v>
      </c>
      <c r="V624" s="4" t="n">
        <v>0</v>
      </c>
      <c r="W624" s="4" t="n">
        <v>0</v>
      </c>
      <c r="X624" s="4" t="n">
        <v>0</v>
      </c>
      <c r="Y624" s="4" t="n">
        <v>0</v>
      </c>
      <c r="Z624" s="4" t="n">
        <v>0</v>
      </c>
      <c r="AA624" s="4" t="n">
        <v>0</v>
      </c>
      <c r="AB624" s="4">
        <f>SUM(Q624:Y624)-Z624</f>
        <v/>
      </c>
      <c r="AC624" s="4">
        <f>IF(I624="","",IF(OR(LEFT(I624,3)="BKK",I624="LCH55"),"BKK",IF(LEFT(I624,3)="LCH","LCH","OTHER")))</f>
        <v/>
      </c>
      <c r="AD624" s="4">
        <f>MAX(0,Q624-MAX(0,Z624))</f>
        <v/>
      </c>
      <c r="AE624" s="4">
        <f>MAX(0,R624-MAX(0,Z624-SUM(Q624:Q624)))</f>
        <v/>
      </c>
      <c r="AF624" s="4">
        <f>MAX(0,S624-MAX(0,Z624-SUM(Q624:R624)))</f>
        <v/>
      </c>
      <c r="AG624" s="4">
        <f>MAX(0,T624-MAX(0,Z624-SUM(Q624:S624)))</f>
        <v/>
      </c>
      <c r="AH624" s="4">
        <f>MAX(0,U624-MAX(0,Z624-SUM(Q624:T624)))</f>
        <v/>
      </c>
      <c r="AI624" s="4">
        <f>MAX(0,V624-MAX(0,Z624-SUM(Q624:U624)))</f>
        <v/>
      </c>
      <c r="AJ624" s="4">
        <f>MAX(0,W624-MAX(0,Z624-SUM(Q624:V624)))</f>
        <v/>
      </c>
      <c r="AK624" s="4">
        <f>MAX(0,X624-MAX(0,Z624-SUM(Q624:W624)))</f>
        <v/>
      </c>
      <c r="AL624" s="4">
        <f>MAX(0,Y624-MAX(0,Z624-SUM(Q624:X624)))</f>
        <v/>
      </c>
    </row>
    <row r="625">
      <c r="A625" s="4" t="inlineStr">
        <is>
          <t>HASLS22260900551</t>
        </is>
      </c>
      <c r="B625" s="4" t="inlineStr">
        <is>
          <t>TBN</t>
        </is>
      </c>
      <c r="C625" s="4" t="inlineStr">
        <is>
          <t>001</t>
        </is>
      </c>
      <c r="D625" s="4" t="inlineStr"/>
      <c r="E625" s="4" t="inlineStr"/>
      <c r="F625" s="4" t="inlineStr">
        <is>
          <t>THLCH</t>
        </is>
      </c>
      <c r="G625" s="4" t="inlineStr">
        <is>
          <t>JPYKK</t>
        </is>
      </c>
      <c r="H625" s="4" t="inlineStr">
        <is>
          <t xml:space="preserve">20'x10 </t>
        </is>
      </c>
      <c r="I625" s="4" t="inlineStr">
        <is>
          <t>LCHY5</t>
        </is>
      </c>
      <c r="J625" s="4" t="inlineStr">
        <is>
          <t>PW DEPOT CO., LTD.</t>
        </is>
      </c>
      <c r="K625" s="4" t="inlineStr">
        <is>
          <t>20260926</t>
        </is>
      </c>
      <c r="L625" s="4" t="inlineStr">
        <is>
          <t>DOW CHEMICAL THAILAND LTD.</t>
        </is>
      </c>
      <c r="M625" s="4" t="inlineStr">
        <is>
          <t>DOW CHEMICAL THAILAND LTD.</t>
        </is>
      </c>
      <c r="N625" s="4" t="inlineStr">
        <is>
          <t>RESIN</t>
        </is>
      </c>
      <c r="O625" s="4" t="inlineStr">
        <is>
          <t>RQST CNTR SEABULK &amp; GRADE A</t>
        </is>
      </c>
      <c r="P625" s="4" t="inlineStr">
        <is>
          <t>CY CNTR DD.26/09/2026 RQST CNTR SEABULK &amp; GRADE A</t>
        </is>
      </c>
      <c r="Q625" s="4" t="n">
        <v>10</v>
      </c>
      <c r="R625" s="4" t="n">
        <v>0</v>
      </c>
      <c r="S625" s="4" t="n">
        <v>0</v>
      </c>
      <c r="T625" s="4" t="n">
        <v>0</v>
      </c>
      <c r="U625" s="4" t="n">
        <v>0</v>
      </c>
      <c r="V625" s="4" t="n">
        <v>0</v>
      </c>
      <c r="W625" s="4" t="n">
        <v>0</v>
      </c>
      <c r="X625" s="4" t="n">
        <v>0</v>
      </c>
      <c r="Y625" s="4" t="n">
        <v>0</v>
      </c>
      <c r="Z625" s="4" t="n">
        <v>0</v>
      </c>
      <c r="AA625" s="4" t="n">
        <v>0</v>
      </c>
      <c r="AB625" s="4">
        <f>SUM(Q625:Y625)-Z625</f>
        <v/>
      </c>
      <c r="AC625" s="4">
        <f>IF(I625="","",IF(OR(LEFT(I625,3)="BKK",I625="LCH55"),"BKK",IF(LEFT(I625,3)="LCH","LCH","OTHER")))</f>
        <v/>
      </c>
      <c r="AD625" s="4">
        <f>MAX(0,Q625-MAX(0,Z625))</f>
        <v/>
      </c>
      <c r="AE625" s="4">
        <f>MAX(0,R625-MAX(0,Z625-SUM(Q625:Q625)))</f>
        <v/>
      </c>
      <c r="AF625" s="4">
        <f>MAX(0,S625-MAX(0,Z625-SUM(Q625:R625)))</f>
        <v/>
      </c>
      <c r="AG625" s="4">
        <f>MAX(0,T625-MAX(0,Z625-SUM(Q625:S625)))</f>
        <v/>
      </c>
      <c r="AH625" s="4">
        <f>MAX(0,U625-MAX(0,Z625-SUM(Q625:T625)))</f>
        <v/>
      </c>
      <c r="AI625" s="4">
        <f>MAX(0,V625-MAX(0,Z625-SUM(Q625:U625)))</f>
        <v/>
      </c>
      <c r="AJ625" s="4">
        <f>MAX(0,W625-MAX(0,Z625-SUM(Q625:V625)))</f>
        <v/>
      </c>
      <c r="AK625" s="4">
        <f>MAX(0,X625-MAX(0,Z625-SUM(Q625:W625)))</f>
        <v/>
      </c>
      <c r="AL625" s="4">
        <f>MAX(0,Y625-MAX(0,Z625-SUM(Q625:X625)))</f>
        <v/>
      </c>
    </row>
    <row r="626">
      <c r="A626" s="4" t="inlineStr">
        <is>
          <t>HASLS22260900588</t>
        </is>
      </c>
      <c r="B626" s="4" t="inlineStr">
        <is>
          <t>KJT</t>
        </is>
      </c>
      <c r="C626" s="4" t="inlineStr">
        <is>
          <t>2611N</t>
        </is>
      </c>
      <c r="D626" s="4" t="inlineStr">
        <is>
          <t>202610151100</t>
        </is>
      </c>
      <c r="E626" s="4" t="inlineStr"/>
      <c r="F626" s="4" t="inlineStr">
        <is>
          <t>THLCH</t>
        </is>
      </c>
      <c r="G626" s="4" t="inlineStr">
        <is>
          <t>KRUSN</t>
        </is>
      </c>
      <c r="H626" s="4" t="inlineStr">
        <is>
          <t xml:space="preserve">20'x3 </t>
        </is>
      </c>
      <c r="I626" s="4" t="inlineStr">
        <is>
          <t>LCHY5</t>
        </is>
      </c>
      <c r="J626" s="4" t="inlineStr">
        <is>
          <t>PW DEPOT CO., LTD.</t>
        </is>
      </c>
      <c r="K626" s="4" t="inlineStr">
        <is>
          <t>20261012</t>
        </is>
      </c>
      <c r="L626" s="4" t="inlineStr">
        <is>
          <t>MJ LOGISTICS (THAILAND) CO., LTD.</t>
        </is>
      </c>
      <c r="M626" s="4" t="inlineStr">
        <is>
          <t>UNITEX RUBBER CO.,LTD</t>
        </is>
      </c>
      <c r="N626" s="4" t="inlineStr">
        <is>
          <t>LATEX 60%</t>
        </is>
      </c>
      <c r="O626" s="4" t="inlineStr">
        <is>
          <t>**DO NOT RELEASE CNTR WAIT APPROVE**  servey 2026-10-09</t>
        </is>
      </c>
      <c r="P626" s="4" t="inlineStr">
        <is>
          <t>**DO NOT RELEASE CNTR WAIT APPROVE** 
servey 2026-10-09 Pickup : 2026-10-12, Return : 2026-10-13</t>
        </is>
      </c>
      <c r="Q626" s="4" t="n">
        <v>3</v>
      </c>
      <c r="R626" s="4" t="n">
        <v>0</v>
      </c>
      <c r="S626" s="4" t="n">
        <v>0</v>
      </c>
      <c r="T626" s="4" t="n">
        <v>0</v>
      </c>
      <c r="U626" s="4" t="n">
        <v>0</v>
      </c>
      <c r="V626" s="4" t="n">
        <v>0</v>
      </c>
      <c r="W626" s="4" t="n">
        <v>0</v>
      </c>
      <c r="X626" s="4" t="n">
        <v>0</v>
      </c>
      <c r="Y626" s="4" t="n">
        <v>0</v>
      </c>
      <c r="Z626" s="4" t="n">
        <v>0</v>
      </c>
      <c r="AA626" s="4" t="n">
        <v>0</v>
      </c>
      <c r="AB626" s="4">
        <f>SUM(Q626:Y626)-Z626</f>
        <v/>
      </c>
      <c r="AC626" s="4">
        <f>IF(I626="","",IF(OR(LEFT(I626,3)="BKK",I626="LCH55"),"BKK",IF(LEFT(I626,3)="LCH","LCH","OTHER")))</f>
        <v/>
      </c>
      <c r="AD626" s="4">
        <f>MAX(0,Q626-MAX(0,Z626))</f>
        <v/>
      </c>
      <c r="AE626" s="4">
        <f>MAX(0,R626-MAX(0,Z626-SUM(Q626:Q626)))</f>
        <v/>
      </c>
      <c r="AF626" s="4">
        <f>MAX(0,S626-MAX(0,Z626-SUM(Q626:R626)))</f>
        <v/>
      </c>
      <c r="AG626" s="4">
        <f>MAX(0,T626-MAX(0,Z626-SUM(Q626:S626)))</f>
        <v/>
      </c>
      <c r="AH626" s="4">
        <f>MAX(0,U626-MAX(0,Z626-SUM(Q626:T626)))</f>
        <v/>
      </c>
      <c r="AI626" s="4">
        <f>MAX(0,V626-MAX(0,Z626-SUM(Q626:U626)))</f>
        <v/>
      </c>
      <c r="AJ626" s="4">
        <f>MAX(0,W626-MAX(0,Z626-SUM(Q626:V626)))</f>
        <v/>
      </c>
      <c r="AK626" s="4">
        <f>MAX(0,X626-MAX(0,Z626-SUM(Q626:W626)))</f>
        <v/>
      </c>
      <c r="AL626" s="4">
        <f>MAX(0,Y626-MAX(0,Z626-SUM(Q626:X626)))</f>
        <v/>
      </c>
    </row>
    <row r="627">
      <c r="A627" s="4" t="inlineStr">
        <is>
          <t>HASLS22260900723</t>
        </is>
      </c>
      <c r="B627" s="4" t="inlineStr">
        <is>
          <t>HAB</t>
        </is>
      </c>
      <c r="C627" s="4" t="inlineStr">
        <is>
          <t>2612N</t>
        </is>
      </c>
      <c r="D627" s="4" t="inlineStr">
        <is>
          <t>202610251800</t>
        </is>
      </c>
      <c r="E627" s="4" t="inlineStr"/>
      <c r="F627" s="4" t="inlineStr">
        <is>
          <t>THLCH</t>
        </is>
      </c>
      <c r="G627" s="4" t="inlineStr">
        <is>
          <t>CNSHA</t>
        </is>
      </c>
      <c r="H627" s="4" t="inlineStr">
        <is>
          <t xml:space="preserve">40Hx3 </t>
        </is>
      </c>
      <c r="I627" s="4" t="inlineStr">
        <is>
          <t>LCHY5</t>
        </is>
      </c>
      <c r="J627" s="4" t="inlineStr">
        <is>
          <t>PW DEPOT CO., LTD.</t>
        </is>
      </c>
      <c r="K627" s="4" t="inlineStr">
        <is>
          <t>20261016</t>
        </is>
      </c>
      <c r="L627" s="4" t="inlineStr">
        <is>
          <t>SCGJWD LOGISTICS PUBLIC COMPANY LIMITED</t>
        </is>
      </c>
      <c r="M627" s="4" t="inlineStr">
        <is>
          <t>THAI POLYETHYLENE CO., LTD.</t>
        </is>
      </c>
      <c r="N627" s="4" t="inlineStr">
        <is>
          <t>RESIN</t>
        </is>
      </c>
      <c r="O627" s="4" t="inlineStr">
        <is>
          <t>REQ GOOD AND CLEAN CONT., NO OIL, NO RUSTY</t>
        </is>
      </c>
      <c r="P627" s="4" t="inlineStr">
        <is>
          <t>CY-RTN: 16-20/10/2026 
INV : 3031061538
REQ GOOD AND CLEAN CONT., NO OIL, NO RUSTY</t>
        </is>
      </c>
      <c r="Q627" s="4" t="n">
        <v>0</v>
      </c>
      <c r="R627" s="4" t="n">
        <v>0</v>
      </c>
      <c r="S627" s="4" t="n">
        <v>3</v>
      </c>
      <c r="T627" s="4" t="n">
        <v>0</v>
      </c>
      <c r="U627" s="4" t="n">
        <v>0</v>
      </c>
      <c r="V627" s="4" t="n">
        <v>0</v>
      </c>
      <c r="W627" s="4" t="n">
        <v>0</v>
      </c>
      <c r="X627" s="4" t="n">
        <v>0</v>
      </c>
      <c r="Y627" s="4" t="n">
        <v>0</v>
      </c>
      <c r="Z627" s="4" t="n">
        <v>0</v>
      </c>
      <c r="AA627" s="4" t="n">
        <v>0</v>
      </c>
      <c r="AB627" s="4">
        <f>SUM(Q627:Y627)-Z627</f>
        <v/>
      </c>
      <c r="AC627" s="4">
        <f>IF(I627="","",IF(OR(LEFT(I627,3)="BKK",I627="LCH55"),"BKK",IF(LEFT(I627,3)="LCH","LCH","OTHER")))</f>
        <v/>
      </c>
      <c r="AD627" s="4">
        <f>MAX(0,Q627-MAX(0,Z627))</f>
        <v/>
      </c>
      <c r="AE627" s="4">
        <f>MAX(0,R627-MAX(0,Z627-SUM(Q627:Q627)))</f>
        <v/>
      </c>
      <c r="AF627" s="4">
        <f>MAX(0,S627-MAX(0,Z627-SUM(Q627:R627)))</f>
        <v/>
      </c>
      <c r="AG627" s="4">
        <f>MAX(0,T627-MAX(0,Z627-SUM(Q627:S627)))</f>
        <v/>
      </c>
      <c r="AH627" s="4">
        <f>MAX(0,U627-MAX(0,Z627-SUM(Q627:T627)))</f>
        <v/>
      </c>
      <c r="AI627" s="4">
        <f>MAX(0,V627-MAX(0,Z627-SUM(Q627:U627)))</f>
        <v/>
      </c>
      <c r="AJ627" s="4">
        <f>MAX(0,W627-MAX(0,Z627-SUM(Q627:V627)))</f>
        <v/>
      </c>
      <c r="AK627" s="4">
        <f>MAX(0,X627-MAX(0,Z627-SUM(Q627:W627)))</f>
        <v/>
      </c>
      <c r="AL627" s="4">
        <f>MAX(0,Y627-MAX(0,Z627-SUM(Q627:X627)))</f>
        <v/>
      </c>
    </row>
    <row r="628">
      <c r="A628" s="4" t="inlineStr">
        <is>
          <t>HASLS22260900756</t>
        </is>
      </c>
      <c r="B628" s="4" t="inlineStr">
        <is>
          <t>SWAT</t>
        </is>
      </c>
      <c r="C628" s="4" t="inlineStr">
        <is>
          <t>2610N</t>
        </is>
      </c>
      <c r="D628" s="4" t="inlineStr">
        <is>
          <t>202610081000</t>
        </is>
      </c>
      <c r="E628" s="4" t="inlineStr"/>
      <c r="F628" s="4" t="inlineStr">
        <is>
          <t>THLCH</t>
        </is>
      </c>
      <c r="G628" s="4" t="inlineStr">
        <is>
          <t>JPTAK</t>
        </is>
      </c>
      <c r="H628" s="4" t="inlineStr">
        <is>
          <t xml:space="preserve">40Hx2 </t>
        </is>
      </c>
      <c r="I628" s="4" t="inlineStr">
        <is>
          <t>LCHY5</t>
        </is>
      </c>
      <c r="J628" s="4" t="inlineStr">
        <is>
          <t>PW DEPOT CO., LTD.</t>
        </is>
      </c>
      <c r="K628" s="4" t="inlineStr">
        <is>
          <t>20260930</t>
        </is>
      </c>
      <c r="L628" s="4" t="inlineStr">
        <is>
          <t>DOW CHEMICAL THAILAND LTD.</t>
        </is>
      </c>
      <c r="M628" s="4" t="inlineStr">
        <is>
          <t>SIAM POLYETHYLENE CO., LTD.</t>
        </is>
      </c>
      <c r="N628" s="4" t="inlineStr">
        <is>
          <t>RESIN</t>
        </is>
      </c>
      <c r="O628" s="4" t="inlineStr">
        <is>
          <t>GOOD AND CLEAN CONTAINER</t>
        </is>
      </c>
      <c r="P628" s="4" t="inlineStr">
        <is>
          <t xml:space="preserve">Pickup : 2026-09-30, Return : 2026-10-02
** PLEASE CHECK OPEN GATE BEFORE RETURN CONTAINER ** </t>
        </is>
      </c>
      <c r="Q628" s="4" t="n">
        <v>0</v>
      </c>
      <c r="R628" s="4" t="n">
        <v>0</v>
      </c>
      <c r="S628" s="4" t="n">
        <v>2</v>
      </c>
      <c r="T628" s="4" t="n">
        <v>0</v>
      </c>
      <c r="U628" s="4" t="n">
        <v>0</v>
      </c>
      <c r="V628" s="4" t="n">
        <v>0</v>
      </c>
      <c r="W628" s="4" t="n">
        <v>0</v>
      </c>
      <c r="X628" s="4" t="n">
        <v>0</v>
      </c>
      <c r="Y628" s="4" t="n">
        <v>0</v>
      </c>
      <c r="Z628" s="4" t="n">
        <v>0</v>
      </c>
      <c r="AA628" s="4" t="n">
        <v>0</v>
      </c>
      <c r="AB628" s="4">
        <f>SUM(Q628:Y628)-Z628</f>
        <v/>
      </c>
      <c r="AC628" s="4">
        <f>IF(I628="","",IF(OR(LEFT(I628,3)="BKK",I628="LCH55"),"BKK",IF(LEFT(I628,3)="LCH","LCH","OTHER")))</f>
        <v/>
      </c>
      <c r="AD628" s="4">
        <f>MAX(0,Q628-MAX(0,Z628))</f>
        <v/>
      </c>
      <c r="AE628" s="4">
        <f>MAX(0,R628-MAX(0,Z628-SUM(Q628:Q628)))</f>
        <v/>
      </c>
      <c r="AF628" s="4">
        <f>MAX(0,S628-MAX(0,Z628-SUM(Q628:R628)))</f>
        <v/>
      </c>
      <c r="AG628" s="4">
        <f>MAX(0,T628-MAX(0,Z628-SUM(Q628:S628)))</f>
        <v/>
      </c>
      <c r="AH628" s="4">
        <f>MAX(0,U628-MAX(0,Z628-SUM(Q628:T628)))</f>
        <v/>
      </c>
      <c r="AI628" s="4">
        <f>MAX(0,V628-MAX(0,Z628-SUM(Q628:U628)))</f>
        <v/>
      </c>
      <c r="AJ628" s="4">
        <f>MAX(0,W628-MAX(0,Z628-SUM(Q628:V628)))</f>
        <v/>
      </c>
      <c r="AK628" s="4">
        <f>MAX(0,X628-MAX(0,Z628-SUM(Q628:W628)))</f>
        <v/>
      </c>
      <c r="AL628" s="4">
        <f>MAX(0,Y628-MAX(0,Z628-SUM(Q628:X628)))</f>
        <v/>
      </c>
    </row>
    <row r="629">
      <c r="A629" s="4" t="inlineStr">
        <is>
          <t>HASLS22260900767</t>
        </is>
      </c>
      <c r="B629" s="4" t="inlineStr">
        <is>
          <t>HAB</t>
        </is>
      </c>
      <c r="C629" s="4" t="inlineStr">
        <is>
          <t>2612N</t>
        </is>
      </c>
      <c r="D629" s="4" t="inlineStr">
        <is>
          <t>202610251800</t>
        </is>
      </c>
      <c r="E629" s="4" t="inlineStr"/>
      <c r="F629" s="4" t="inlineStr">
        <is>
          <t>THLCH</t>
        </is>
      </c>
      <c r="G629" s="4" t="inlineStr">
        <is>
          <t>CNSHA</t>
        </is>
      </c>
      <c r="H629" s="4" t="inlineStr">
        <is>
          <t xml:space="preserve">20'x25 </t>
        </is>
      </c>
      <c r="I629" s="4" t="inlineStr">
        <is>
          <t>LCHY5</t>
        </is>
      </c>
      <c r="J629" s="4" t="inlineStr">
        <is>
          <t>PW DEPOT CO., LTD.</t>
        </is>
      </c>
      <c r="K629" s="4" t="inlineStr">
        <is>
          <t>20261016</t>
        </is>
      </c>
      <c r="L629" s="4" t="inlineStr">
        <is>
          <t>CANVAS GLOBAL LOGISTICS (THAILAND) CO., LTD.</t>
        </is>
      </c>
      <c r="M629" s="4" t="inlineStr">
        <is>
          <t>NEW BIODIESEL CO.,LTD.</t>
        </is>
      </c>
      <c r="N629" s="4" t="inlineStr">
        <is>
          <t xml:space="preserve"> PALM OIL IN FLEXIBAG</t>
        </is>
      </c>
      <c r="O629" s="4" t="inlineStr">
        <is>
          <t>**APPROVAL BY MR. KIM JAE-HYUNG DD.22/09/2026** *FLEXIBAG*</t>
        </is>
      </c>
      <c r="P629" s="4" t="inlineStr">
        <is>
          <t>**APPROVAL BY MR. KIM JAE-HYUNG DD.22/09/2026** *FLEXIBAG*
Pickup : 2026-10-16, Return : 2026-10-20</t>
        </is>
      </c>
      <c r="Q629" s="4" t="n">
        <v>25</v>
      </c>
      <c r="R629" s="4" t="n">
        <v>0</v>
      </c>
      <c r="S629" s="4" t="n">
        <v>0</v>
      </c>
      <c r="T629" s="4" t="n">
        <v>0</v>
      </c>
      <c r="U629" s="4" t="n">
        <v>0</v>
      </c>
      <c r="V629" s="4" t="n">
        <v>0</v>
      </c>
      <c r="W629" s="4" t="n">
        <v>0</v>
      </c>
      <c r="X629" s="4" t="n">
        <v>0</v>
      </c>
      <c r="Y629" s="4" t="n">
        <v>0</v>
      </c>
      <c r="Z629" s="4" t="n">
        <v>0</v>
      </c>
      <c r="AA629" s="4" t="n">
        <v>0</v>
      </c>
      <c r="AB629" s="4">
        <f>SUM(Q629:Y629)-Z629</f>
        <v/>
      </c>
      <c r="AC629" s="4">
        <f>IF(I629="","",IF(OR(LEFT(I629,3)="BKK",I629="LCH55"),"BKK",IF(LEFT(I629,3)="LCH","LCH","OTHER")))</f>
        <v/>
      </c>
      <c r="AD629" s="4">
        <f>MAX(0,Q629-MAX(0,Z629))</f>
        <v/>
      </c>
      <c r="AE629" s="4">
        <f>MAX(0,R629-MAX(0,Z629-SUM(Q629:Q629)))</f>
        <v/>
      </c>
      <c r="AF629" s="4">
        <f>MAX(0,S629-MAX(0,Z629-SUM(Q629:R629)))</f>
        <v/>
      </c>
      <c r="AG629" s="4">
        <f>MAX(0,T629-MAX(0,Z629-SUM(Q629:S629)))</f>
        <v/>
      </c>
      <c r="AH629" s="4">
        <f>MAX(0,U629-MAX(0,Z629-SUM(Q629:T629)))</f>
        <v/>
      </c>
      <c r="AI629" s="4">
        <f>MAX(0,V629-MAX(0,Z629-SUM(Q629:U629)))</f>
        <v/>
      </c>
      <c r="AJ629" s="4">
        <f>MAX(0,W629-MAX(0,Z629-SUM(Q629:V629)))</f>
        <v/>
      </c>
      <c r="AK629" s="4">
        <f>MAX(0,X629-MAX(0,Z629-SUM(Q629:W629)))</f>
        <v/>
      </c>
      <c r="AL629" s="4">
        <f>MAX(0,Y629-MAX(0,Z629-SUM(Q629:X629)))</f>
        <v/>
      </c>
    </row>
    <row r="630">
      <c r="A630" s="4" t="inlineStr">
        <is>
          <t>HASLS22260900777</t>
        </is>
      </c>
      <c r="B630" s="4" t="inlineStr">
        <is>
          <t>SWDN</t>
        </is>
      </c>
      <c r="C630" s="4" t="inlineStr">
        <is>
          <t>2610N</t>
        </is>
      </c>
      <c r="D630" s="4" t="inlineStr">
        <is>
          <t>202610070300</t>
        </is>
      </c>
      <c r="E630" s="4" t="inlineStr"/>
      <c r="F630" s="4" t="inlineStr">
        <is>
          <t>THLCH</t>
        </is>
      </c>
      <c r="G630" s="4" t="inlineStr">
        <is>
          <t>KRINC</t>
        </is>
      </c>
      <c r="H630" s="4" t="inlineStr">
        <is>
          <t xml:space="preserve">20'x1 </t>
        </is>
      </c>
      <c r="I630" s="4" t="inlineStr">
        <is>
          <t>LCHY5</t>
        </is>
      </c>
      <c r="J630" s="4" t="inlineStr">
        <is>
          <t>PW DEPOT CO., LTD.</t>
        </is>
      </c>
      <c r="K630" s="4" t="inlineStr">
        <is>
          <t>20261002</t>
        </is>
      </c>
      <c r="L630" s="4" t="inlineStr">
        <is>
          <t>T.C.PHARMACEUTICAL INDUSTRIES CO., LTD.</t>
        </is>
      </c>
      <c r="M630" s="4" t="inlineStr">
        <is>
          <t>T.C.PHARMACEUTICAL INDUSTRIES CO., LTD.</t>
        </is>
      </c>
      <c r="N630" s="4" t="inlineStr">
        <is>
          <t>ELECTROLYTE DRINK</t>
        </is>
      </c>
      <c r="O630" s="4" t="inlineStr">
        <is>
          <t>GOOD AND CLEAN CONTAINER</t>
        </is>
      </c>
      <c r="P630" s="4" t="inlineStr">
        <is>
          <t>CY-RTN : 02-03/10/2026
PO : 20260824WKTCP05</t>
        </is>
      </c>
      <c r="Q630" s="4" t="n">
        <v>1</v>
      </c>
      <c r="R630" s="4" t="n">
        <v>0</v>
      </c>
      <c r="S630" s="4" t="n">
        <v>0</v>
      </c>
      <c r="T630" s="4" t="n">
        <v>0</v>
      </c>
      <c r="U630" s="4" t="n">
        <v>0</v>
      </c>
      <c r="V630" s="4" t="n">
        <v>0</v>
      </c>
      <c r="W630" s="4" t="n">
        <v>0</v>
      </c>
      <c r="X630" s="4" t="n">
        <v>0</v>
      </c>
      <c r="Y630" s="4" t="n">
        <v>0</v>
      </c>
      <c r="Z630" s="4" t="n">
        <v>0</v>
      </c>
      <c r="AA630" s="4" t="n">
        <v>0</v>
      </c>
      <c r="AB630" s="4">
        <f>SUM(Q630:Y630)-Z630</f>
        <v/>
      </c>
      <c r="AC630" s="4">
        <f>IF(I630="","",IF(OR(LEFT(I630,3)="BKK",I630="LCH55"),"BKK",IF(LEFT(I630,3)="LCH","LCH","OTHER")))</f>
        <v/>
      </c>
      <c r="AD630" s="4">
        <f>MAX(0,Q630-MAX(0,Z630))</f>
        <v/>
      </c>
      <c r="AE630" s="4">
        <f>MAX(0,R630-MAX(0,Z630-SUM(Q630:Q630)))</f>
        <v/>
      </c>
      <c r="AF630" s="4">
        <f>MAX(0,S630-MAX(0,Z630-SUM(Q630:R630)))</f>
        <v/>
      </c>
      <c r="AG630" s="4">
        <f>MAX(0,T630-MAX(0,Z630-SUM(Q630:S630)))</f>
        <v/>
      </c>
      <c r="AH630" s="4">
        <f>MAX(0,U630-MAX(0,Z630-SUM(Q630:T630)))</f>
        <v/>
      </c>
      <c r="AI630" s="4">
        <f>MAX(0,V630-MAX(0,Z630-SUM(Q630:U630)))</f>
        <v/>
      </c>
      <c r="AJ630" s="4">
        <f>MAX(0,W630-MAX(0,Z630-SUM(Q630:V630)))</f>
        <v/>
      </c>
      <c r="AK630" s="4">
        <f>MAX(0,X630-MAX(0,Z630-SUM(Q630:W630)))</f>
        <v/>
      </c>
      <c r="AL630" s="4">
        <f>MAX(0,Y630-MAX(0,Z630-SUM(Q630:X630)))</f>
        <v/>
      </c>
    </row>
    <row r="631">
      <c r="A631" s="4" t="inlineStr">
        <is>
          <t>HASLS22260900800</t>
        </is>
      </c>
      <c r="B631" s="4" t="inlineStr">
        <is>
          <t>SWSP</t>
        </is>
      </c>
      <c r="C631" s="4" t="inlineStr">
        <is>
          <t>2609N</t>
        </is>
      </c>
      <c r="D631" s="4" t="inlineStr">
        <is>
          <t>202610080830</t>
        </is>
      </c>
      <c r="E631" s="4" t="inlineStr"/>
      <c r="F631" s="4" t="inlineStr">
        <is>
          <t>THLCH</t>
        </is>
      </c>
      <c r="G631" s="4" t="inlineStr">
        <is>
          <t>JPNGO</t>
        </is>
      </c>
      <c r="H631" s="4" t="inlineStr">
        <is>
          <t xml:space="preserve">20'x1 </t>
        </is>
      </c>
      <c r="I631" s="4" t="inlineStr">
        <is>
          <t>LCHY5</t>
        </is>
      </c>
      <c r="J631" s="4" t="inlineStr">
        <is>
          <t>PW DEPOT CO., LTD.</t>
        </is>
      </c>
      <c r="K631" s="4" t="inlineStr">
        <is>
          <t>20260924</t>
        </is>
      </c>
      <c r="L631" s="4" t="inlineStr">
        <is>
          <t>DOW CHEMICAL THAILAND LTD.</t>
        </is>
      </c>
      <c r="M631" s="4" t="inlineStr">
        <is>
          <t>SIAM POLYETHYLENE CO., LTD.</t>
        </is>
      </c>
      <c r="N631" s="4" t="inlineStr">
        <is>
          <t>RESIN</t>
        </is>
      </c>
      <c r="O631" s="4" t="inlineStr">
        <is>
          <t>1X20' SEABULK</t>
        </is>
      </c>
      <c r="P631" s="4" t="inlineStr">
        <is>
          <t>Pickup : 2026-09-24, Return : 2026-09-29</t>
        </is>
      </c>
      <c r="Q631" s="4" t="n">
        <v>1</v>
      </c>
      <c r="R631" s="4" t="n">
        <v>0</v>
      </c>
      <c r="S631" s="4" t="n">
        <v>0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>
        <f>SUM(Q631:Y631)-Z631</f>
        <v/>
      </c>
      <c r="AC631" s="4">
        <f>IF(I631="","",IF(OR(LEFT(I631,3)="BKK",I631="LCH55"),"BKK",IF(LEFT(I631,3)="LCH","LCH","OTHER")))</f>
        <v/>
      </c>
      <c r="AD631" s="4">
        <f>MAX(0,Q631-MAX(0,Z631))</f>
        <v/>
      </c>
      <c r="AE631" s="4">
        <f>MAX(0,R631-MAX(0,Z631-SUM(Q631:Q631)))</f>
        <v/>
      </c>
      <c r="AF631" s="4">
        <f>MAX(0,S631-MAX(0,Z631-SUM(Q631:R631)))</f>
        <v/>
      </c>
      <c r="AG631" s="4">
        <f>MAX(0,T631-MAX(0,Z631-SUM(Q631:S631)))</f>
        <v/>
      </c>
      <c r="AH631" s="4">
        <f>MAX(0,U631-MAX(0,Z631-SUM(Q631:T631)))</f>
        <v/>
      </c>
      <c r="AI631" s="4">
        <f>MAX(0,V631-MAX(0,Z631-SUM(Q631:U631)))</f>
        <v/>
      </c>
      <c r="AJ631" s="4">
        <f>MAX(0,W631-MAX(0,Z631-SUM(Q631:V631)))</f>
        <v/>
      </c>
      <c r="AK631" s="4">
        <f>MAX(0,X631-MAX(0,Z631-SUM(Q631:W631)))</f>
        <v/>
      </c>
      <c r="AL631" s="4">
        <f>MAX(0,Y631-MAX(0,Z631-SUM(Q631:X631)))</f>
        <v/>
      </c>
    </row>
    <row r="632">
      <c r="A632" s="4" t="inlineStr">
        <is>
          <t>HASLS22260900802</t>
        </is>
      </c>
      <c r="B632" s="4" t="inlineStr">
        <is>
          <t>SWSP</t>
        </is>
      </c>
      <c r="C632" s="4" t="inlineStr">
        <is>
          <t>2609N</t>
        </is>
      </c>
      <c r="D632" s="4" t="inlineStr">
        <is>
          <t>202610080830</t>
        </is>
      </c>
      <c r="E632" s="4" t="inlineStr"/>
      <c r="F632" s="4" t="inlineStr">
        <is>
          <t>THLCH</t>
        </is>
      </c>
      <c r="G632" s="4" t="inlineStr">
        <is>
          <t>JPNGO</t>
        </is>
      </c>
      <c r="H632" s="4" t="inlineStr">
        <is>
          <t xml:space="preserve">20'x1 </t>
        </is>
      </c>
      <c r="I632" s="4" t="inlineStr">
        <is>
          <t>LCHY5</t>
        </is>
      </c>
      <c r="J632" s="4" t="inlineStr">
        <is>
          <t>PW DEPOT CO., LTD.</t>
        </is>
      </c>
      <c r="K632" s="4" t="inlineStr">
        <is>
          <t>20260924</t>
        </is>
      </c>
      <c r="L632" s="4" t="inlineStr">
        <is>
          <t>DOW CHEMICAL THAILAND LTD.</t>
        </is>
      </c>
      <c r="M632" s="4" t="inlineStr">
        <is>
          <t>SIAM POLYETHYLENE CO., LTD.</t>
        </is>
      </c>
      <c r="N632" s="4" t="inlineStr">
        <is>
          <t>RESIN</t>
        </is>
      </c>
      <c r="O632" s="4" t="inlineStr">
        <is>
          <t>1X20' SEABULK</t>
        </is>
      </c>
      <c r="P632" s="4" t="inlineStr">
        <is>
          <t>Pickup : 2026-09-24, Return : 2026-09-29</t>
        </is>
      </c>
      <c r="Q632" s="4" t="n">
        <v>1</v>
      </c>
      <c r="R632" s="4" t="n">
        <v>0</v>
      </c>
      <c r="S632" s="4" t="n">
        <v>0</v>
      </c>
      <c r="T632" s="4" t="n">
        <v>0</v>
      </c>
      <c r="U632" s="4" t="n">
        <v>0</v>
      </c>
      <c r="V632" s="4" t="n">
        <v>0</v>
      </c>
      <c r="W632" s="4" t="n">
        <v>0</v>
      </c>
      <c r="X632" s="4" t="n">
        <v>0</v>
      </c>
      <c r="Y632" s="4" t="n">
        <v>0</v>
      </c>
      <c r="Z632" s="4" t="n">
        <v>0</v>
      </c>
      <c r="AA632" s="4" t="n">
        <v>0</v>
      </c>
      <c r="AB632" s="4">
        <f>SUM(Q632:Y632)-Z632</f>
        <v/>
      </c>
      <c r="AC632" s="4">
        <f>IF(I632="","",IF(OR(LEFT(I632,3)="BKK",I632="LCH55"),"BKK",IF(LEFT(I632,3)="LCH","LCH","OTHER")))</f>
        <v/>
      </c>
      <c r="AD632" s="4">
        <f>MAX(0,Q632-MAX(0,Z632))</f>
        <v/>
      </c>
      <c r="AE632" s="4">
        <f>MAX(0,R632-MAX(0,Z632-SUM(Q632:Q632)))</f>
        <v/>
      </c>
      <c r="AF632" s="4">
        <f>MAX(0,S632-MAX(0,Z632-SUM(Q632:R632)))</f>
        <v/>
      </c>
      <c r="AG632" s="4">
        <f>MAX(0,T632-MAX(0,Z632-SUM(Q632:S632)))</f>
        <v/>
      </c>
      <c r="AH632" s="4">
        <f>MAX(0,U632-MAX(0,Z632-SUM(Q632:T632)))</f>
        <v/>
      </c>
      <c r="AI632" s="4">
        <f>MAX(0,V632-MAX(0,Z632-SUM(Q632:U632)))</f>
        <v/>
      </c>
      <c r="AJ632" s="4">
        <f>MAX(0,W632-MAX(0,Z632-SUM(Q632:V632)))</f>
        <v/>
      </c>
      <c r="AK632" s="4">
        <f>MAX(0,X632-MAX(0,Z632-SUM(Q632:W632)))</f>
        <v/>
      </c>
      <c r="AL632" s="4">
        <f>MAX(0,Y632-MAX(0,Z632-SUM(Q632:X632)))</f>
        <v/>
      </c>
    </row>
    <row r="633">
      <c r="A633" s="4" t="inlineStr">
        <is>
          <t>HASLS22260900806</t>
        </is>
      </c>
      <c r="B633" s="4" t="inlineStr">
        <is>
          <t>KMBK</t>
        </is>
      </c>
      <c r="C633" s="4" t="inlineStr">
        <is>
          <t>2611N</t>
        </is>
      </c>
      <c r="D633" s="4" t="inlineStr">
        <is>
          <t>202610040100</t>
        </is>
      </c>
      <c r="E633" s="4" t="inlineStr"/>
      <c r="F633" s="4" t="inlineStr">
        <is>
          <t>THLCH</t>
        </is>
      </c>
      <c r="G633" s="4" t="inlineStr">
        <is>
          <t>JPKMJ</t>
        </is>
      </c>
      <c r="H633" s="4" t="inlineStr">
        <is>
          <t xml:space="preserve">40Hx2 </t>
        </is>
      </c>
      <c r="I633" s="4" t="inlineStr">
        <is>
          <t>LCHY5</t>
        </is>
      </c>
      <c r="J633" s="4" t="inlineStr">
        <is>
          <t>PW DEPOT CO., LTD.</t>
        </is>
      </c>
      <c r="K633" s="4" t="inlineStr">
        <is>
          <t>20260925</t>
        </is>
      </c>
      <c r="L633" s="4" t="inlineStr">
        <is>
          <t>SCGJWD LOGISTICS PUBLIC COMPANY LIMITED</t>
        </is>
      </c>
      <c r="M633" s="4" t="inlineStr">
        <is>
          <t>THAI POLYETHYLENE CO., LTD.</t>
        </is>
      </c>
      <c r="N633" s="4" t="inlineStr">
        <is>
          <t>REISN</t>
        </is>
      </c>
      <c r="O633" s="4" t="inlineStr">
        <is>
          <t>RESIN-PALLET,NO RED WALL CONTAINER,CLEAN CONTAINER NO OIL STAINS , NO RUSTY ,NO CUT OR HOLE</t>
        </is>
      </c>
      <c r="P633" s="4" t="inlineStr">
        <is>
          <t xml:space="preserve">CY-RTN 25-28/09/26 (INV 3031061641)
</t>
        </is>
      </c>
      <c r="Q633" s="4" t="n">
        <v>0</v>
      </c>
      <c r="R633" s="4" t="n">
        <v>0</v>
      </c>
      <c r="S633" s="4" t="n">
        <v>2</v>
      </c>
      <c r="T633" s="4" t="n">
        <v>0</v>
      </c>
      <c r="U633" s="4" t="n">
        <v>0</v>
      </c>
      <c r="V633" s="4" t="n">
        <v>0</v>
      </c>
      <c r="W633" s="4" t="n">
        <v>0</v>
      </c>
      <c r="X633" s="4" t="n">
        <v>0</v>
      </c>
      <c r="Y633" s="4" t="n">
        <v>0</v>
      </c>
      <c r="Z633" s="4" t="n">
        <v>0</v>
      </c>
      <c r="AA633" s="4" t="n">
        <v>0</v>
      </c>
      <c r="AB633" s="4">
        <f>SUM(Q633:Y633)-Z633</f>
        <v/>
      </c>
      <c r="AC633" s="4">
        <f>IF(I633="","",IF(OR(LEFT(I633,3)="BKK",I633="LCH55"),"BKK",IF(LEFT(I633,3)="LCH","LCH","OTHER")))</f>
        <v/>
      </c>
      <c r="AD633" s="4">
        <f>MAX(0,Q633-MAX(0,Z633))</f>
        <v/>
      </c>
      <c r="AE633" s="4">
        <f>MAX(0,R633-MAX(0,Z633-SUM(Q633:Q633)))</f>
        <v/>
      </c>
      <c r="AF633" s="4">
        <f>MAX(0,S633-MAX(0,Z633-SUM(Q633:R633)))</f>
        <v/>
      </c>
      <c r="AG633" s="4">
        <f>MAX(0,T633-MAX(0,Z633-SUM(Q633:S633)))</f>
        <v/>
      </c>
      <c r="AH633" s="4">
        <f>MAX(0,U633-MAX(0,Z633-SUM(Q633:T633)))</f>
        <v/>
      </c>
      <c r="AI633" s="4">
        <f>MAX(0,V633-MAX(0,Z633-SUM(Q633:U633)))</f>
        <v/>
      </c>
      <c r="AJ633" s="4">
        <f>MAX(0,W633-MAX(0,Z633-SUM(Q633:V633)))</f>
        <v/>
      </c>
      <c r="AK633" s="4">
        <f>MAX(0,X633-MAX(0,Z633-SUM(Q633:W633)))</f>
        <v/>
      </c>
      <c r="AL633" s="4">
        <f>MAX(0,Y633-MAX(0,Z633-SUM(Q633:X633)))</f>
        <v/>
      </c>
    </row>
    <row r="634">
      <c r="A634" s="4" t="inlineStr">
        <is>
          <t>HASLS22260900808</t>
        </is>
      </c>
      <c r="B634" s="4" t="inlineStr">
        <is>
          <t>SWSP</t>
        </is>
      </c>
      <c r="C634" s="4" t="inlineStr">
        <is>
          <t>2609N</t>
        </is>
      </c>
      <c r="D634" s="4" t="inlineStr">
        <is>
          <t>202610080830</t>
        </is>
      </c>
      <c r="E634" s="4" t="inlineStr"/>
      <c r="F634" s="4" t="inlineStr">
        <is>
          <t>THLCH</t>
        </is>
      </c>
      <c r="G634" s="4" t="inlineStr">
        <is>
          <t>JPNGO</t>
        </is>
      </c>
      <c r="H634" s="4" t="inlineStr">
        <is>
          <t xml:space="preserve">20'x1 </t>
        </is>
      </c>
      <c r="I634" s="4" t="inlineStr">
        <is>
          <t>LCHY5</t>
        </is>
      </c>
      <c r="J634" s="4" t="inlineStr">
        <is>
          <t>PW DEPOT CO., LTD.</t>
        </is>
      </c>
      <c r="K634" s="4" t="inlineStr">
        <is>
          <t>20260924</t>
        </is>
      </c>
      <c r="L634" s="4" t="inlineStr">
        <is>
          <t>DOW CHEMICAL THAILAND LTD.</t>
        </is>
      </c>
      <c r="M634" s="4" t="inlineStr">
        <is>
          <t>SIAM POLYETHYLENE CO., LTD.</t>
        </is>
      </c>
      <c r="N634" s="4" t="inlineStr">
        <is>
          <t>RESIN</t>
        </is>
      </c>
      <c r="O634" s="4" t="inlineStr">
        <is>
          <t>1X20' SEABULK</t>
        </is>
      </c>
      <c r="P634" s="4" t="inlineStr">
        <is>
          <t>Pickup : 2026-09-24, Return : 2026-09-29</t>
        </is>
      </c>
      <c r="Q634" s="4" t="n">
        <v>1</v>
      </c>
      <c r="R634" s="4" t="n">
        <v>0</v>
      </c>
      <c r="S634" s="4" t="n">
        <v>0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>
        <f>SUM(Q634:Y634)-Z634</f>
        <v/>
      </c>
      <c r="AC634" s="4">
        <f>IF(I634="","",IF(OR(LEFT(I634,3)="BKK",I634="LCH55"),"BKK",IF(LEFT(I634,3)="LCH","LCH","OTHER")))</f>
        <v/>
      </c>
      <c r="AD634" s="4">
        <f>MAX(0,Q634-MAX(0,Z634))</f>
        <v/>
      </c>
      <c r="AE634" s="4">
        <f>MAX(0,R634-MAX(0,Z634-SUM(Q634:Q634)))</f>
        <v/>
      </c>
      <c r="AF634" s="4">
        <f>MAX(0,S634-MAX(0,Z634-SUM(Q634:R634)))</f>
        <v/>
      </c>
      <c r="AG634" s="4">
        <f>MAX(0,T634-MAX(0,Z634-SUM(Q634:S634)))</f>
        <v/>
      </c>
      <c r="AH634" s="4">
        <f>MAX(0,U634-MAX(0,Z634-SUM(Q634:T634)))</f>
        <v/>
      </c>
      <c r="AI634" s="4">
        <f>MAX(0,V634-MAX(0,Z634-SUM(Q634:U634)))</f>
        <v/>
      </c>
      <c r="AJ634" s="4">
        <f>MAX(0,W634-MAX(0,Z634-SUM(Q634:V634)))</f>
        <v/>
      </c>
      <c r="AK634" s="4">
        <f>MAX(0,X634-MAX(0,Z634-SUM(Q634:W634)))</f>
        <v/>
      </c>
      <c r="AL634" s="4">
        <f>MAX(0,Y634-MAX(0,Z634-SUM(Q634:X634)))</f>
        <v/>
      </c>
    </row>
    <row r="635">
      <c r="A635" s="4" t="inlineStr">
        <is>
          <t>HASLS22260900809</t>
        </is>
      </c>
      <c r="B635" s="4" t="inlineStr">
        <is>
          <t>SWSP</t>
        </is>
      </c>
      <c r="C635" s="4" t="inlineStr">
        <is>
          <t>2609N</t>
        </is>
      </c>
      <c r="D635" s="4" t="inlineStr">
        <is>
          <t>202610080830</t>
        </is>
      </c>
      <c r="E635" s="4" t="inlineStr"/>
      <c r="F635" s="4" t="inlineStr">
        <is>
          <t>THLCH</t>
        </is>
      </c>
      <c r="G635" s="4" t="inlineStr">
        <is>
          <t>JPNGO</t>
        </is>
      </c>
      <c r="H635" s="4" t="inlineStr">
        <is>
          <t xml:space="preserve">20'x1 </t>
        </is>
      </c>
      <c r="I635" s="4" t="inlineStr">
        <is>
          <t>LCHY5</t>
        </is>
      </c>
      <c r="J635" s="4" t="inlineStr">
        <is>
          <t>PW DEPOT CO., LTD.</t>
        </is>
      </c>
      <c r="K635" s="4" t="inlineStr">
        <is>
          <t>20260924</t>
        </is>
      </c>
      <c r="L635" s="4" t="inlineStr">
        <is>
          <t>DOW CHEMICAL THAILAND LTD.</t>
        </is>
      </c>
      <c r="M635" s="4" t="inlineStr">
        <is>
          <t>SIAM POLYETHYLENE CO., LTD.</t>
        </is>
      </c>
      <c r="N635" s="4" t="inlineStr">
        <is>
          <t>RESIN</t>
        </is>
      </c>
      <c r="O635" s="4" t="inlineStr">
        <is>
          <t>1X20' SEABULK</t>
        </is>
      </c>
      <c r="P635" s="4" t="inlineStr">
        <is>
          <t>Pickup : 2026-09-24, Return : 2026-09-29</t>
        </is>
      </c>
      <c r="Q635" s="4" t="n">
        <v>1</v>
      </c>
      <c r="R635" s="4" t="n">
        <v>0</v>
      </c>
      <c r="S635" s="4" t="n">
        <v>0</v>
      </c>
      <c r="T635" s="4" t="n">
        <v>0</v>
      </c>
      <c r="U635" s="4" t="n">
        <v>0</v>
      </c>
      <c r="V635" s="4" t="n">
        <v>0</v>
      </c>
      <c r="W635" s="4" t="n">
        <v>0</v>
      </c>
      <c r="X635" s="4" t="n">
        <v>0</v>
      </c>
      <c r="Y635" s="4" t="n">
        <v>0</v>
      </c>
      <c r="Z635" s="4" t="n">
        <v>0</v>
      </c>
      <c r="AA635" s="4" t="n">
        <v>0</v>
      </c>
      <c r="AB635" s="4">
        <f>SUM(Q635:Y635)-Z635</f>
        <v/>
      </c>
      <c r="AC635" s="4">
        <f>IF(I635="","",IF(OR(LEFT(I635,3)="BKK",I635="LCH55"),"BKK",IF(LEFT(I635,3)="LCH","LCH","OTHER")))</f>
        <v/>
      </c>
      <c r="AD635" s="4">
        <f>MAX(0,Q635-MAX(0,Z635))</f>
        <v/>
      </c>
      <c r="AE635" s="4">
        <f>MAX(0,R635-MAX(0,Z635-SUM(Q635:Q635)))</f>
        <v/>
      </c>
      <c r="AF635" s="4">
        <f>MAX(0,S635-MAX(0,Z635-SUM(Q635:R635)))</f>
        <v/>
      </c>
      <c r="AG635" s="4">
        <f>MAX(0,T635-MAX(0,Z635-SUM(Q635:S635)))</f>
        <v/>
      </c>
      <c r="AH635" s="4">
        <f>MAX(0,U635-MAX(0,Z635-SUM(Q635:T635)))</f>
        <v/>
      </c>
      <c r="AI635" s="4">
        <f>MAX(0,V635-MAX(0,Z635-SUM(Q635:U635)))</f>
        <v/>
      </c>
      <c r="AJ635" s="4">
        <f>MAX(0,W635-MAX(0,Z635-SUM(Q635:V635)))</f>
        <v/>
      </c>
      <c r="AK635" s="4">
        <f>MAX(0,X635-MAX(0,Z635-SUM(Q635:W635)))</f>
        <v/>
      </c>
      <c r="AL635" s="4">
        <f>MAX(0,Y635-MAX(0,Z635-SUM(Q635:X635)))</f>
        <v/>
      </c>
    </row>
    <row r="636">
      <c r="A636" s="4" t="inlineStr">
        <is>
          <t>HASLS22260900819</t>
        </is>
      </c>
      <c r="B636" s="4" t="inlineStr">
        <is>
          <t>TSXM</t>
        </is>
      </c>
      <c r="C636" s="4" t="inlineStr">
        <is>
          <t>2618N</t>
        </is>
      </c>
      <c r="D636" s="4" t="inlineStr">
        <is>
          <t>202610201500</t>
        </is>
      </c>
      <c r="E636" s="4" t="inlineStr"/>
      <c r="F636" s="4" t="inlineStr">
        <is>
          <t>THLCH</t>
        </is>
      </c>
      <c r="G636" s="4" t="inlineStr">
        <is>
          <t>KRINC</t>
        </is>
      </c>
      <c r="H636" s="4" t="inlineStr">
        <is>
          <t xml:space="preserve">20'x10 </t>
        </is>
      </c>
      <c r="I636" s="4" t="inlineStr">
        <is>
          <t>LCHY5</t>
        </is>
      </c>
      <c r="J636" s="4" t="inlineStr">
        <is>
          <t>PW DEPOT CO., LTD.</t>
        </is>
      </c>
      <c r="K636" s="4" t="inlineStr">
        <is>
          <t>20261013</t>
        </is>
      </c>
      <c r="L636" s="4" t="inlineStr">
        <is>
          <t>JAST GLOBAL CO.,LTD.</t>
        </is>
      </c>
      <c r="M636" s="4" t="inlineStr">
        <is>
          <t>THE THAI SUGAR TRADING CORPORATION LTD.</t>
        </is>
      </c>
      <c r="N636" s="4" t="inlineStr">
        <is>
          <t xml:space="preserve">WHITE REFINED SUGAR </t>
        </is>
      </c>
      <c r="O636" s="4" t="inlineStr">
        <is>
          <t>RQST CNTR CLEAN &amp; GRADE A</t>
        </is>
      </c>
      <c r="P636" s="4" t="inlineStr">
        <is>
          <t xml:space="preserve">Pickup : 2026-10-13, Return : 2026-10-15 
 ** PLEASE CHECK OPEN GATE BEFORE RETURN CNTR **
</t>
        </is>
      </c>
      <c r="Q636" s="4" t="n">
        <v>10</v>
      </c>
      <c r="R636" s="4" t="n">
        <v>0</v>
      </c>
      <c r="S636" s="4" t="n">
        <v>0</v>
      </c>
      <c r="T636" s="4" t="n">
        <v>0</v>
      </c>
      <c r="U636" s="4" t="n">
        <v>0</v>
      </c>
      <c r="V636" s="4" t="n">
        <v>0</v>
      </c>
      <c r="W636" s="4" t="n">
        <v>0</v>
      </c>
      <c r="X636" s="4" t="n">
        <v>0</v>
      </c>
      <c r="Y636" s="4" t="n">
        <v>0</v>
      </c>
      <c r="Z636" s="4" t="n">
        <v>0</v>
      </c>
      <c r="AA636" s="4" t="n">
        <v>0</v>
      </c>
      <c r="AB636" s="4">
        <f>SUM(Q636:Y636)-Z636</f>
        <v/>
      </c>
      <c r="AC636" s="4">
        <f>IF(I636="","",IF(OR(LEFT(I636,3)="BKK",I636="LCH55"),"BKK",IF(LEFT(I636,3)="LCH","LCH","OTHER")))</f>
        <v/>
      </c>
      <c r="AD636" s="4">
        <f>MAX(0,Q636-MAX(0,Z636))</f>
        <v/>
      </c>
      <c r="AE636" s="4">
        <f>MAX(0,R636-MAX(0,Z636-SUM(Q636:Q636)))</f>
        <v/>
      </c>
      <c r="AF636" s="4">
        <f>MAX(0,S636-MAX(0,Z636-SUM(Q636:R636)))</f>
        <v/>
      </c>
      <c r="AG636" s="4">
        <f>MAX(0,T636-MAX(0,Z636-SUM(Q636:S636)))</f>
        <v/>
      </c>
      <c r="AH636" s="4">
        <f>MAX(0,U636-MAX(0,Z636-SUM(Q636:T636)))</f>
        <v/>
      </c>
      <c r="AI636" s="4">
        <f>MAX(0,V636-MAX(0,Z636-SUM(Q636:U636)))</f>
        <v/>
      </c>
      <c r="AJ636" s="4">
        <f>MAX(0,W636-MAX(0,Z636-SUM(Q636:V636)))</f>
        <v/>
      </c>
      <c r="AK636" s="4">
        <f>MAX(0,X636-MAX(0,Z636-SUM(Q636:W636)))</f>
        <v/>
      </c>
      <c r="AL636" s="4">
        <f>MAX(0,Y636-MAX(0,Z636-SUM(Q636:X636)))</f>
        <v/>
      </c>
    </row>
    <row r="637">
      <c r="A637" s="4" t="inlineStr">
        <is>
          <t>HASLS22260900880</t>
        </is>
      </c>
      <c r="B637" s="4" t="inlineStr">
        <is>
          <t>SWIC</t>
        </is>
      </c>
      <c r="C637" s="4" t="inlineStr">
        <is>
          <t>2611N</t>
        </is>
      </c>
      <c r="D637" s="4" t="inlineStr">
        <is>
          <t>202610132300</t>
        </is>
      </c>
      <c r="E637" s="4" t="inlineStr"/>
      <c r="F637" s="4" t="inlineStr">
        <is>
          <t>THLCH</t>
        </is>
      </c>
      <c r="G637" s="4" t="inlineStr">
        <is>
          <t>KRUSN</t>
        </is>
      </c>
      <c r="H637" s="4" t="inlineStr">
        <is>
          <t xml:space="preserve">20'x2 </t>
        </is>
      </c>
      <c r="I637" s="4" t="inlineStr">
        <is>
          <t>LCHY5</t>
        </is>
      </c>
      <c r="J637" s="4" t="inlineStr">
        <is>
          <t>PW DEPOT CO., LTD.</t>
        </is>
      </c>
      <c r="K637" s="4" t="inlineStr">
        <is>
          <t>20261006</t>
        </is>
      </c>
      <c r="L637" s="4" t="inlineStr">
        <is>
          <t>LX PANTOS (THAILAND) CO., LTD.</t>
        </is>
      </c>
      <c r="M637" s="4" t="inlineStr">
        <is>
          <t>UNITEX RUBBER CO.,LTD</t>
        </is>
      </c>
      <c r="N637" s="4" t="inlineStr">
        <is>
          <t>NATURAL RUBBER LATEX</t>
        </is>
      </c>
      <c r="O637" s="4" t="inlineStr">
        <is>
          <t>** DO NOT RELEASE CNTR PLS WAIT APPROVAL ** *FLEXIBAG ONDECK*
Survey : 2026-10-06, Pickup : 2026-10-07 GOOD AND CLEAN CONTAINER</t>
        </is>
      </c>
      <c r="P637" s="4" t="inlineStr">
        <is>
          <t>** DO NOT RELEASE CNTR PLS WAIT APPROVAL ** *FLEXIBAG ONDECK*
Survey : 2026-10-06, Pickup : 2026-10-07, Return : 2026-10-08 [1ST RTN 09/10/2026 W/O RENT]
**PLS CHECK OPEN GATE BEFORE RETURN CNTR**</t>
        </is>
      </c>
      <c r="Q637" s="4" t="n">
        <v>2</v>
      </c>
      <c r="R637" s="4" t="n">
        <v>0</v>
      </c>
      <c r="S637" s="4" t="n">
        <v>0</v>
      </c>
      <c r="T637" s="4" t="n">
        <v>0</v>
      </c>
      <c r="U637" s="4" t="n">
        <v>0</v>
      </c>
      <c r="V637" s="4" t="n">
        <v>0</v>
      </c>
      <c r="W637" s="4" t="n">
        <v>0</v>
      </c>
      <c r="X637" s="4" t="n">
        <v>0</v>
      </c>
      <c r="Y637" s="4" t="n">
        <v>0</v>
      </c>
      <c r="Z637" s="4" t="n">
        <v>0</v>
      </c>
      <c r="AA637" s="4" t="n">
        <v>0</v>
      </c>
      <c r="AB637" s="4">
        <f>SUM(Q637:Y637)-Z637</f>
        <v/>
      </c>
      <c r="AC637" s="4">
        <f>IF(I637="","",IF(OR(LEFT(I637,3)="BKK",I637="LCH55"),"BKK",IF(LEFT(I637,3)="LCH","LCH","OTHER")))</f>
        <v/>
      </c>
      <c r="AD637" s="4">
        <f>MAX(0,Q637-MAX(0,Z637))</f>
        <v/>
      </c>
      <c r="AE637" s="4">
        <f>MAX(0,R637-MAX(0,Z637-SUM(Q637:Q637)))</f>
        <v/>
      </c>
      <c r="AF637" s="4">
        <f>MAX(0,S637-MAX(0,Z637-SUM(Q637:R637)))</f>
        <v/>
      </c>
      <c r="AG637" s="4">
        <f>MAX(0,T637-MAX(0,Z637-SUM(Q637:S637)))</f>
        <v/>
      </c>
      <c r="AH637" s="4">
        <f>MAX(0,U637-MAX(0,Z637-SUM(Q637:T637)))</f>
        <v/>
      </c>
      <c r="AI637" s="4">
        <f>MAX(0,V637-MAX(0,Z637-SUM(Q637:U637)))</f>
        <v/>
      </c>
      <c r="AJ637" s="4">
        <f>MAX(0,W637-MAX(0,Z637-SUM(Q637:V637)))</f>
        <v/>
      </c>
      <c r="AK637" s="4">
        <f>MAX(0,X637-MAX(0,Z637-SUM(Q637:W637)))</f>
        <v/>
      </c>
      <c r="AL637" s="4">
        <f>MAX(0,Y637-MAX(0,Z637-SUM(Q637:X637)))</f>
        <v/>
      </c>
    </row>
    <row r="638">
      <c r="A638" s="4" t="inlineStr">
        <is>
          <t>HASLS22260900921</t>
        </is>
      </c>
      <c r="B638" s="4" t="inlineStr">
        <is>
          <t>SWMM</t>
        </is>
      </c>
      <c r="C638" s="4" t="inlineStr">
        <is>
          <t>2610N</t>
        </is>
      </c>
      <c r="D638" s="4" t="inlineStr">
        <is>
          <t>202610212100</t>
        </is>
      </c>
      <c r="E638" s="4" t="inlineStr"/>
      <c r="F638" s="4" t="inlineStr">
        <is>
          <t>THLCH</t>
        </is>
      </c>
      <c r="G638" s="4" t="inlineStr">
        <is>
          <t>KRPTK</t>
        </is>
      </c>
      <c r="H638" s="4" t="inlineStr">
        <is>
          <t xml:space="preserve">20'x3 </t>
        </is>
      </c>
      <c r="I638" s="4" t="inlineStr">
        <is>
          <t>LCHY5</t>
        </is>
      </c>
      <c r="J638" s="4" t="inlineStr">
        <is>
          <t>PW DEPOT CO., LTD.</t>
        </is>
      </c>
      <c r="K638" s="4" t="inlineStr">
        <is>
          <t>20261015</t>
        </is>
      </c>
      <c r="L638" s="4" t="inlineStr">
        <is>
          <t>LOGEM LOGISTICS CO., LTD.</t>
        </is>
      </c>
      <c r="M638" s="4" t="inlineStr">
        <is>
          <t>SHINJIN SM (THAILAND) CO.,LTD.</t>
        </is>
      </c>
      <c r="N638" s="4" t="inlineStr">
        <is>
          <t>MATERIAL STEEL FINISHING PLATE</t>
        </is>
      </c>
      <c r="O638" s="4" t="inlineStr">
        <is>
          <t>GOOD AND CLEAN CONTAINER</t>
        </is>
      </c>
      <c r="P638" s="4" t="inlineStr">
        <is>
          <t>Pickup : 2026-10-15, Return : 2026-10-16</t>
        </is>
      </c>
      <c r="Q638" s="4" t="n">
        <v>3</v>
      </c>
      <c r="R638" s="4" t="n">
        <v>0</v>
      </c>
      <c r="S638" s="4" t="n">
        <v>0</v>
      </c>
      <c r="T638" s="4" t="n">
        <v>0</v>
      </c>
      <c r="U638" s="4" t="n">
        <v>0</v>
      </c>
      <c r="V638" s="4" t="n">
        <v>0</v>
      </c>
      <c r="W638" s="4" t="n">
        <v>0</v>
      </c>
      <c r="X638" s="4" t="n">
        <v>0</v>
      </c>
      <c r="Y638" s="4" t="n">
        <v>0</v>
      </c>
      <c r="Z638" s="4" t="n">
        <v>0</v>
      </c>
      <c r="AA638" s="4" t="n">
        <v>0</v>
      </c>
      <c r="AB638" s="4">
        <f>SUM(Q638:Y638)-Z638</f>
        <v/>
      </c>
      <c r="AC638" s="4">
        <f>IF(I638="","",IF(OR(LEFT(I638,3)="BKK",I638="LCH55"),"BKK",IF(LEFT(I638,3)="LCH","LCH","OTHER")))</f>
        <v/>
      </c>
      <c r="AD638" s="4">
        <f>MAX(0,Q638-MAX(0,Z638))</f>
        <v/>
      </c>
      <c r="AE638" s="4">
        <f>MAX(0,R638-MAX(0,Z638-SUM(Q638:Q638)))</f>
        <v/>
      </c>
      <c r="AF638" s="4">
        <f>MAX(0,S638-MAX(0,Z638-SUM(Q638:R638)))</f>
        <v/>
      </c>
      <c r="AG638" s="4">
        <f>MAX(0,T638-MAX(0,Z638-SUM(Q638:S638)))</f>
        <v/>
      </c>
      <c r="AH638" s="4">
        <f>MAX(0,U638-MAX(0,Z638-SUM(Q638:T638)))</f>
        <v/>
      </c>
      <c r="AI638" s="4">
        <f>MAX(0,V638-MAX(0,Z638-SUM(Q638:U638)))</f>
        <v/>
      </c>
      <c r="AJ638" s="4">
        <f>MAX(0,W638-MAX(0,Z638-SUM(Q638:V638)))</f>
        <v/>
      </c>
      <c r="AK638" s="4">
        <f>MAX(0,X638-MAX(0,Z638-SUM(Q638:W638)))</f>
        <v/>
      </c>
      <c r="AL638" s="4">
        <f>MAX(0,Y638-MAX(0,Z638-SUM(Q638:X638)))</f>
        <v/>
      </c>
    </row>
    <row r="639">
      <c r="A639" s="4" t="inlineStr">
        <is>
          <t>HASLS22260900935</t>
        </is>
      </c>
      <c r="B639" s="4" t="inlineStr">
        <is>
          <t>SWSP</t>
        </is>
      </c>
      <c r="C639" s="4" t="inlineStr">
        <is>
          <t>2609N</t>
        </is>
      </c>
      <c r="D639" s="4" t="inlineStr">
        <is>
          <t>202610080830</t>
        </is>
      </c>
      <c r="E639" s="4" t="inlineStr"/>
      <c r="F639" s="4" t="inlineStr">
        <is>
          <t>THLCH</t>
        </is>
      </c>
      <c r="G639" s="4" t="inlineStr">
        <is>
          <t>JPTMK</t>
        </is>
      </c>
      <c r="H639" s="4" t="inlineStr">
        <is>
          <t xml:space="preserve">20'x2 </t>
        </is>
      </c>
      <c r="I639" s="4" t="inlineStr">
        <is>
          <t>LCHY5</t>
        </is>
      </c>
      <c r="J639" s="4" t="inlineStr">
        <is>
          <t>PW DEPOT CO., LTD.</t>
        </is>
      </c>
      <c r="K639" s="4" t="inlineStr">
        <is>
          <t>20260928</t>
        </is>
      </c>
      <c r="L639" s="4" t="inlineStr">
        <is>
          <t>ROJANA DISTRIBUTION CENTER CO., LTD.</t>
        </is>
      </c>
      <c r="M639" s="4" t="inlineStr">
        <is>
          <t>SEI THAI ELECTRIC CONDUCTOR CO., LTD.</t>
        </is>
      </c>
      <c r="N639" s="4" t="inlineStr">
        <is>
          <t>ALUMINUM WIRE ROD</t>
        </is>
      </c>
      <c r="O639" s="4" t="inlineStr">
        <is>
          <t>Condition of container:
Load by forklift, goods grade, smooth and strong floor. Not wet, no oil.</t>
        </is>
      </c>
      <c r="P639" s="4" t="inlineStr">
        <is>
          <t>Pickup : 2026-09-28, Return : 2026-10-01</t>
        </is>
      </c>
      <c r="Q639" s="4" t="n">
        <v>2</v>
      </c>
      <c r="R639" s="4" t="n">
        <v>0</v>
      </c>
      <c r="S639" s="4" t="n">
        <v>0</v>
      </c>
      <c r="T639" s="4" t="n">
        <v>0</v>
      </c>
      <c r="U639" s="4" t="n">
        <v>0</v>
      </c>
      <c r="V639" s="4" t="n">
        <v>0</v>
      </c>
      <c r="W639" s="4" t="n">
        <v>0</v>
      </c>
      <c r="X639" s="4" t="n">
        <v>0</v>
      </c>
      <c r="Y639" s="4" t="n">
        <v>0</v>
      </c>
      <c r="Z639" s="4" t="n">
        <v>0</v>
      </c>
      <c r="AA639" s="4" t="n">
        <v>0</v>
      </c>
      <c r="AB639" s="4">
        <f>SUM(Q639:Y639)-Z639</f>
        <v/>
      </c>
      <c r="AC639" s="4">
        <f>IF(I639="","",IF(OR(LEFT(I639,3)="BKK",I639="LCH55"),"BKK",IF(LEFT(I639,3)="LCH","LCH","OTHER")))</f>
        <v/>
      </c>
      <c r="AD639" s="4">
        <f>MAX(0,Q639-MAX(0,Z639))</f>
        <v/>
      </c>
      <c r="AE639" s="4">
        <f>MAX(0,R639-MAX(0,Z639-SUM(Q639:Q639)))</f>
        <v/>
      </c>
      <c r="AF639" s="4">
        <f>MAX(0,S639-MAX(0,Z639-SUM(Q639:R639)))</f>
        <v/>
      </c>
      <c r="AG639" s="4">
        <f>MAX(0,T639-MAX(0,Z639-SUM(Q639:S639)))</f>
        <v/>
      </c>
      <c r="AH639" s="4">
        <f>MAX(0,U639-MAX(0,Z639-SUM(Q639:T639)))</f>
        <v/>
      </c>
      <c r="AI639" s="4">
        <f>MAX(0,V639-MAX(0,Z639-SUM(Q639:U639)))</f>
        <v/>
      </c>
      <c r="AJ639" s="4">
        <f>MAX(0,W639-MAX(0,Z639-SUM(Q639:V639)))</f>
        <v/>
      </c>
      <c r="AK639" s="4">
        <f>MAX(0,X639-MAX(0,Z639-SUM(Q639:W639)))</f>
        <v/>
      </c>
      <c r="AL639" s="4">
        <f>MAX(0,Y639-MAX(0,Z639-SUM(Q639:X639)))</f>
        <v/>
      </c>
    </row>
    <row r="640">
      <c r="A640" s="4" t="inlineStr">
        <is>
          <t>HASLS22260900962</t>
        </is>
      </c>
      <c r="B640" s="4" t="inlineStr">
        <is>
          <t>SWAL</t>
        </is>
      </c>
      <c r="C640" s="4" t="inlineStr">
        <is>
          <t>2609N</t>
        </is>
      </c>
      <c r="D640" s="4" t="inlineStr">
        <is>
          <t>202610200800</t>
        </is>
      </c>
      <c r="E640" s="4" t="inlineStr"/>
      <c r="F640" s="4" t="inlineStr">
        <is>
          <t>THLCH</t>
        </is>
      </c>
      <c r="G640" s="4" t="inlineStr">
        <is>
          <t>JPTMK</t>
        </is>
      </c>
      <c r="H640" s="4" t="inlineStr">
        <is>
          <t xml:space="preserve">20'x4 </t>
        </is>
      </c>
      <c r="I640" s="4" t="inlineStr">
        <is>
          <t>LCHY5</t>
        </is>
      </c>
      <c r="J640" s="4" t="inlineStr">
        <is>
          <t>PW DEPOT CO., LTD.</t>
        </is>
      </c>
      <c r="K640" s="4" t="inlineStr">
        <is>
          <t>20261014</t>
        </is>
      </c>
      <c r="L640" s="4" t="inlineStr">
        <is>
          <t>ROJANA DISTRIBUTION CENTER CO., LTD.</t>
        </is>
      </c>
      <c r="M640" s="4" t="inlineStr">
        <is>
          <t>SEI THAI ELECTRIC CONDUCTOR CO., LTD.</t>
        </is>
      </c>
      <c r="N640" s="4" t="inlineStr">
        <is>
          <t>ALUMINUM WIRE ROD</t>
        </is>
      </c>
      <c r="O640" s="4" t="inlineStr">
        <is>
          <t>Condition of container:
Load by forklift, goods grade, smooth and strong floor. Not wet, no oil.</t>
        </is>
      </c>
      <c r="P640" s="4" t="inlineStr">
        <is>
          <t>Pickup : 2026-10-14, Return : 2026-10-16</t>
        </is>
      </c>
      <c r="Q640" s="4" t="n">
        <v>4</v>
      </c>
      <c r="R640" s="4" t="n">
        <v>0</v>
      </c>
      <c r="S640" s="4" t="n">
        <v>0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>
        <f>SUM(Q640:Y640)-Z640</f>
        <v/>
      </c>
      <c r="AC640" s="4">
        <f>IF(I640="","",IF(OR(LEFT(I640,3)="BKK",I640="LCH55"),"BKK",IF(LEFT(I640,3)="LCH","LCH","OTHER")))</f>
        <v/>
      </c>
      <c r="AD640" s="4">
        <f>MAX(0,Q640-MAX(0,Z640))</f>
        <v/>
      </c>
      <c r="AE640" s="4">
        <f>MAX(0,R640-MAX(0,Z640-SUM(Q640:Q640)))</f>
        <v/>
      </c>
      <c r="AF640" s="4">
        <f>MAX(0,S640-MAX(0,Z640-SUM(Q640:R640)))</f>
        <v/>
      </c>
      <c r="AG640" s="4">
        <f>MAX(0,T640-MAX(0,Z640-SUM(Q640:S640)))</f>
        <v/>
      </c>
      <c r="AH640" s="4">
        <f>MAX(0,U640-MAX(0,Z640-SUM(Q640:T640)))</f>
        <v/>
      </c>
      <c r="AI640" s="4">
        <f>MAX(0,V640-MAX(0,Z640-SUM(Q640:U640)))</f>
        <v/>
      </c>
      <c r="AJ640" s="4">
        <f>MAX(0,W640-MAX(0,Z640-SUM(Q640:V640)))</f>
        <v/>
      </c>
      <c r="AK640" s="4">
        <f>MAX(0,X640-MAX(0,Z640-SUM(Q640:W640)))</f>
        <v/>
      </c>
      <c r="AL640" s="4">
        <f>MAX(0,Y640-MAX(0,Z640-SUM(Q640:X640)))</f>
        <v/>
      </c>
    </row>
    <row r="641">
      <c r="A641" s="4" t="inlineStr">
        <is>
          <t>HASLS22260900964</t>
        </is>
      </c>
      <c r="B641" s="4" t="inlineStr">
        <is>
          <t>PCCP</t>
        </is>
      </c>
      <c r="C641" s="4" t="inlineStr">
        <is>
          <t>2610N</t>
        </is>
      </c>
      <c r="D641" s="4" t="inlineStr">
        <is>
          <t>202610120600</t>
        </is>
      </c>
      <c r="E641" s="4" t="inlineStr"/>
      <c r="F641" s="4" t="inlineStr">
        <is>
          <t>THLCH</t>
        </is>
      </c>
      <c r="G641" s="4" t="inlineStr">
        <is>
          <t>JPTMK</t>
        </is>
      </c>
      <c r="H641" s="4" t="inlineStr">
        <is>
          <t xml:space="preserve">20'x2 </t>
        </is>
      </c>
      <c r="I641" s="4" t="inlineStr">
        <is>
          <t>LCHY5</t>
        </is>
      </c>
      <c r="J641" s="4" t="inlineStr">
        <is>
          <t>PW DEPOT CO., LTD.</t>
        </is>
      </c>
      <c r="K641" s="4" t="inlineStr">
        <is>
          <t>20261005</t>
        </is>
      </c>
      <c r="L641" s="4" t="inlineStr">
        <is>
          <t>ROJANA DISTRIBUTION CENTER CO., LTD.</t>
        </is>
      </c>
      <c r="M641" s="4" t="inlineStr">
        <is>
          <t>SEI THAI ELECTRIC CONDUCTOR CO., LTD.</t>
        </is>
      </c>
      <c r="N641" s="4" t="inlineStr">
        <is>
          <t>ALUMINUM WIRE ROD</t>
        </is>
      </c>
      <c r="O641" s="4" t="inlineStr">
        <is>
          <t>Condition of container:
Load by forklift, goods grade, smooth and strong floor. Not wet, no oil.</t>
        </is>
      </c>
      <c r="P641" s="4" t="inlineStr">
        <is>
          <t xml:space="preserve">Pickup : 2026-10-05, Return : 2026-10-07
** PLEASE CHECK OPEN GATE BEFORE RETURN CONTAINER ** </t>
        </is>
      </c>
      <c r="Q641" s="4" t="n">
        <v>2</v>
      </c>
      <c r="R641" s="4" t="n">
        <v>0</v>
      </c>
      <c r="S641" s="4" t="n">
        <v>0</v>
      </c>
      <c r="T641" s="4" t="n">
        <v>0</v>
      </c>
      <c r="U641" s="4" t="n">
        <v>0</v>
      </c>
      <c r="V641" s="4" t="n">
        <v>0</v>
      </c>
      <c r="W641" s="4" t="n">
        <v>0</v>
      </c>
      <c r="X641" s="4" t="n">
        <v>0</v>
      </c>
      <c r="Y641" s="4" t="n">
        <v>0</v>
      </c>
      <c r="Z641" s="4" t="n">
        <v>0</v>
      </c>
      <c r="AA641" s="4" t="n">
        <v>0</v>
      </c>
      <c r="AB641" s="4">
        <f>SUM(Q641:Y641)-Z641</f>
        <v/>
      </c>
      <c r="AC641" s="4">
        <f>IF(I641="","",IF(OR(LEFT(I641,3)="BKK",I641="LCH55"),"BKK",IF(LEFT(I641,3)="LCH","LCH","OTHER")))</f>
        <v/>
      </c>
      <c r="AD641" s="4">
        <f>MAX(0,Q641-MAX(0,Z641))</f>
        <v/>
      </c>
      <c r="AE641" s="4">
        <f>MAX(0,R641-MAX(0,Z641-SUM(Q641:Q641)))</f>
        <v/>
      </c>
      <c r="AF641" s="4">
        <f>MAX(0,S641-MAX(0,Z641-SUM(Q641:R641)))</f>
        <v/>
      </c>
      <c r="AG641" s="4">
        <f>MAX(0,T641-MAX(0,Z641-SUM(Q641:S641)))</f>
        <v/>
      </c>
      <c r="AH641" s="4">
        <f>MAX(0,U641-MAX(0,Z641-SUM(Q641:T641)))</f>
        <v/>
      </c>
      <c r="AI641" s="4">
        <f>MAX(0,V641-MAX(0,Z641-SUM(Q641:U641)))</f>
        <v/>
      </c>
      <c r="AJ641" s="4">
        <f>MAX(0,W641-MAX(0,Z641-SUM(Q641:V641)))</f>
        <v/>
      </c>
      <c r="AK641" s="4">
        <f>MAX(0,X641-MAX(0,Z641-SUM(Q641:W641)))</f>
        <v/>
      </c>
      <c r="AL641" s="4">
        <f>MAX(0,Y641-MAX(0,Z641-SUM(Q641:X641)))</f>
        <v/>
      </c>
    </row>
    <row r="642">
      <c r="A642" s="4" t="inlineStr">
        <is>
          <t>HASLS22260900967</t>
        </is>
      </c>
      <c r="B642" s="4" t="inlineStr">
        <is>
          <t>KXM</t>
        </is>
      </c>
      <c r="C642" s="4" t="inlineStr">
        <is>
          <t>2608S</t>
        </is>
      </c>
      <c r="D642" s="4" t="inlineStr">
        <is>
          <t>202610100500</t>
        </is>
      </c>
      <c r="E642" s="4" t="inlineStr"/>
      <c r="F642" s="4" t="inlineStr">
        <is>
          <t>THLCH</t>
        </is>
      </c>
      <c r="G642" s="4" t="inlineStr">
        <is>
          <t>IDJKT</t>
        </is>
      </c>
      <c r="H642" s="4" t="inlineStr">
        <is>
          <t xml:space="preserve">20'x2 </t>
        </is>
      </c>
      <c r="I642" s="4" t="inlineStr">
        <is>
          <t>LCHY5</t>
        </is>
      </c>
      <c r="J642" s="4" t="inlineStr">
        <is>
          <t>PW DEPOT CO., LTD.</t>
        </is>
      </c>
      <c r="K642" s="4" t="inlineStr">
        <is>
          <t>20261007</t>
        </is>
      </c>
      <c r="L642" s="4" t="inlineStr">
        <is>
          <t>L.A.1 CO.,LTD.</t>
        </is>
      </c>
      <c r="M642" s="4" t="inlineStr">
        <is>
          <t>TANATEX CHEMICALS (THAILAND) CO., LTD.</t>
        </is>
      </c>
      <c r="N642" s="4" t="inlineStr">
        <is>
          <t>CHEMICALS PRODUCT (NON DG)</t>
        </is>
      </c>
      <c r="O642" s="4" t="inlineStr">
        <is>
          <t>GOOD AND CLEAN CONTAINER</t>
        </is>
      </c>
      <c r="P642" s="4" t="inlineStr">
        <is>
          <t>Pickup : 2026-10-07, Return : 2026-10-08</t>
        </is>
      </c>
      <c r="Q642" s="4" t="n">
        <v>2</v>
      </c>
      <c r="R642" s="4" t="n">
        <v>0</v>
      </c>
      <c r="S642" s="4" t="n">
        <v>0</v>
      </c>
      <c r="T642" s="4" t="n">
        <v>0</v>
      </c>
      <c r="U642" s="4" t="n">
        <v>0</v>
      </c>
      <c r="V642" s="4" t="n">
        <v>0</v>
      </c>
      <c r="W642" s="4" t="n">
        <v>0</v>
      </c>
      <c r="X642" s="4" t="n">
        <v>0</v>
      </c>
      <c r="Y642" s="4" t="n">
        <v>0</v>
      </c>
      <c r="Z642" s="4" t="n">
        <v>0</v>
      </c>
      <c r="AA642" s="4" t="n">
        <v>0</v>
      </c>
      <c r="AB642" s="4">
        <f>SUM(Q642:Y642)-Z642</f>
        <v/>
      </c>
      <c r="AC642" s="4">
        <f>IF(I642="","",IF(OR(LEFT(I642,3)="BKK",I642="LCH55"),"BKK",IF(LEFT(I642,3)="LCH","LCH","OTHER")))</f>
        <v/>
      </c>
      <c r="AD642" s="4">
        <f>MAX(0,Q642-MAX(0,Z642))</f>
        <v/>
      </c>
      <c r="AE642" s="4">
        <f>MAX(0,R642-MAX(0,Z642-SUM(Q642:Q642)))</f>
        <v/>
      </c>
      <c r="AF642" s="4">
        <f>MAX(0,S642-MAX(0,Z642-SUM(Q642:R642)))</f>
        <v/>
      </c>
      <c r="AG642" s="4">
        <f>MAX(0,T642-MAX(0,Z642-SUM(Q642:S642)))</f>
        <v/>
      </c>
      <c r="AH642" s="4">
        <f>MAX(0,U642-MAX(0,Z642-SUM(Q642:T642)))</f>
        <v/>
      </c>
      <c r="AI642" s="4">
        <f>MAX(0,V642-MAX(0,Z642-SUM(Q642:U642)))</f>
        <v/>
      </c>
      <c r="AJ642" s="4">
        <f>MAX(0,W642-MAX(0,Z642-SUM(Q642:V642)))</f>
        <v/>
      </c>
      <c r="AK642" s="4">
        <f>MAX(0,X642-MAX(0,Z642-SUM(Q642:W642)))</f>
        <v/>
      </c>
      <c r="AL642" s="4">
        <f>MAX(0,Y642-MAX(0,Z642-SUM(Q642:X642)))</f>
        <v/>
      </c>
    </row>
    <row r="643">
      <c r="A643" s="4" t="inlineStr">
        <is>
          <t>HASLS22260900968</t>
        </is>
      </c>
      <c r="B643" s="4" t="inlineStr">
        <is>
          <t>KXM</t>
        </is>
      </c>
      <c r="C643" s="4" t="inlineStr">
        <is>
          <t>2608S</t>
        </is>
      </c>
      <c r="D643" s="4" t="inlineStr">
        <is>
          <t>202610100500</t>
        </is>
      </c>
      <c r="E643" s="4" t="inlineStr"/>
      <c r="F643" s="4" t="inlineStr">
        <is>
          <t>THLCH</t>
        </is>
      </c>
      <c r="G643" s="4" t="inlineStr">
        <is>
          <t>IDJKT</t>
        </is>
      </c>
      <c r="H643" s="4" t="inlineStr">
        <is>
          <t xml:space="preserve">40Hx2 </t>
        </is>
      </c>
      <c r="I643" s="4" t="inlineStr">
        <is>
          <t>LCHY5</t>
        </is>
      </c>
      <c r="J643" s="4" t="inlineStr">
        <is>
          <t>PW DEPOT CO., LTD.</t>
        </is>
      </c>
      <c r="K643" s="4" t="inlineStr">
        <is>
          <t>20261007</t>
        </is>
      </c>
      <c r="L643" s="4" t="inlineStr">
        <is>
          <t>L.A.1 CO.,LTD.</t>
        </is>
      </c>
      <c r="M643" s="4" t="inlineStr">
        <is>
          <t>TANATEX CHEMICALS (THAILAND) CO., LTD.</t>
        </is>
      </c>
      <c r="N643" s="4" t="inlineStr">
        <is>
          <t>CHEMICALS PRODUCT (NON DG)</t>
        </is>
      </c>
      <c r="O643" s="4" t="inlineStr">
        <is>
          <t>CONTAINER MAX GROSS 32.5 TONS</t>
        </is>
      </c>
      <c r="P643" s="4" t="inlineStr">
        <is>
          <t>Pickup : 2026-10-07, Return : 2026-10-08</t>
        </is>
      </c>
      <c r="Q643" s="4" t="n">
        <v>0</v>
      </c>
      <c r="R643" s="4" t="n">
        <v>0</v>
      </c>
      <c r="S643" s="4" t="n">
        <v>2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>
        <f>SUM(Q643:Y643)-Z643</f>
        <v/>
      </c>
      <c r="AC643" s="4">
        <f>IF(I643="","",IF(OR(LEFT(I643,3)="BKK",I643="LCH55"),"BKK",IF(LEFT(I643,3)="LCH","LCH","OTHER")))</f>
        <v/>
      </c>
      <c r="AD643" s="4">
        <f>MAX(0,Q643-MAX(0,Z643))</f>
        <v/>
      </c>
      <c r="AE643" s="4">
        <f>MAX(0,R643-MAX(0,Z643-SUM(Q643:Q643)))</f>
        <v/>
      </c>
      <c r="AF643" s="4">
        <f>MAX(0,S643-MAX(0,Z643-SUM(Q643:R643)))</f>
        <v/>
      </c>
      <c r="AG643" s="4">
        <f>MAX(0,T643-MAX(0,Z643-SUM(Q643:S643)))</f>
        <v/>
      </c>
      <c r="AH643" s="4">
        <f>MAX(0,U643-MAX(0,Z643-SUM(Q643:T643)))</f>
        <v/>
      </c>
      <c r="AI643" s="4">
        <f>MAX(0,V643-MAX(0,Z643-SUM(Q643:U643)))</f>
        <v/>
      </c>
      <c r="AJ643" s="4">
        <f>MAX(0,W643-MAX(0,Z643-SUM(Q643:V643)))</f>
        <v/>
      </c>
      <c r="AK643" s="4">
        <f>MAX(0,X643-MAX(0,Z643-SUM(Q643:W643)))</f>
        <v/>
      </c>
      <c r="AL643" s="4">
        <f>MAX(0,Y643-MAX(0,Z643-SUM(Q643:X643)))</f>
        <v/>
      </c>
    </row>
    <row r="644">
      <c r="A644" s="4" t="inlineStr">
        <is>
          <t>HASLS22260900969</t>
        </is>
      </c>
      <c r="B644" s="4" t="inlineStr">
        <is>
          <t>YSVY</t>
        </is>
      </c>
      <c r="C644" s="4" t="inlineStr">
        <is>
          <t>2608S</t>
        </is>
      </c>
      <c r="D644" s="4" t="inlineStr">
        <is>
          <t>202610190700</t>
        </is>
      </c>
      <c r="E644" s="4" t="inlineStr"/>
      <c r="F644" s="4" t="inlineStr">
        <is>
          <t>THLCH</t>
        </is>
      </c>
      <c r="G644" s="4" t="inlineStr">
        <is>
          <t>IDJKT</t>
        </is>
      </c>
      <c r="H644" s="4" t="inlineStr">
        <is>
          <t xml:space="preserve">40Hx2 </t>
        </is>
      </c>
      <c r="I644" s="4" t="inlineStr">
        <is>
          <t>LCHY5</t>
        </is>
      </c>
      <c r="J644" s="4" t="inlineStr">
        <is>
          <t>PW DEPOT CO., LTD.</t>
        </is>
      </c>
      <c r="K644" s="4" t="inlineStr">
        <is>
          <t>20261014</t>
        </is>
      </c>
      <c r="L644" s="4" t="inlineStr">
        <is>
          <t>L.A.1 CO.,LTD.</t>
        </is>
      </c>
      <c r="M644" s="4" t="inlineStr">
        <is>
          <t>TANATEX CHEMICALS (THAILAND) CO., LTD.</t>
        </is>
      </c>
      <c r="N644" s="4" t="inlineStr">
        <is>
          <t>CHEMICALS PRODUCT (NON DG)</t>
        </is>
      </c>
      <c r="O644" s="4" t="inlineStr">
        <is>
          <t>CONTAINER MAX GROSS 32.5 TONS,</t>
        </is>
      </c>
      <c r="P644" s="4" t="inlineStr">
        <is>
          <t>Pickup : 2026-10-14, Return : 2026-09-15</t>
        </is>
      </c>
      <c r="Q644" s="4" t="n">
        <v>0</v>
      </c>
      <c r="R644" s="4" t="n">
        <v>0</v>
      </c>
      <c r="S644" s="4" t="n">
        <v>2</v>
      </c>
      <c r="T644" s="4" t="n">
        <v>0</v>
      </c>
      <c r="U644" s="4" t="n">
        <v>0</v>
      </c>
      <c r="V644" s="4" t="n">
        <v>0</v>
      </c>
      <c r="W644" s="4" t="n">
        <v>0</v>
      </c>
      <c r="X644" s="4" t="n">
        <v>0</v>
      </c>
      <c r="Y644" s="4" t="n">
        <v>0</v>
      </c>
      <c r="Z644" s="4" t="n">
        <v>0</v>
      </c>
      <c r="AA644" s="4" t="n">
        <v>0</v>
      </c>
      <c r="AB644" s="4">
        <f>SUM(Q644:Y644)-Z644</f>
        <v/>
      </c>
      <c r="AC644" s="4">
        <f>IF(I644="","",IF(OR(LEFT(I644,3)="BKK",I644="LCH55"),"BKK",IF(LEFT(I644,3)="LCH","LCH","OTHER")))</f>
        <v/>
      </c>
      <c r="AD644" s="4">
        <f>MAX(0,Q644-MAX(0,Z644))</f>
        <v/>
      </c>
      <c r="AE644" s="4">
        <f>MAX(0,R644-MAX(0,Z644-SUM(Q644:Q644)))</f>
        <v/>
      </c>
      <c r="AF644" s="4">
        <f>MAX(0,S644-MAX(0,Z644-SUM(Q644:R644)))</f>
        <v/>
      </c>
      <c r="AG644" s="4">
        <f>MAX(0,T644-MAX(0,Z644-SUM(Q644:S644)))</f>
        <v/>
      </c>
      <c r="AH644" s="4">
        <f>MAX(0,U644-MAX(0,Z644-SUM(Q644:T644)))</f>
        <v/>
      </c>
      <c r="AI644" s="4">
        <f>MAX(0,V644-MAX(0,Z644-SUM(Q644:U644)))</f>
        <v/>
      </c>
      <c r="AJ644" s="4">
        <f>MAX(0,W644-MAX(0,Z644-SUM(Q644:V644)))</f>
        <v/>
      </c>
      <c r="AK644" s="4">
        <f>MAX(0,X644-MAX(0,Z644-SUM(Q644:W644)))</f>
        <v/>
      </c>
      <c r="AL644" s="4">
        <f>MAX(0,Y644-MAX(0,Z644-SUM(Q644:X644)))</f>
        <v/>
      </c>
    </row>
    <row r="645">
      <c r="A645" s="4" t="inlineStr">
        <is>
          <t>HASLS22260900970</t>
        </is>
      </c>
      <c r="B645" s="4" t="inlineStr">
        <is>
          <t>NSSJ</t>
        </is>
      </c>
      <c r="C645" s="4" t="inlineStr">
        <is>
          <t>2608S</t>
        </is>
      </c>
      <c r="D645" s="4" t="inlineStr">
        <is>
          <t>202610201630</t>
        </is>
      </c>
      <c r="E645" s="4" t="inlineStr"/>
      <c r="F645" s="4" t="inlineStr">
        <is>
          <t>THLCH</t>
        </is>
      </c>
      <c r="G645" s="4" t="inlineStr">
        <is>
          <t>IDJKT</t>
        </is>
      </c>
      <c r="H645" s="4" t="inlineStr">
        <is>
          <t xml:space="preserve">40Hx2 </t>
        </is>
      </c>
      <c r="I645" s="4" t="inlineStr">
        <is>
          <t>LCHY5</t>
        </is>
      </c>
      <c r="J645" s="4" t="inlineStr">
        <is>
          <t>PW DEPOT CO., LTD.</t>
        </is>
      </c>
      <c r="K645" s="4" t="inlineStr">
        <is>
          <t>20261015</t>
        </is>
      </c>
      <c r="L645" s="4" t="inlineStr">
        <is>
          <t>L.A.1 CO.,LTD.</t>
        </is>
      </c>
      <c r="M645" s="4" t="inlineStr">
        <is>
          <t>TANATEX CHEMICALS (THAILAND) CO., LTD.</t>
        </is>
      </c>
      <c r="N645" s="4" t="inlineStr">
        <is>
          <t>CHEMICALS PRODUCT (NON DG)</t>
        </is>
      </c>
      <c r="O645" s="4" t="inlineStr">
        <is>
          <t>32.5 TON</t>
        </is>
      </c>
      <c r="P645" s="4" t="inlineStr">
        <is>
          <t>Pickup : 2026-10-15, Return : 2026-10-16</t>
        </is>
      </c>
      <c r="Q645" s="4" t="n">
        <v>0</v>
      </c>
      <c r="R645" s="4" t="n">
        <v>0</v>
      </c>
      <c r="S645" s="4" t="n">
        <v>2</v>
      </c>
      <c r="T645" s="4" t="n">
        <v>0</v>
      </c>
      <c r="U645" s="4" t="n">
        <v>0</v>
      </c>
      <c r="V645" s="4" t="n">
        <v>0</v>
      </c>
      <c r="W645" s="4" t="n">
        <v>0</v>
      </c>
      <c r="X645" s="4" t="n">
        <v>0</v>
      </c>
      <c r="Y645" s="4" t="n">
        <v>0</v>
      </c>
      <c r="Z645" s="4" t="n">
        <v>0</v>
      </c>
      <c r="AA645" s="4" t="n">
        <v>0</v>
      </c>
      <c r="AB645" s="4">
        <f>SUM(Q645:Y645)-Z645</f>
        <v/>
      </c>
      <c r="AC645" s="4">
        <f>IF(I645="","",IF(OR(LEFT(I645,3)="BKK",I645="LCH55"),"BKK",IF(LEFT(I645,3)="LCH","LCH","OTHER")))</f>
        <v/>
      </c>
      <c r="AD645" s="4">
        <f>MAX(0,Q645-MAX(0,Z645))</f>
        <v/>
      </c>
      <c r="AE645" s="4">
        <f>MAX(0,R645-MAX(0,Z645-SUM(Q645:Q645)))</f>
        <v/>
      </c>
      <c r="AF645" s="4">
        <f>MAX(0,S645-MAX(0,Z645-SUM(Q645:R645)))</f>
        <v/>
      </c>
      <c r="AG645" s="4">
        <f>MAX(0,T645-MAX(0,Z645-SUM(Q645:S645)))</f>
        <v/>
      </c>
      <c r="AH645" s="4">
        <f>MAX(0,U645-MAX(0,Z645-SUM(Q645:T645)))</f>
        <v/>
      </c>
      <c r="AI645" s="4">
        <f>MAX(0,V645-MAX(0,Z645-SUM(Q645:U645)))</f>
        <v/>
      </c>
      <c r="AJ645" s="4">
        <f>MAX(0,W645-MAX(0,Z645-SUM(Q645:V645)))</f>
        <v/>
      </c>
      <c r="AK645" s="4">
        <f>MAX(0,X645-MAX(0,Z645-SUM(Q645:W645)))</f>
        <v/>
      </c>
      <c r="AL645" s="4">
        <f>MAX(0,Y645-MAX(0,Z645-SUM(Q645:X645)))</f>
        <v/>
      </c>
    </row>
    <row r="646">
      <c r="A646" s="4" t="inlineStr">
        <is>
          <t>HASLS22260900972</t>
        </is>
      </c>
      <c r="B646" s="4" t="inlineStr">
        <is>
          <t>YSVY</t>
        </is>
      </c>
      <c r="C646" s="4" t="inlineStr">
        <is>
          <t>2608S</t>
        </is>
      </c>
      <c r="D646" s="4" t="inlineStr">
        <is>
          <t>202610190700</t>
        </is>
      </c>
      <c r="E646" s="4" t="inlineStr"/>
      <c r="F646" s="4" t="inlineStr">
        <is>
          <t>THLCH</t>
        </is>
      </c>
      <c r="G646" s="4" t="inlineStr">
        <is>
          <t>IDJKT</t>
        </is>
      </c>
      <c r="H646" s="4" t="inlineStr">
        <is>
          <t xml:space="preserve">20'x2 </t>
        </is>
      </c>
      <c r="I646" s="4" t="inlineStr">
        <is>
          <t>LCHY5</t>
        </is>
      </c>
      <c r="J646" s="4" t="inlineStr">
        <is>
          <t>PW DEPOT CO., LTD.</t>
        </is>
      </c>
      <c r="K646" s="4" t="inlineStr">
        <is>
          <t>20261014</t>
        </is>
      </c>
      <c r="L646" s="4" t="inlineStr">
        <is>
          <t>L.A.1 CO.,LTD.</t>
        </is>
      </c>
      <c r="M646" s="4" t="inlineStr">
        <is>
          <t>TANATEX CHEMICALS (THAILAND) CO., LTD.</t>
        </is>
      </c>
      <c r="N646" s="4" t="inlineStr">
        <is>
          <t>CHEMICALS PRODUCT (NON DG)</t>
        </is>
      </c>
      <c r="O646" s="4" t="inlineStr">
        <is>
          <t>GOOD AND CLEAN CONTAINER</t>
        </is>
      </c>
      <c r="P646" s="4" t="inlineStr">
        <is>
          <t>Pickup : 2026-10-14, Return : 2026-10-15</t>
        </is>
      </c>
      <c r="Q646" s="4" t="n">
        <v>2</v>
      </c>
      <c r="R646" s="4" t="n">
        <v>0</v>
      </c>
      <c r="S646" s="4" t="n">
        <v>0</v>
      </c>
      <c r="T646" s="4" t="n">
        <v>0</v>
      </c>
      <c r="U646" s="4" t="n">
        <v>0</v>
      </c>
      <c r="V646" s="4" t="n">
        <v>0</v>
      </c>
      <c r="W646" s="4" t="n">
        <v>0</v>
      </c>
      <c r="X646" s="4" t="n">
        <v>0</v>
      </c>
      <c r="Y646" s="4" t="n">
        <v>0</v>
      </c>
      <c r="Z646" s="4" t="n">
        <v>0</v>
      </c>
      <c r="AA646" s="4" t="n">
        <v>0</v>
      </c>
      <c r="AB646" s="4">
        <f>SUM(Q646:Y646)-Z646</f>
        <v/>
      </c>
      <c r="AC646" s="4">
        <f>IF(I646="","",IF(OR(LEFT(I646,3)="BKK",I646="LCH55"),"BKK",IF(LEFT(I646,3)="LCH","LCH","OTHER")))</f>
        <v/>
      </c>
      <c r="AD646" s="4">
        <f>MAX(0,Q646-MAX(0,Z646))</f>
        <v/>
      </c>
      <c r="AE646" s="4">
        <f>MAX(0,R646-MAX(0,Z646-SUM(Q646:Q646)))</f>
        <v/>
      </c>
      <c r="AF646" s="4">
        <f>MAX(0,S646-MAX(0,Z646-SUM(Q646:R646)))</f>
        <v/>
      </c>
      <c r="AG646" s="4">
        <f>MAX(0,T646-MAX(0,Z646-SUM(Q646:S646)))</f>
        <v/>
      </c>
      <c r="AH646" s="4">
        <f>MAX(0,U646-MAX(0,Z646-SUM(Q646:T646)))</f>
        <v/>
      </c>
      <c r="AI646" s="4">
        <f>MAX(0,V646-MAX(0,Z646-SUM(Q646:U646)))</f>
        <v/>
      </c>
      <c r="AJ646" s="4">
        <f>MAX(0,W646-MAX(0,Z646-SUM(Q646:V646)))</f>
        <v/>
      </c>
      <c r="AK646" s="4">
        <f>MAX(0,X646-MAX(0,Z646-SUM(Q646:W646)))</f>
        <v/>
      </c>
      <c r="AL646" s="4">
        <f>MAX(0,Y646-MAX(0,Z646-SUM(Q646:X646)))</f>
        <v/>
      </c>
    </row>
    <row r="647">
      <c r="A647" s="4" t="inlineStr">
        <is>
          <t>HASLS22260900973</t>
        </is>
      </c>
      <c r="B647" s="4" t="inlineStr">
        <is>
          <t>NSSJ</t>
        </is>
      </c>
      <c r="C647" s="4" t="inlineStr">
        <is>
          <t>2608S</t>
        </is>
      </c>
      <c r="D647" s="4" t="inlineStr">
        <is>
          <t>202610201630</t>
        </is>
      </c>
      <c r="E647" s="4" t="inlineStr"/>
      <c r="F647" s="4" t="inlineStr">
        <is>
          <t>THLCH</t>
        </is>
      </c>
      <c r="G647" s="4" t="inlineStr">
        <is>
          <t>IDJKT</t>
        </is>
      </c>
      <c r="H647" s="4" t="inlineStr">
        <is>
          <t xml:space="preserve">20'x2 </t>
        </is>
      </c>
      <c r="I647" s="4" t="inlineStr">
        <is>
          <t>LCHY5</t>
        </is>
      </c>
      <c r="J647" s="4" t="inlineStr">
        <is>
          <t>PW DEPOT CO., LTD.</t>
        </is>
      </c>
      <c r="K647" s="4" t="inlineStr">
        <is>
          <t>20261015</t>
        </is>
      </c>
      <c r="L647" s="4" t="inlineStr">
        <is>
          <t>L.A.1 CO.,LTD.</t>
        </is>
      </c>
      <c r="M647" s="4" t="inlineStr">
        <is>
          <t>TANATEX CHEMICALS (THAILAND) CO., LTD.</t>
        </is>
      </c>
      <c r="N647" s="4" t="inlineStr">
        <is>
          <t>CHEMICALS PRODUCT (NON DG)</t>
        </is>
      </c>
      <c r="O647" s="4" t="inlineStr">
        <is>
          <t>GOOD AND CLEAN CONTAINER</t>
        </is>
      </c>
      <c r="P647" s="4" t="inlineStr">
        <is>
          <t>Pickup : 2026-10-15, Return : 2026-10-16</t>
        </is>
      </c>
      <c r="Q647" s="4" t="n">
        <v>2</v>
      </c>
      <c r="R647" s="4" t="n">
        <v>0</v>
      </c>
      <c r="S647" s="4" t="n">
        <v>0</v>
      </c>
      <c r="T647" s="4" t="n">
        <v>0</v>
      </c>
      <c r="U647" s="4" t="n">
        <v>0</v>
      </c>
      <c r="V647" s="4" t="n">
        <v>0</v>
      </c>
      <c r="W647" s="4" t="n">
        <v>0</v>
      </c>
      <c r="X647" s="4" t="n">
        <v>0</v>
      </c>
      <c r="Y647" s="4" t="n">
        <v>0</v>
      </c>
      <c r="Z647" s="4" t="n">
        <v>0</v>
      </c>
      <c r="AA647" s="4" t="n">
        <v>0</v>
      </c>
      <c r="AB647" s="4">
        <f>SUM(Q647:Y647)-Z647</f>
        <v/>
      </c>
      <c r="AC647" s="4">
        <f>IF(I647="","",IF(OR(LEFT(I647,3)="BKK",I647="LCH55"),"BKK",IF(LEFT(I647,3)="LCH","LCH","OTHER")))</f>
        <v/>
      </c>
      <c r="AD647" s="4">
        <f>MAX(0,Q647-MAX(0,Z647))</f>
        <v/>
      </c>
      <c r="AE647" s="4">
        <f>MAX(0,R647-MAX(0,Z647-SUM(Q647:Q647)))</f>
        <v/>
      </c>
      <c r="AF647" s="4">
        <f>MAX(0,S647-MAX(0,Z647-SUM(Q647:R647)))</f>
        <v/>
      </c>
      <c r="AG647" s="4">
        <f>MAX(0,T647-MAX(0,Z647-SUM(Q647:S647)))</f>
        <v/>
      </c>
      <c r="AH647" s="4">
        <f>MAX(0,U647-MAX(0,Z647-SUM(Q647:T647)))</f>
        <v/>
      </c>
      <c r="AI647" s="4">
        <f>MAX(0,V647-MAX(0,Z647-SUM(Q647:U647)))</f>
        <v/>
      </c>
      <c r="AJ647" s="4">
        <f>MAX(0,W647-MAX(0,Z647-SUM(Q647:V647)))</f>
        <v/>
      </c>
      <c r="AK647" s="4">
        <f>MAX(0,X647-MAX(0,Z647-SUM(Q647:W647)))</f>
        <v/>
      </c>
      <c r="AL647" s="4">
        <f>MAX(0,Y647-MAX(0,Z647-SUM(Q647:X647)))</f>
        <v/>
      </c>
    </row>
    <row r="648">
      <c r="A648" s="4" t="inlineStr">
        <is>
          <t>HASLS22260900978</t>
        </is>
      </c>
      <c r="B648" s="4" t="inlineStr">
        <is>
          <t>SWRG</t>
        </is>
      </c>
      <c r="C648" s="4" t="inlineStr">
        <is>
          <t>2609N</t>
        </is>
      </c>
      <c r="D648" s="4" t="inlineStr">
        <is>
          <t>202610131130</t>
        </is>
      </c>
      <c r="E648" s="4" t="inlineStr"/>
      <c r="F648" s="4" t="inlineStr">
        <is>
          <t>THLCH</t>
        </is>
      </c>
      <c r="G648" s="4" t="inlineStr">
        <is>
          <t>CNSHA</t>
        </is>
      </c>
      <c r="H648" s="4" t="inlineStr">
        <is>
          <t xml:space="preserve">40Hx2 </t>
        </is>
      </c>
      <c r="I648" s="4" t="inlineStr">
        <is>
          <t>LCHY5</t>
        </is>
      </c>
      <c r="J648" s="4" t="inlineStr">
        <is>
          <t>PW DEPOT CO., LTD.</t>
        </is>
      </c>
      <c r="K648" s="4" t="inlineStr">
        <is>
          <t>20261001</t>
        </is>
      </c>
      <c r="L648" s="4" t="inlineStr">
        <is>
          <t>L.A.1 CO.,LTD.</t>
        </is>
      </c>
      <c r="M648" s="4" t="inlineStr">
        <is>
          <t>TANATEX CHEMICALS (THAILAND) CO., LTD.</t>
        </is>
      </c>
      <c r="N648" s="4" t="inlineStr">
        <is>
          <t>CHEMICALS PRODUCT (NON DG)</t>
        </is>
      </c>
      <c r="O648" s="4" t="inlineStr">
        <is>
          <t>RQST CNTR 32.5 TONS // 40'HQ</t>
        </is>
      </c>
      <c r="P648" s="4" t="inlineStr">
        <is>
          <t>Pickup : 2026-10-01, Return : 2026-10-02</t>
        </is>
      </c>
      <c r="Q648" s="4" t="n">
        <v>0</v>
      </c>
      <c r="R648" s="4" t="n">
        <v>0</v>
      </c>
      <c r="S648" s="4" t="n">
        <v>2</v>
      </c>
      <c r="T648" s="4" t="n">
        <v>0</v>
      </c>
      <c r="U648" s="4" t="n">
        <v>0</v>
      </c>
      <c r="V648" s="4" t="n">
        <v>0</v>
      </c>
      <c r="W648" s="4" t="n">
        <v>0</v>
      </c>
      <c r="X648" s="4" t="n">
        <v>0</v>
      </c>
      <c r="Y648" s="4" t="n">
        <v>0</v>
      </c>
      <c r="Z648" s="4" t="n">
        <v>0</v>
      </c>
      <c r="AA648" s="4" t="n">
        <v>0</v>
      </c>
      <c r="AB648" s="4">
        <f>SUM(Q648:Y648)-Z648</f>
        <v/>
      </c>
      <c r="AC648" s="4">
        <f>IF(I648="","",IF(OR(LEFT(I648,3)="BKK",I648="LCH55"),"BKK",IF(LEFT(I648,3)="LCH","LCH","OTHER")))</f>
        <v/>
      </c>
      <c r="AD648" s="4">
        <f>MAX(0,Q648-MAX(0,Z648))</f>
        <v/>
      </c>
      <c r="AE648" s="4">
        <f>MAX(0,R648-MAX(0,Z648-SUM(Q648:Q648)))</f>
        <v/>
      </c>
      <c r="AF648" s="4">
        <f>MAX(0,S648-MAX(0,Z648-SUM(Q648:R648)))</f>
        <v/>
      </c>
      <c r="AG648" s="4">
        <f>MAX(0,T648-MAX(0,Z648-SUM(Q648:S648)))</f>
        <v/>
      </c>
      <c r="AH648" s="4">
        <f>MAX(0,U648-MAX(0,Z648-SUM(Q648:T648)))</f>
        <v/>
      </c>
      <c r="AI648" s="4">
        <f>MAX(0,V648-MAX(0,Z648-SUM(Q648:U648)))</f>
        <v/>
      </c>
      <c r="AJ648" s="4">
        <f>MAX(0,W648-MAX(0,Z648-SUM(Q648:V648)))</f>
        <v/>
      </c>
      <c r="AK648" s="4">
        <f>MAX(0,X648-MAX(0,Z648-SUM(Q648:W648)))</f>
        <v/>
      </c>
      <c r="AL648" s="4">
        <f>MAX(0,Y648-MAX(0,Z648-SUM(Q648:X648)))</f>
        <v/>
      </c>
    </row>
    <row r="649">
      <c r="A649" s="4" t="inlineStr">
        <is>
          <t>HASLS22260900979</t>
        </is>
      </c>
      <c r="B649" s="4" t="inlineStr">
        <is>
          <t>SWRG</t>
        </is>
      </c>
      <c r="C649" s="4" t="inlineStr">
        <is>
          <t>2609N</t>
        </is>
      </c>
      <c r="D649" s="4" t="inlineStr">
        <is>
          <t>202610131130</t>
        </is>
      </c>
      <c r="E649" s="4" t="inlineStr"/>
      <c r="F649" s="4" t="inlineStr">
        <is>
          <t>THLCH</t>
        </is>
      </c>
      <c r="G649" s="4" t="inlineStr">
        <is>
          <t>CNSHA</t>
        </is>
      </c>
      <c r="H649" s="4" t="inlineStr">
        <is>
          <t xml:space="preserve">40Hx2 </t>
        </is>
      </c>
      <c r="I649" s="4" t="inlineStr">
        <is>
          <t>LCHY5</t>
        </is>
      </c>
      <c r="J649" s="4" t="inlineStr">
        <is>
          <t>PW DEPOT CO., LTD.</t>
        </is>
      </c>
      <c r="K649" s="4" t="inlineStr">
        <is>
          <t>20261007</t>
        </is>
      </c>
      <c r="L649" s="4" t="inlineStr">
        <is>
          <t>L.A.1 CO.,LTD.</t>
        </is>
      </c>
      <c r="M649" s="4" t="inlineStr">
        <is>
          <t>TANATEX CHEMICALS (THAILAND) CO., LTD.</t>
        </is>
      </c>
      <c r="N649" s="4" t="inlineStr">
        <is>
          <t>CHEMICALS PRODUCT (NON DG)</t>
        </is>
      </c>
      <c r="O649" s="4" t="inlineStr">
        <is>
          <t>RQST CNTR 32.5 TONS // 40'HQ</t>
        </is>
      </c>
      <c r="P649" s="4" t="inlineStr">
        <is>
          <t>Pickup : 2026-10-07, Return : 2026-10-08</t>
        </is>
      </c>
      <c r="Q649" s="4" t="n">
        <v>0</v>
      </c>
      <c r="R649" s="4" t="n">
        <v>0</v>
      </c>
      <c r="S649" s="4" t="n">
        <v>2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>
        <f>SUM(Q649:Y649)-Z649</f>
        <v/>
      </c>
      <c r="AC649" s="4">
        <f>IF(I649="","",IF(OR(LEFT(I649,3)="BKK",I649="LCH55"),"BKK",IF(LEFT(I649,3)="LCH","LCH","OTHER")))</f>
        <v/>
      </c>
      <c r="AD649" s="4">
        <f>MAX(0,Q649-MAX(0,Z649))</f>
        <v/>
      </c>
      <c r="AE649" s="4">
        <f>MAX(0,R649-MAX(0,Z649-SUM(Q649:Q649)))</f>
        <v/>
      </c>
      <c r="AF649" s="4">
        <f>MAX(0,S649-MAX(0,Z649-SUM(Q649:R649)))</f>
        <v/>
      </c>
      <c r="AG649" s="4">
        <f>MAX(0,T649-MAX(0,Z649-SUM(Q649:S649)))</f>
        <v/>
      </c>
      <c r="AH649" s="4">
        <f>MAX(0,U649-MAX(0,Z649-SUM(Q649:T649)))</f>
        <v/>
      </c>
      <c r="AI649" s="4">
        <f>MAX(0,V649-MAX(0,Z649-SUM(Q649:U649)))</f>
        <v/>
      </c>
      <c r="AJ649" s="4">
        <f>MAX(0,W649-MAX(0,Z649-SUM(Q649:V649)))</f>
        <v/>
      </c>
      <c r="AK649" s="4">
        <f>MAX(0,X649-MAX(0,Z649-SUM(Q649:W649)))</f>
        <v/>
      </c>
      <c r="AL649" s="4">
        <f>MAX(0,Y649-MAX(0,Z649-SUM(Q649:X649)))</f>
        <v/>
      </c>
    </row>
    <row r="650">
      <c r="A650" s="4" t="inlineStr">
        <is>
          <t>HASLS22260901009</t>
        </is>
      </c>
      <c r="B650" s="4" t="inlineStr">
        <is>
          <t>SWMM</t>
        </is>
      </c>
      <c r="C650" s="4" t="inlineStr">
        <is>
          <t>2610N</t>
        </is>
      </c>
      <c r="D650" s="4" t="inlineStr">
        <is>
          <t>202610212100</t>
        </is>
      </c>
      <c r="E650" s="4" t="inlineStr"/>
      <c r="F650" s="4" t="inlineStr">
        <is>
          <t>THLCH</t>
        </is>
      </c>
      <c r="G650" s="4" t="inlineStr">
        <is>
          <t>VNSGN</t>
        </is>
      </c>
      <c r="H650" s="4" t="inlineStr">
        <is>
          <t xml:space="preserve">20'x1 </t>
        </is>
      </c>
      <c r="I650" s="4" t="inlineStr">
        <is>
          <t>LCHY5</t>
        </is>
      </c>
      <c r="J650" s="4" t="inlineStr">
        <is>
          <t>PW DEPOT CO., LTD.</t>
        </is>
      </c>
      <c r="K650" s="4" t="inlineStr">
        <is>
          <t>20261016</t>
        </is>
      </c>
      <c r="L650" s="4" t="inlineStr">
        <is>
          <t>UBE CHEMICALS (ASIA) PUBLIC COMPANY LIMITED</t>
        </is>
      </c>
      <c r="M650" s="4" t="inlineStr">
        <is>
          <t>UBE CHEMICALS (ASIA) PUBLIC COMPANY LIMITED</t>
        </is>
      </c>
      <c r="N650" s="4" t="inlineStr">
        <is>
          <t>RESIN</t>
        </is>
      </c>
      <c r="O650" s="4" t="inlineStr">
        <is>
          <t>Good grade or food grade container for WITHOUT PALLET</t>
        </is>
      </c>
      <c r="P650" s="4" t="inlineStr">
        <is>
          <t xml:space="preserve">CY-RTN 16-17/10/26 (2002054476) </t>
        </is>
      </c>
      <c r="Q650" s="4" t="n">
        <v>1</v>
      </c>
      <c r="R650" s="4" t="n">
        <v>0</v>
      </c>
      <c r="S650" s="4" t="n">
        <v>0</v>
      </c>
      <c r="T650" s="4" t="n">
        <v>0</v>
      </c>
      <c r="U650" s="4" t="n">
        <v>0</v>
      </c>
      <c r="V650" s="4" t="n">
        <v>0</v>
      </c>
      <c r="W650" s="4" t="n">
        <v>0</v>
      </c>
      <c r="X650" s="4" t="n">
        <v>0</v>
      </c>
      <c r="Y650" s="4" t="n">
        <v>0</v>
      </c>
      <c r="Z650" s="4" t="n">
        <v>0</v>
      </c>
      <c r="AA650" s="4" t="n">
        <v>0</v>
      </c>
      <c r="AB650" s="4">
        <f>SUM(Q650:Y650)-Z650</f>
        <v/>
      </c>
      <c r="AC650" s="4">
        <f>IF(I650="","",IF(OR(LEFT(I650,3)="BKK",I650="LCH55"),"BKK",IF(LEFT(I650,3)="LCH","LCH","OTHER")))</f>
        <v/>
      </c>
      <c r="AD650" s="4">
        <f>MAX(0,Q650-MAX(0,Z650))</f>
        <v/>
      </c>
      <c r="AE650" s="4">
        <f>MAX(0,R650-MAX(0,Z650-SUM(Q650:Q650)))</f>
        <v/>
      </c>
      <c r="AF650" s="4">
        <f>MAX(0,S650-MAX(0,Z650-SUM(Q650:R650)))</f>
        <v/>
      </c>
      <c r="AG650" s="4">
        <f>MAX(0,T650-MAX(0,Z650-SUM(Q650:S650)))</f>
        <v/>
      </c>
      <c r="AH650" s="4">
        <f>MAX(0,U650-MAX(0,Z650-SUM(Q650:T650)))</f>
        <v/>
      </c>
      <c r="AI650" s="4">
        <f>MAX(0,V650-MAX(0,Z650-SUM(Q650:U650)))</f>
        <v/>
      </c>
      <c r="AJ650" s="4">
        <f>MAX(0,W650-MAX(0,Z650-SUM(Q650:V650)))</f>
        <v/>
      </c>
      <c r="AK650" s="4">
        <f>MAX(0,X650-MAX(0,Z650-SUM(Q650:W650)))</f>
        <v/>
      </c>
      <c r="AL650" s="4">
        <f>MAX(0,Y650-MAX(0,Z650-SUM(Q650:X650)))</f>
        <v/>
      </c>
    </row>
    <row r="651">
      <c r="A651" s="4" t="inlineStr">
        <is>
          <t>HASLS22260901012</t>
        </is>
      </c>
      <c r="B651" s="4" t="inlineStr">
        <is>
          <t>SWMM</t>
        </is>
      </c>
      <c r="C651" s="4" t="inlineStr">
        <is>
          <t>2610N</t>
        </is>
      </c>
      <c r="D651" s="4" t="inlineStr">
        <is>
          <t>202610212100</t>
        </is>
      </c>
      <c r="E651" s="4" t="inlineStr"/>
      <c r="F651" s="4" t="inlineStr">
        <is>
          <t>THLCH</t>
        </is>
      </c>
      <c r="G651" s="4" t="inlineStr">
        <is>
          <t>VNSGN</t>
        </is>
      </c>
      <c r="H651" s="4" t="inlineStr">
        <is>
          <t xml:space="preserve">20'x1 </t>
        </is>
      </c>
      <c r="I651" s="4" t="inlineStr">
        <is>
          <t>LCHY5</t>
        </is>
      </c>
      <c r="J651" s="4" t="inlineStr">
        <is>
          <t>PW DEPOT CO., LTD.</t>
        </is>
      </c>
      <c r="K651" s="4" t="inlineStr">
        <is>
          <t>20261016</t>
        </is>
      </c>
      <c r="L651" s="4" t="inlineStr">
        <is>
          <t>UBE CHEMICALS (ASIA) PUBLIC COMPANY LIMITED</t>
        </is>
      </c>
      <c r="M651" s="4" t="inlineStr">
        <is>
          <t>UBE CHEMICALS (ASIA) PUBLIC COMPANY LIMITED</t>
        </is>
      </c>
      <c r="N651" s="4" t="inlineStr">
        <is>
          <t>RESIN</t>
        </is>
      </c>
      <c r="O651" s="4" t="inlineStr">
        <is>
          <t>Good grade or food grade container for WITHOUT PALLET</t>
        </is>
      </c>
      <c r="P651" s="4" t="inlineStr">
        <is>
          <t>CY-RTN 16-17/10/26 (2002054478)</t>
        </is>
      </c>
      <c r="Q651" s="4" t="n">
        <v>1</v>
      </c>
      <c r="R651" s="4" t="n">
        <v>0</v>
      </c>
      <c r="S651" s="4" t="n">
        <v>0</v>
      </c>
      <c r="T651" s="4" t="n">
        <v>0</v>
      </c>
      <c r="U651" s="4" t="n">
        <v>0</v>
      </c>
      <c r="V651" s="4" t="n">
        <v>0</v>
      </c>
      <c r="W651" s="4" t="n">
        <v>0</v>
      </c>
      <c r="X651" s="4" t="n">
        <v>0</v>
      </c>
      <c r="Y651" s="4" t="n">
        <v>0</v>
      </c>
      <c r="Z651" s="4" t="n">
        <v>0</v>
      </c>
      <c r="AA651" s="4" t="n">
        <v>0</v>
      </c>
      <c r="AB651" s="4">
        <f>SUM(Q651:Y651)-Z651</f>
        <v/>
      </c>
      <c r="AC651" s="4">
        <f>IF(I651="","",IF(OR(LEFT(I651,3)="BKK",I651="LCH55"),"BKK",IF(LEFT(I651,3)="LCH","LCH","OTHER")))</f>
        <v/>
      </c>
      <c r="AD651" s="4">
        <f>MAX(0,Q651-MAX(0,Z651))</f>
        <v/>
      </c>
      <c r="AE651" s="4">
        <f>MAX(0,R651-MAX(0,Z651-SUM(Q651:Q651)))</f>
        <v/>
      </c>
      <c r="AF651" s="4">
        <f>MAX(0,S651-MAX(0,Z651-SUM(Q651:R651)))</f>
        <v/>
      </c>
      <c r="AG651" s="4">
        <f>MAX(0,T651-MAX(0,Z651-SUM(Q651:S651)))</f>
        <v/>
      </c>
      <c r="AH651" s="4">
        <f>MAX(0,U651-MAX(0,Z651-SUM(Q651:T651)))</f>
        <v/>
      </c>
      <c r="AI651" s="4">
        <f>MAX(0,V651-MAX(0,Z651-SUM(Q651:U651)))</f>
        <v/>
      </c>
      <c r="AJ651" s="4">
        <f>MAX(0,W651-MAX(0,Z651-SUM(Q651:V651)))</f>
        <v/>
      </c>
      <c r="AK651" s="4">
        <f>MAX(0,X651-MAX(0,Z651-SUM(Q651:W651)))</f>
        <v/>
      </c>
      <c r="AL651" s="4">
        <f>MAX(0,Y651-MAX(0,Z651-SUM(Q651:X651)))</f>
        <v/>
      </c>
    </row>
    <row r="652">
      <c r="A652" s="4" t="inlineStr">
        <is>
          <t>HASLS22260901014</t>
        </is>
      </c>
      <c r="B652" s="4" t="inlineStr">
        <is>
          <t>SWMM</t>
        </is>
      </c>
      <c r="C652" s="4" t="inlineStr">
        <is>
          <t>2610N</t>
        </is>
      </c>
      <c r="D652" s="4" t="inlineStr">
        <is>
          <t>202610212100</t>
        </is>
      </c>
      <c r="E652" s="4" t="inlineStr"/>
      <c r="F652" s="4" t="inlineStr">
        <is>
          <t>THLCH</t>
        </is>
      </c>
      <c r="G652" s="4" t="inlineStr">
        <is>
          <t>VNSGN</t>
        </is>
      </c>
      <c r="H652" s="4" t="inlineStr">
        <is>
          <t xml:space="preserve">20'x1 </t>
        </is>
      </c>
      <c r="I652" s="4" t="inlineStr">
        <is>
          <t>LCHY5</t>
        </is>
      </c>
      <c r="J652" s="4" t="inlineStr">
        <is>
          <t>PW DEPOT CO., LTD.</t>
        </is>
      </c>
      <c r="K652" s="4" t="inlineStr">
        <is>
          <t>20261016</t>
        </is>
      </c>
      <c r="L652" s="4" t="inlineStr">
        <is>
          <t>UBE CHEMICALS (ASIA) PUBLIC COMPANY LIMITED</t>
        </is>
      </c>
      <c r="M652" s="4" t="inlineStr">
        <is>
          <t>UBE CHEMICALS (ASIA) PUBLIC COMPANY LIMITED</t>
        </is>
      </c>
      <c r="N652" s="4" t="inlineStr">
        <is>
          <t>RESIN</t>
        </is>
      </c>
      <c r="O652" s="4" t="inlineStr">
        <is>
          <t>Good grade or food grade container for WITHOUT PALLET</t>
        </is>
      </c>
      <c r="P652" s="4" t="inlineStr">
        <is>
          <t>CY-RTN 16-17/10/26 (2002054477)</t>
        </is>
      </c>
      <c r="Q652" s="4" t="n">
        <v>1</v>
      </c>
      <c r="R652" s="4" t="n">
        <v>0</v>
      </c>
      <c r="S652" s="4" t="n">
        <v>0</v>
      </c>
      <c r="T652" s="4" t="n">
        <v>0</v>
      </c>
      <c r="U652" s="4" t="n">
        <v>0</v>
      </c>
      <c r="V652" s="4" t="n">
        <v>0</v>
      </c>
      <c r="W652" s="4" t="n">
        <v>0</v>
      </c>
      <c r="X652" s="4" t="n">
        <v>0</v>
      </c>
      <c r="Y652" s="4" t="n">
        <v>0</v>
      </c>
      <c r="Z652" s="4" t="n">
        <v>0</v>
      </c>
      <c r="AA652" s="4" t="n">
        <v>0</v>
      </c>
      <c r="AB652" s="4">
        <f>SUM(Q652:Y652)-Z652</f>
        <v/>
      </c>
      <c r="AC652" s="4">
        <f>IF(I652="","",IF(OR(LEFT(I652,3)="BKK",I652="LCH55"),"BKK",IF(LEFT(I652,3)="LCH","LCH","OTHER")))</f>
        <v/>
      </c>
      <c r="AD652" s="4">
        <f>MAX(0,Q652-MAX(0,Z652))</f>
        <v/>
      </c>
      <c r="AE652" s="4">
        <f>MAX(0,R652-MAX(0,Z652-SUM(Q652:Q652)))</f>
        <v/>
      </c>
      <c r="AF652" s="4">
        <f>MAX(0,S652-MAX(0,Z652-SUM(Q652:R652)))</f>
        <v/>
      </c>
      <c r="AG652" s="4">
        <f>MAX(0,T652-MAX(0,Z652-SUM(Q652:S652)))</f>
        <v/>
      </c>
      <c r="AH652" s="4">
        <f>MAX(0,U652-MAX(0,Z652-SUM(Q652:T652)))</f>
        <v/>
      </c>
      <c r="AI652" s="4">
        <f>MAX(0,V652-MAX(0,Z652-SUM(Q652:U652)))</f>
        <v/>
      </c>
      <c r="AJ652" s="4">
        <f>MAX(0,W652-MAX(0,Z652-SUM(Q652:V652)))</f>
        <v/>
      </c>
      <c r="AK652" s="4">
        <f>MAX(0,X652-MAX(0,Z652-SUM(Q652:W652)))</f>
        <v/>
      </c>
      <c r="AL652" s="4">
        <f>MAX(0,Y652-MAX(0,Z652-SUM(Q652:X652)))</f>
        <v/>
      </c>
    </row>
    <row r="653">
      <c r="A653" s="4" t="inlineStr">
        <is>
          <t>HASLS22260901068</t>
        </is>
      </c>
      <c r="B653" s="4" t="inlineStr">
        <is>
          <t>SWBT</t>
        </is>
      </c>
      <c r="C653" s="4" t="inlineStr">
        <is>
          <t>2616N</t>
        </is>
      </c>
      <c r="D653" s="4" t="inlineStr">
        <is>
          <t>202610140000</t>
        </is>
      </c>
      <c r="E653" s="4" t="inlineStr"/>
      <c r="F653" s="4" t="inlineStr">
        <is>
          <t>THLCH</t>
        </is>
      </c>
      <c r="G653" s="4" t="inlineStr">
        <is>
          <t>KRINC</t>
        </is>
      </c>
      <c r="H653" s="4" t="inlineStr">
        <is>
          <t xml:space="preserve">40Hx1 </t>
        </is>
      </c>
      <c r="I653" s="4" t="inlineStr">
        <is>
          <t>LCHY5</t>
        </is>
      </c>
      <c r="J653" s="4" t="inlineStr">
        <is>
          <t>PW DEPOT CO., LTD.</t>
        </is>
      </c>
      <c r="K653" s="4" t="inlineStr">
        <is>
          <t>20261008</t>
        </is>
      </c>
      <c r="L653" s="4" t="inlineStr">
        <is>
          <t>SINTOP INTERNATIONAL (THAILAND) CO., LTD.</t>
        </is>
      </c>
      <c r="M653" s="4" t="inlineStr">
        <is>
          <t>W.A. RUBBERMATE CO., LTD.</t>
        </is>
      </c>
      <c r="N653" s="4" t="inlineStr">
        <is>
          <t>DISPOSABLE GLOVES</t>
        </is>
      </c>
      <c r="O653" s="4" t="inlineStr">
        <is>
          <t>GOOD AND CLEAN CONTAINER</t>
        </is>
      </c>
      <c r="P653" s="4" t="inlineStr">
        <is>
          <t>Pickup : 2026-10-08, Return : 2026-10-10</t>
        </is>
      </c>
      <c r="Q653" s="4" t="n">
        <v>0</v>
      </c>
      <c r="R653" s="4" t="n">
        <v>0</v>
      </c>
      <c r="S653" s="4" t="n">
        <v>1</v>
      </c>
      <c r="T653" s="4" t="n">
        <v>0</v>
      </c>
      <c r="U653" s="4" t="n">
        <v>0</v>
      </c>
      <c r="V653" s="4" t="n">
        <v>0</v>
      </c>
      <c r="W653" s="4" t="n">
        <v>0</v>
      </c>
      <c r="X653" s="4" t="n">
        <v>0</v>
      </c>
      <c r="Y653" s="4" t="n">
        <v>0</v>
      </c>
      <c r="Z653" s="4" t="n">
        <v>0</v>
      </c>
      <c r="AA653" s="4" t="n">
        <v>0</v>
      </c>
      <c r="AB653" s="4">
        <f>SUM(Q653:Y653)-Z653</f>
        <v/>
      </c>
      <c r="AC653" s="4">
        <f>IF(I653="","",IF(OR(LEFT(I653,3)="BKK",I653="LCH55"),"BKK",IF(LEFT(I653,3)="LCH","LCH","OTHER")))</f>
        <v/>
      </c>
      <c r="AD653" s="4">
        <f>MAX(0,Q653-MAX(0,Z653))</f>
        <v/>
      </c>
      <c r="AE653" s="4">
        <f>MAX(0,R653-MAX(0,Z653-SUM(Q653:Q653)))</f>
        <v/>
      </c>
      <c r="AF653" s="4">
        <f>MAX(0,S653-MAX(0,Z653-SUM(Q653:R653)))</f>
        <v/>
      </c>
      <c r="AG653" s="4">
        <f>MAX(0,T653-MAX(0,Z653-SUM(Q653:S653)))</f>
        <v/>
      </c>
      <c r="AH653" s="4">
        <f>MAX(0,U653-MAX(0,Z653-SUM(Q653:T653)))</f>
        <v/>
      </c>
      <c r="AI653" s="4">
        <f>MAX(0,V653-MAX(0,Z653-SUM(Q653:U653)))</f>
        <v/>
      </c>
      <c r="AJ653" s="4">
        <f>MAX(0,W653-MAX(0,Z653-SUM(Q653:V653)))</f>
        <v/>
      </c>
      <c r="AK653" s="4">
        <f>MAX(0,X653-MAX(0,Z653-SUM(Q653:W653)))</f>
        <v/>
      </c>
      <c r="AL653" s="4">
        <f>MAX(0,Y653-MAX(0,Z653-SUM(Q653:X653)))</f>
        <v/>
      </c>
    </row>
    <row r="654">
      <c r="A654" s="4" t="inlineStr">
        <is>
          <t>HASLS22260901176</t>
        </is>
      </c>
      <c r="B654" s="4" t="inlineStr">
        <is>
          <t>HAHM</t>
        </is>
      </c>
      <c r="C654" s="4" t="inlineStr">
        <is>
          <t>2612N</t>
        </is>
      </c>
      <c r="D654" s="4" t="inlineStr">
        <is>
          <t>202610221000</t>
        </is>
      </c>
      <c r="E654" s="4" t="inlineStr"/>
      <c r="F654" s="4" t="inlineStr">
        <is>
          <t>THLCH</t>
        </is>
      </c>
      <c r="G654" s="4" t="inlineStr">
        <is>
          <t>VNSGN</t>
        </is>
      </c>
      <c r="H654" s="4" t="inlineStr">
        <is>
          <t xml:space="preserve">40Hx4 </t>
        </is>
      </c>
      <c r="I654" s="4" t="inlineStr">
        <is>
          <t>LCHY5</t>
        </is>
      </c>
      <c r="J654" s="4" t="inlineStr">
        <is>
          <t>PW DEPOT CO., LTD.</t>
        </is>
      </c>
      <c r="K654" s="4" t="inlineStr">
        <is>
          <t>20261014</t>
        </is>
      </c>
      <c r="L654" s="4" t="inlineStr">
        <is>
          <t>WHA GC LOGISTICS COMPANY LIMITED</t>
        </is>
      </c>
      <c r="M654" s="4" t="inlineStr">
        <is>
          <t>PTT GLOBAL CHEMICAL PUBLIC COMPANY LIMITED</t>
        </is>
      </c>
      <c r="N654" s="4" t="inlineStr">
        <is>
          <t>RESIN</t>
        </is>
      </c>
      <c r="O654" s="4" t="inlineStr">
        <is>
          <t>*** REQ. GOOD &amp; CLEAN  CONT. .( NO SMELL)  ***</t>
        </is>
      </c>
      <c r="P654" s="4" t="inlineStr">
        <is>
          <t>CY-RTN 14-16/10/26 
*PLS CHECK OPEN GATE BEFORE RETURN CTNR*</t>
        </is>
      </c>
      <c r="Q654" s="4" t="n">
        <v>0</v>
      </c>
      <c r="R654" s="4" t="n">
        <v>0</v>
      </c>
      <c r="S654" s="4" t="n">
        <v>4</v>
      </c>
      <c r="T654" s="4" t="n">
        <v>0</v>
      </c>
      <c r="U654" s="4" t="n">
        <v>0</v>
      </c>
      <c r="V654" s="4" t="n">
        <v>0</v>
      </c>
      <c r="W654" s="4" t="n">
        <v>0</v>
      </c>
      <c r="X654" s="4" t="n">
        <v>0</v>
      </c>
      <c r="Y654" s="4" t="n">
        <v>0</v>
      </c>
      <c r="Z654" s="4" t="n">
        <v>0</v>
      </c>
      <c r="AA654" s="4" t="n">
        <v>0</v>
      </c>
      <c r="AB654" s="4">
        <f>SUM(Q654:Y654)-Z654</f>
        <v/>
      </c>
      <c r="AC654" s="4">
        <f>IF(I654="","",IF(OR(LEFT(I654,3)="BKK",I654="LCH55"),"BKK",IF(LEFT(I654,3)="LCH","LCH","OTHER")))</f>
        <v/>
      </c>
      <c r="AD654" s="4">
        <f>MAX(0,Q654-MAX(0,Z654))</f>
        <v/>
      </c>
      <c r="AE654" s="4">
        <f>MAX(0,R654-MAX(0,Z654-SUM(Q654:Q654)))</f>
        <v/>
      </c>
      <c r="AF654" s="4">
        <f>MAX(0,S654-MAX(0,Z654-SUM(Q654:R654)))</f>
        <v/>
      </c>
      <c r="AG654" s="4">
        <f>MAX(0,T654-MAX(0,Z654-SUM(Q654:S654)))</f>
        <v/>
      </c>
      <c r="AH654" s="4">
        <f>MAX(0,U654-MAX(0,Z654-SUM(Q654:T654)))</f>
        <v/>
      </c>
      <c r="AI654" s="4">
        <f>MAX(0,V654-MAX(0,Z654-SUM(Q654:U654)))</f>
        <v/>
      </c>
      <c r="AJ654" s="4">
        <f>MAX(0,W654-MAX(0,Z654-SUM(Q654:V654)))</f>
        <v/>
      </c>
      <c r="AK654" s="4">
        <f>MAX(0,X654-MAX(0,Z654-SUM(Q654:W654)))</f>
        <v/>
      </c>
      <c r="AL654" s="4">
        <f>MAX(0,Y654-MAX(0,Z654-SUM(Q654:X654)))</f>
        <v/>
      </c>
    </row>
    <row r="655">
      <c r="A655" s="4" t="inlineStr">
        <is>
          <t>HASLS22260901177</t>
        </is>
      </c>
      <c r="B655" s="4" t="inlineStr">
        <is>
          <t>KMBK</t>
        </is>
      </c>
      <c r="C655" s="4" t="inlineStr">
        <is>
          <t>2612N</t>
        </is>
      </c>
      <c r="D655" s="4" t="inlineStr">
        <is>
          <t>202610241800</t>
        </is>
      </c>
      <c r="E655" s="4" t="inlineStr"/>
      <c r="F655" s="4" t="inlineStr">
        <is>
          <t>THLCH</t>
        </is>
      </c>
      <c r="G655" s="4" t="inlineStr">
        <is>
          <t>VNSGN</t>
        </is>
      </c>
      <c r="H655" s="4" t="inlineStr">
        <is>
          <t xml:space="preserve">40Hx8 </t>
        </is>
      </c>
      <c r="I655" s="4" t="inlineStr">
        <is>
          <t>LCHY5</t>
        </is>
      </c>
      <c r="J655" s="4" t="inlineStr">
        <is>
          <t>PW DEPOT CO., LTD.</t>
        </is>
      </c>
      <c r="K655" s="4" t="inlineStr">
        <is>
          <t>20261016</t>
        </is>
      </c>
      <c r="L655" s="4" t="inlineStr">
        <is>
          <t>WHA GC LOGISTICS COMPANY LIMITED</t>
        </is>
      </c>
      <c r="M655" s="4" t="inlineStr">
        <is>
          <t>PTT GLOBAL CHEMICAL PUBLIC COMPANY LIMITED</t>
        </is>
      </c>
      <c r="N655" s="4" t="inlineStr">
        <is>
          <t>RESIN</t>
        </is>
      </c>
      <c r="O655" s="4" t="inlineStr">
        <is>
          <t>*** REQ. GOOD &amp; CLEAN  CONT. .( NO SMELL)  ***</t>
        </is>
      </c>
      <c r="P655" s="4" t="inlineStr">
        <is>
          <t>CY-RTN 16-18/10/26
PLS CHECK OPEN GATE BEFORE RETURN CTNR*</t>
        </is>
      </c>
      <c r="Q655" s="4" t="n">
        <v>0</v>
      </c>
      <c r="R655" s="4" t="n">
        <v>0</v>
      </c>
      <c r="S655" s="4" t="n">
        <v>8</v>
      </c>
      <c r="T655" s="4" t="n">
        <v>0</v>
      </c>
      <c r="U655" s="4" t="n">
        <v>0</v>
      </c>
      <c r="V655" s="4" t="n">
        <v>0</v>
      </c>
      <c r="W655" s="4" t="n">
        <v>0</v>
      </c>
      <c r="X655" s="4" t="n">
        <v>0</v>
      </c>
      <c r="Y655" s="4" t="n">
        <v>0</v>
      </c>
      <c r="Z655" s="4" t="n">
        <v>0</v>
      </c>
      <c r="AA655" s="4" t="n">
        <v>0</v>
      </c>
      <c r="AB655" s="4">
        <f>SUM(Q655:Y655)-Z655</f>
        <v/>
      </c>
      <c r="AC655" s="4">
        <f>IF(I655="","",IF(OR(LEFT(I655,3)="BKK",I655="LCH55"),"BKK",IF(LEFT(I655,3)="LCH","LCH","OTHER")))</f>
        <v/>
      </c>
      <c r="AD655" s="4">
        <f>MAX(0,Q655-MAX(0,Z655))</f>
        <v/>
      </c>
      <c r="AE655" s="4">
        <f>MAX(0,R655-MAX(0,Z655-SUM(Q655:Q655)))</f>
        <v/>
      </c>
      <c r="AF655" s="4">
        <f>MAX(0,S655-MAX(0,Z655-SUM(Q655:R655)))</f>
        <v/>
      </c>
      <c r="AG655" s="4">
        <f>MAX(0,T655-MAX(0,Z655-SUM(Q655:S655)))</f>
        <v/>
      </c>
      <c r="AH655" s="4">
        <f>MAX(0,U655-MAX(0,Z655-SUM(Q655:T655)))</f>
        <v/>
      </c>
      <c r="AI655" s="4">
        <f>MAX(0,V655-MAX(0,Z655-SUM(Q655:U655)))</f>
        <v/>
      </c>
      <c r="AJ655" s="4">
        <f>MAX(0,W655-MAX(0,Z655-SUM(Q655:V655)))</f>
        <v/>
      </c>
      <c r="AK655" s="4">
        <f>MAX(0,X655-MAX(0,Z655-SUM(Q655:W655)))</f>
        <v/>
      </c>
      <c r="AL655" s="4">
        <f>MAX(0,Y655-MAX(0,Z655-SUM(Q655:X655)))</f>
        <v/>
      </c>
    </row>
    <row r="656">
      <c r="A656" s="4" t="inlineStr">
        <is>
          <t>HASLS22260901207</t>
        </is>
      </c>
      <c r="B656" s="4" t="inlineStr">
        <is>
          <t>SWMM</t>
        </is>
      </c>
      <c r="C656" s="4" t="inlineStr">
        <is>
          <t>2610N</t>
        </is>
      </c>
      <c r="D656" s="4" t="inlineStr">
        <is>
          <t>202610212100</t>
        </is>
      </c>
      <c r="E656" s="4" t="inlineStr"/>
      <c r="F656" s="4" t="inlineStr">
        <is>
          <t>THLCH</t>
        </is>
      </c>
      <c r="G656" s="4" t="inlineStr">
        <is>
          <t>KRPUS</t>
        </is>
      </c>
      <c r="H656" s="4" t="inlineStr">
        <is>
          <t xml:space="preserve">20'x1 </t>
        </is>
      </c>
      <c r="I656" s="4" t="inlineStr">
        <is>
          <t>LCHY5</t>
        </is>
      </c>
      <c r="J656" s="4" t="inlineStr">
        <is>
          <t>PW DEPOT CO., LTD.</t>
        </is>
      </c>
      <c r="K656" s="4" t="inlineStr">
        <is>
          <t>20261015</t>
        </is>
      </c>
      <c r="L656" s="4" t="inlineStr">
        <is>
          <t>SATAKE (THAILAND) CO., LTD.</t>
        </is>
      </c>
      <c r="M656" s="4" t="inlineStr">
        <is>
          <t>SATAKE (THAILAND) CO., LTD.</t>
        </is>
      </c>
      <c r="N656" s="4" t="inlineStr">
        <is>
          <t>TAPIOCA SAGO</t>
        </is>
      </c>
      <c r="O656" s="4" t="inlineStr">
        <is>
          <t>(RQST CNTR GRADE A)</t>
        </is>
      </c>
      <c r="P656" s="4" t="inlineStr">
        <is>
          <t>CY-RTN : 15-15/10/2026 (RQST CNTR GRADE A)
REF : OTDG-2026-03
PLEASE CHECK OPEN GATE BEFOR RETURN CNTR</t>
        </is>
      </c>
      <c r="Q656" s="4" t="n">
        <v>1</v>
      </c>
      <c r="R656" s="4" t="n">
        <v>0</v>
      </c>
      <c r="S656" s="4" t="n">
        <v>0</v>
      </c>
      <c r="T656" s="4" t="n">
        <v>0</v>
      </c>
      <c r="U656" s="4" t="n">
        <v>0</v>
      </c>
      <c r="V656" s="4" t="n">
        <v>0</v>
      </c>
      <c r="W656" s="4" t="n">
        <v>0</v>
      </c>
      <c r="X656" s="4" t="n">
        <v>0</v>
      </c>
      <c r="Y656" s="4" t="n">
        <v>0</v>
      </c>
      <c r="Z656" s="4" t="n">
        <v>0</v>
      </c>
      <c r="AA656" s="4" t="n">
        <v>0</v>
      </c>
      <c r="AB656" s="4">
        <f>SUM(Q656:Y656)-Z656</f>
        <v/>
      </c>
      <c r="AC656" s="4">
        <f>IF(I656="","",IF(OR(LEFT(I656,3)="BKK",I656="LCH55"),"BKK",IF(LEFT(I656,3)="LCH","LCH","OTHER")))</f>
        <v/>
      </c>
      <c r="AD656" s="4">
        <f>MAX(0,Q656-MAX(0,Z656))</f>
        <v/>
      </c>
      <c r="AE656" s="4">
        <f>MAX(0,R656-MAX(0,Z656-SUM(Q656:Q656)))</f>
        <v/>
      </c>
      <c r="AF656" s="4">
        <f>MAX(0,S656-MAX(0,Z656-SUM(Q656:R656)))</f>
        <v/>
      </c>
      <c r="AG656" s="4">
        <f>MAX(0,T656-MAX(0,Z656-SUM(Q656:S656)))</f>
        <v/>
      </c>
      <c r="AH656" s="4">
        <f>MAX(0,U656-MAX(0,Z656-SUM(Q656:T656)))</f>
        <v/>
      </c>
      <c r="AI656" s="4">
        <f>MAX(0,V656-MAX(0,Z656-SUM(Q656:U656)))</f>
        <v/>
      </c>
      <c r="AJ656" s="4">
        <f>MAX(0,W656-MAX(0,Z656-SUM(Q656:V656)))</f>
        <v/>
      </c>
      <c r="AK656" s="4">
        <f>MAX(0,X656-MAX(0,Z656-SUM(Q656:W656)))</f>
        <v/>
      </c>
      <c r="AL656" s="4">
        <f>MAX(0,Y656-MAX(0,Z656-SUM(Q656:X656)))</f>
        <v/>
      </c>
    </row>
    <row r="657">
      <c r="A657" s="4" t="inlineStr">
        <is>
          <t>HASLS22260901216</t>
        </is>
      </c>
      <c r="B657" s="4" t="inlineStr">
        <is>
          <t>SWSR</t>
        </is>
      </c>
      <c r="C657" s="4" t="inlineStr">
        <is>
          <t>2611N</t>
        </is>
      </c>
      <c r="D657" s="4" t="inlineStr">
        <is>
          <t>202610112000</t>
        </is>
      </c>
      <c r="E657" s="4" t="inlineStr"/>
      <c r="F657" s="4" t="inlineStr">
        <is>
          <t>THLCH</t>
        </is>
      </c>
      <c r="G657" s="4" t="inlineStr">
        <is>
          <t>CNXMN</t>
        </is>
      </c>
      <c r="H657" s="4" t="inlineStr">
        <is>
          <t xml:space="preserve">20'x4 </t>
        </is>
      </c>
      <c r="I657" s="4" t="inlineStr">
        <is>
          <t>LCHY5</t>
        </is>
      </c>
      <c r="J657" s="4" t="inlineStr">
        <is>
          <t>PW DEPOT CO., LTD.</t>
        </is>
      </c>
      <c r="K657" s="4" t="inlineStr">
        <is>
          <t>20261002</t>
        </is>
      </c>
      <c r="L657" s="4" t="inlineStr">
        <is>
          <t>THAI POLYCARBONATE CO., LTD.</t>
        </is>
      </c>
      <c r="M657" s="4" t="inlineStr">
        <is>
          <t>THAI POLYCARBONATE CO., LTD.</t>
        </is>
      </c>
      <c r="N657" s="4" t="inlineStr">
        <is>
          <t>POLYCARBONATE RESIN (HS CODE. 3907.40)</t>
        </is>
      </c>
      <c r="O657" s="4" t="inlineStr">
        <is>
          <t>Loading with pallet-by forklift, required good container with strong floorboard and bullet seal to this shipment***</t>
        </is>
      </c>
      <c r="P657" s="4" t="inlineStr">
        <is>
          <t>Pickup : 2026-10-02, Return : 2026-10-05
**CHECK OPENGATE BEFORE RETURN CNTR**</t>
        </is>
      </c>
      <c r="Q657" s="4" t="n">
        <v>4</v>
      </c>
      <c r="R657" s="4" t="n">
        <v>0</v>
      </c>
      <c r="S657" s="4" t="n">
        <v>0</v>
      </c>
      <c r="T657" s="4" t="n">
        <v>0</v>
      </c>
      <c r="U657" s="4" t="n">
        <v>0</v>
      </c>
      <c r="V657" s="4" t="n">
        <v>0</v>
      </c>
      <c r="W657" s="4" t="n">
        <v>0</v>
      </c>
      <c r="X657" s="4" t="n">
        <v>0</v>
      </c>
      <c r="Y657" s="4" t="n">
        <v>0</v>
      </c>
      <c r="Z657" s="4" t="n">
        <v>0</v>
      </c>
      <c r="AA657" s="4" t="n">
        <v>0</v>
      </c>
      <c r="AB657" s="4">
        <f>SUM(Q657:Y657)-Z657</f>
        <v/>
      </c>
      <c r="AC657" s="4">
        <f>IF(I657="","",IF(OR(LEFT(I657,3)="BKK",I657="LCH55"),"BKK",IF(LEFT(I657,3)="LCH","LCH","OTHER")))</f>
        <v/>
      </c>
      <c r="AD657" s="4">
        <f>MAX(0,Q657-MAX(0,Z657))</f>
        <v/>
      </c>
      <c r="AE657" s="4">
        <f>MAX(0,R657-MAX(0,Z657-SUM(Q657:Q657)))</f>
        <v/>
      </c>
      <c r="AF657" s="4">
        <f>MAX(0,S657-MAX(0,Z657-SUM(Q657:R657)))</f>
        <v/>
      </c>
      <c r="AG657" s="4">
        <f>MAX(0,T657-MAX(0,Z657-SUM(Q657:S657)))</f>
        <v/>
      </c>
      <c r="AH657" s="4">
        <f>MAX(0,U657-MAX(0,Z657-SUM(Q657:T657)))</f>
        <v/>
      </c>
      <c r="AI657" s="4">
        <f>MAX(0,V657-MAX(0,Z657-SUM(Q657:U657)))</f>
        <v/>
      </c>
      <c r="AJ657" s="4">
        <f>MAX(0,W657-MAX(0,Z657-SUM(Q657:V657)))</f>
        <v/>
      </c>
      <c r="AK657" s="4">
        <f>MAX(0,X657-MAX(0,Z657-SUM(Q657:W657)))</f>
        <v/>
      </c>
      <c r="AL657" s="4">
        <f>MAX(0,Y657-MAX(0,Z657-SUM(Q657:X657)))</f>
        <v/>
      </c>
    </row>
    <row r="658">
      <c r="A658" s="4" t="inlineStr">
        <is>
          <t>HASLS22260901224</t>
        </is>
      </c>
      <c r="B658" s="4" t="inlineStr">
        <is>
          <t>KMBK</t>
        </is>
      </c>
      <c r="C658" s="4" t="inlineStr">
        <is>
          <t>2611N</t>
        </is>
      </c>
      <c r="D658" s="4" t="inlineStr">
        <is>
          <t>202610040100</t>
        </is>
      </c>
      <c r="E658" s="4" t="inlineStr"/>
      <c r="F658" s="4" t="inlineStr">
        <is>
          <t>THLCH</t>
        </is>
      </c>
      <c r="G658" s="4" t="inlineStr">
        <is>
          <t>VNSGN</t>
        </is>
      </c>
      <c r="H658" s="4" t="inlineStr">
        <is>
          <t xml:space="preserve">40Hx1 </t>
        </is>
      </c>
      <c r="I658" s="4" t="inlineStr">
        <is>
          <t>LCHY5</t>
        </is>
      </c>
      <c r="J658" s="4" t="inlineStr">
        <is>
          <t>PW DEPOT CO., LTD.</t>
        </is>
      </c>
      <c r="K658" s="4" t="inlineStr">
        <is>
          <t>20260928</t>
        </is>
      </c>
      <c r="L658" s="4" t="inlineStr">
        <is>
          <t>CAPRICORN LOGISTICS CO., LTD.</t>
        </is>
      </c>
      <c r="M658" s="4" t="inlineStr">
        <is>
          <t>MAXXIS INTERNATIONAL (THAILAND) CO., LTD.</t>
        </is>
      </c>
      <c r="N658" s="4" t="inlineStr">
        <is>
          <t>TIRES</t>
        </is>
      </c>
      <c r="O658" s="4" t="inlineStr">
        <is>
          <t>REQUEST CONTAINER GOOD GRADE</t>
        </is>
      </c>
      <c r="P658" s="4" t="inlineStr">
        <is>
          <t>Pickup : 2026-09-28, Return : 2026-09-29</t>
        </is>
      </c>
      <c r="Q658" s="4" t="n">
        <v>0</v>
      </c>
      <c r="R658" s="4" t="n">
        <v>0</v>
      </c>
      <c r="S658" s="4" t="n">
        <v>1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>
        <f>SUM(Q658:Y658)-Z658</f>
        <v/>
      </c>
      <c r="AC658" s="4">
        <f>IF(I658="","",IF(OR(LEFT(I658,3)="BKK",I658="LCH55"),"BKK",IF(LEFT(I658,3)="LCH","LCH","OTHER")))</f>
        <v/>
      </c>
      <c r="AD658" s="4">
        <f>MAX(0,Q658-MAX(0,Z658))</f>
        <v/>
      </c>
      <c r="AE658" s="4">
        <f>MAX(0,R658-MAX(0,Z658-SUM(Q658:Q658)))</f>
        <v/>
      </c>
      <c r="AF658" s="4">
        <f>MAX(0,S658-MAX(0,Z658-SUM(Q658:R658)))</f>
        <v/>
      </c>
      <c r="AG658" s="4">
        <f>MAX(0,T658-MAX(0,Z658-SUM(Q658:S658)))</f>
        <v/>
      </c>
      <c r="AH658" s="4">
        <f>MAX(0,U658-MAX(0,Z658-SUM(Q658:T658)))</f>
        <v/>
      </c>
      <c r="AI658" s="4">
        <f>MAX(0,V658-MAX(0,Z658-SUM(Q658:U658)))</f>
        <v/>
      </c>
      <c r="AJ658" s="4">
        <f>MAX(0,W658-MAX(0,Z658-SUM(Q658:V658)))</f>
        <v/>
      </c>
      <c r="AK658" s="4">
        <f>MAX(0,X658-MAX(0,Z658-SUM(Q658:W658)))</f>
        <v/>
      </c>
      <c r="AL658" s="4">
        <f>MAX(0,Y658-MAX(0,Z658-SUM(Q658:X658)))</f>
        <v/>
      </c>
    </row>
    <row r="659">
      <c r="A659" s="4" t="inlineStr">
        <is>
          <t>HASLS22260901241</t>
        </is>
      </c>
      <c r="B659" s="4" t="inlineStr">
        <is>
          <t>SWRG</t>
        </is>
      </c>
      <c r="C659" s="4" t="inlineStr">
        <is>
          <t>2609N</t>
        </is>
      </c>
      <c r="D659" s="4" t="inlineStr">
        <is>
          <t>202610131130</t>
        </is>
      </c>
      <c r="E659" s="4" t="inlineStr"/>
      <c r="F659" s="4" t="inlineStr">
        <is>
          <t>THLCH</t>
        </is>
      </c>
      <c r="G659" s="4" t="inlineStr">
        <is>
          <t>CNSHA</t>
        </is>
      </c>
      <c r="H659" s="4" t="inlineStr">
        <is>
          <t xml:space="preserve">40Hx1 </t>
        </is>
      </c>
      <c r="I659" s="4" t="inlineStr">
        <is>
          <t>LCHY5</t>
        </is>
      </c>
      <c r="J659" s="4" t="inlineStr">
        <is>
          <t>PW DEPOT CO., LTD.</t>
        </is>
      </c>
      <c r="K659" s="4" t="inlineStr">
        <is>
          <t>20261005</t>
        </is>
      </c>
      <c r="L659" s="4" t="inlineStr">
        <is>
          <t>RHENUS LOGISTICS CO., LTD.</t>
        </is>
      </c>
      <c r="M659" s="4" t="inlineStr">
        <is>
          <t>GROHE SIAM LIMITED</t>
        </is>
      </c>
      <c r="N659" s="4" t="inlineStr">
        <is>
          <t>SANITARY WARE</t>
        </is>
      </c>
      <c r="O659" s="4" t="inlineStr">
        <is>
          <t>Request dry, Strong floor and good container condition</t>
        </is>
      </c>
      <c r="P659" s="4" t="inlineStr">
        <is>
          <t xml:space="preserve">Pickup : 2026-10-05, Return : 2026-10-08 
 ** PLEASE CHECK OPEN GATE BEFORE RETURN CNTR **
</t>
        </is>
      </c>
      <c r="Q659" s="4" t="n">
        <v>0</v>
      </c>
      <c r="R659" s="4" t="n">
        <v>0</v>
      </c>
      <c r="S659" s="4" t="n">
        <v>1</v>
      </c>
      <c r="T659" s="4" t="n">
        <v>0</v>
      </c>
      <c r="U659" s="4" t="n">
        <v>0</v>
      </c>
      <c r="V659" s="4" t="n">
        <v>0</v>
      </c>
      <c r="W659" s="4" t="n">
        <v>0</v>
      </c>
      <c r="X659" s="4" t="n">
        <v>0</v>
      </c>
      <c r="Y659" s="4" t="n">
        <v>0</v>
      </c>
      <c r="Z659" s="4" t="n">
        <v>0</v>
      </c>
      <c r="AA659" s="4" t="n">
        <v>0</v>
      </c>
      <c r="AB659" s="4">
        <f>SUM(Q659:Y659)-Z659</f>
        <v/>
      </c>
      <c r="AC659" s="4">
        <f>IF(I659="","",IF(OR(LEFT(I659,3)="BKK",I659="LCH55"),"BKK",IF(LEFT(I659,3)="LCH","LCH","OTHER")))</f>
        <v/>
      </c>
      <c r="AD659" s="4">
        <f>MAX(0,Q659-MAX(0,Z659))</f>
        <v/>
      </c>
      <c r="AE659" s="4">
        <f>MAX(0,R659-MAX(0,Z659-SUM(Q659:Q659)))</f>
        <v/>
      </c>
      <c r="AF659" s="4">
        <f>MAX(0,S659-MAX(0,Z659-SUM(Q659:R659)))</f>
        <v/>
      </c>
      <c r="AG659" s="4">
        <f>MAX(0,T659-MAX(0,Z659-SUM(Q659:S659)))</f>
        <v/>
      </c>
      <c r="AH659" s="4">
        <f>MAX(0,U659-MAX(0,Z659-SUM(Q659:T659)))</f>
        <v/>
      </c>
      <c r="AI659" s="4">
        <f>MAX(0,V659-MAX(0,Z659-SUM(Q659:U659)))</f>
        <v/>
      </c>
      <c r="AJ659" s="4">
        <f>MAX(0,W659-MAX(0,Z659-SUM(Q659:V659)))</f>
        <v/>
      </c>
      <c r="AK659" s="4">
        <f>MAX(0,X659-MAX(0,Z659-SUM(Q659:W659)))</f>
        <v/>
      </c>
      <c r="AL659" s="4">
        <f>MAX(0,Y659-MAX(0,Z659-SUM(Q659:X659)))</f>
        <v/>
      </c>
    </row>
    <row r="660">
      <c r="A660" s="4" t="inlineStr">
        <is>
          <t>HASLS22260901251</t>
        </is>
      </c>
      <c r="B660" s="4" t="inlineStr">
        <is>
          <t>SWRG</t>
        </is>
      </c>
      <c r="C660" s="4" t="inlineStr">
        <is>
          <t>2609N</t>
        </is>
      </c>
      <c r="D660" s="4" t="inlineStr">
        <is>
          <t>202610131130</t>
        </is>
      </c>
      <c r="E660" s="4" t="inlineStr"/>
      <c r="F660" s="4" t="inlineStr">
        <is>
          <t>THLCH</t>
        </is>
      </c>
      <c r="G660" s="4" t="inlineStr">
        <is>
          <t>CNSHA</t>
        </is>
      </c>
      <c r="H660" s="4" t="inlineStr">
        <is>
          <t xml:space="preserve">20'x1 </t>
        </is>
      </c>
      <c r="I660" s="4" t="inlineStr">
        <is>
          <t>LCHY5</t>
        </is>
      </c>
      <c r="J660" s="4" t="inlineStr">
        <is>
          <t>PW DEPOT CO., LTD.</t>
        </is>
      </c>
      <c r="K660" s="4" t="inlineStr">
        <is>
          <t>20261005</t>
        </is>
      </c>
      <c r="L660" s="4" t="inlineStr">
        <is>
          <t>UBE CHEMICALS (ASIA) PUBLIC COMPANY LIMITED</t>
        </is>
      </c>
      <c r="M660" s="4" t="inlineStr">
        <is>
          <t>THAI SYNTHETIC RUBBERS CO., LTD.</t>
        </is>
      </c>
      <c r="N660" s="4" t="inlineStr">
        <is>
          <t xml:space="preserve">Polybutadiene Rubber </t>
        </is>
      </c>
      <c r="O660" s="4" t="inlineStr">
        <is>
          <t>RQST Good condition; Grade B+</t>
        </is>
      </c>
      <c r="P660" s="4" t="inlineStr">
        <is>
          <t xml:space="preserve">CY-RTN  :05-06/10/2026 
REF : ID-N016423
RQST Good condition; Grade B+ </t>
        </is>
      </c>
      <c r="Q660" s="4" t="n">
        <v>1</v>
      </c>
      <c r="R660" s="4" t="n">
        <v>0</v>
      </c>
      <c r="S660" s="4" t="n">
        <v>0</v>
      </c>
      <c r="T660" s="4" t="n">
        <v>0</v>
      </c>
      <c r="U660" s="4" t="n">
        <v>0</v>
      </c>
      <c r="V660" s="4" t="n">
        <v>0</v>
      </c>
      <c r="W660" s="4" t="n">
        <v>0</v>
      </c>
      <c r="X660" s="4" t="n">
        <v>0</v>
      </c>
      <c r="Y660" s="4" t="n">
        <v>0</v>
      </c>
      <c r="Z660" s="4" t="n">
        <v>0</v>
      </c>
      <c r="AA660" s="4" t="n">
        <v>0</v>
      </c>
      <c r="AB660" s="4">
        <f>SUM(Q660:Y660)-Z660</f>
        <v/>
      </c>
      <c r="AC660" s="4">
        <f>IF(I660="","",IF(OR(LEFT(I660,3)="BKK",I660="LCH55"),"BKK",IF(LEFT(I660,3)="LCH","LCH","OTHER")))</f>
        <v/>
      </c>
      <c r="AD660" s="4">
        <f>MAX(0,Q660-MAX(0,Z660))</f>
        <v/>
      </c>
      <c r="AE660" s="4">
        <f>MAX(0,R660-MAX(0,Z660-SUM(Q660:Q660)))</f>
        <v/>
      </c>
      <c r="AF660" s="4">
        <f>MAX(0,S660-MAX(0,Z660-SUM(Q660:R660)))</f>
        <v/>
      </c>
      <c r="AG660" s="4">
        <f>MAX(0,T660-MAX(0,Z660-SUM(Q660:S660)))</f>
        <v/>
      </c>
      <c r="AH660" s="4">
        <f>MAX(0,U660-MAX(0,Z660-SUM(Q660:T660)))</f>
        <v/>
      </c>
      <c r="AI660" s="4">
        <f>MAX(0,V660-MAX(0,Z660-SUM(Q660:U660)))</f>
        <v/>
      </c>
      <c r="AJ660" s="4">
        <f>MAX(0,W660-MAX(0,Z660-SUM(Q660:V660)))</f>
        <v/>
      </c>
      <c r="AK660" s="4">
        <f>MAX(0,X660-MAX(0,Z660-SUM(Q660:W660)))</f>
        <v/>
      </c>
      <c r="AL660" s="4">
        <f>MAX(0,Y660-MAX(0,Z660-SUM(Q660:X660)))</f>
        <v/>
      </c>
    </row>
    <row r="661">
      <c r="A661" s="4" t="inlineStr">
        <is>
          <t>HASLS22260901258</t>
        </is>
      </c>
      <c r="B661" s="4" t="inlineStr">
        <is>
          <t>SWAT</t>
        </is>
      </c>
      <c r="C661" s="4" t="inlineStr">
        <is>
          <t>2610N</t>
        </is>
      </c>
      <c r="D661" s="4" t="inlineStr">
        <is>
          <t>202610081000</t>
        </is>
      </c>
      <c r="E661" s="4" t="inlineStr"/>
      <c r="F661" s="4" t="inlineStr">
        <is>
          <t>THLCH</t>
        </is>
      </c>
      <c r="G661" s="4" t="inlineStr">
        <is>
          <t>JPNGO</t>
        </is>
      </c>
      <c r="H661" s="4" t="inlineStr">
        <is>
          <t xml:space="preserve">20'x1 </t>
        </is>
      </c>
      <c r="I661" s="4" t="inlineStr">
        <is>
          <t>LCHY5</t>
        </is>
      </c>
      <c r="J661" s="4" t="inlineStr">
        <is>
          <t>PW DEPOT CO., LTD.</t>
        </is>
      </c>
      <c r="K661" s="4" t="inlineStr">
        <is>
          <t>20260928</t>
        </is>
      </c>
      <c r="L661" s="4" t="inlineStr">
        <is>
          <t>DOW CHEMICAL THAILAND LTD.</t>
        </is>
      </c>
      <c r="M661" s="4" t="inlineStr">
        <is>
          <t>SIAM POLYETHYLENE CO., LTD.</t>
        </is>
      </c>
      <c r="N661" s="4" t="inlineStr">
        <is>
          <t>RESIN</t>
        </is>
      </c>
      <c r="O661" s="4" t="inlineStr">
        <is>
          <t>1X20' SEABULK</t>
        </is>
      </c>
      <c r="P661" s="4" t="inlineStr">
        <is>
          <t>Pickup : 2026-09-28, Return : 2026-10-01</t>
        </is>
      </c>
      <c r="Q661" s="4" t="n">
        <v>1</v>
      </c>
      <c r="R661" s="4" t="n">
        <v>0</v>
      </c>
      <c r="S661" s="4" t="n">
        <v>0</v>
      </c>
      <c r="T661" s="4" t="n">
        <v>0</v>
      </c>
      <c r="U661" s="4" t="n">
        <v>0</v>
      </c>
      <c r="V661" s="4" t="n">
        <v>0</v>
      </c>
      <c r="W661" s="4" t="n">
        <v>0</v>
      </c>
      <c r="X661" s="4" t="n">
        <v>0</v>
      </c>
      <c r="Y661" s="4" t="n">
        <v>0</v>
      </c>
      <c r="Z661" s="4" t="n">
        <v>0</v>
      </c>
      <c r="AA661" s="4" t="n">
        <v>0</v>
      </c>
      <c r="AB661" s="4">
        <f>SUM(Q661:Y661)-Z661</f>
        <v/>
      </c>
      <c r="AC661" s="4">
        <f>IF(I661="","",IF(OR(LEFT(I661,3)="BKK",I661="LCH55"),"BKK",IF(LEFT(I661,3)="LCH","LCH","OTHER")))</f>
        <v/>
      </c>
      <c r="AD661" s="4">
        <f>MAX(0,Q661-MAX(0,Z661))</f>
        <v/>
      </c>
      <c r="AE661" s="4">
        <f>MAX(0,R661-MAX(0,Z661-SUM(Q661:Q661)))</f>
        <v/>
      </c>
      <c r="AF661" s="4">
        <f>MAX(0,S661-MAX(0,Z661-SUM(Q661:R661)))</f>
        <v/>
      </c>
      <c r="AG661" s="4">
        <f>MAX(0,T661-MAX(0,Z661-SUM(Q661:S661)))</f>
        <v/>
      </c>
      <c r="AH661" s="4">
        <f>MAX(0,U661-MAX(0,Z661-SUM(Q661:T661)))</f>
        <v/>
      </c>
      <c r="AI661" s="4">
        <f>MAX(0,V661-MAX(0,Z661-SUM(Q661:U661)))</f>
        <v/>
      </c>
      <c r="AJ661" s="4">
        <f>MAX(0,W661-MAX(0,Z661-SUM(Q661:V661)))</f>
        <v/>
      </c>
      <c r="AK661" s="4">
        <f>MAX(0,X661-MAX(0,Z661-SUM(Q661:W661)))</f>
        <v/>
      </c>
      <c r="AL661" s="4">
        <f>MAX(0,Y661-MAX(0,Z661-SUM(Q661:X661)))</f>
        <v/>
      </c>
    </row>
    <row r="662">
      <c r="A662" s="4" t="inlineStr">
        <is>
          <t>HASLS22260901276</t>
        </is>
      </c>
      <c r="B662" s="4" t="inlineStr">
        <is>
          <t>SWVG</t>
        </is>
      </c>
      <c r="C662" s="4" t="inlineStr">
        <is>
          <t>2612N</t>
        </is>
      </c>
      <c r="D662" s="4" t="inlineStr">
        <is>
          <t>202610070330</t>
        </is>
      </c>
      <c r="E662" s="4" t="inlineStr"/>
      <c r="F662" s="4" t="inlineStr">
        <is>
          <t>THLCH</t>
        </is>
      </c>
      <c r="G662" s="4" t="inlineStr">
        <is>
          <t>CNSHA</t>
        </is>
      </c>
      <c r="H662" s="4" t="inlineStr">
        <is>
          <t xml:space="preserve">20'x1 </t>
        </is>
      </c>
      <c r="I662" s="4" t="inlineStr">
        <is>
          <t>LCHY5</t>
        </is>
      </c>
      <c r="J662" s="4" t="inlineStr">
        <is>
          <t>PW DEPOT CO., LTD.</t>
        </is>
      </c>
      <c r="K662" s="4" t="inlineStr">
        <is>
          <t>20260928</t>
        </is>
      </c>
      <c r="L662" s="4" t="inlineStr">
        <is>
          <t>MITSUBISHI LOGISTICS (THAILAND) CO., LTD.</t>
        </is>
      </c>
      <c r="M662" s="4" t="inlineStr">
        <is>
          <t>SHIN-ETSU SILICONES (THAILAND) LTD.</t>
        </is>
      </c>
      <c r="N662" s="4" t="inlineStr">
        <is>
          <t>SILICONE</t>
        </is>
      </c>
      <c r="O662" s="4" t="inlineStr">
        <is>
          <t>Container : Good , Clean, No smell container are requested.</t>
        </is>
      </c>
      <c r="P662" s="4" t="inlineStr">
        <is>
          <t>Pickup : 2026-09-28, Return : 2026-09-29</t>
        </is>
      </c>
      <c r="Q662" s="4" t="n">
        <v>1</v>
      </c>
      <c r="R662" s="4" t="n">
        <v>0</v>
      </c>
      <c r="S662" s="4" t="n">
        <v>0</v>
      </c>
      <c r="T662" s="4" t="n">
        <v>0</v>
      </c>
      <c r="U662" s="4" t="n">
        <v>0</v>
      </c>
      <c r="V662" s="4" t="n">
        <v>0</v>
      </c>
      <c r="W662" s="4" t="n">
        <v>0</v>
      </c>
      <c r="X662" s="4" t="n">
        <v>0</v>
      </c>
      <c r="Y662" s="4" t="n">
        <v>0</v>
      </c>
      <c r="Z662" s="4" t="n">
        <v>0</v>
      </c>
      <c r="AA662" s="4" t="n">
        <v>0</v>
      </c>
      <c r="AB662" s="4">
        <f>SUM(Q662:Y662)-Z662</f>
        <v/>
      </c>
      <c r="AC662" s="4">
        <f>IF(I662="","",IF(OR(LEFT(I662,3)="BKK",I662="LCH55"),"BKK",IF(LEFT(I662,3)="LCH","LCH","OTHER")))</f>
        <v/>
      </c>
      <c r="AD662" s="4">
        <f>MAX(0,Q662-MAX(0,Z662))</f>
        <v/>
      </c>
      <c r="AE662" s="4">
        <f>MAX(0,R662-MAX(0,Z662-SUM(Q662:Q662)))</f>
        <v/>
      </c>
      <c r="AF662" s="4">
        <f>MAX(0,S662-MAX(0,Z662-SUM(Q662:R662)))</f>
        <v/>
      </c>
      <c r="AG662" s="4">
        <f>MAX(0,T662-MAX(0,Z662-SUM(Q662:S662)))</f>
        <v/>
      </c>
      <c r="AH662" s="4">
        <f>MAX(0,U662-MAX(0,Z662-SUM(Q662:T662)))</f>
        <v/>
      </c>
      <c r="AI662" s="4">
        <f>MAX(0,V662-MAX(0,Z662-SUM(Q662:U662)))</f>
        <v/>
      </c>
      <c r="AJ662" s="4">
        <f>MAX(0,W662-MAX(0,Z662-SUM(Q662:V662)))</f>
        <v/>
      </c>
      <c r="AK662" s="4">
        <f>MAX(0,X662-MAX(0,Z662-SUM(Q662:W662)))</f>
        <v/>
      </c>
      <c r="AL662" s="4">
        <f>MAX(0,Y662-MAX(0,Z662-SUM(Q662:X662)))</f>
        <v/>
      </c>
    </row>
    <row r="663">
      <c r="A663" s="4" t="inlineStr">
        <is>
          <t>HASLS22260901290</t>
        </is>
      </c>
      <c r="B663" s="4" t="inlineStr">
        <is>
          <t>CMA</t>
        </is>
      </c>
      <c r="C663" s="4" t="inlineStr">
        <is>
          <t>2615N</t>
        </is>
      </c>
      <c r="D663" s="4" t="inlineStr">
        <is>
          <t>202610181600</t>
        </is>
      </c>
      <c r="E663" s="4" t="inlineStr"/>
      <c r="F663" s="4" t="inlineStr">
        <is>
          <t>THLCH</t>
        </is>
      </c>
      <c r="G663" s="4" t="inlineStr">
        <is>
          <t>JPMOJ</t>
        </is>
      </c>
      <c r="H663" s="4" t="inlineStr">
        <is>
          <t xml:space="preserve">20'x1 </t>
        </is>
      </c>
      <c r="I663" s="4" t="inlineStr">
        <is>
          <t>LCHY5</t>
        </is>
      </c>
      <c r="J663" s="4" t="inlineStr">
        <is>
          <t>PW DEPOT CO., LTD.</t>
        </is>
      </c>
      <c r="K663" s="4" t="inlineStr">
        <is>
          <t>20261010</t>
        </is>
      </c>
      <c r="L663" s="4" t="inlineStr">
        <is>
          <t>SAI GLOBAL EXPRESS CO., LTD.</t>
        </is>
      </c>
      <c r="M663" s="4" t="inlineStr">
        <is>
          <t>LUOYANG LONGMEN FERRO-ALLOY FACTORY (THAILAND) CO., LTD.</t>
        </is>
      </c>
      <c r="N663" s="4" t="inlineStr">
        <is>
          <t>ROASTED MOLYBDENUM CONCENTRATES</t>
        </is>
      </c>
      <c r="O663" s="4" t="inlineStr">
        <is>
          <t>RQST GOOD AND CLEAN CNTR, NO RUST, NO HOLE</t>
        </is>
      </c>
      <c r="P663" s="4" t="inlineStr">
        <is>
          <t>Pickup : 2026-10-10, Return : 2026-10-12 CLS TIME  15/10/26 @10.00
**CHECK OPENGATE BEFORE RETURN CNTR**</t>
        </is>
      </c>
      <c r="Q663" s="4" t="n">
        <v>1</v>
      </c>
      <c r="R663" s="4" t="n">
        <v>0</v>
      </c>
      <c r="S663" s="4" t="n">
        <v>0</v>
      </c>
      <c r="T663" s="4" t="n">
        <v>0</v>
      </c>
      <c r="U663" s="4" t="n">
        <v>0</v>
      </c>
      <c r="V663" s="4" t="n">
        <v>0</v>
      </c>
      <c r="W663" s="4" t="n">
        <v>0</v>
      </c>
      <c r="X663" s="4" t="n">
        <v>0</v>
      </c>
      <c r="Y663" s="4" t="n">
        <v>0</v>
      </c>
      <c r="Z663" s="4" t="n">
        <v>0</v>
      </c>
      <c r="AA663" s="4" t="n">
        <v>0</v>
      </c>
      <c r="AB663" s="4">
        <f>SUM(Q663:Y663)-Z663</f>
        <v/>
      </c>
      <c r="AC663" s="4">
        <f>IF(I663="","",IF(OR(LEFT(I663,3)="BKK",I663="LCH55"),"BKK",IF(LEFT(I663,3)="LCH","LCH","OTHER")))</f>
        <v/>
      </c>
      <c r="AD663" s="4">
        <f>MAX(0,Q663-MAX(0,Z663))</f>
        <v/>
      </c>
      <c r="AE663" s="4">
        <f>MAX(0,R663-MAX(0,Z663-SUM(Q663:Q663)))</f>
        <v/>
      </c>
      <c r="AF663" s="4">
        <f>MAX(0,S663-MAX(0,Z663-SUM(Q663:R663)))</f>
        <v/>
      </c>
      <c r="AG663" s="4">
        <f>MAX(0,T663-MAX(0,Z663-SUM(Q663:S663)))</f>
        <v/>
      </c>
      <c r="AH663" s="4">
        <f>MAX(0,U663-MAX(0,Z663-SUM(Q663:T663)))</f>
        <v/>
      </c>
      <c r="AI663" s="4">
        <f>MAX(0,V663-MAX(0,Z663-SUM(Q663:U663)))</f>
        <v/>
      </c>
      <c r="AJ663" s="4">
        <f>MAX(0,W663-MAX(0,Z663-SUM(Q663:V663)))</f>
        <v/>
      </c>
      <c r="AK663" s="4">
        <f>MAX(0,X663-MAX(0,Z663-SUM(Q663:W663)))</f>
        <v/>
      </c>
      <c r="AL663" s="4">
        <f>MAX(0,Y663-MAX(0,Z663-SUM(Q663:X663)))</f>
        <v/>
      </c>
    </row>
    <row r="664">
      <c r="A664" s="4" t="inlineStr">
        <is>
          <t>HASLS22260901311</t>
        </is>
      </c>
      <c r="B664" s="4" t="inlineStr">
        <is>
          <t>HMVY</t>
        </is>
      </c>
      <c r="C664" s="4" t="inlineStr">
        <is>
          <t>2609N</t>
        </is>
      </c>
      <c r="D664" s="4" t="inlineStr">
        <is>
          <t>202610200330</t>
        </is>
      </c>
      <c r="E664" s="4" t="inlineStr"/>
      <c r="F664" s="4" t="inlineStr">
        <is>
          <t>THLCH</t>
        </is>
      </c>
      <c r="G664" s="4" t="inlineStr">
        <is>
          <t>CNSHA</t>
        </is>
      </c>
      <c r="H664" s="4" t="inlineStr">
        <is>
          <t xml:space="preserve">40Hx3 </t>
        </is>
      </c>
      <c r="I664" s="4" t="inlineStr">
        <is>
          <t>LCHY5</t>
        </is>
      </c>
      <c r="J664" s="4" t="inlineStr">
        <is>
          <t>PW DEPOT CO., LTD.</t>
        </is>
      </c>
      <c r="K664" s="4" t="inlineStr">
        <is>
          <t>20261012</t>
        </is>
      </c>
      <c r="L664" s="4" t="inlineStr">
        <is>
          <t>WHA GC LOGISTICS COMPANY LIMITED</t>
        </is>
      </c>
      <c r="M664" s="4" t="inlineStr">
        <is>
          <t>PTT GLOBAL CHEMICAL PUBLIC COMPANY LIMITED</t>
        </is>
      </c>
      <c r="N664" s="4" t="inlineStr">
        <is>
          <t>RESIN</t>
        </is>
      </c>
      <c r="O664" s="4" t="inlineStr">
        <is>
          <t>GOOD AND CLEAN CONTAINER</t>
        </is>
      </c>
      <c r="P664" s="4" t="inlineStr">
        <is>
          <t>CY-RTN: 12-14/10/2026  (1ST RETURN 30/09/26)</t>
        </is>
      </c>
      <c r="Q664" s="4" t="n">
        <v>0</v>
      </c>
      <c r="R664" s="4" t="n">
        <v>0</v>
      </c>
      <c r="S664" s="4" t="n">
        <v>3</v>
      </c>
      <c r="T664" s="4" t="n">
        <v>0</v>
      </c>
      <c r="U664" s="4" t="n">
        <v>0</v>
      </c>
      <c r="V664" s="4" t="n">
        <v>0</v>
      </c>
      <c r="W664" s="4" t="n">
        <v>0</v>
      </c>
      <c r="X664" s="4" t="n">
        <v>0</v>
      </c>
      <c r="Y664" s="4" t="n">
        <v>0</v>
      </c>
      <c r="Z664" s="4" t="n">
        <v>0</v>
      </c>
      <c r="AA664" s="4" t="n">
        <v>0</v>
      </c>
      <c r="AB664" s="4">
        <f>SUM(Q664:Y664)-Z664</f>
        <v/>
      </c>
      <c r="AC664" s="4">
        <f>IF(I664="","",IF(OR(LEFT(I664,3)="BKK",I664="LCH55"),"BKK",IF(LEFT(I664,3)="LCH","LCH","OTHER")))</f>
        <v/>
      </c>
      <c r="AD664" s="4">
        <f>MAX(0,Q664-MAX(0,Z664))</f>
        <v/>
      </c>
      <c r="AE664" s="4">
        <f>MAX(0,R664-MAX(0,Z664-SUM(Q664:Q664)))</f>
        <v/>
      </c>
      <c r="AF664" s="4">
        <f>MAX(0,S664-MAX(0,Z664-SUM(Q664:R664)))</f>
        <v/>
      </c>
      <c r="AG664" s="4">
        <f>MAX(0,T664-MAX(0,Z664-SUM(Q664:S664)))</f>
        <v/>
      </c>
      <c r="AH664" s="4">
        <f>MAX(0,U664-MAX(0,Z664-SUM(Q664:T664)))</f>
        <v/>
      </c>
      <c r="AI664" s="4">
        <f>MAX(0,V664-MAX(0,Z664-SUM(Q664:U664)))</f>
        <v/>
      </c>
      <c r="AJ664" s="4">
        <f>MAX(0,W664-MAX(0,Z664-SUM(Q664:V664)))</f>
        <v/>
      </c>
      <c r="AK664" s="4">
        <f>MAX(0,X664-MAX(0,Z664-SUM(Q664:W664)))</f>
        <v/>
      </c>
      <c r="AL664" s="4">
        <f>MAX(0,Y664-MAX(0,Z664-SUM(Q664:X664)))</f>
        <v/>
      </c>
    </row>
    <row r="665">
      <c r="A665" s="4" t="inlineStr">
        <is>
          <t>HASLS22260901359</t>
        </is>
      </c>
      <c r="B665" s="4" t="inlineStr">
        <is>
          <t>SWIC</t>
        </is>
      </c>
      <c r="C665" s="4" t="inlineStr">
        <is>
          <t>2611N</t>
        </is>
      </c>
      <c r="D665" s="4" t="inlineStr">
        <is>
          <t>202610132300</t>
        </is>
      </c>
      <c r="E665" s="4" t="inlineStr"/>
      <c r="F665" s="4" t="inlineStr">
        <is>
          <t>THLCH</t>
        </is>
      </c>
      <c r="G665" s="4" t="inlineStr">
        <is>
          <t>VNSGN</t>
        </is>
      </c>
      <c r="H665" s="4" t="inlineStr">
        <is>
          <t>20FRx1</t>
        </is>
      </c>
      <c r="I665" s="4" t="inlineStr">
        <is>
          <t>LCHY5</t>
        </is>
      </c>
      <c r="J665" s="4" t="inlineStr">
        <is>
          <t>PW DEPOT CO., LTD.</t>
        </is>
      </c>
      <c r="K665" s="4" t="inlineStr">
        <is>
          <t>20261009</t>
        </is>
      </c>
      <c r="L665" s="4" t="inlineStr">
        <is>
          <t>LOTUS FREIGHT AND SERVICES CORP.,LTD.</t>
        </is>
      </c>
      <c r="M665" s="4" t="inlineStr">
        <is>
          <t>EXCEL ENTECH CO.,LTD.</t>
        </is>
      </c>
      <c r="N665" s="4" t="inlineStr">
        <is>
          <t>Machinery</t>
        </is>
      </c>
      <c r="O665" s="4" t="inlineStr">
        <is>
          <t>*APPROVAL BY MR.M.J CHANG DD.21/09/2026  **</t>
        </is>
      </c>
      <c r="P665" s="4" t="inlineStr">
        <is>
          <t>*APPROVAL BY MR.M.J CHANG DD.21/09/2026  **
Pickup : 2026-10-09, Return : 2026-10-10 
 1X20'FR OOG 5 TEUS, CY AT  PW DEPOT  
 1X40'FR OOG 10 TEUS  CY AT YJC LMH</t>
        </is>
      </c>
      <c r="Q665" s="4" t="n">
        <v>0</v>
      </c>
      <c r="R665" s="4" t="n">
        <v>0</v>
      </c>
      <c r="S665" s="4" t="n">
        <v>0</v>
      </c>
      <c r="T665" s="4" t="n">
        <v>0</v>
      </c>
      <c r="U665" s="4" t="n">
        <v>0</v>
      </c>
      <c r="V665" s="4" t="n">
        <v>0</v>
      </c>
      <c r="W665" s="4" t="n">
        <v>0</v>
      </c>
      <c r="X665" s="4" t="n">
        <v>1</v>
      </c>
      <c r="Y665" s="4" t="n">
        <v>0</v>
      </c>
      <c r="Z665" s="4" t="n">
        <v>0</v>
      </c>
      <c r="AA665" s="4" t="n">
        <v>0</v>
      </c>
      <c r="AB665" s="4">
        <f>SUM(Q665:Y665)-Z665</f>
        <v/>
      </c>
      <c r="AC665" s="4">
        <f>IF(I665="","",IF(OR(LEFT(I665,3)="BKK",I665="LCH55"),"BKK",IF(LEFT(I665,3)="LCH","LCH","OTHER")))</f>
        <v/>
      </c>
      <c r="AD665" s="4">
        <f>MAX(0,Q665-MAX(0,Z665))</f>
        <v/>
      </c>
      <c r="AE665" s="4">
        <f>MAX(0,R665-MAX(0,Z665-SUM(Q665:Q665)))</f>
        <v/>
      </c>
      <c r="AF665" s="4">
        <f>MAX(0,S665-MAX(0,Z665-SUM(Q665:R665)))</f>
        <v/>
      </c>
      <c r="AG665" s="4">
        <f>MAX(0,T665-MAX(0,Z665-SUM(Q665:S665)))</f>
        <v/>
      </c>
      <c r="AH665" s="4">
        <f>MAX(0,U665-MAX(0,Z665-SUM(Q665:T665)))</f>
        <v/>
      </c>
      <c r="AI665" s="4">
        <f>MAX(0,V665-MAX(0,Z665-SUM(Q665:U665)))</f>
        <v/>
      </c>
      <c r="AJ665" s="4">
        <f>MAX(0,W665-MAX(0,Z665-SUM(Q665:V665)))</f>
        <v/>
      </c>
      <c r="AK665" s="4">
        <f>MAX(0,X665-MAX(0,Z665-SUM(Q665:W665)))</f>
        <v/>
      </c>
      <c r="AL665" s="4">
        <f>MAX(0,Y665-MAX(0,Z665-SUM(Q665:X665)))</f>
        <v/>
      </c>
    </row>
    <row r="666">
      <c r="A666" s="4" t="inlineStr">
        <is>
          <t>HASLS22260901361</t>
        </is>
      </c>
      <c r="B666" s="4" t="inlineStr">
        <is>
          <t>KMTP</t>
        </is>
      </c>
      <c r="C666" s="4" t="inlineStr">
        <is>
          <t>2612N</t>
        </is>
      </c>
      <c r="D666" s="4" t="inlineStr">
        <is>
          <t>202610122200</t>
        </is>
      </c>
      <c r="E666" s="4" t="inlineStr"/>
      <c r="F666" s="4" t="inlineStr">
        <is>
          <t>THLCH</t>
        </is>
      </c>
      <c r="G666" s="4" t="inlineStr">
        <is>
          <t>HKHKG</t>
        </is>
      </c>
      <c r="H666" s="4" t="inlineStr">
        <is>
          <t xml:space="preserve">40Hx1 </t>
        </is>
      </c>
      <c r="I666" s="4" t="inlineStr">
        <is>
          <t>LCHY5</t>
        </is>
      </c>
      <c r="J666" s="4" t="inlineStr">
        <is>
          <t>PW DEPOT CO., LTD.</t>
        </is>
      </c>
      <c r="K666" s="4" t="inlineStr">
        <is>
          <t>20261008</t>
        </is>
      </c>
      <c r="L666" s="4" t="inlineStr">
        <is>
          <t>NIPPON EXPRESS LOGISTICS (THAILAND) CO., LTD.</t>
        </is>
      </c>
      <c r="M666" s="4" t="inlineStr">
        <is>
          <t>SYNERGY HEALTH (THAILAND) CO., LTD.</t>
        </is>
      </c>
      <c r="N666" s="4" t="inlineStr">
        <is>
          <t>OTHER INSTRUMENTS IN MEDICAL, SURGICAL,</t>
        </is>
      </c>
      <c r="O666" s="4" t="inlineStr">
        <is>
          <t>REQUEST CONTAINER GRADE A
The containers are in Clean, Good Panel condition,
Good Floor Board Condition, Not Rusty, Good
Door Condition.</t>
        </is>
      </c>
      <c r="P666" s="4" t="inlineStr">
        <is>
          <t>Pickup : 2026-10-08, Return : 2026-10-08</t>
        </is>
      </c>
      <c r="Q666" s="4" t="n">
        <v>0</v>
      </c>
      <c r="R666" s="4" t="n">
        <v>0</v>
      </c>
      <c r="S666" s="4" t="n">
        <v>1</v>
      </c>
      <c r="T666" s="4" t="n">
        <v>0</v>
      </c>
      <c r="U666" s="4" t="n">
        <v>0</v>
      </c>
      <c r="V666" s="4" t="n">
        <v>0</v>
      </c>
      <c r="W666" s="4" t="n">
        <v>0</v>
      </c>
      <c r="X666" s="4" t="n">
        <v>0</v>
      </c>
      <c r="Y666" s="4" t="n">
        <v>0</v>
      </c>
      <c r="Z666" s="4" t="n">
        <v>0</v>
      </c>
      <c r="AA666" s="4" t="n">
        <v>0</v>
      </c>
      <c r="AB666" s="4">
        <f>SUM(Q666:Y666)-Z666</f>
        <v/>
      </c>
      <c r="AC666" s="4">
        <f>IF(I666="","",IF(OR(LEFT(I666,3)="BKK",I666="LCH55"),"BKK",IF(LEFT(I666,3)="LCH","LCH","OTHER")))</f>
        <v/>
      </c>
      <c r="AD666" s="4">
        <f>MAX(0,Q666-MAX(0,Z666))</f>
        <v/>
      </c>
      <c r="AE666" s="4">
        <f>MAX(0,R666-MAX(0,Z666-SUM(Q666:Q666)))</f>
        <v/>
      </c>
      <c r="AF666" s="4">
        <f>MAX(0,S666-MAX(0,Z666-SUM(Q666:R666)))</f>
        <v/>
      </c>
      <c r="AG666" s="4">
        <f>MAX(0,T666-MAX(0,Z666-SUM(Q666:S666)))</f>
        <v/>
      </c>
      <c r="AH666" s="4">
        <f>MAX(0,U666-MAX(0,Z666-SUM(Q666:T666)))</f>
        <v/>
      </c>
      <c r="AI666" s="4">
        <f>MAX(0,V666-MAX(0,Z666-SUM(Q666:U666)))</f>
        <v/>
      </c>
      <c r="AJ666" s="4">
        <f>MAX(0,W666-MAX(0,Z666-SUM(Q666:V666)))</f>
        <v/>
      </c>
      <c r="AK666" s="4">
        <f>MAX(0,X666-MAX(0,Z666-SUM(Q666:W666)))</f>
        <v/>
      </c>
      <c r="AL666" s="4">
        <f>MAX(0,Y666-MAX(0,Z666-SUM(Q666:X666)))</f>
        <v/>
      </c>
    </row>
    <row r="667">
      <c r="A667" s="4" t="inlineStr">
        <is>
          <t>HASLS22260901362</t>
        </is>
      </c>
      <c r="B667" s="4" t="inlineStr">
        <is>
          <t>SKOR</t>
        </is>
      </c>
      <c r="C667" s="4" t="inlineStr">
        <is>
          <t>2612N</t>
        </is>
      </c>
      <c r="D667" s="4" t="inlineStr">
        <is>
          <t>202610190700</t>
        </is>
      </c>
      <c r="E667" s="4" t="inlineStr"/>
      <c r="F667" s="4" t="inlineStr">
        <is>
          <t>THLCH</t>
        </is>
      </c>
      <c r="G667" s="4" t="inlineStr">
        <is>
          <t>HKHKG</t>
        </is>
      </c>
      <c r="H667" s="4" t="inlineStr">
        <is>
          <t xml:space="preserve">40Hx1 </t>
        </is>
      </c>
      <c r="I667" s="4" t="inlineStr">
        <is>
          <t>LCHY5</t>
        </is>
      </c>
      <c r="J667" s="4" t="inlineStr">
        <is>
          <t>PW DEPOT CO., LTD.</t>
        </is>
      </c>
      <c r="K667" s="4" t="inlineStr">
        <is>
          <t>20261015</t>
        </is>
      </c>
      <c r="L667" s="4" t="inlineStr">
        <is>
          <t>NIPPON EXPRESS LOGISTICS (THAILAND) CO., LTD.</t>
        </is>
      </c>
      <c r="M667" s="4" t="inlineStr">
        <is>
          <t>SYNERGY HEALTH (THAILAND) CO., LTD.</t>
        </is>
      </c>
      <c r="N667" s="4" t="inlineStr">
        <is>
          <t>OTHER INSTRUMENTS IN MEDICAL, SURGICAL,</t>
        </is>
      </c>
      <c r="O667" s="4" t="inlineStr">
        <is>
          <t>REQUEST CONTAINER GRADE A
The containers are in Clean, Good Panel condition,
Good Floor Board Condition, Not Rusty, Good
Door Condition.</t>
        </is>
      </c>
      <c r="P667" s="4" t="inlineStr">
        <is>
          <t>Pickup : 2026-10-15, Return : 2026-10-15</t>
        </is>
      </c>
      <c r="Q667" s="4" t="n">
        <v>0</v>
      </c>
      <c r="R667" s="4" t="n">
        <v>0</v>
      </c>
      <c r="S667" s="4" t="n">
        <v>1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>
        <f>SUM(Q667:Y667)-Z667</f>
        <v/>
      </c>
      <c r="AC667" s="4">
        <f>IF(I667="","",IF(OR(LEFT(I667,3)="BKK",I667="LCH55"),"BKK",IF(LEFT(I667,3)="LCH","LCH","OTHER")))</f>
        <v/>
      </c>
      <c r="AD667" s="4">
        <f>MAX(0,Q667-MAX(0,Z667))</f>
        <v/>
      </c>
      <c r="AE667" s="4">
        <f>MAX(0,R667-MAX(0,Z667-SUM(Q667:Q667)))</f>
        <v/>
      </c>
      <c r="AF667" s="4">
        <f>MAX(0,S667-MAX(0,Z667-SUM(Q667:R667)))</f>
        <v/>
      </c>
      <c r="AG667" s="4">
        <f>MAX(0,T667-MAX(0,Z667-SUM(Q667:S667)))</f>
        <v/>
      </c>
      <c r="AH667" s="4">
        <f>MAX(0,U667-MAX(0,Z667-SUM(Q667:T667)))</f>
        <v/>
      </c>
      <c r="AI667" s="4">
        <f>MAX(0,V667-MAX(0,Z667-SUM(Q667:U667)))</f>
        <v/>
      </c>
      <c r="AJ667" s="4">
        <f>MAX(0,W667-MAX(0,Z667-SUM(Q667:V667)))</f>
        <v/>
      </c>
      <c r="AK667" s="4">
        <f>MAX(0,X667-MAX(0,Z667-SUM(Q667:W667)))</f>
        <v/>
      </c>
      <c r="AL667" s="4">
        <f>MAX(0,Y667-MAX(0,Z667-SUM(Q667:X667)))</f>
        <v/>
      </c>
    </row>
    <row r="668">
      <c r="A668" s="4" t="inlineStr">
        <is>
          <t>HASLS22260901367</t>
        </is>
      </c>
      <c r="B668" s="4" t="inlineStr">
        <is>
          <t>SKOR</t>
        </is>
      </c>
      <c r="C668" s="4" t="inlineStr">
        <is>
          <t>2612N</t>
        </is>
      </c>
      <c r="D668" s="4" t="inlineStr">
        <is>
          <t>202610190700</t>
        </is>
      </c>
      <c r="E668" s="4" t="inlineStr"/>
      <c r="F668" s="4" t="inlineStr">
        <is>
          <t>THLCH</t>
        </is>
      </c>
      <c r="G668" s="4" t="inlineStr">
        <is>
          <t>HKHKG</t>
        </is>
      </c>
      <c r="H668" s="4" t="inlineStr">
        <is>
          <t xml:space="preserve">40Hx1 </t>
        </is>
      </c>
      <c r="I668" s="4" t="inlineStr">
        <is>
          <t>LCHY5</t>
        </is>
      </c>
      <c r="J668" s="4" t="inlineStr">
        <is>
          <t>PW DEPOT CO., LTD.</t>
        </is>
      </c>
      <c r="K668" s="4" t="inlineStr">
        <is>
          <t>20261014</t>
        </is>
      </c>
      <c r="L668" s="4" t="inlineStr">
        <is>
          <t>NIPPON EXPRESS LOGISTICS (THAILAND) CO., LTD.</t>
        </is>
      </c>
      <c r="M668" s="4" t="inlineStr">
        <is>
          <t>STERIS TOMOE (THAILAND) LTD.</t>
        </is>
      </c>
      <c r="N668" s="4" t="inlineStr">
        <is>
          <t>OTHER INSTRUMENTS IN MEDICAL, SURGICAL,</t>
        </is>
      </c>
      <c r="O668" s="4" t="inlineStr">
        <is>
          <t>REQUEST CONTAINER GRADE A
The containers are in Clean, Good Panel condition,
Good Floor Board Condition, Not Rusty, Good
Door Condition.</t>
        </is>
      </c>
      <c r="P668" s="4" t="inlineStr">
        <is>
          <t>Pickup : 2026-10-14, Return : 2026-10-14</t>
        </is>
      </c>
      <c r="Q668" s="4" t="n">
        <v>0</v>
      </c>
      <c r="R668" s="4" t="n">
        <v>0</v>
      </c>
      <c r="S668" s="4" t="n">
        <v>1</v>
      </c>
      <c r="T668" s="4" t="n">
        <v>0</v>
      </c>
      <c r="U668" s="4" t="n">
        <v>0</v>
      </c>
      <c r="V668" s="4" t="n">
        <v>0</v>
      </c>
      <c r="W668" s="4" t="n">
        <v>0</v>
      </c>
      <c r="X668" s="4" t="n">
        <v>0</v>
      </c>
      <c r="Y668" s="4" t="n">
        <v>0</v>
      </c>
      <c r="Z668" s="4" t="n">
        <v>0</v>
      </c>
      <c r="AA668" s="4" t="n">
        <v>0</v>
      </c>
      <c r="AB668" s="4">
        <f>SUM(Q668:Y668)-Z668</f>
        <v/>
      </c>
      <c r="AC668" s="4">
        <f>IF(I668="","",IF(OR(LEFT(I668,3)="BKK",I668="LCH55"),"BKK",IF(LEFT(I668,3)="LCH","LCH","OTHER")))</f>
        <v/>
      </c>
      <c r="AD668" s="4">
        <f>MAX(0,Q668-MAX(0,Z668))</f>
        <v/>
      </c>
      <c r="AE668" s="4">
        <f>MAX(0,R668-MAX(0,Z668-SUM(Q668:Q668)))</f>
        <v/>
      </c>
      <c r="AF668" s="4">
        <f>MAX(0,S668-MAX(0,Z668-SUM(Q668:R668)))</f>
        <v/>
      </c>
      <c r="AG668" s="4">
        <f>MAX(0,T668-MAX(0,Z668-SUM(Q668:S668)))</f>
        <v/>
      </c>
      <c r="AH668" s="4">
        <f>MAX(0,U668-MAX(0,Z668-SUM(Q668:T668)))</f>
        <v/>
      </c>
      <c r="AI668" s="4">
        <f>MAX(0,V668-MAX(0,Z668-SUM(Q668:U668)))</f>
        <v/>
      </c>
      <c r="AJ668" s="4">
        <f>MAX(0,W668-MAX(0,Z668-SUM(Q668:V668)))</f>
        <v/>
      </c>
      <c r="AK668" s="4">
        <f>MAX(0,X668-MAX(0,Z668-SUM(Q668:W668)))</f>
        <v/>
      </c>
      <c r="AL668" s="4">
        <f>MAX(0,Y668-MAX(0,Z668-SUM(Q668:X668)))</f>
        <v/>
      </c>
    </row>
    <row r="669">
      <c r="A669" s="4" t="inlineStr">
        <is>
          <t>HASLS22260901417</t>
        </is>
      </c>
      <c r="B669" s="4" t="inlineStr">
        <is>
          <t>KXM</t>
        </is>
      </c>
      <c r="C669" s="4" t="inlineStr">
        <is>
          <t>2608S</t>
        </is>
      </c>
      <c r="D669" s="4" t="inlineStr">
        <is>
          <t>202610100500</t>
        </is>
      </c>
      <c r="E669" s="4" t="inlineStr"/>
      <c r="F669" s="4" t="inlineStr">
        <is>
          <t>THLCH</t>
        </is>
      </c>
      <c r="G669" s="4" t="inlineStr">
        <is>
          <t>IDJKT</t>
        </is>
      </c>
      <c r="H669" s="4" t="inlineStr">
        <is>
          <t xml:space="preserve">40Hx1 </t>
        </is>
      </c>
      <c r="I669" s="4" t="inlineStr">
        <is>
          <t>LCHY5</t>
        </is>
      </c>
      <c r="J669" s="4" t="inlineStr">
        <is>
          <t>PW DEPOT CO., LTD.</t>
        </is>
      </c>
      <c r="K669" s="4" t="inlineStr">
        <is>
          <t>20260910</t>
        </is>
      </c>
      <c r="L669" s="4" t="inlineStr">
        <is>
          <t>FM GLOBAL LOGISTICS CO., LTD.</t>
        </is>
      </c>
      <c r="M669" s="4" t="inlineStr">
        <is>
          <t>CCL LABEL (THAI) LTD.</t>
        </is>
      </c>
      <c r="N669" s="4" t="inlineStr">
        <is>
          <t>STICKER LABEL</t>
        </is>
      </c>
      <c r="O669" s="4" t="inlineStr">
        <is>
          <t>GOOD AND CLEAN CONTAINER</t>
        </is>
      </c>
      <c r="P669" s="4" t="inlineStr">
        <is>
          <t>Pickup : 2026-09-10, Return : 2026-09-10</t>
        </is>
      </c>
      <c r="Q669" s="4" t="n">
        <v>0</v>
      </c>
      <c r="R669" s="4" t="n">
        <v>0</v>
      </c>
      <c r="S669" s="4" t="n">
        <v>1</v>
      </c>
      <c r="T669" s="4" t="n">
        <v>0</v>
      </c>
      <c r="U669" s="4" t="n">
        <v>0</v>
      </c>
      <c r="V669" s="4" t="n">
        <v>0</v>
      </c>
      <c r="W669" s="4" t="n">
        <v>0</v>
      </c>
      <c r="X669" s="4" t="n">
        <v>0</v>
      </c>
      <c r="Y669" s="4" t="n">
        <v>0</v>
      </c>
      <c r="Z669" s="4" t="n">
        <v>0</v>
      </c>
      <c r="AA669" s="4" t="n">
        <v>0</v>
      </c>
      <c r="AB669" s="4">
        <f>SUM(Q669:Y669)-Z669</f>
        <v/>
      </c>
      <c r="AC669" s="4">
        <f>IF(I669="","",IF(OR(LEFT(I669,3)="BKK",I669="LCH55"),"BKK",IF(LEFT(I669,3)="LCH","LCH","OTHER")))</f>
        <v/>
      </c>
      <c r="AD669" s="4">
        <f>MAX(0,Q669-MAX(0,Z669))</f>
        <v/>
      </c>
      <c r="AE669" s="4">
        <f>MAX(0,R669-MAX(0,Z669-SUM(Q669:Q669)))</f>
        <v/>
      </c>
      <c r="AF669" s="4">
        <f>MAX(0,S669-MAX(0,Z669-SUM(Q669:R669)))</f>
        <v/>
      </c>
      <c r="AG669" s="4">
        <f>MAX(0,T669-MAX(0,Z669-SUM(Q669:S669)))</f>
        <v/>
      </c>
      <c r="AH669" s="4">
        <f>MAX(0,U669-MAX(0,Z669-SUM(Q669:T669)))</f>
        <v/>
      </c>
      <c r="AI669" s="4">
        <f>MAX(0,V669-MAX(0,Z669-SUM(Q669:U669)))</f>
        <v/>
      </c>
      <c r="AJ669" s="4">
        <f>MAX(0,W669-MAX(0,Z669-SUM(Q669:V669)))</f>
        <v/>
      </c>
      <c r="AK669" s="4">
        <f>MAX(0,X669-MAX(0,Z669-SUM(Q669:W669)))</f>
        <v/>
      </c>
      <c r="AL669" s="4">
        <f>MAX(0,Y669-MAX(0,Z669-SUM(Q669:X669)))</f>
        <v/>
      </c>
    </row>
    <row r="670">
      <c r="A670" s="4" t="inlineStr">
        <is>
          <t>HASLS22260901430</t>
        </is>
      </c>
      <c r="B670" s="4" t="inlineStr">
        <is>
          <t>SWBT</t>
        </is>
      </c>
      <c r="C670" s="4" t="inlineStr">
        <is>
          <t>2616N</t>
        </is>
      </c>
      <c r="D670" s="4" t="inlineStr">
        <is>
          <t>202610140000</t>
        </is>
      </c>
      <c r="E670" s="4" t="inlineStr"/>
      <c r="F670" s="4" t="inlineStr">
        <is>
          <t>THLCH</t>
        </is>
      </c>
      <c r="G670" s="4" t="inlineStr">
        <is>
          <t>KRKAN</t>
        </is>
      </c>
      <c r="H670" s="4" t="inlineStr">
        <is>
          <t xml:space="preserve">20'x3 </t>
        </is>
      </c>
      <c r="I670" s="4" t="inlineStr">
        <is>
          <t>LCHY5</t>
        </is>
      </c>
      <c r="J670" s="4" t="inlineStr">
        <is>
          <t>PW DEPOT CO., LTD.</t>
        </is>
      </c>
      <c r="K670" s="4" t="inlineStr">
        <is>
          <t>20261006</t>
        </is>
      </c>
      <c r="L670" s="4" t="inlineStr">
        <is>
          <t>PANAKOR LOGISTICS CO.,LTD</t>
        </is>
      </c>
      <c r="M670" s="4" t="inlineStr">
        <is>
          <t>MIKI (THAILAND) LTD.</t>
        </is>
      </c>
      <c r="N670" s="4" t="inlineStr">
        <is>
          <t>SAIVINOL</t>
        </is>
      </c>
      <c r="O670" s="4" t="inlineStr">
        <is>
          <t>** APPROVAL IN SYSTEM DD.17/09/2026 ** DG22GPx3 (CLS 3 / UN 1133)</t>
        </is>
      </c>
      <c r="P670" s="4" t="inlineStr">
        <is>
          <t xml:space="preserve">** APPROVAL IN SYSTEM DD.17/09/2026 ** DG22GPx3 (CLS 3 / UN 1133) 
Pickup : 2026-10-06, Return @JWD : 2026-10-08    </t>
        </is>
      </c>
      <c r="Q670" s="4" t="n">
        <v>3</v>
      </c>
      <c r="R670" s="4" t="n">
        <v>0</v>
      </c>
      <c r="S670" s="4" t="n">
        <v>0</v>
      </c>
      <c r="T670" s="4" t="n">
        <v>0</v>
      </c>
      <c r="U670" s="4" t="n">
        <v>0</v>
      </c>
      <c r="V670" s="4" t="n">
        <v>0</v>
      </c>
      <c r="W670" s="4" t="n">
        <v>0</v>
      </c>
      <c r="X670" s="4" t="n">
        <v>0</v>
      </c>
      <c r="Y670" s="4" t="n">
        <v>0</v>
      </c>
      <c r="Z670" s="4" t="n">
        <v>0</v>
      </c>
      <c r="AA670" s="4" t="n">
        <v>0</v>
      </c>
      <c r="AB670" s="4">
        <f>SUM(Q670:Y670)-Z670</f>
        <v/>
      </c>
      <c r="AC670" s="4">
        <f>IF(I670="","",IF(OR(LEFT(I670,3)="BKK",I670="LCH55"),"BKK",IF(LEFT(I670,3)="LCH","LCH","OTHER")))</f>
        <v/>
      </c>
      <c r="AD670" s="4">
        <f>MAX(0,Q670-MAX(0,Z670))</f>
        <v/>
      </c>
      <c r="AE670" s="4">
        <f>MAX(0,R670-MAX(0,Z670-SUM(Q670:Q670)))</f>
        <v/>
      </c>
      <c r="AF670" s="4">
        <f>MAX(0,S670-MAX(0,Z670-SUM(Q670:R670)))</f>
        <v/>
      </c>
      <c r="AG670" s="4">
        <f>MAX(0,T670-MAX(0,Z670-SUM(Q670:S670)))</f>
        <v/>
      </c>
      <c r="AH670" s="4">
        <f>MAX(0,U670-MAX(0,Z670-SUM(Q670:T670)))</f>
        <v/>
      </c>
      <c r="AI670" s="4">
        <f>MAX(0,V670-MAX(0,Z670-SUM(Q670:U670)))</f>
        <v/>
      </c>
      <c r="AJ670" s="4">
        <f>MAX(0,W670-MAX(0,Z670-SUM(Q670:V670)))</f>
        <v/>
      </c>
      <c r="AK670" s="4">
        <f>MAX(0,X670-MAX(0,Z670-SUM(Q670:W670)))</f>
        <v/>
      </c>
      <c r="AL670" s="4">
        <f>MAX(0,Y670-MAX(0,Z670-SUM(Q670:X670)))</f>
        <v/>
      </c>
    </row>
    <row r="671">
      <c r="A671" s="4" t="inlineStr">
        <is>
          <t>HASLS22260901439</t>
        </is>
      </c>
      <c r="B671" s="4" t="inlineStr">
        <is>
          <t>KXM</t>
        </is>
      </c>
      <c r="C671" s="4" t="inlineStr">
        <is>
          <t>2608S</t>
        </is>
      </c>
      <c r="D671" s="4" t="inlineStr">
        <is>
          <t>202610100500</t>
        </is>
      </c>
      <c r="E671" s="4" t="inlineStr"/>
      <c r="F671" s="4" t="inlineStr">
        <is>
          <t>THLCH</t>
        </is>
      </c>
      <c r="G671" s="4" t="inlineStr">
        <is>
          <t>IDJKT</t>
        </is>
      </c>
      <c r="H671" s="4" t="inlineStr">
        <is>
          <t xml:space="preserve">40Hx1 </t>
        </is>
      </c>
      <c r="I671" s="4" t="inlineStr">
        <is>
          <t>LCHY5</t>
        </is>
      </c>
      <c r="J671" s="4" t="inlineStr">
        <is>
          <t>PW DEPOT CO., LTD.</t>
        </is>
      </c>
      <c r="K671" s="4" t="inlineStr">
        <is>
          <t>20261007</t>
        </is>
      </c>
      <c r="L671" s="4" t="inlineStr">
        <is>
          <t>COMPREHENSIVE CARGO MANAGEMENT LTD.</t>
        </is>
      </c>
      <c r="M671" s="4" t="inlineStr">
        <is>
          <t>CHAIYA SUWANNABHUM CO.,LTD.</t>
        </is>
      </c>
      <c r="N671" s="4" t="inlineStr">
        <is>
          <t>WOOD POWDER FOR MAKING INCENSE STICK</t>
        </is>
      </c>
      <c r="O671" s="4" t="inlineStr">
        <is>
          <t>GOOD AND CLEAN CONTAINER</t>
        </is>
      </c>
      <c r="P671" s="4" t="inlineStr">
        <is>
          <t>Pickup : 2026-10-07, Return : 2026-10-08</t>
        </is>
      </c>
      <c r="Q671" s="4" t="n">
        <v>0</v>
      </c>
      <c r="R671" s="4" t="n">
        <v>0</v>
      </c>
      <c r="S671" s="4" t="n">
        <v>1</v>
      </c>
      <c r="T671" s="4" t="n">
        <v>0</v>
      </c>
      <c r="U671" s="4" t="n">
        <v>0</v>
      </c>
      <c r="V671" s="4" t="n">
        <v>0</v>
      </c>
      <c r="W671" s="4" t="n">
        <v>0</v>
      </c>
      <c r="X671" s="4" t="n">
        <v>0</v>
      </c>
      <c r="Y671" s="4" t="n">
        <v>0</v>
      </c>
      <c r="Z671" s="4" t="n">
        <v>0</v>
      </c>
      <c r="AA671" s="4" t="n">
        <v>0</v>
      </c>
      <c r="AB671" s="4">
        <f>SUM(Q671:Y671)-Z671</f>
        <v/>
      </c>
      <c r="AC671" s="4">
        <f>IF(I671="","",IF(OR(LEFT(I671,3)="BKK",I671="LCH55"),"BKK",IF(LEFT(I671,3)="LCH","LCH","OTHER")))</f>
        <v/>
      </c>
      <c r="AD671" s="4">
        <f>MAX(0,Q671-MAX(0,Z671))</f>
        <v/>
      </c>
      <c r="AE671" s="4">
        <f>MAX(0,R671-MAX(0,Z671-SUM(Q671:Q671)))</f>
        <v/>
      </c>
      <c r="AF671" s="4">
        <f>MAX(0,S671-MAX(0,Z671-SUM(Q671:R671)))</f>
        <v/>
      </c>
      <c r="AG671" s="4">
        <f>MAX(0,T671-MAX(0,Z671-SUM(Q671:S671)))</f>
        <v/>
      </c>
      <c r="AH671" s="4">
        <f>MAX(0,U671-MAX(0,Z671-SUM(Q671:T671)))</f>
        <v/>
      </c>
      <c r="AI671" s="4">
        <f>MAX(0,V671-MAX(0,Z671-SUM(Q671:U671)))</f>
        <v/>
      </c>
      <c r="AJ671" s="4">
        <f>MAX(0,W671-MAX(0,Z671-SUM(Q671:V671)))</f>
        <v/>
      </c>
      <c r="AK671" s="4">
        <f>MAX(0,X671-MAX(0,Z671-SUM(Q671:W671)))</f>
        <v/>
      </c>
      <c r="AL671" s="4">
        <f>MAX(0,Y671-MAX(0,Z671-SUM(Q671:X671)))</f>
        <v/>
      </c>
    </row>
    <row r="672">
      <c r="A672" s="4" t="inlineStr">
        <is>
          <t>HASLS22260901455</t>
        </is>
      </c>
      <c r="B672" s="4" t="inlineStr">
        <is>
          <t>PCCP</t>
        </is>
      </c>
      <c r="C672" s="4" t="inlineStr">
        <is>
          <t>2610N</t>
        </is>
      </c>
      <c r="D672" s="4" t="inlineStr">
        <is>
          <t>202610120600</t>
        </is>
      </c>
      <c r="E672" s="4" t="inlineStr"/>
      <c r="F672" s="4" t="inlineStr">
        <is>
          <t>THLCH</t>
        </is>
      </c>
      <c r="G672" s="4" t="inlineStr">
        <is>
          <t>VNSGN</t>
        </is>
      </c>
      <c r="H672" s="4" t="inlineStr">
        <is>
          <t xml:space="preserve">20'x1 </t>
        </is>
      </c>
      <c r="I672" s="4" t="inlineStr">
        <is>
          <t>LCHY5</t>
        </is>
      </c>
      <c r="J672" s="4" t="inlineStr">
        <is>
          <t>PW DEPOT CO., LTD.</t>
        </is>
      </c>
      <c r="K672" s="4" t="inlineStr">
        <is>
          <t>20261005</t>
        </is>
      </c>
      <c r="L672" s="4" t="inlineStr">
        <is>
          <t>UBE CHEMICALS (ASIA) PUBLIC COMPANY LIMITED</t>
        </is>
      </c>
      <c r="M672" s="4" t="inlineStr">
        <is>
          <t>THAI SYNTHETIC RUBBERS CO., LTD.</t>
        </is>
      </c>
      <c r="N672" s="4" t="inlineStr">
        <is>
          <t xml:space="preserve">Polybutadiene Rubber </t>
        </is>
      </c>
      <c r="O672" s="4" t="inlineStr">
        <is>
          <t>RQST GOOD CONDITION : GRADE B+</t>
        </is>
      </c>
      <c r="P672" s="4" t="inlineStr">
        <is>
          <t>CY-RTN : 05-09/10/2026 *REF : ID-TBA1001(BR-26067)*
RQST GOOD CONDITION : GRADE B+</t>
        </is>
      </c>
      <c r="Q672" s="4" t="n">
        <v>1</v>
      </c>
      <c r="R672" s="4" t="n">
        <v>0</v>
      </c>
      <c r="S672" s="4" t="n">
        <v>0</v>
      </c>
      <c r="T672" s="4" t="n">
        <v>0</v>
      </c>
      <c r="U672" s="4" t="n">
        <v>0</v>
      </c>
      <c r="V672" s="4" t="n">
        <v>0</v>
      </c>
      <c r="W672" s="4" t="n">
        <v>0</v>
      </c>
      <c r="X672" s="4" t="n">
        <v>0</v>
      </c>
      <c r="Y672" s="4" t="n">
        <v>0</v>
      </c>
      <c r="Z672" s="4" t="n">
        <v>0</v>
      </c>
      <c r="AA672" s="4" t="n">
        <v>0</v>
      </c>
      <c r="AB672" s="4">
        <f>SUM(Q672:Y672)-Z672</f>
        <v/>
      </c>
      <c r="AC672" s="4">
        <f>IF(I672="","",IF(OR(LEFT(I672,3)="BKK",I672="LCH55"),"BKK",IF(LEFT(I672,3)="LCH","LCH","OTHER")))</f>
        <v/>
      </c>
      <c r="AD672" s="4">
        <f>MAX(0,Q672-MAX(0,Z672))</f>
        <v/>
      </c>
      <c r="AE672" s="4">
        <f>MAX(0,R672-MAX(0,Z672-SUM(Q672:Q672)))</f>
        <v/>
      </c>
      <c r="AF672" s="4">
        <f>MAX(0,S672-MAX(0,Z672-SUM(Q672:R672)))</f>
        <v/>
      </c>
      <c r="AG672" s="4">
        <f>MAX(0,T672-MAX(0,Z672-SUM(Q672:S672)))</f>
        <v/>
      </c>
      <c r="AH672" s="4">
        <f>MAX(0,U672-MAX(0,Z672-SUM(Q672:T672)))</f>
        <v/>
      </c>
      <c r="AI672" s="4">
        <f>MAX(0,V672-MAX(0,Z672-SUM(Q672:U672)))</f>
        <v/>
      </c>
      <c r="AJ672" s="4">
        <f>MAX(0,W672-MAX(0,Z672-SUM(Q672:V672)))</f>
        <v/>
      </c>
      <c r="AK672" s="4">
        <f>MAX(0,X672-MAX(0,Z672-SUM(Q672:W672)))</f>
        <v/>
      </c>
      <c r="AL672" s="4">
        <f>MAX(0,Y672-MAX(0,Z672-SUM(Q672:X672)))</f>
        <v/>
      </c>
    </row>
    <row r="673">
      <c r="A673" s="4" t="inlineStr">
        <is>
          <t>HASLS22260901456</t>
        </is>
      </c>
      <c r="B673" s="4" t="inlineStr">
        <is>
          <t>SWMM</t>
        </is>
      </c>
      <c r="C673" s="4" t="inlineStr">
        <is>
          <t>2610N</t>
        </is>
      </c>
      <c r="D673" s="4" t="inlineStr">
        <is>
          <t>202610212100</t>
        </is>
      </c>
      <c r="E673" s="4" t="inlineStr"/>
      <c r="F673" s="4" t="inlineStr">
        <is>
          <t>THLCH</t>
        </is>
      </c>
      <c r="G673" s="4" t="inlineStr">
        <is>
          <t>VNSGN</t>
        </is>
      </c>
      <c r="H673" s="4" t="inlineStr">
        <is>
          <t xml:space="preserve">20'x1 </t>
        </is>
      </c>
      <c r="I673" s="4" t="inlineStr">
        <is>
          <t>LCHY5</t>
        </is>
      </c>
      <c r="J673" s="4" t="inlineStr">
        <is>
          <t>PW DEPOT CO., LTD.</t>
        </is>
      </c>
      <c r="K673" s="4" t="inlineStr">
        <is>
          <t>20261015</t>
        </is>
      </c>
      <c r="L673" s="4" t="inlineStr">
        <is>
          <t>UBE CHEMICALS (ASIA) PUBLIC COMPANY LIMITED</t>
        </is>
      </c>
      <c r="M673" s="4" t="inlineStr">
        <is>
          <t>THAI SYNTHETIC RUBBERS CO., LTD.</t>
        </is>
      </c>
      <c r="N673" s="4" t="inlineStr">
        <is>
          <t xml:space="preserve">Polybutadiene Rubber </t>
        </is>
      </c>
      <c r="O673" s="4" t="inlineStr">
        <is>
          <t>RQST GOOD CONDITION : GRADE B+</t>
        </is>
      </c>
      <c r="P673" s="4" t="inlineStr">
        <is>
          <t>CY-RTN :15-16/10/2026 *REF : ID-TBA1002(BR-26068)*
RQST GOOD CONDITION : GRADE B+</t>
        </is>
      </c>
      <c r="Q673" s="4" t="n">
        <v>1</v>
      </c>
      <c r="R673" s="4" t="n">
        <v>0</v>
      </c>
      <c r="S673" s="4" t="n">
        <v>0</v>
      </c>
      <c r="T673" s="4" t="n">
        <v>0</v>
      </c>
      <c r="U673" s="4" t="n">
        <v>0</v>
      </c>
      <c r="V673" s="4" t="n">
        <v>0</v>
      </c>
      <c r="W673" s="4" t="n">
        <v>0</v>
      </c>
      <c r="X673" s="4" t="n">
        <v>0</v>
      </c>
      <c r="Y673" s="4" t="n">
        <v>0</v>
      </c>
      <c r="Z673" s="4" t="n">
        <v>0</v>
      </c>
      <c r="AA673" s="4" t="n">
        <v>0</v>
      </c>
      <c r="AB673" s="4">
        <f>SUM(Q673:Y673)-Z673</f>
        <v/>
      </c>
      <c r="AC673" s="4">
        <f>IF(I673="","",IF(OR(LEFT(I673,3)="BKK",I673="LCH55"),"BKK",IF(LEFT(I673,3)="LCH","LCH","OTHER")))</f>
        <v/>
      </c>
      <c r="AD673" s="4">
        <f>MAX(0,Q673-MAX(0,Z673))</f>
        <v/>
      </c>
      <c r="AE673" s="4">
        <f>MAX(0,R673-MAX(0,Z673-SUM(Q673:Q673)))</f>
        <v/>
      </c>
      <c r="AF673" s="4">
        <f>MAX(0,S673-MAX(0,Z673-SUM(Q673:R673)))</f>
        <v/>
      </c>
      <c r="AG673" s="4">
        <f>MAX(0,T673-MAX(0,Z673-SUM(Q673:S673)))</f>
        <v/>
      </c>
      <c r="AH673" s="4">
        <f>MAX(0,U673-MAX(0,Z673-SUM(Q673:T673)))</f>
        <v/>
      </c>
      <c r="AI673" s="4">
        <f>MAX(0,V673-MAX(0,Z673-SUM(Q673:U673)))</f>
        <v/>
      </c>
      <c r="AJ673" s="4">
        <f>MAX(0,W673-MAX(0,Z673-SUM(Q673:V673)))</f>
        <v/>
      </c>
      <c r="AK673" s="4">
        <f>MAX(0,X673-MAX(0,Z673-SUM(Q673:W673)))</f>
        <v/>
      </c>
      <c r="AL673" s="4">
        <f>MAX(0,Y673-MAX(0,Z673-SUM(Q673:X673)))</f>
        <v/>
      </c>
    </row>
    <row r="674">
      <c r="A674" s="4" t="inlineStr">
        <is>
          <t>HASLS22260901462</t>
        </is>
      </c>
      <c r="B674" s="4" t="inlineStr">
        <is>
          <t>SWBT</t>
        </is>
      </c>
      <c r="C674" s="4" t="inlineStr">
        <is>
          <t>2616N</t>
        </is>
      </c>
      <c r="D674" s="4" t="inlineStr">
        <is>
          <t>202610140000</t>
        </is>
      </c>
      <c r="E674" s="4" t="inlineStr"/>
      <c r="F674" s="4" t="inlineStr">
        <is>
          <t>THLCH</t>
        </is>
      </c>
      <c r="G674" s="4" t="inlineStr">
        <is>
          <t>KRPTK</t>
        </is>
      </c>
      <c r="H674" s="4" t="inlineStr">
        <is>
          <t xml:space="preserve">40Hx2 </t>
        </is>
      </c>
      <c r="I674" s="4" t="inlineStr">
        <is>
          <t>LCHY5</t>
        </is>
      </c>
      <c r="J674" s="4" t="inlineStr">
        <is>
          <t>PW DEPOT CO., LTD.</t>
        </is>
      </c>
      <c r="K674" s="4" t="inlineStr">
        <is>
          <t>20261006</t>
        </is>
      </c>
      <c r="L674" s="4" t="inlineStr">
        <is>
          <t>SDS-ACUTECH CO., LTD.</t>
        </is>
      </c>
      <c r="M674" s="4" t="inlineStr">
        <is>
          <t>TPV TECHNOLOGY (THAILAND) CO., LTD.</t>
        </is>
      </c>
      <c r="N674" s="4" t="inlineStr">
        <is>
          <t>MONITOR SCREEN</t>
        </is>
      </c>
      <c r="O674" s="4" t="inlineStr">
        <is>
          <t>GOOD AND CLEAN CONTAINER</t>
        </is>
      </c>
      <c r="P674" s="4" t="inlineStr">
        <is>
          <t>Pickup : 2026-10-06, Return : 2026-10-07
**CHECK OPENGATE BEFORE RETURN CNTR**</t>
        </is>
      </c>
      <c r="Q674" s="4" t="n">
        <v>0</v>
      </c>
      <c r="R674" s="4" t="n">
        <v>0</v>
      </c>
      <c r="S674" s="4" t="n">
        <v>2</v>
      </c>
      <c r="T674" s="4" t="n">
        <v>0</v>
      </c>
      <c r="U674" s="4" t="n">
        <v>0</v>
      </c>
      <c r="V674" s="4" t="n">
        <v>0</v>
      </c>
      <c r="W674" s="4" t="n">
        <v>0</v>
      </c>
      <c r="X674" s="4" t="n">
        <v>0</v>
      </c>
      <c r="Y674" s="4" t="n">
        <v>0</v>
      </c>
      <c r="Z674" s="4" t="n">
        <v>0</v>
      </c>
      <c r="AA674" s="4" t="n">
        <v>0</v>
      </c>
      <c r="AB674" s="4">
        <f>SUM(Q674:Y674)-Z674</f>
        <v/>
      </c>
      <c r="AC674" s="4">
        <f>IF(I674="","",IF(OR(LEFT(I674,3)="BKK",I674="LCH55"),"BKK",IF(LEFT(I674,3)="LCH","LCH","OTHER")))</f>
        <v/>
      </c>
      <c r="AD674" s="4">
        <f>MAX(0,Q674-MAX(0,Z674))</f>
        <v/>
      </c>
      <c r="AE674" s="4">
        <f>MAX(0,R674-MAX(0,Z674-SUM(Q674:Q674)))</f>
        <v/>
      </c>
      <c r="AF674" s="4">
        <f>MAX(0,S674-MAX(0,Z674-SUM(Q674:R674)))</f>
        <v/>
      </c>
      <c r="AG674" s="4">
        <f>MAX(0,T674-MAX(0,Z674-SUM(Q674:S674)))</f>
        <v/>
      </c>
      <c r="AH674" s="4">
        <f>MAX(0,U674-MAX(0,Z674-SUM(Q674:T674)))</f>
        <v/>
      </c>
      <c r="AI674" s="4">
        <f>MAX(0,V674-MAX(0,Z674-SUM(Q674:U674)))</f>
        <v/>
      </c>
      <c r="AJ674" s="4">
        <f>MAX(0,W674-MAX(0,Z674-SUM(Q674:V674)))</f>
        <v/>
      </c>
      <c r="AK674" s="4">
        <f>MAX(0,X674-MAX(0,Z674-SUM(Q674:W674)))</f>
        <v/>
      </c>
      <c r="AL674" s="4">
        <f>MAX(0,Y674-MAX(0,Z674-SUM(Q674:X674)))</f>
        <v/>
      </c>
    </row>
    <row r="675">
      <c r="A675" s="4" t="inlineStr">
        <is>
          <t>HASLS22260901481</t>
        </is>
      </c>
      <c r="B675" s="4" t="inlineStr">
        <is>
          <t>SWDN</t>
        </is>
      </c>
      <c r="C675" s="4" t="inlineStr">
        <is>
          <t>2610N</t>
        </is>
      </c>
      <c r="D675" s="4" t="inlineStr">
        <is>
          <t>202610070300</t>
        </is>
      </c>
      <c r="E675" s="4" t="inlineStr"/>
      <c r="F675" s="4" t="inlineStr">
        <is>
          <t>THLCH</t>
        </is>
      </c>
      <c r="G675" s="4" t="inlineStr">
        <is>
          <t>HKHKG</t>
        </is>
      </c>
      <c r="H675" s="4" t="inlineStr">
        <is>
          <t xml:space="preserve">20'x3 </t>
        </is>
      </c>
      <c r="I675" s="4" t="inlineStr">
        <is>
          <t>LCHY5</t>
        </is>
      </c>
      <c r="J675" s="4" t="inlineStr">
        <is>
          <t>PW DEPOT CO., LTD.</t>
        </is>
      </c>
      <c r="K675" s="4" t="inlineStr">
        <is>
          <t>20260924</t>
        </is>
      </c>
      <c r="L675" s="4" t="inlineStr">
        <is>
          <t>SS EXCELLENT NETWORK CO.,LTD</t>
        </is>
      </c>
      <c r="M675" s="4" t="inlineStr">
        <is>
          <t>SS EXCELLENT NETWORK CO.,LTD</t>
        </is>
      </c>
      <c r="N675" s="4" t="inlineStr">
        <is>
          <t>COPPER INGOT</t>
        </is>
      </c>
      <c r="O675" s="4" t="inlineStr">
        <is>
          <t>RQST CONTAINER 30 TONS</t>
        </is>
      </c>
      <c r="P675" s="4" t="inlineStr">
        <is>
          <t xml:space="preserve">Pickup : 2026-09-24, Return : 2026-09-25 (1ST RTN 29/09 W/O RENT) 
 ** PLEASE CHECK OPEN GATE BEFORE RETURN CNTR **
</t>
        </is>
      </c>
      <c r="Q675" s="4" t="n">
        <v>3</v>
      </c>
      <c r="R675" s="4" t="n">
        <v>0</v>
      </c>
      <c r="S675" s="4" t="n">
        <v>0</v>
      </c>
      <c r="T675" s="4" t="n">
        <v>0</v>
      </c>
      <c r="U675" s="4" t="n">
        <v>0</v>
      </c>
      <c r="V675" s="4" t="n">
        <v>0</v>
      </c>
      <c r="W675" s="4" t="n">
        <v>0</v>
      </c>
      <c r="X675" s="4" t="n">
        <v>0</v>
      </c>
      <c r="Y675" s="4" t="n">
        <v>0</v>
      </c>
      <c r="Z675" s="4" t="n">
        <v>0</v>
      </c>
      <c r="AA675" s="4" t="n">
        <v>0</v>
      </c>
      <c r="AB675" s="4">
        <f>SUM(Q675:Y675)-Z675</f>
        <v/>
      </c>
      <c r="AC675" s="4">
        <f>IF(I675="","",IF(OR(LEFT(I675,3)="BKK",I675="LCH55"),"BKK",IF(LEFT(I675,3)="LCH","LCH","OTHER")))</f>
        <v/>
      </c>
      <c r="AD675" s="4">
        <f>MAX(0,Q675-MAX(0,Z675))</f>
        <v/>
      </c>
      <c r="AE675" s="4">
        <f>MAX(0,R675-MAX(0,Z675-SUM(Q675:Q675)))</f>
        <v/>
      </c>
      <c r="AF675" s="4">
        <f>MAX(0,S675-MAX(0,Z675-SUM(Q675:R675)))</f>
        <v/>
      </c>
      <c r="AG675" s="4">
        <f>MAX(0,T675-MAX(0,Z675-SUM(Q675:S675)))</f>
        <v/>
      </c>
      <c r="AH675" s="4">
        <f>MAX(0,U675-MAX(0,Z675-SUM(Q675:T675)))</f>
        <v/>
      </c>
      <c r="AI675" s="4">
        <f>MAX(0,V675-MAX(0,Z675-SUM(Q675:U675)))</f>
        <v/>
      </c>
      <c r="AJ675" s="4">
        <f>MAX(0,W675-MAX(0,Z675-SUM(Q675:V675)))</f>
        <v/>
      </c>
      <c r="AK675" s="4">
        <f>MAX(0,X675-MAX(0,Z675-SUM(Q675:W675)))</f>
        <v/>
      </c>
      <c r="AL675" s="4">
        <f>MAX(0,Y675-MAX(0,Z675-SUM(Q675:X675)))</f>
        <v/>
      </c>
    </row>
    <row r="676">
      <c r="A676" s="4" t="inlineStr">
        <is>
          <t>HASLS22260901483</t>
        </is>
      </c>
      <c r="B676" s="4" t="inlineStr">
        <is>
          <t>SWDN</t>
        </is>
      </c>
      <c r="C676" s="4" t="inlineStr">
        <is>
          <t>2610N</t>
        </is>
      </c>
      <c r="D676" s="4" t="inlineStr">
        <is>
          <t>202610070300</t>
        </is>
      </c>
      <c r="E676" s="4" t="inlineStr"/>
      <c r="F676" s="4" t="inlineStr">
        <is>
          <t>THLCH</t>
        </is>
      </c>
      <c r="G676" s="4" t="inlineStr">
        <is>
          <t>HKHKG</t>
        </is>
      </c>
      <c r="H676" s="4" t="inlineStr">
        <is>
          <t xml:space="preserve">40Hx5 </t>
        </is>
      </c>
      <c r="I676" s="4" t="inlineStr">
        <is>
          <t>LCHY5</t>
        </is>
      </c>
      <c r="J676" s="4" t="inlineStr">
        <is>
          <t>PW DEPOT CO., LTD.</t>
        </is>
      </c>
      <c r="K676" s="4" t="inlineStr">
        <is>
          <t>20260924</t>
        </is>
      </c>
      <c r="L676" s="4" t="inlineStr">
        <is>
          <t>SS EXCELLENT NETWORK CO.,LTD</t>
        </is>
      </c>
      <c r="M676" s="4" t="inlineStr">
        <is>
          <t>SS EXCELLENT NETWORK CO.,LTD</t>
        </is>
      </c>
      <c r="N676" s="4" t="inlineStr">
        <is>
          <t>COPPER INGOT</t>
        </is>
      </c>
      <c r="O676" s="4" t="inlineStr">
        <is>
          <t>RQST CONTAINER 32.5 TONS.</t>
        </is>
      </c>
      <c r="P676" s="4" t="inlineStr">
        <is>
          <t xml:space="preserve">Pickup : 2026-09-24, Return : 2026-09-25 (1ST RTN 27/09 W/O RENT) 
 ** PLEASE CHECK OPEN GATE BEFORE RETURN CNTR **
</t>
        </is>
      </c>
      <c r="Q676" s="4" t="n">
        <v>0</v>
      </c>
      <c r="R676" s="4" t="n">
        <v>0</v>
      </c>
      <c r="S676" s="4" t="n">
        <v>5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>
        <f>SUM(Q676:Y676)-Z676</f>
        <v/>
      </c>
      <c r="AC676" s="4">
        <f>IF(I676="","",IF(OR(LEFT(I676,3)="BKK",I676="LCH55"),"BKK",IF(LEFT(I676,3)="LCH","LCH","OTHER")))</f>
        <v/>
      </c>
      <c r="AD676" s="4">
        <f>MAX(0,Q676-MAX(0,Z676))</f>
        <v/>
      </c>
      <c r="AE676" s="4">
        <f>MAX(0,R676-MAX(0,Z676-SUM(Q676:Q676)))</f>
        <v/>
      </c>
      <c r="AF676" s="4">
        <f>MAX(0,S676-MAX(0,Z676-SUM(Q676:R676)))</f>
        <v/>
      </c>
      <c r="AG676" s="4">
        <f>MAX(0,T676-MAX(0,Z676-SUM(Q676:S676)))</f>
        <v/>
      </c>
      <c r="AH676" s="4">
        <f>MAX(0,U676-MAX(0,Z676-SUM(Q676:T676)))</f>
        <v/>
      </c>
      <c r="AI676" s="4">
        <f>MAX(0,V676-MAX(0,Z676-SUM(Q676:U676)))</f>
        <v/>
      </c>
      <c r="AJ676" s="4">
        <f>MAX(0,W676-MAX(0,Z676-SUM(Q676:V676)))</f>
        <v/>
      </c>
      <c r="AK676" s="4">
        <f>MAX(0,X676-MAX(0,Z676-SUM(Q676:W676)))</f>
        <v/>
      </c>
      <c r="AL676" s="4">
        <f>MAX(0,Y676-MAX(0,Z676-SUM(Q676:X676)))</f>
        <v/>
      </c>
    </row>
    <row r="677">
      <c r="A677" s="4" t="inlineStr">
        <is>
          <t>HASLS22260901484</t>
        </is>
      </c>
      <c r="B677" s="4" t="inlineStr">
        <is>
          <t>SWAT</t>
        </is>
      </c>
      <c r="C677" s="4" t="inlineStr">
        <is>
          <t>2610N</t>
        </is>
      </c>
      <c r="D677" s="4" t="inlineStr">
        <is>
          <t>202610081000</t>
        </is>
      </c>
      <c r="E677" s="4" t="inlineStr"/>
      <c r="F677" s="4" t="inlineStr">
        <is>
          <t>THLCH</t>
        </is>
      </c>
      <c r="G677" s="4" t="inlineStr">
        <is>
          <t>HKHKG</t>
        </is>
      </c>
      <c r="H677" s="4" t="inlineStr">
        <is>
          <t xml:space="preserve">20'x5 </t>
        </is>
      </c>
      <c r="I677" s="4" t="inlineStr">
        <is>
          <t>LCHY5</t>
        </is>
      </c>
      <c r="J677" s="4" t="inlineStr">
        <is>
          <t>PW DEPOT CO., LTD.</t>
        </is>
      </c>
      <c r="K677" s="4" t="inlineStr">
        <is>
          <t>20260926</t>
        </is>
      </c>
      <c r="L677" s="4" t="inlineStr">
        <is>
          <t>SS EXCELLENT NETWORK CO.,LTD</t>
        </is>
      </c>
      <c r="M677" s="4" t="inlineStr">
        <is>
          <t>SS EXCELLENT NETWORK CO.,LTD</t>
        </is>
      </c>
      <c r="N677" s="4" t="inlineStr">
        <is>
          <t>COPPER INGOT</t>
        </is>
      </c>
      <c r="O677" s="4" t="inlineStr">
        <is>
          <t>RQST CONTAINER 30 TONS</t>
        </is>
      </c>
      <c r="P677" s="4" t="inlineStr">
        <is>
          <t xml:space="preserve">Pickup : 2026-09-27, Return : 2026-09-28
  ** PLEASE CHECK OPEN GATE BEFORE RETURN CNTR **
</t>
        </is>
      </c>
      <c r="Q677" s="4" t="n">
        <v>5</v>
      </c>
      <c r="R677" s="4" t="n">
        <v>0</v>
      </c>
      <c r="S677" s="4" t="n">
        <v>0</v>
      </c>
      <c r="T677" s="4" t="n">
        <v>0</v>
      </c>
      <c r="U677" s="4" t="n">
        <v>0</v>
      </c>
      <c r="V677" s="4" t="n">
        <v>0</v>
      </c>
      <c r="W677" s="4" t="n">
        <v>0</v>
      </c>
      <c r="X677" s="4" t="n">
        <v>0</v>
      </c>
      <c r="Y677" s="4" t="n">
        <v>0</v>
      </c>
      <c r="Z677" s="4" t="n">
        <v>0</v>
      </c>
      <c r="AA677" s="4" t="n">
        <v>0</v>
      </c>
      <c r="AB677" s="4">
        <f>SUM(Q677:Y677)-Z677</f>
        <v/>
      </c>
      <c r="AC677" s="4">
        <f>IF(I677="","",IF(OR(LEFT(I677,3)="BKK",I677="LCH55"),"BKK",IF(LEFT(I677,3)="LCH","LCH","OTHER")))</f>
        <v/>
      </c>
      <c r="AD677" s="4">
        <f>MAX(0,Q677-MAX(0,Z677))</f>
        <v/>
      </c>
      <c r="AE677" s="4">
        <f>MAX(0,R677-MAX(0,Z677-SUM(Q677:Q677)))</f>
        <v/>
      </c>
      <c r="AF677" s="4">
        <f>MAX(0,S677-MAX(0,Z677-SUM(Q677:R677)))</f>
        <v/>
      </c>
      <c r="AG677" s="4">
        <f>MAX(0,T677-MAX(0,Z677-SUM(Q677:S677)))</f>
        <v/>
      </c>
      <c r="AH677" s="4">
        <f>MAX(0,U677-MAX(0,Z677-SUM(Q677:T677)))</f>
        <v/>
      </c>
      <c r="AI677" s="4">
        <f>MAX(0,V677-MAX(0,Z677-SUM(Q677:U677)))</f>
        <v/>
      </c>
      <c r="AJ677" s="4">
        <f>MAX(0,W677-MAX(0,Z677-SUM(Q677:V677)))</f>
        <v/>
      </c>
      <c r="AK677" s="4">
        <f>MAX(0,X677-MAX(0,Z677-SUM(Q677:W677)))</f>
        <v/>
      </c>
      <c r="AL677" s="4">
        <f>MAX(0,Y677-MAX(0,Z677-SUM(Q677:X677)))</f>
        <v/>
      </c>
    </row>
    <row r="678">
      <c r="A678" s="4" t="inlineStr">
        <is>
          <t>HASLS22260901485</t>
        </is>
      </c>
      <c r="B678" s="4" t="inlineStr">
        <is>
          <t>SWAT</t>
        </is>
      </c>
      <c r="C678" s="4" t="inlineStr">
        <is>
          <t>2610N</t>
        </is>
      </c>
      <c r="D678" s="4" t="inlineStr">
        <is>
          <t>202610081000</t>
        </is>
      </c>
      <c r="E678" s="4" t="inlineStr"/>
      <c r="F678" s="4" t="inlineStr">
        <is>
          <t>THLCH</t>
        </is>
      </c>
      <c r="G678" s="4" t="inlineStr">
        <is>
          <t>HKHKG</t>
        </is>
      </c>
      <c r="H678" s="4" t="inlineStr">
        <is>
          <t xml:space="preserve">40Hx5 </t>
        </is>
      </c>
      <c r="I678" s="4" t="inlineStr">
        <is>
          <t>LCHY5</t>
        </is>
      </c>
      <c r="J678" s="4" t="inlineStr">
        <is>
          <t>PW DEPOT CO., LTD.</t>
        </is>
      </c>
      <c r="K678" s="4" t="inlineStr">
        <is>
          <t>20260926</t>
        </is>
      </c>
      <c r="L678" s="4" t="inlineStr">
        <is>
          <t>SS EXCELLENT NETWORK CO.,LTD</t>
        </is>
      </c>
      <c r="M678" s="4" t="inlineStr">
        <is>
          <t>SS EXCELLENT NETWORK CO.,LTD</t>
        </is>
      </c>
      <c r="N678" s="4" t="inlineStr">
        <is>
          <t>COPPER INGOT</t>
        </is>
      </c>
      <c r="O678" s="4" t="inlineStr">
        <is>
          <t>RQST CONTAINER 32.5 TONS.</t>
        </is>
      </c>
      <c r="P678" s="4" t="inlineStr">
        <is>
          <t xml:space="preserve">Pickup : 2026-09-26, Return : 2026-09-28 
 ** PLEASE CHECK OPEN GATE BEFORE RETURN CNTR **
</t>
        </is>
      </c>
      <c r="Q678" s="4" t="n">
        <v>0</v>
      </c>
      <c r="R678" s="4" t="n">
        <v>0</v>
      </c>
      <c r="S678" s="4" t="n">
        <v>5</v>
      </c>
      <c r="T678" s="4" t="n">
        <v>0</v>
      </c>
      <c r="U678" s="4" t="n">
        <v>0</v>
      </c>
      <c r="V678" s="4" t="n">
        <v>0</v>
      </c>
      <c r="W678" s="4" t="n">
        <v>0</v>
      </c>
      <c r="X678" s="4" t="n">
        <v>0</v>
      </c>
      <c r="Y678" s="4" t="n">
        <v>0</v>
      </c>
      <c r="Z678" s="4" t="n">
        <v>0</v>
      </c>
      <c r="AA678" s="4" t="n">
        <v>0</v>
      </c>
      <c r="AB678" s="4">
        <f>SUM(Q678:Y678)-Z678</f>
        <v/>
      </c>
      <c r="AC678" s="4">
        <f>IF(I678="","",IF(OR(LEFT(I678,3)="BKK",I678="LCH55"),"BKK",IF(LEFT(I678,3)="LCH","LCH","OTHER")))</f>
        <v/>
      </c>
      <c r="AD678" s="4">
        <f>MAX(0,Q678-MAX(0,Z678))</f>
        <v/>
      </c>
      <c r="AE678" s="4">
        <f>MAX(0,R678-MAX(0,Z678-SUM(Q678:Q678)))</f>
        <v/>
      </c>
      <c r="AF678" s="4">
        <f>MAX(0,S678-MAX(0,Z678-SUM(Q678:R678)))</f>
        <v/>
      </c>
      <c r="AG678" s="4">
        <f>MAX(0,T678-MAX(0,Z678-SUM(Q678:S678)))</f>
        <v/>
      </c>
      <c r="AH678" s="4">
        <f>MAX(0,U678-MAX(0,Z678-SUM(Q678:T678)))</f>
        <v/>
      </c>
      <c r="AI678" s="4">
        <f>MAX(0,V678-MAX(0,Z678-SUM(Q678:U678)))</f>
        <v/>
      </c>
      <c r="AJ678" s="4">
        <f>MAX(0,W678-MAX(0,Z678-SUM(Q678:V678)))</f>
        <v/>
      </c>
      <c r="AK678" s="4">
        <f>MAX(0,X678-MAX(0,Z678-SUM(Q678:W678)))</f>
        <v/>
      </c>
      <c r="AL678" s="4">
        <f>MAX(0,Y678-MAX(0,Z678-SUM(Q678:X678)))</f>
        <v/>
      </c>
    </row>
    <row r="679">
      <c r="A679" s="4" t="inlineStr">
        <is>
          <t>HASLS22260901492</t>
        </is>
      </c>
      <c r="B679" s="4" t="inlineStr">
        <is>
          <t>SWRG</t>
        </is>
      </c>
      <c r="C679" s="4" t="inlineStr">
        <is>
          <t>2609N</t>
        </is>
      </c>
      <c r="D679" s="4" t="inlineStr">
        <is>
          <t>202610131130</t>
        </is>
      </c>
      <c r="E679" s="4" t="inlineStr"/>
      <c r="F679" s="4" t="inlineStr">
        <is>
          <t>THLCH</t>
        </is>
      </c>
      <c r="G679" s="4" t="inlineStr">
        <is>
          <t>JPUKB</t>
        </is>
      </c>
      <c r="H679" s="4" t="inlineStr">
        <is>
          <t xml:space="preserve">20'x15 </t>
        </is>
      </c>
      <c r="I679" s="4" t="inlineStr">
        <is>
          <t>LCHY5</t>
        </is>
      </c>
      <c r="J679" s="4" t="inlineStr">
        <is>
          <t>PW DEPOT CO., LTD.</t>
        </is>
      </c>
      <c r="K679" s="4" t="inlineStr">
        <is>
          <t>20260928</t>
        </is>
      </c>
      <c r="L679" s="4" t="inlineStr">
        <is>
          <t>WHA GC LOGISTICS COMPANY LIMITED</t>
        </is>
      </c>
      <c r="M679" s="4" t="inlineStr">
        <is>
          <t>PTT GLOBAL CHEMICAL PUBLIC COMPANY LIMITED</t>
        </is>
      </c>
      <c r="N679" s="4" t="inlineStr">
        <is>
          <t>RESIN</t>
        </is>
      </c>
      <c r="O679" s="4" t="inlineStr">
        <is>
          <t>REQUEST SEA BULK CONTAIER + SURVEY DD.28/09/2026 EMPTY BEFORE PICK UP</t>
        </is>
      </c>
      <c r="P679" s="4" t="inlineStr">
        <is>
          <t xml:space="preserve">SURVEY+CY :28/09/2026 RTN :06/10/2026
REQUEST SEA BULK CONTAIER + SURVEY EMPTY BEFORE PICK UP
</t>
        </is>
      </c>
      <c r="Q679" s="4" t="n">
        <v>15</v>
      </c>
      <c r="R679" s="4" t="n">
        <v>0</v>
      </c>
      <c r="S679" s="4" t="n">
        <v>0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>
        <f>SUM(Q679:Y679)-Z679</f>
        <v/>
      </c>
      <c r="AC679" s="4">
        <f>IF(I679="","",IF(OR(LEFT(I679,3)="BKK",I679="LCH55"),"BKK",IF(LEFT(I679,3)="LCH","LCH","OTHER")))</f>
        <v/>
      </c>
      <c r="AD679" s="4">
        <f>MAX(0,Q679-MAX(0,Z679))</f>
        <v/>
      </c>
      <c r="AE679" s="4">
        <f>MAX(0,R679-MAX(0,Z679-SUM(Q679:Q679)))</f>
        <v/>
      </c>
      <c r="AF679" s="4">
        <f>MAX(0,S679-MAX(0,Z679-SUM(Q679:R679)))</f>
        <v/>
      </c>
      <c r="AG679" s="4">
        <f>MAX(0,T679-MAX(0,Z679-SUM(Q679:S679)))</f>
        <v/>
      </c>
      <c r="AH679" s="4">
        <f>MAX(0,U679-MAX(0,Z679-SUM(Q679:T679)))</f>
        <v/>
      </c>
      <c r="AI679" s="4">
        <f>MAX(0,V679-MAX(0,Z679-SUM(Q679:U679)))</f>
        <v/>
      </c>
      <c r="AJ679" s="4">
        <f>MAX(0,W679-MAX(0,Z679-SUM(Q679:V679)))</f>
        <v/>
      </c>
      <c r="AK679" s="4">
        <f>MAX(0,X679-MAX(0,Z679-SUM(Q679:W679)))</f>
        <v/>
      </c>
      <c r="AL679" s="4">
        <f>MAX(0,Y679-MAX(0,Z679-SUM(Q679:X679)))</f>
        <v/>
      </c>
    </row>
    <row r="680">
      <c r="A680" s="4" t="inlineStr">
        <is>
          <t>HASLS22260901495</t>
        </is>
      </c>
      <c r="B680" s="4" t="inlineStr">
        <is>
          <t>SWIC</t>
        </is>
      </c>
      <c r="C680" s="4" t="inlineStr">
        <is>
          <t>2611N</t>
        </is>
      </c>
      <c r="D680" s="4" t="inlineStr">
        <is>
          <t>202610132300</t>
        </is>
      </c>
      <c r="E680" s="4" t="inlineStr"/>
      <c r="F680" s="4" t="inlineStr">
        <is>
          <t>THLCH</t>
        </is>
      </c>
      <c r="G680" s="4" t="inlineStr">
        <is>
          <t>JPUKB</t>
        </is>
      </c>
      <c r="H680" s="4" t="inlineStr">
        <is>
          <t xml:space="preserve">20'x17 </t>
        </is>
      </c>
      <c r="I680" s="4" t="inlineStr">
        <is>
          <t>LCHY5</t>
        </is>
      </c>
      <c r="J680" s="4" t="inlineStr">
        <is>
          <t>PW DEPOT CO., LTD.</t>
        </is>
      </c>
      <c r="K680" s="4" t="inlineStr">
        <is>
          <t>20260928</t>
        </is>
      </c>
      <c r="L680" s="4" t="inlineStr">
        <is>
          <t>WHA GC LOGISTICS COMPANY LIMITED</t>
        </is>
      </c>
      <c r="M680" s="4" t="inlineStr">
        <is>
          <t>PTT GLOBAL CHEMICAL PUBLIC COMPANY LIMITED</t>
        </is>
      </c>
      <c r="N680" s="4" t="inlineStr">
        <is>
          <t>RESIN</t>
        </is>
      </c>
      <c r="O680" s="4" t="inlineStr">
        <is>
          <t>REQUEST SEA BULK CONTAIER + SURVEY DD.28/09/2026 EMPTY BEFORE PICK UP</t>
        </is>
      </c>
      <c r="P680" s="4" t="inlineStr">
        <is>
          <t xml:space="preserve">SURVEY+CY :28/09/2026 RTN :09/10/2026
REQUEST SEA BULK CONTAIER + SURVEY EMPTY BEFORE PICK UP
</t>
        </is>
      </c>
      <c r="Q680" s="4" t="n">
        <v>17</v>
      </c>
      <c r="R680" s="4" t="n">
        <v>0</v>
      </c>
      <c r="S680" s="4" t="n">
        <v>0</v>
      </c>
      <c r="T680" s="4" t="n">
        <v>0</v>
      </c>
      <c r="U680" s="4" t="n">
        <v>0</v>
      </c>
      <c r="V680" s="4" t="n">
        <v>0</v>
      </c>
      <c r="W680" s="4" t="n">
        <v>0</v>
      </c>
      <c r="X680" s="4" t="n">
        <v>0</v>
      </c>
      <c r="Y680" s="4" t="n">
        <v>0</v>
      </c>
      <c r="Z680" s="4" t="n">
        <v>0</v>
      </c>
      <c r="AA680" s="4" t="n">
        <v>0</v>
      </c>
      <c r="AB680" s="4">
        <f>SUM(Q680:Y680)-Z680</f>
        <v/>
      </c>
      <c r="AC680" s="4">
        <f>IF(I680="","",IF(OR(LEFT(I680,3)="BKK",I680="LCH55"),"BKK",IF(LEFT(I680,3)="LCH","LCH","OTHER")))</f>
        <v/>
      </c>
      <c r="AD680" s="4">
        <f>MAX(0,Q680-MAX(0,Z680))</f>
        <v/>
      </c>
      <c r="AE680" s="4">
        <f>MAX(0,R680-MAX(0,Z680-SUM(Q680:Q680)))</f>
        <v/>
      </c>
      <c r="AF680" s="4">
        <f>MAX(0,S680-MAX(0,Z680-SUM(Q680:R680)))</f>
        <v/>
      </c>
      <c r="AG680" s="4">
        <f>MAX(0,T680-MAX(0,Z680-SUM(Q680:S680)))</f>
        <v/>
      </c>
      <c r="AH680" s="4">
        <f>MAX(0,U680-MAX(0,Z680-SUM(Q680:T680)))</f>
        <v/>
      </c>
      <c r="AI680" s="4">
        <f>MAX(0,V680-MAX(0,Z680-SUM(Q680:U680)))</f>
        <v/>
      </c>
      <c r="AJ680" s="4">
        <f>MAX(0,W680-MAX(0,Z680-SUM(Q680:V680)))</f>
        <v/>
      </c>
      <c r="AK680" s="4">
        <f>MAX(0,X680-MAX(0,Z680-SUM(Q680:W680)))</f>
        <v/>
      </c>
      <c r="AL680" s="4">
        <f>MAX(0,Y680-MAX(0,Z680-SUM(Q680:X680)))</f>
        <v/>
      </c>
    </row>
    <row r="681">
      <c r="A681" s="4" t="inlineStr">
        <is>
          <t>HASLS22260901496</t>
        </is>
      </c>
      <c r="B681" s="4" t="inlineStr">
        <is>
          <t>HMVY</t>
        </is>
      </c>
      <c r="C681" s="4" t="inlineStr">
        <is>
          <t>2609N</t>
        </is>
      </c>
      <c r="D681" s="4" t="inlineStr">
        <is>
          <t>202610200330</t>
        </is>
      </c>
      <c r="E681" s="4" t="inlineStr"/>
      <c r="F681" s="4" t="inlineStr">
        <is>
          <t>THLCH</t>
        </is>
      </c>
      <c r="G681" s="4" t="inlineStr">
        <is>
          <t>JPNGO</t>
        </is>
      </c>
      <c r="H681" s="4" t="inlineStr">
        <is>
          <t xml:space="preserve">20'x13 </t>
        </is>
      </c>
      <c r="I681" s="4" t="inlineStr">
        <is>
          <t>LCHY5</t>
        </is>
      </c>
      <c r="J681" s="4" t="inlineStr">
        <is>
          <t>PW DEPOT CO., LTD.</t>
        </is>
      </c>
      <c r="K681" s="4" t="inlineStr">
        <is>
          <t>20261005</t>
        </is>
      </c>
      <c r="L681" s="4" t="inlineStr">
        <is>
          <t>WHA GC LOGISTICS COMPANY LIMITED</t>
        </is>
      </c>
      <c r="M681" s="4" t="inlineStr">
        <is>
          <t>PTT GLOBAL CHEMICAL PUBLIC COMPANY LIMITED</t>
        </is>
      </c>
      <c r="N681" s="4" t="inlineStr">
        <is>
          <t>RESIN</t>
        </is>
      </c>
      <c r="O681" s="4" t="inlineStr">
        <is>
          <t>REQUEST SEA BULK CONTAIER + SURVEY DD.19/09/2026 EMPTY BEFORE PICK UP</t>
        </is>
      </c>
      <c r="P681" s="4" t="inlineStr">
        <is>
          <t xml:space="preserve">SURVEY+CY :05/10/2026 RTN :10/10/2026
REQUEST SEA BULK CONTAIER + SURVEY EMPTY BEFORE PICK UP
</t>
        </is>
      </c>
      <c r="Q681" s="4" t="n">
        <v>13</v>
      </c>
      <c r="R681" s="4" t="n">
        <v>0</v>
      </c>
      <c r="S681" s="4" t="n">
        <v>0</v>
      </c>
      <c r="T681" s="4" t="n">
        <v>0</v>
      </c>
      <c r="U681" s="4" t="n">
        <v>0</v>
      </c>
      <c r="V681" s="4" t="n">
        <v>0</v>
      </c>
      <c r="W681" s="4" t="n">
        <v>0</v>
      </c>
      <c r="X681" s="4" t="n">
        <v>0</v>
      </c>
      <c r="Y681" s="4" t="n">
        <v>0</v>
      </c>
      <c r="Z681" s="4" t="n">
        <v>0</v>
      </c>
      <c r="AA681" s="4" t="n">
        <v>0</v>
      </c>
      <c r="AB681" s="4">
        <f>SUM(Q681:Y681)-Z681</f>
        <v/>
      </c>
      <c r="AC681" s="4">
        <f>IF(I681="","",IF(OR(LEFT(I681,3)="BKK",I681="LCH55"),"BKK",IF(LEFT(I681,3)="LCH","LCH","OTHER")))</f>
        <v/>
      </c>
      <c r="AD681" s="4">
        <f>MAX(0,Q681-MAX(0,Z681))</f>
        <v/>
      </c>
      <c r="AE681" s="4">
        <f>MAX(0,R681-MAX(0,Z681-SUM(Q681:Q681)))</f>
        <v/>
      </c>
      <c r="AF681" s="4">
        <f>MAX(0,S681-MAX(0,Z681-SUM(Q681:R681)))</f>
        <v/>
      </c>
      <c r="AG681" s="4">
        <f>MAX(0,T681-MAX(0,Z681-SUM(Q681:S681)))</f>
        <v/>
      </c>
      <c r="AH681" s="4">
        <f>MAX(0,U681-MAX(0,Z681-SUM(Q681:T681)))</f>
        <v/>
      </c>
      <c r="AI681" s="4">
        <f>MAX(0,V681-MAX(0,Z681-SUM(Q681:U681)))</f>
        <v/>
      </c>
      <c r="AJ681" s="4">
        <f>MAX(0,W681-MAX(0,Z681-SUM(Q681:V681)))</f>
        <v/>
      </c>
      <c r="AK681" s="4">
        <f>MAX(0,X681-MAX(0,Z681-SUM(Q681:W681)))</f>
        <v/>
      </c>
      <c r="AL681" s="4">
        <f>MAX(0,Y681-MAX(0,Z681-SUM(Q681:X681)))</f>
        <v/>
      </c>
    </row>
    <row r="682">
      <c r="A682" s="4" t="inlineStr">
        <is>
          <t>HASLS22260901519</t>
        </is>
      </c>
      <c r="B682" s="4" t="inlineStr">
        <is>
          <t>SWRG</t>
        </is>
      </c>
      <c r="C682" s="4" t="inlineStr">
        <is>
          <t>2609N</t>
        </is>
      </c>
      <c r="D682" s="4" t="inlineStr">
        <is>
          <t>202610131130</t>
        </is>
      </c>
      <c r="E682" s="4" t="inlineStr"/>
      <c r="F682" s="4" t="inlineStr">
        <is>
          <t>THLCH</t>
        </is>
      </c>
      <c r="G682" s="4" t="inlineStr">
        <is>
          <t>JPKIJ</t>
        </is>
      </c>
      <c r="H682" s="4" t="inlineStr">
        <is>
          <t xml:space="preserve">40Hx4 </t>
        </is>
      </c>
      <c r="I682" s="4" t="inlineStr">
        <is>
          <t>LCHY5</t>
        </is>
      </c>
      <c r="J682" s="4" t="inlineStr">
        <is>
          <t>PW DEPOT CO., LTD.</t>
        </is>
      </c>
      <c r="K682" s="4" t="inlineStr">
        <is>
          <t>20260928</t>
        </is>
      </c>
      <c r="L682" s="4" t="inlineStr">
        <is>
          <t>WHA GC LOGISTICS COMPANY LIMITED</t>
        </is>
      </c>
      <c r="M682" s="4" t="inlineStr">
        <is>
          <t>PTT GLOBAL CHEMICAL PUBLIC COMPANY LIMITED</t>
        </is>
      </c>
      <c r="N682" s="4" t="inlineStr">
        <is>
          <t>RESIN</t>
        </is>
      </c>
      <c r="O682" s="4" t="inlineStr">
        <is>
          <t>*** REQ. GOOD &amp; CLEAN  CONT. .( NO SMELL)  ***</t>
        </is>
      </c>
      <c r="P682" s="4" t="inlineStr">
        <is>
          <t>CY 28/09/26 , RTN 04/10/26 (PR2610002658 )
*PLS CHECK OPEN GATE BEFORE RETURN CTNR*</t>
        </is>
      </c>
      <c r="Q682" s="4" t="n">
        <v>0</v>
      </c>
      <c r="R682" s="4" t="n">
        <v>0</v>
      </c>
      <c r="S682" s="4" t="n">
        <v>4</v>
      </c>
      <c r="T682" s="4" t="n">
        <v>0</v>
      </c>
      <c r="U682" s="4" t="n">
        <v>0</v>
      </c>
      <c r="V682" s="4" t="n">
        <v>0</v>
      </c>
      <c r="W682" s="4" t="n">
        <v>0</v>
      </c>
      <c r="X682" s="4" t="n">
        <v>0</v>
      </c>
      <c r="Y682" s="4" t="n">
        <v>0</v>
      </c>
      <c r="Z682" s="4" t="n">
        <v>0</v>
      </c>
      <c r="AA682" s="4" t="n">
        <v>0</v>
      </c>
      <c r="AB682" s="4">
        <f>SUM(Q682:Y682)-Z682</f>
        <v/>
      </c>
      <c r="AC682" s="4">
        <f>IF(I682="","",IF(OR(LEFT(I682,3)="BKK",I682="LCH55"),"BKK",IF(LEFT(I682,3)="LCH","LCH","OTHER")))</f>
        <v/>
      </c>
      <c r="AD682" s="4">
        <f>MAX(0,Q682-MAX(0,Z682))</f>
        <v/>
      </c>
      <c r="AE682" s="4">
        <f>MAX(0,R682-MAX(0,Z682-SUM(Q682:Q682)))</f>
        <v/>
      </c>
      <c r="AF682" s="4">
        <f>MAX(0,S682-MAX(0,Z682-SUM(Q682:R682)))</f>
        <v/>
      </c>
      <c r="AG682" s="4">
        <f>MAX(0,T682-MAX(0,Z682-SUM(Q682:S682)))</f>
        <v/>
      </c>
      <c r="AH682" s="4">
        <f>MAX(0,U682-MAX(0,Z682-SUM(Q682:T682)))</f>
        <v/>
      </c>
      <c r="AI682" s="4">
        <f>MAX(0,V682-MAX(0,Z682-SUM(Q682:U682)))</f>
        <v/>
      </c>
      <c r="AJ682" s="4">
        <f>MAX(0,W682-MAX(0,Z682-SUM(Q682:V682)))</f>
        <v/>
      </c>
      <c r="AK682" s="4">
        <f>MAX(0,X682-MAX(0,Z682-SUM(Q682:W682)))</f>
        <v/>
      </c>
      <c r="AL682" s="4">
        <f>MAX(0,Y682-MAX(0,Z682-SUM(Q682:X682)))</f>
        <v/>
      </c>
    </row>
    <row r="683">
      <c r="A683" s="4" t="inlineStr">
        <is>
          <t>HASLS22260901520</t>
        </is>
      </c>
      <c r="B683" s="4" t="inlineStr">
        <is>
          <t>SWVG</t>
        </is>
      </c>
      <c r="C683" s="4" t="inlineStr">
        <is>
          <t>2612N</t>
        </is>
      </c>
      <c r="D683" s="4" t="inlineStr">
        <is>
          <t>202610070330</t>
        </is>
      </c>
      <c r="E683" s="4" t="inlineStr"/>
      <c r="F683" s="4" t="inlineStr">
        <is>
          <t>THLCH</t>
        </is>
      </c>
      <c r="G683" s="4" t="inlineStr">
        <is>
          <t>CNSHA</t>
        </is>
      </c>
      <c r="H683" s="4" t="inlineStr">
        <is>
          <t xml:space="preserve">20'x1 </t>
        </is>
      </c>
      <c r="I683" s="4" t="inlineStr">
        <is>
          <t>LCHY5</t>
        </is>
      </c>
      <c r="J683" s="4" t="inlineStr">
        <is>
          <t>PW DEPOT CO., LTD.</t>
        </is>
      </c>
      <c r="K683" s="4" t="inlineStr">
        <is>
          <t>20260928</t>
        </is>
      </c>
      <c r="L683" s="4" t="inlineStr">
        <is>
          <t>ELIO LOGISTICS (THAILAND) CO., LTD</t>
        </is>
      </c>
      <c r="M683" s="4" t="inlineStr">
        <is>
          <t>FEILING THAI TOOLS CO.,LTD</t>
        </is>
      </c>
      <c r="N683" s="4" t="inlineStr">
        <is>
          <t>SCREWDRIVER BLADE</t>
        </is>
      </c>
      <c r="O683" s="4" t="inlineStr">
        <is>
          <t>GOOD AND CLEAN CONTAINER</t>
        </is>
      </c>
      <c r="P683" s="4" t="inlineStr">
        <is>
          <t>Pickup : 2026-09-28, Return : 2026-09-28 [1ST RTN 29/09/2026 W/O RENT]</t>
        </is>
      </c>
      <c r="Q683" s="4" t="n">
        <v>1</v>
      </c>
      <c r="R683" s="4" t="n">
        <v>0</v>
      </c>
      <c r="S683" s="4" t="n">
        <v>0</v>
      </c>
      <c r="T683" s="4" t="n">
        <v>0</v>
      </c>
      <c r="U683" s="4" t="n">
        <v>0</v>
      </c>
      <c r="V683" s="4" t="n">
        <v>0</v>
      </c>
      <c r="W683" s="4" t="n">
        <v>0</v>
      </c>
      <c r="X683" s="4" t="n">
        <v>0</v>
      </c>
      <c r="Y683" s="4" t="n">
        <v>0</v>
      </c>
      <c r="Z683" s="4" t="n">
        <v>0</v>
      </c>
      <c r="AA683" s="4" t="n">
        <v>0</v>
      </c>
      <c r="AB683" s="4">
        <f>SUM(Q683:Y683)-Z683</f>
        <v/>
      </c>
      <c r="AC683" s="4">
        <f>IF(I683="","",IF(OR(LEFT(I683,3)="BKK",I683="LCH55"),"BKK",IF(LEFT(I683,3)="LCH","LCH","OTHER")))</f>
        <v/>
      </c>
      <c r="AD683" s="4">
        <f>MAX(0,Q683-MAX(0,Z683))</f>
        <v/>
      </c>
      <c r="AE683" s="4">
        <f>MAX(0,R683-MAX(0,Z683-SUM(Q683:Q683)))</f>
        <v/>
      </c>
      <c r="AF683" s="4">
        <f>MAX(0,S683-MAX(0,Z683-SUM(Q683:R683)))</f>
        <v/>
      </c>
      <c r="AG683" s="4">
        <f>MAX(0,T683-MAX(0,Z683-SUM(Q683:S683)))</f>
        <v/>
      </c>
      <c r="AH683" s="4">
        <f>MAX(0,U683-MAX(0,Z683-SUM(Q683:T683)))</f>
        <v/>
      </c>
      <c r="AI683" s="4">
        <f>MAX(0,V683-MAX(0,Z683-SUM(Q683:U683)))</f>
        <v/>
      </c>
      <c r="AJ683" s="4">
        <f>MAX(0,W683-MAX(0,Z683-SUM(Q683:V683)))</f>
        <v/>
      </c>
      <c r="AK683" s="4">
        <f>MAX(0,X683-MAX(0,Z683-SUM(Q683:W683)))</f>
        <v/>
      </c>
      <c r="AL683" s="4">
        <f>MAX(0,Y683-MAX(0,Z683-SUM(Q683:X683)))</f>
        <v/>
      </c>
    </row>
    <row r="684">
      <c r="A684" s="4" t="inlineStr">
        <is>
          <t>HASLS22260901522</t>
        </is>
      </c>
      <c r="B684" s="4" t="inlineStr">
        <is>
          <t>HMVY</t>
        </is>
      </c>
      <c r="C684" s="4" t="inlineStr">
        <is>
          <t>2609N</t>
        </is>
      </c>
      <c r="D684" s="4" t="inlineStr">
        <is>
          <t>202610200330</t>
        </is>
      </c>
      <c r="E684" s="4" t="inlineStr"/>
      <c r="F684" s="4" t="inlineStr">
        <is>
          <t>THLCH</t>
        </is>
      </c>
      <c r="G684" s="4" t="inlineStr">
        <is>
          <t>JPKIJ</t>
        </is>
      </c>
      <c r="H684" s="4" t="inlineStr">
        <is>
          <t xml:space="preserve">20'x2 </t>
        </is>
      </c>
      <c r="I684" s="4" t="inlineStr">
        <is>
          <t>LCHY5</t>
        </is>
      </c>
      <c r="J684" s="4" t="inlineStr">
        <is>
          <t>PW DEPOT CO., LTD.</t>
        </is>
      </c>
      <c r="K684" s="4" t="inlineStr">
        <is>
          <t>20261002</t>
        </is>
      </c>
      <c r="L684" s="4" t="inlineStr">
        <is>
          <t>WHA GC LOGISTICS COMPANY LIMITED</t>
        </is>
      </c>
      <c r="M684" s="4" t="inlineStr">
        <is>
          <t>PTT GLOBAL CHEMICAL PUBLIC COMPANY LIMITED</t>
        </is>
      </c>
      <c r="N684" s="4" t="inlineStr">
        <is>
          <t>RESIN</t>
        </is>
      </c>
      <c r="O684" s="4" t="inlineStr">
        <is>
          <t>*** REQ. GOOD &amp; CLEAN  CONT. .( NO SMELL)  ***</t>
        </is>
      </c>
      <c r="P684" s="4" t="inlineStr">
        <is>
          <t>CY-RTN 02-08/10/26 (PR2610002955)
*PLS CHECK OPEN GATE BEFORE RETURN CTNR*</t>
        </is>
      </c>
      <c r="Q684" s="4" t="n">
        <v>2</v>
      </c>
      <c r="R684" s="4" t="n">
        <v>0</v>
      </c>
      <c r="S684" s="4" t="n">
        <v>0</v>
      </c>
      <c r="T684" s="4" t="n">
        <v>0</v>
      </c>
      <c r="U684" s="4" t="n">
        <v>0</v>
      </c>
      <c r="V684" s="4" t="n">
        <v>0</v>
      </c>
      <c r="W684" s="4" t="n">
        <v>0</v>
      </c>
      <c r="X684" s="4" t="n">
        <v>0</v>
      </c>
      <c r="Y684" s="4" t="n">
        <v>0</v>
      </c>
      <c r="Z684" s="4" t="n">
        <v>0</v>
      </c>
      <c r="AA684" s="4" t="n">
        <v>0</v>
      </c>
      <c r="AB684" s="4">
        <f>SUM(Q684:Y684)-Z684</f>
        <v/>
      </c>
      <c r="AC684" s="4">
        <f>IF(I684="","",IF(OR(LEFT(I684,3)="BKK",I684="LCH55"),"BKK",IF(LEFT(I684,3)="LCH","LCH","OTHER")))</f>
        <v/>
      </c>
      <c r="AD684" s="4">
        <f>MAX(0,Q684-MAX(0,Z684))</f>
        <v/>
      </c>
      <c r="AE684" s="4">
        <f>MAX(0,R684-MAX(0,Z684-SUM(Q684:Q684)))</f>
        <v/>
      </c>
      <c r="AF684" s="4">
        <f>MAX(0,S684-MAX(0,Z684-SUM(Q684:R684)))</f>
        <v/>
      </c>
      <c r="AG684" s="4">
        <f>MAX(0,T684-MAX(0,Z684-SUM(Q684:S684)))</f>
        <v/>
      </c>
      <c r="AH684" s="4">
        <f>MAX(0,U684-MAX(0,Z684-SUM(Q684:T684)))</f>
        <v/>
      </c>
      <c r="AI684" s="4">
        <f>MAX(0,V684-MAX(0,Z684-SUM(Q684:U684)))</f>
        <v/>
      </c>
      <c r="AJ684" s="4">
        <f>MAX(0,W684-MAX(0,Z684-SUM(Q684:V684)))</f>
        <v/>
      </c>
      <c r="AK684" s="4">
        <f>MAX(0,X684-MAX(0,Z684-SUM(Q684:W684)))</f>
        <v/>
      </c>
      <c r="AL684" s="4">
        <f>MAX(0,Y684-MAX(0,Z684-SUM(Q684:X684)))</f>
        <v/>
      </c>
    </row>
    <row r="685">
      <c r="A685" s="4" t="inlineStr">
        <is>
          <t>HASLS22260901524</t>
        </is>
      </c>
      <c r="B685" s="4" t="inlineStr">
        <is>
          <t>HMVY</t>
        </is>
      </c>
      <c r="C685" s="4" t="inlineStr">
        <is>
          <t>2609N</t>
        </is>
      </c>
      <c r="D685" s="4" t="inlineStr">
        <is>
          <t>202610200330</t>
        </is>
      </c>
      <c r="E685" s="4" t="inlineStr"/>
      <c r="F685" s="4" t="inlineStr">
        <is>
          <t>THLCH</t>
        </is>
      </c>
      <c r="G685" s="4" t="inlineStr">
        <is>
          <t>JPTAK</t>
        </is>
      </c>
      <c r="H685" s="4" t="inlineStr">
        <is>
          <t xml:space="preserve">20'x3 </t>
        </is>
      </c>
      <c r="I685" s="4" t="inlineStr">
        <is>
          <t>LCHY5</t>
        </is>
      </c>
      <c r="J685" s="4" t="inlineStr">
        <is>
          <t>PW DEPOT CO., LTD.</t>
        </is>
      </c>
      <c r="K685" s="4" t="inlineStr">
        <is>
          <t>20261002</t>
        </is>
      </c>
      <c r="L685" s="4" t="inlineStr">
        <is>
          <t>WHA GC LOGISTICS COMPANY LIMITED</t>
        </is>
      </c>
      <c r="M685" s="4" t="inlineStr">
        <is>
          <t>PTT GLOBAL CHEMICAL PUBLIC COMPANY LIMITED</t>
        </is>
      </c>
      <c r="N685" s="4" t="inlineStr">
        <is>
          <t>RESIN</t>
        </is>
      </c>
      <c r="O685" s="4" t="inlineStr">
        <is>
          <t>*** REQ. GOOD &amp; CLEAN  CONT. .( NO SMELL)  ***</t>
        </is>
      </c>
      <c r="P685" s="4" t="inlineStr">
        <is>
          <t>CY-RTN 02-08/10/26 (PR2610002956)
*PLS CHECK OPEN GATE BEFORE RETURN CTNR*</t>
        </is>
      </c>
      <c r="Q685" s="4" t="n">
        <v>3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>
        <f>SUM(Q685:Y685)-Z685</f>
        <v/>
      </c>
      <c r="AC685" s="4">
        <f>IF(I685="","",IF(OR(LEFT(I685,3)="BKK",I685="LCH55"),"BKK",IF(LEFT(I685,3)="LCH","LCH","OTHER")))</f>
        <v/>
      </c>
      <c r="AD685" s="4">
        <f>MAX(0,Q685-MAX(0,Z685))</f>
        <v/>
      </c>
      <c r="AE685" s="4">
        <f>MAX(0,R685-MAX(0,Z685-SUM(Q685:Q685)))</f>
        <v/>
      </c>
      <c r="AF685" s="4">
        <f>MAX(0,S685-MAX(0,Z685-SUM(Q685:R685)))</f>
        <v/>
      </c>
      <c r="AG685" s="4">
        <f>MAX(0,T685-MAX(0,Z685-SUM(Q685:S685)))</f>
        <v/>
      </c>
      <c r="AH685" s="4">
        <f>MAX(0,U685-MAX(0,Z685-SUM(Q685:T685)))</f>
        <v/>
      </c>
      <c r="AI685" s="4">
        <f>MAX(0,V685-MAX(0,Z685-SUM(Q685:U685)))</f>
        <v/>
      </c>
      <c r="AJ685" s="4">
        <f>MAX(0,W685-MAX(0,Z685-SUM(Q685:V685)))</f>
        <v/>
      </c>
      <c r="AK685" s="4">
        <f>MAX(0,X685-MAX(0,Z685-SUM(Q685:W685)))</f>
        <v/>
      </c>
      <c r="AL685" s="4">
        <f>MAX(0,Y685-MAX(0,Z685-SUM(Q685:X685)))</f>
        <v/>
      </c>
    </row>
    <row r="686">
      <c r="A686" s="4" t="inlineStr">
        <is>
          <t>HASLS22260901527</t>
        </is>
      </c>
      <c r="B686" s="4" t="inlineStr">
        <is>
          <t>SWSR</t>
        </is>
      </c>
      <c r="C686" s="4" t="inlineStr">
        <is>
          <t>2611N</t>
        </is>
      </c>
      <c r="D686" s="4" t="inlineStr">
        <is>
          <t>202610112000</t>
        </is>
      </c>
      <c r="E686" s="4" t="inlineStr"/>
      <c r="F686" s="4" t="inlineStr">
        <is>
          <t>THLCH</t>
        </is>
      </c>
      <c r="G686" s="4" t="inlineStr">
        <is>
          <t>HKHKG</t>
        </is>
      </c>
      <c r="H686" s="4" t="inlineStr">
        <is>
          <t xml:space="preserve">20'x1 </t>
        </is>
      </c>
      <c r="I686" s="4" t="inlineStr">
        <is>
          <t>LCHY5</t>
        </is>
      </c>
      <c r="J686" s="4" t="inlineStr">
        <is>
          <t>PW DEPOT CO., LTD.</t>
        </is>
      </c>
      <c r="K686" s="4" t="inlineStr">
        <is>
          <t>20261002</t>
        </is>
      </c>
      <c r="L686" s="4" t="inlineStr">
        <is>
          <t>THAI POLYCARBONATE CO., LTD.</t>
        </is>
      </c>
      <c r="M686" s="4" t="inlineStr">
        <is>
          <t>THAI POLYACETAL CO., LTD.</t>
        </is>
      </c>
      <c r="N686" s="4" t="inlineStr">
        <is>
          <t>RESIN</t>
        </is>
      </c>
      <c r="O686" s="4" t="inlineStr">
        <is>
          <t>GOOD AND CLEAN CONTAINER, NO RUST, NO HOLE, NO SMELL WITH STRONG FLOORBOARD (LOAD BY FORKLIFT) AND BULLET SEAL</t>
        </is>
      </c>
      <c r="P686" s="4" t="inlineStr">
        <is>
          <t xml:space="preserve">Pickup : 2026-10-02, Return : 2026-10-05 [1ST RTN 09/10/2026 W/O RENT]
** PLEASE CHECK OPEN GATE BEFORE RETURN CONTAINER ** </t>
        </is>
      </c>
      <c r="Q686" s="4" t="n">
        <v>1</v>
      </c>
      <c r="R686" s="4" t="n">
        <v>0</v>
      </c>
      <c r="S686" s="4" t="n">
        <v>0</v>
      </c>
      <c r="T686" s="4" t="n">
        <v>0</v>
      </c>
      <c r="U686" s="4" t="n">
        <v>0</v>
      </c>
      <c r="V686" s="4" t="n">
        <v>0</v>
      </c>
      <c r="W686" s="4" t="n">
        <v>0</v>
      </c>
      <c r="X686" s="4" t="n">
        <v>0</v>
      </c>
      <c r="Y686" s="4" t="n">
        <v>0</v>
      </c>
      <c r="Z686" s="4" t="n">
        <v>0</v>
      </c>
      <c r="AA686" s="4" t="n">
        <v>0</v>
      </c>
      <c r="AB686" s="4">
        <f>SUM(Q686:Y686)-Z686</f>
        <v/>
      </c>
      <c r="AC686" s="4">
        <f>IF(I686="","",IF(OR(LEFT(I686,3)="BKK",I686="LCH55"),"BKK",IF(LEFT(I686,3)="LCH","LCH","OTHER")))</f>
        <v/>
      </c>
      <c r="AD686" s="4">
        <f>MAX(0,Q686-MAX(0,Z686))</f>
        <v/>
      </c>
      <c r="AE686" s="4">
        <f>MAX(0,R686-MAX(0,Z686-SUM(Q686:Q686)))</f>
        <v/>
      </c>
      <c r="AF686" s="4">
        <f>MAX(0,S686-MAX(0,Z686-SUM(Q686:R686)))</f>
        <v/>
      </c>
      <c r="AG686" s="4">
        <f>MAX(0,T686-MAX(0,Z686-SUM(Q686:S686)))</f>
        <v/>
      </c>
      <c r="AH686" s="4">
        <f>MAX(0,U686-MAX(0,Z686-SUM(Q686:T686)))</f>
        <v/>
      </c>
      <c r="AI686" s="4">
        <f>MAX(0,V686-MAX(0,Z686-SUM(Q686:U686)))</f>
        <v/>
      </c>
      <c r="AJ686" s="4">
        <f>MAX(0,W686-MAX(0,Z686-SUM(Q686:V686)))</f>
        <v/>
      </c>
      <c r="AK686" s="4">
        <f>MAX(0,X686-MAX(0,Z686-SUM(Q686:W686)))</f>
        <v/>
      </c>
      <c r="AL686" s="4">
        <f>MAX(0,Y686-MAX(0,Z686-SUM(Q686:X686)))</f>
        <v/>
      </c>
    </row>
    <row r="687">
      <c r="A687" s="4" t="inlineStr">
        <is>
          <t>HASLS22260901529</t>
        </is>
      </c>
      <c r="B687" s="4" t="inlineStr">
        <is>
          <t>SWAT</t>
        </is>
      </c>
      <c r="C687" s="4" t="inlineStr">
        <is>
          <t>2610N</t>
        </is>
      </c>
      <c r="D687" s="4" t="inlineStr">
        <is>
          <t>202610081000</t>
        </is>
      </c>
      <c r="E687" s="4" t="inlineStr"/>
      <c r="F687" s="4" t="inlineStr">
        <is>
          <t>THLCH</t>
        </is>
      </c>
      <c r="G687" s="4" t="inlineStr">
        <is>
          <t>HKHKG</t>
        </is>
      </c>
      <c r="H687" s="4" t="inlineStr">
        <is>
          <t xml:space="preserve">40Hx1 </t>
        </is>
      </c>
      <c r="I687" s="4" t="inlineStr">
        <is>
          <t>LCHY5</t>
        </is>
      </c>
      <c r="J687" s="4" t="inlineStr">
        <is>
          <t>PW DEPOT CO., LTD.</t>
        </is>
      </c>
      <c r="K687" s="4" t="inlineStr">
        <is>
          <t>20260929</t>
        </is>
      </c>
      <c r="L687" s="4" t="inlineStr">
        <is>
          <t>PGS LOGISTICS (THAILAND) CO., LTD.</t>
        </is>
      </c>
      <c r="M687" s="4" t="inlineStr">
        <is>
          <t>ROFU (THAILAND) LTD.</t>
        </is>
      </c>
      <c r="N687" s="4" t="inlineStr">
        <is>
          <t>SHOES : KEEN BRAND</t>
        </is>
      </c>
      <c r="O687" s="4" t="inlineStr">
        <is>
          <t>Clean container, Good container, No
Leak, No Rust, No Smell, Not Wet</t>
        </is>
      </c>
      <c r="P687" s="4" t="inlineStr">
        <is>
          <t>Pickup : 2026-09-29, Return : 2026-09-30 (1ST 01/10 RETURN W/O RENT)</t>
        </is>
      </c>
      <c r="Q687" s="4" t="n">
        <v>0</v>
      </c>
      <c r="R687" s="4" t="n">
        <v>0</v>
      </c>
      <c r="S687" s="4" t="n">
        <v>1</v>
      </c>
      <c r="T687" s="4" t="n">
        <v>0</v>
      </c>
      <c r="U687" s="4" t="n">
        <v>0</v>
      </c>
      <c r="V687" s="4" t="n">
        <v>0</v>
      </c>
      <c r="W687" s="4" t="n">
        <v>0</v>
      </c>
      <c r="X687" s="4" t="n">
        <v>0</v>
      </c>
      <c r="Y687" s="4" t="n">
        <v>0</v>
      </c>
      <c r="Z687" s="4" t="n">
        <v>0</v>
      </c>
      <c r="AA687" s="4" t="n">
        <v>0</v>
      </c>
      <c r="AB687" s="4">
        <f>SUM(Q687:Y687)-Z687</f>
        <v/>
      </c>
      <c r="AC687" s="4">
        <f>IF(I687="","",IF(OR(LEFT(I687,3)="BKK",I687="LCH55"),"BKK",IF(LEFT(I687,3)="LCH","LCH","OTHER")))</f>
        <v/>
      </c>
      <c r="AD687" s="4">
        <f>MAX(0,Q687-MAX(0,Z687))</f>
        <v/>
      </c>
      <c r="AE687" s="4">
        <f>MAX(0,R687-MAX(0,Z687-SUM(Q687:Q687)))</f>
        <v/>
      </c>
      <c r="AF687" s="4">
        <f>MAX(0,S687-MAX(0,Z687-SUM(Q687:R687)))</f>
        <v/>
      </c>
      <c r="AG687" s="4">
        <f>MAX(0,T687-MAX(0,Z687-SUM(Q687:S687)))</f>
        <v/>
      </c>
      <c r="AH687" s="4">
        <f>MAX(0,U687-MAX(0,Z687-SUM(Q687:T687)))</f>
        <v/>
      </c>
      <c r="AI687" s="4">
        <f>MAX(0,V687-MAX(0,Z687-SUM(Q687:U687)))</f>
        <v/>
      </c>
      <c r="AJ687" s="4">
        <f>MAX(0,W687-MAX(0,Z687-SUM(Q687:V687)))</f>
        <v/>
      </c>
      <c r="AK687" s="4">
        <f>MAX(0,X687-MAX(0,Z687-SUM(Q687:W687)))</f>
        <v/>
      </c>
      <c r="AL687" s="4">
        <f>MAX(0,Y687-MAX(0,Z687-SUM(Q687:X687)))</f>
        <v/>
      </c>
    </row>
    <row r="688">
      <c r="A688" s="4" t="inlineStr">
        <is>
          <t>HASLS22260901550</t>
        </is>
      </c>
      <c r="B688" s="4" t="inlineStr">
        <is>
          <t>SWMM</t>
        </is>
      </c>
      <c r="C688" s="4" t="inlineStr">
        <is>
          <t>2610N</t>
        </is>
      </c>
      <c r="D688" s="4" t="inlineStr">
        <is>
          <t>202610212100</t>
        </is>
      </c>
      <c r="E688" s="4" t="inlineStr"/>
      <c r="F688" s="4" t="inlineStr">
        <is>
          <t>THLCH</t>
        </is>
      </c>
      <c r="G688" s="4" t="inlineStr">
        <is>
          <t>KRKAN</t>
        </is>
      </c>
      <c r="H688" s="4" t="inlineStr">
        <is>
          <t xml:space="preserve">40Hx1 </t>
        </is>
      </c>
      <c r="I688" s="4" t="inlineStr">
        <is>
          <t>LCHY5</t>
        </is>
      </c>
      <c r="J688" s="4" t="inlineStr">
        <is>
          <t>PW DEPOT CO., LTD.</t>
        </is>
      </c>
      <c r="K688" s="4" t="inlineStr">
        <is>
          <t>20261016</t>
        </is>
      </c>
      <c r="L688" s="4" t="inlineStr">
        <is>
          <t>EASTERN AIR LOGISTICS CO., LTD.</t>
        </is>
      </c>
      <c r="M688" s="4" t="inlineStr">
        <is>
          <t>Y-MECO CO., LTD.</t>
        </is>
      </c>
      <c r="N688" s="4" t="inlineStr">
        <is>
          <t>ASSY COND</t>
        </is>
      </c>
      <c r="O688" s="4" t="inlineStr">
        <is>
          <t>GOOD AND CLEAN CONTAINER</t>
        </is>
      </c>
      <c r="P688" s="4" t="inlineStr">
        <is>
          <t>Pickup : 2026-10-16, Return : 2026-10-16</t>
        </is>
      </c>
      <c r="Q688" s="4" t="n">
        <v>0</v>
      </c>
      <c r="R688" s="4" t="n">
        <v>0</v>
      </c>
      <c r="S688" s="4" t="n">
        <v>1</v>
      </c>
      <c r="T688" s="4" t="n">
        <v>0</v>
      </c>
      <c r="U688" s="4" t="n">
        <v>0</v>
      </c>
      <c r="V688" s="4" t="n">
        <v>0</v>
      </c>
      <c r="W688" s="4" t="n">
        <v>0</v>
      </c>
      <c r="X688" s="4" t="n">
        <v>0</v>
      </c>
      <c r="Y688" s="4" t="n">
        <v>0</v>
      </c>
      <c r="Z688" s="4" t="n">
        <v>0</v>
      </c>
      <c r="AA688" s="4" t="n">
        <v>0</v>
      </c>
      <c r="AB688" s="4">
        <f>SUM(Q688:Y688)-Z688</f>
        <v/>
      </c>
      <c r="AC688" s="4">
        <f>IF(I688="","",IF(OR(LEFT(I688,3)="BKK",I688="LCH55"),"BKK",IF(LEFT(I688,3)="LCH","LCH","OTHER")))</f>
        <v/>
      </c>
      <c r="AD688" s="4">
        <f>MAX(0,Q688-MAX(0,Z688))</f>
        <v/>
      </c>
      <c r="AE688" s="4">
        <f>MAX(0,R688-MAX(0,Z688-SUM(Q688:Q688)))</f>
        <v/>
      </c>
      <c r="AF688" s="4">
        <f>MAX(0,S688-MAX(0,Z688-SUM(Q688:R688)))</f>
        <v/>
      </c>
      <c r="AG688" s="4">
        <f>MAX(0,T688-MAX(0,Z688-SUM(Q688:S688)))</f>
        <v/>
      </c>
      <c r="AH688" s="4">
        <f>MAX(0,U688-MAX(0,Z688-SUM(Q688:T688)))</f>
        <v/>
      </c>
      <c r="AI688" s="4">
        <f>MAX(0,V688-MAX(0,Z688-SUM(Q688:U688)))</f>
        <v/>
      </c>
      <c r="AJ688" s="4">
        <f>MAX(0,W688-MAX(0,Z688-SUM(Q688:V688)))</f>
        <v/>
      </c>
      <c r="AK688" s="4">
        <f>MAX(0,X688-MAX(0,Z688-SUM(Q688:W688)))</f>
        <v/>
      </c>
      <c r="AL688" s="4">
        <f>MAX(0,Y688-MAX(0,Z688-SUM(Q688:X688)))</f>
        <v/>
      </c>
    </row>
    <row r="689">
      <c r="A689" s="4" t="inlineStr">
        <is>
          <t>HASLS22260901570</t>
        </is>
      </c>
      <c r="B689" s="4" t="inlineStr">
        <is>
          <t>SWVG</t>
        </is>
      </c>
      <c r="C689" s="4" t="inlineStr">
        <is>
          <t>2612N</t>
        </is>
      </c>
      <c r="D689" s="4" t="inlineStr">
        <is>
          <t>202610070330</t>
        </is>
      </c>
      <c r="E689" s="4" t="inlineStr"/>
      <c r="F689" s="4" t="inlineStr">
        <is>
          <t>THLCH</t>
        </is>
      </c>
      <c r="G689" s="4" t="inlineStr">
        <is>
          <t>KRPUS</t>
        </is>
      </c>
      <c r="H689" s="4" t="inlineStr">
        <is>
          <t xml:space="preserve">20'x1 </t>
        </is>
      </c>
      <c r="I689" s="4" t="inlineStr">
        <is>
          <t>LCHY5</t>
        </is>
      </c>
      <c r="J689" s="4" t="inlineStr">
        <is>
          <t>PW DEPOT CO., LTD.</t>
        </is>
      </c>
      <c r="K689" s="4" t="inlineStr">
        <is>
          <t>20261002</t>
        </is>
      </c>
      <c r="L689" s="4" t="inlineStr">
        <is>
          <t>LEO GLOBAL LOGISTICS PUBLIC COMPANY LIMITED</t>
        </is>
      </c>
      <c r="M689" s="4" t="inlineStr">
        <is>
          <t>BASF (THAI) LIMITED</t>
        </is>
      </c>
      <c r="N689" s="4" t="inlineStr">
        <is>
          <t>TEXAPON N70 AC</t>
        </is>
      </c>
      <c r="O689" s="4" t="inlineStr">
        <is>
          <t>REQUESTED FOR GOOD CNTR WITH NO HOLE / NO RUST / NO BURR / NOT WET / NO BAD SMELL</t>
        </is>
      </c>
      <c r="P689" s="4" t="inlineStr">
        <is>
          <t>Pickup : 2026-10-02, Return : 2026-10-04</t>
        </is>
      </c>
      <c r="Q689" s="4" t="n">
        <v>1</v>
      </c>
      <c r="R689" s="4" t="n">
        <v>0</v>
      </c>
      <c r="S689" s="4" t="n">
        <v>0</v>
      </c>
      <c r="T689" s="4" t="n">
        <v>0</v>
      </c>
      <c r="U689" s="4" t="n">
        <v>0</v>
      </c>
      <c r="V689" s="4" t="n">
        <v>0</v>
      </c>
      <c r="W689" s="4" t="n">
        <v>0</v>
      </c>
      <c r="X689" s="4" t="n">
        <v>0</v>
      </c>
      <c r="Y689" s="4" t="n">
        <v>0</v>
      </c>
      <c r="Z689" s="4" t="n">
        <v>0</v>
      </c>
      <c r="AA689" s="4" t="n">
        <v>0</v>
      </c>
      <c r="AB689" s="4">
        <f>SUM(Q689:Y689)-Z689</f>
        <v/>
      </c>
      <c r="AC689" s="4">
        <f>IF(I689="","",IF(OR(LEFT(I689,3)="BKK",I689="LCH55"),"BKK",IF(LEFT(I689,3)="LCH","LCH","OTHER")))</f>
        <v/>
      </c>
      <c r="AD689" s="4">
        <f>MAX(0,Q689-MAX(0,Z689))</f>
        <v/>
      </c>
      <c r="AE689" s="4">
        <f>MAX(0,R689-MAX(0,Z689-SUM(Q689:Q689)))</f>
        <v/>
      </c>
      <c r="AF689" s="4">
        <f>MAX(0,S689-MAX(0,Z689-SUM(Q689:R689)))</f>
        <v/>
      </c>
      <c r="AG689" s="4">
        <f>MAX(0,T689-MAX(0,Z689-SUM(Q689:S689)))</f>
        <v/>
      </c>
      <c r="AH689" s="4">
        <f>MAX(0,U689-MAX(0,Z689-SUM(Q689:T689)))</f>
        <v/>
      </c>
      <c r="AI689" s="4">
        <f>MAX(0,V689-MAX(0,Z689-SUM(Q689:U689)))</f>
        <v/>
      </c>
      <c r="AJ689" s="4">
        <f>MAX(0,W689-MAX(0,Z689-SUM(Q689:V689)))</f>
        <v/>
      </c>
      <c r="AK689" s="4">
        <f>MAX(0,X689-MAX(0,Z689-SUM(Q689:W689)))</f>
        <v/>
      </c>
      <c r="AL689" s="4">
        <f>MAX(0,Y689-MAX(0,Z689-SUM(Q689:X689)))</f>
        <v/>
      </c>
    </row>
    <row r="690">
      <c r="A690" s="4" t="inlineStr">
        <is>
          <t>HASLS22260901579</t>
        </is>
      </c>
      <c r="B690" s="4" t="inlineStr">
        <is>
          <t>SWBT</t>
        </is>
      </c>
      <c r="C690" s="4" t="inlineStr">
        <is>
          <t>2616N</t>
        </is>
      </c>
      <c r="D690" s="4" t="inlineStr">
        <is>
          <t>202610140000</t>
        </is>
      </c>
      <c r="E690" s="4" t="inlineStr"/>
      <c r="F690" s="4" t="inlineStr">
        <is>
          <t>THLCH</t>
        </is>
      </c>
      <c r="G690" s="4" t="inlineStr">
        <is>
          <t>KRPTK</t>
        </is>
      </c>
      <c r="H690" s="4" t="inlineStr">
        <is>
          <t xml:space="preserve">40Hx7 </t>
        </is>
      </c>
      <c r="I690" s="4" t="inlineStr">
        <is>
          <t>LCHY5</t>
        </is>
      </c>
      <c r="J690" s="4" t="inlineStr">
        <is>
          <t>PW DEPOT CO., LTD.</t>
        </is>
      </c>
      <c r="K690" s="4" t="inlineStr">
        <is>
          <t>20261002</t>
        </is>
      </c>
      <c r="L690" s="4" t="inlineStr">
        <is>
          <t>SAMSUNG SDS GLOBAL SCL (THAILAND) CO.,LTD.</t>
        </is>
      </c>
      <c r="M690" s="4" t="inlineStr">
        <is>
          <t>THAI SAMSUNG ELECTRONICS CO., LTD.</t>
        </is>
      </c>
      <c r="N690" s="4" t="inlineStr">
        <is>
          <t>REFRIGERATOR</t>
        </is>
      </c>
      <c r="O690" s="4" t="inlineStr">
        <is>
          <t>*No containers with cut and patch marks inside*
GOOD CLEAN CONTIANER NO BLEAM (ELECTRONICS GOODS)</t>
        </is>
      </c>
      <c r="P690" s="4" t="inlineStr">
        <is>
          <t>Pickup : 2026-10-02, Return : 2026-10-08</t>
        </is>
      </c>
      <c r="Q690" s="4" t="n">
        <v>0</v>
      </c>
      <c r="R690" s="4" t="n">
        <v>0</v>
      </c>
      <c r="S690" s="4" t="n">
        <v>7</v>
      </c>
      <c r="T690" s="4" t="n">
        <v>0</v>
      </c>
      <c r="U690" s="4" t="n">
        <v>0</v>
      </c>
      <c r="V690" s="4" t="n">
        <v>0</v>
      </c>
      <c r="W690" s="4" t="n">
        <v>0</v>
      </c>
      <c r="X690" s="4" t="n">
        <v>0</v>
      </c>
      <c r="Y690" s="4" t="n">
        <v>0</v>
      </c>
      <c r="Z690" s="4" t="n">
        <v>0</v>
      </c>
      <c r="AA690" s="4" t="n">
        <v>0</v>
      </c>
      <c r="AB690" s="4">
        <f>SUM(Q690:Y690)-Z690</f>
        <v/>
      </c>
      <c r="AC690" s="4">
        <f>IF(I690="","",IF(OR(LEFT(I690,3)="BKK",I690="LCH55"),"BKK",IF(LEFT(I690,3)="LCH","LCH","OTHER")))</f>
        <v/>
      </c>
      <c r="AD690" s="4">
        <f>MAX(0,Q690-MAX(0,Z690))</f>
        <v/>
      </c>
      <c r="AE690" s="4">
        <f>MAX(0,R690-MAX(0,Z690-SUM(Q690:Q690)))</f>
        <v/>
      </c>
      <c r="AF690" s="4">
        <f>MAX(0,S690-MAX(0,Z690-SUM(Q690:R690)))</f>
        <v/>
      </c>
      <c r="AG690" s="4">
        <f>MAX(0,T690-MAX(0,Z690-SUM(Q690:S690)))</f>
        <v/>
      </c>
      <c r="AH690" s="4">
        <f>MAX(0,U690-MAX(0,Z690-SUM(Q690:T690)))</f>
        <v/>
      </c>
      <c r="AI690" s="4">
        <f>MAX(0,V690-MAX(0,Z690-SUM(Q690:U690)))</f>
        <v/>
      </c>
      <c r="AJ690" s="4">
        <f>MAX(0,W690-MAX(0,Z690-SUM(Q690:V690)))</f>
        <v/>
      </c>
      <c r="AK690" s="4">
        <f>MAX(0,X690-MAX(0,Z690-SUM(Q690:W690)))</f>
        <v/>
      </c>
      <c r="AL690" s="4">
        <f>MAX(0,Y690-MAX(0,Z690-SUM(Q690:X690)))</f>
        <v/>
      </c>
    </row>
    <row r="691">
      <c r="A691" s="4" t="inlineStr">
        <is>
          <t>HASLS22260901582</t>
        </is>
      </c>
      <c r="B691" s="4" t="inlineStr">
        <is>
          <t>SWVG</t>
        </is>
      </c>
      <c r="C691" s="4" t="inlineStr">
        <is>
          <t>2612N</t>
        </is>
      </c>
      <c r="D691" s="4" t="inlineStr">
        <is>
          <t>202610070330</t>
        </is>
      </c>
      <c r="E691" s="4" t="inlineStr"/>
      <c r="F691" s="4" t="inlineStr">
        <is>
          <t>THLCH</t>
        </is>
      </c>
      <c r="G691" s="4" t="inlineStr">
        <is>
          <t>JPMOJ</t>
        </is>
      </c>
      <c r="H691" s="4" t="inlineStr">
        <is>
          <t xml:space="preserve">20'x5 </t>
        </is>
      </c>
      <c r="I691" s="4" t="inlineStr">
        <is>
          <t>LCHY5</t>
        </is>
      </c>
      <c r="J691" s="4" t="inlineStr">
        <is>
          <t>PW DEPOT CO., LTD.</t>
        </is>
      </c>
      <c r="K691" s="4" t="inlineStr">
        <is>
          <t>20260928</t>
        </is>
      </c>
      <c r="L691" s="4" t="inlineStr">
        <is>
          <t>SCGJWD LOGISTICS PUBLIC COMPANY LIMITED</t>
        </is>
      </c>
      <c r="M691" s="4" t="inlineStr">
        <is>
          <t>THAI POLYETHYLENE CO., LTD.</t>
        </is>
      </c>
      <c r="N691" s="4" t="inlineStr">
        <is>
          <t>RESIN</t>
        </is>
      </c>
      <c r="O691" s="4" t="inlineStr">
        <is>
          <t>RESIN-PALLET,NO RED WALL CONTAINER,CLEAN CONTAINER NO OIL STAINS , NO RUSTY ,NO CUT OR HOLE</t>
        </is>
      </c>
      <c r="P691" s="4" t="inlineStr">
        <is>
          <t>CY-RTN 28-29/09/26 (  INV  3031061852  )</t>
        </is>
      </c>
      <c r="Q691" s="4" t="n">
        <v>5</v>
      </c>
      <c r="R691" s="4" t="n">
        <v>0</v>
      </c>
      <c r="S691" s="4" t="n">
        <v>0</v>
      </c>
      <c r="T691" s="4" t="n">
        <v>0</v>
      </c>
      <c r="U691" s="4" t="n">
        <v>0</v>
      </c>
      <c r="V691" s="4" t="n">
        <v>0</v>
      </c>
      <c r="W691" s="4" t="n">
        <v>0</v>
      </c>
      <c r="X691" s="4" t="n">
        <v>0</v>
      </c>
      <c r="Y691" s="4" t="n">
        <v>0</v>
      </c>
      <c r="Z691" s="4" t="n">
        <v>0</v>
      </c>
      <c r="AA691" s="4" t="n">
        <v>0</v>
      </c>
      <c r="AB691" s="4">
        <f>SUM(Q691:Y691)-Z691</f>
        <v/>
      </c>
      <c r="AC691" s="4">
        <f>IF(I691="","",IF(OR(LEFT(I691,3)="BKK",I691="LCH55"),"BKK",IF(LEFT(I691,3)="LCH","LCH","OTHER")))</f>
        <v/>
      </c>
      <c r="AD691" s="4">
        <f>MAX(0,Q691-MAX(0,Z691))</f>
        <v/>
      </c>
      <c r="AE691" s="4">
        <f>MAX(0,R691-MAX(0,Z691-SUM(Q691:Q691)))</f>
        <v/>
      </c>
      <c r="AF691" s="4">
        <f>MAX(0,S691-MAX(0,Z691-SUM(Q691:R691)))</f>
        <v/>
      </c>
      <c r="AG691" s="4">
        <f>MAX(0,T691-MAX(0,Z691-SUM(Q691:S691)))</f>
        <v/>
      </c>
      <c r="AH691" s="4">
        <f>MAX(0,U691-MAX(0,Z691-SUM(Q691:T691)))</f>
        <v/>
      </c>
      <c r="AI691" s="4">
        <f>MAX(0,V691-MAX(0,Z691-SUM(Q691:U691)))</f>
        <v/>
      </c>
      <c r="AJ691" s="4">
        <f>MAX(0,W691-MAX(0,Z691-SUM(Q691:V691)))</f>
        <v/>
      </c>
      <c r="AK691" s="4">
        <f>MAX(0,X691-MAX(0,Z691-SUM(Q691:W691)))</f>
        <v/>
      </c>
      <c r="AL691" s="4">
        <f>MAX(0,Y691-MAX(0,Z691-SUM(Q691:X691)))</f>
        <v/>
      </c>
    </row>
    <row r="692">
      <c r="A692" s="4" t="inlineStr">
        <is>
          <t>HASLS22260901589</t>
        </is>
      </c>
      <c r="B692" s="4" t="inlineStr">
        <is>
          <t>SWVG</t>
        </is>
      </c>
      <c r="C692" s="4" t="inlineStr">
        <is>
          <t>2612N</t>
        </is>
      </c>
      <c r="D692" s="4" t="inlineStr">
        <is>
          <t>202610070330</t>
        </is>
      </c>
      <c r="E692" s="4" t="inlineStr"/>
      <c r="F692" s="4" t="inlineStr">
        <is>
          <t>THLCH</t>
        </is>
      </c>
      <c r="G692" s="4" t="inlineStr">
        <is>
          <t>JPSMN</t>
        </is>
      </c>
      <c r="H692" s="4" t="inlineStr">
        <is>
          <t xml:space="preserve">20'x7 </t>
        </is>
      </c>
      <c r="I692" s="4" t="inlineStr">
        <is>
          <t>LCHY5</t>
        </is>
      </c>
      <c r="J692" s="4" t="inlineStr">
        <is>
          <t>PW DEPOT CO., LTD.</t>
        </is>
      </c>
      <c r="K692" s="4" t="inlineStr">
        <is>
          <t>20260926</t>
        </is>
      </c>
      <c r="L692" s="4" t="inlineStr">
        <is>
          <t>LEO GLOBAL LOGISTICS PUBLIC COMPANY LIMITED</t>
        </is>
      </c>
      <c r="M692" s="4" t="inlineStr">
        <is>
          <t>HMC POLYMERS CO., LTD.</t>
        </is>
      </c>
      <c r="N692" s="4" t="inlineStr">
        <is>
          <t>RESIN</t>
        </is>
      </c>
      <c r="O692" s="4" t="inlineStr">
        <is>
          <t>SMOOTH FLOOR, GOOD AND CLEAN CONTAINER</t>
        </is>
      </c>
      <c r="P692" s="4" t="inlineStr">
        <is>
          <t xml:space="preserve">Pickup : 2026-09-26, Return : 2026-09-29  
 ** PLEASE CHECK OPEN GATE BEFORE RETURN CNTR **
</t>
        </is>
      </c>
      <c r="Q692" s="4" t="n">
        <v>7</v>
      </c>
      <c r="R692" s="4" t="n">
        <v>0</v>
      </c>
      <c r="S692" s="4" t="n">
        <v>0</v>
      </c>
      <c r="T692" s="4" t="n">
        <v>0</v>
      </c>
      <c r="U692" s="4" t="n">
        <v>0</v>
      </c>
      <c r="V692" s="4" t="n">
        <v>0</v>
      </c>
      <c r="W692" s="4" t="n">
        <v>0</v>
      </c>
      <c r="X692" s="4" t="n">
        <v>0</v>
      </c>
      <c r="Y692" s="4" t="n">
        <v>0</v>
      </c>
      <c r="Z692" s="4" t="n">
        <v>0</v>
      </c>
      <c r="AA692" s="4" t="n">
        <v>0</v>
      </c>
      <c r="AB692" s="4">
        <f>SUM(Q692:Y692)-Z692</f>
        <v/>
      </c>
      <c r="AC692" s="4">
        <f>IF(I692="","",IF(OR(LEFT(I692,3)="BKK",I692="LCH55"),"BKK",IF(LEFT(I692,3)="LCH","LCH","OTHER")))</f>
        <v/>
      </c>
      <c r="AD692" s="4">
        <f>MAX(0,Q692-MAX(0,Z692))</f>
        <v/>
      </c>
      <c r="AE692" s="4">
        <f>MAX(0,R692-MAX(0,Z692-SUM(Q692:Q692)))</f>
        <v/>
      </c>
      <c r="AF692" s="4">
        <f>MAX(0,S692-MAX(0,Z692-SUM(Q692:R692)))</f>
        <v/>
      </c>
      <c r="AG692" s="4">
        <f>MAX(0,T692-MAX(0,Z692-SUM(Q692:S692)))</f>
        <v/>
      </c>
      <c r="AH692" s="4">
        <f>MAX(0,U692-MAX(0,Z692-SUM(Q692:T692)))</f>
        <v/>
      </c>
      <c r="AI692" s="4">
        <f>MAX(0,V692-MAX(0,Z692-SUM(Q692:U692)))</f>
        <v/>
      </c>
      <c r="AJ692" s="4">
        <f>MAX(0,W692-MAX(0,Z692-SUM(Q692:V692)))</f>
        <v/>
      </c>
      <c r="AK692" s="4">
        <f>MAX(0,X692-MAX(0,Z692-SUM(Q692:W692)))</f>
        <v/>
      </c>
      <c r="AL692" s="4">
        <f>MAX(0,Y692-MAX(0,Z692-SUM(Q692:X692)))</f>
        <v/>
      </c>
    </row>
    <row r="693">
      <c r="A693" s="4" t="inlineStr">
        <is>
          <t>HASLS22260901607</t>
        </is>
      </c>
      <c r="B693" s="4" t="inlineStr">
        <is>
          <t>KMTP</t>
        </is>
      </c>
      <c r="C693" s="4" t="inlineStr">
        <is>
          <t>2612N</t>
        </is>
      </c>
      <c r="D693" s="4" t="inlineStr">
        <is>
          <t>202610122200</t>
        </is>
      </c>
      <c r="E693" s="4" t="inlineStr"/>
      <c r="F693" s="4" t="inlineStr">
        <is>
          <t>THLCH</t>
        </is>
      </c>
      <c r="G693" s="4" t="inlineStr">
        <is>
          <t>HKHKG</t>
        </is>
      </c>
      <c r="H693" s="4" t="inlineStr">
        <is>
          <t xml:space="preserve">40Hx1 </t>
        </is>
      </c>
      <c r="I693" s="4" t="inlineStr">
        <is>
          <t>LCHY5</t>
        </is>
      </c>
      <c r="J693" s="4" t="inlineStr">
        <is>
          <t>PW DEPOT CO., LTD.</t>
        </is>
      </c>
      <c r="K693" s="4" t="inlineStr">
        <is>
          <t>20261008</t>
        </is>
      </c>
      <c r="L693" s="4" t="inlineStr">
        <is>
          <t>ELIJAH INTER FREIGHT CO., LTD.</t>
        </is>
      </c>
      <c r="M693" s="4" t="inlineStr">
        <is>
          <t>THAI LOTTE CO., LTD.</t>
        </is>
      </c>
      <c r="N693" s="4" t="inlineStr">
        <is>
          <t>BISCUIT</t>
        </is>
      </c>
      <c r="O693" s="4" t="inlineStr">
        <is>
          <t>REQUEST CONTAINER GRADE A</t>
        </is>
      </c>
      <c r="P693" s="4" t="inlineStr">
        <is>
          <t>Pickup : 2026-10-08, Return : 2026-10-09</t>
        </is>
      </c>
      <c r="Q693" s="4" t="n">
        <v>0</v>
      </c>
      <c r="R693" s="4" t="n">
        <v>0</v>
      </c>
      <c r="S693" s="4" t="n">
        <v>1</v>
      </c>
      <c r="T693" s="4" t="n">
        <v>0</v>
      </c>
      <c r="U693" s="4" t="n">
        <v>0</v>
      </c>
      <c r="V693" s="4" t="n">
        <v>0</v>
      </c>
      <c r="W693" s="4" t="n">
        <v>0</v>
      </c>
      <c r="X693" s="4" t="n">
        <v>0</v>
      </c>
      <c r="Y693" s="4" t="n">
        <v>0</v>
      </c>
      <c r="Z693" s="4" t="n">
        <v>0</v>
      </c>
      <c r="AA693" s="4" t="n">
        <v>0</v>
      </c>
      <c r="AB693" s="4">
        <f>SUM(Q693:Y693)-Z693</f>
        <v/>
      </c>
      <c r="AC693" s="4">
        <f>IF(I693="","",IF(OR(LEFT(I693,3)="BKK",I693="LCH55"),"BKK",IF(LEFT(I693,3)="LCH","LCH","OTHER")))</f>
        <v/>
      </c>
      <c r="AD693" s="4">
        <f>MAX(0,Q693-MAX(0,Z693))</f>
        <v/>
      </c>
      <c r="AE693" s="4">
        <f>MAX(0,R693-MAX(0,Z693-SUM(Q693:Q693)))</f>
        <v/>
      </c>
      <c r="AF693" s="4">
        <f>MAX(0,S693-MAX(0,Z693-SUM(Q693:R693)))</f>
        <v/>
      </c>
      <c r="AG693" s="4">
        <f>MAX(0,T693-MAX(0,Z693-SUM(Q693:S693)))</f>
        <v/>
      </c>
      <c r="AH693" s="4">
        <f>MAX(0,U693-MAX(0,Z693-SUM(Q693:T693)))</f>
        <v/>
      </c>
      <c r="AI693" s="4">
        <f>MAX(0,V693-MAX(0,Z693-SUM(Q693:U693)))</f>
        <v/>
      </c>
      <c r="AJ693" s="4">
        <f>MAX(0,W693-MAX(0,Z693-SUM(Q693:V693)))</f>
        <v/>
      </c>
      <c r="AK693" s="4">
        <f>MAX(0,X693-MAX(0,Z693-SUM(Q693:W693)))</f>
        <v/>
      </c>
      <c r="AL693" s="4">
        <f>MAX(0,Y693-MAX(0,Z693-SUM(Q693:X693)))</f>
        <v/>
      </c>
    </row>
    <row r="694">
      <c r="A694" s="4" t="inlineStr">
        <is>
          <t>HASLS22260901623</t>
        </is>
      </c>
      <c r="B694" s="4" t="inlineStr">
        <is>
          <t>HMVY</t>
        </is>
      </c>
      <c r="C694" s="4" t="inlineStr">
        <is>
          <t>2609N</t>
        </is>
      </c>
      <c r="D694" s="4" t="inlineStr">
        <is>
          <t>202610200330</t>
        </is>
      </c>
      <c r="E694" s="4" t="inlineStr"/>
      <c r="F694" s="4" t="inlineStr">
        <is>
          <t>THLCH</t>
        </is>
      </c>
      <c r="G694" s="4" t="inlineStr">
        <is>
          <t>JPHKT</t>
        </is>
      </c>
      <c r="H694" s="4" t="inlineStr">
        <is>
          <t xml:space="preserve">20'x1 </t>
        </is>
      </c>
      <c r="I694" s="4" t="inlineStr">
        <is>
          <t>LCHY5</t>
        </is>
      </c>
      <c r="J694" s="4" t="inlineStr">
        <is>
          <t>PW DEPOT CO., LTD.</t>
        </is>
      </c>
      <c r="K694" s="4" t="inlineStr">
        <is>
          <t>20261008</t>
        </is>
      </c>
      <c r="L694" s="4" t="inlineStr">
        <is>
          <t>WHA GC LOGISTICS COMPANY LIMITED</t>
        </is>
      </c>
      <c r="M694" s="4" t="inlineStr">
        <is>
          <t>PTT GLOBAL CHEMICAL PUBLIC COMPANY LIMITED</t>
        </is>
      </c>
      <c r="N694" s="4" t="inlineStr">
        <is>
          <t>RESIN</t>
        </is>
      </c>
      <c r="O694" s="4" t="inlineStr">
        <is>
          <t>GOOD AND CLEAN CONTAINER</t>
        </is>
      </c>
      <c r="P694" s="4" t="inlineStr">
        <is>
          <t xml:space="preserve">CY-RTN : 08-10/10/2026
</t>
        </is>
      </c>
      <c r="Q694" s="4" t="n">
        <v>1</v>
      </c>
      <c r="R694" s="4" t="n">
        <v>0</v>
      </c>
      <c r="S694" s="4" t="n">
        <v>0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>
        <f>SUM(Q694:Y694)-Z694</f>
        <v/>
      </c>
      <c r="AC694" s="4">
        <f>IF(I694="","",IF(OR(LEFT(I694,3)="BKK",I694="LCH55"),"BKK",IF(LEFT(I694,3)="LCH","LCH","OTHER")))</f>
        <v/>
      </c>
      <c r="AD694" s="4">
        <f>MAX(0,Q694-MAX(0,Z694))</f>
        <v/>
      </c>
      <c r="AE694" s="4">
        <f>MAX(0,R694-MAX(0,Z694-SUM(Q694:Q694)))</f>
        <v/>
      </c>
      <c r="AF694" s="4">
        <f>MAX(0,S694-MAX(0,Z694-SUM(Q694:R694)))</f>
        <v/>
      </c>
      <c r="AG694" s="4">
        <f>MAX(0,T694-MAX(0,Z694-SUM(Q694:S694)))</f>
        <v/>
      </c>
      <c r="AH694" s="4">
        <f>MAX(0,U694-MAX(0,Z694-SUM(Q694:T694)))</f>
        <v/>
      </c>
      <c r="AI694" s="4">
        <f>MAX(0,V694-MAX(0,Z694-SUM(Q694:U694)))</f>
        <v/>
      </c>
      <c r="AJ694" s="4">
        <f>MAX(0,W694-MAX(0,Z694-SUM(Q694:V694)))</f>
        <v/>
      </c>
      <c r="AK694" s="4">
        <f>MAX(0,X694-MAX(0,Z694-SUM(Q694:W694)))</f>
        <v/>
      </c>
      <c r="AL694" s="4">
        <f>MAX(0,Y694-MAX(0,Z694-SUM(Q694:X694)))</f>
        <v/>
      </c>
    </row>
    <row r="695">
      <c r="A695" s="4" t="inlineStr">
        <is>
          <t>HASLS22260901626</t>
        </is>
      </c>
      <c r="B695" s="4" t="inlineStr">
        <is>
          <t>SWIC</t>
        </is>
      </c>
      <c r="C695" s="4" t="inlineStr">
        <is>
          <t>2611N</t>
        </is>
      </c>
      <c r="D695" s="4" t="inlineStr">
        <is>
          <t>202610132300</t>
        </is>
      </c>
      <c r="E695" s="4" t="inlineStr"/>
      <c r="F695" s="4" t="inlineStr">
        <is>
          <t>THLCH</t>
        </is>
      </c>
      <c r="G695" s="4" t="inlineStr">
        <is>
          <t>JPHIJ</t>
        </is>
      </c>
      <c r="H695" s="4" t="inlineStr">
        <is>
          <t xml:space="preserve">40Hx1 </t>
        </is>
      </c>
      <c r="I695" s="4" t="inlineStr">
        <is>
          <t>LCHY5</t>
        </is>
      </c>
      <c r="J695" s="4" t="inlineStr">
        <is>
          <t>PW DEPOT CO., LTD.</t>
        </is>
      </c>
      <c r="K695" s="4" t="inlineStr">
        <is>
          <t>20261008</t>
        </is>
      </c>
      <c r="L695" s="4" t="inlineStr">
        <is>
          <t>MOL LOGISTICS (THAILAND) CO., LTD.</t>
        </is>
      </c>
      <c r="M695" s="4" t="inlineStr">
        <is>
          <t>MIKASA INDUSTRIES (THAILAND) CO., LTD.</t>
        </is>
      </c>
      <c r="N695" s="4" t="inlineStr">
        <is>
          <t>SPORTING GOODS (GENERAL CARGO)</t>
        </is>
      </c>
      <c r="O695" s="4" t="inlineStr">
        <is>
          <t>GOOD AND CLEAN CONTAINER</t>
        </is>
      </c>
      <c r="P695" s="4" t="inlineStr">
        <is>
          <t>Pickup : 2026-10-08, Return : 2026-10-09</t>
        </is>
      </c>
      <c r="Q695" s="4" t="n">
        <v>0</v>
      </c>
      <c r="R695" s="4" t="n">
        <v>0</v>
      </c>
      <c r="S695" s="4" t="n">
        <v>1</v>
      </c>
      <c r="T695" s="4" t="n">
        <v>0</v>
      </c>
      <c r="U695" s="4" t="n">
        <v>0</v>
      </c>
      <c r="V695" s="4" t="n">
        <v>0</v>
      </c>
      <c r="W695" s="4" t="n">
        <v>0</v>
      </c>
      <c r="X695" s="4" t="n">
        <v>0</v>
      </c>
      <c r="Y695" s="4" t="n">
        <v>0</v>
      </c>
      <c r="Z695" s="4" t="n">
        <v>0</v>
      </c>
      <c r="AA695" s="4" t="n">
        <v>0</v>
      </c>
      <c r="AB695" s="4">
        <f>SUM(Q695:Y695)-Z695</f>
        <v/>
      </c>
      <c r="AC695" s="4">
        <f>IF(I695="","",IF(OR(LEFT(I695,3)="BKK",I695="LCH55"),"BKK",IF(LEFT(I695,3)="LCH","LCH","OTHER")))</f>
        <v/>
      </c>
      <c r="AD695" s="4">
        <f>MAX(0,Q695-MAX(0,Z695))</f>
        <v/>
      </c>
      <c r="AE695" s="4">
        <f>MAX(0,R695-MAX(0,Z695-SUM(Q695:Q695)))</f>
        <v/>
      </c>
      <c r="AF695" s="4">
        <f>MAX(0,S695-MAX(0,Z695-SUM(Q695:R695)))</f>
        <v/>
      </c>
      <c r="AG695" s="4">
        <f>MAX(0,T695-MAX(0,Z695-SUM(Q695:S695)))</f>
        <v/>
      </c>
      <c r="AH695" s="4">
        <f>MAX(0,U695-MAX(0,Z695-SUM(Q695:T695)))</f>
        <v/>
      </c>
      <c r="AI695" s="4">
        <f>MAX(0,V695-MAX(0,Z695-SUM(Q695:U695)))</f>
        <v/>
      </c>
      <c r="AJ695" s="4">
        <f>MAX(0,W695-MAX(0,Z695-SUM(Q695:V695)))</f>
        <v/>
      </c>
      <c r="AK695" s="4">
        <f>MAX(0,X695-MAX(0,Z695-SUM(Q695:W695)))</f>
        <v/>
      </c>
      <c r="AL695" s="4">
        <f>MAX(0,Y695-MAX(0,Z695-SUM(Q695:X695)))</f>
        <v/>
      </c>
    </row>
    <row r="696">
      <c r="A696" s="4" t="inlineStr">
        <is>
          <t>HASLS22260901634</t>
        </is>
      </c>
      <c r="B696" s="4" t="inlineStr">
        <is>
          <t>SWAL</t>
        </is>
      </c>
      <c r="C696" s="4" t="inlineStr">
        <is>
          <t>2609N</t>
        </is>
      </c>
      <c r="D696" s="4" t="inlineStr">
        <is>
          <t>202610200800</t>
        </is>
      </c>
      <c r="E696" s="4" t="inlineStr"/>
      <c r="F696" s="4" t="inlineStr">
        <is>
          <t>THLCH</t>
        </is>
      </c>
      <c r="G696" s="4" t="inlineStr">
        <is>
          <t>JPHKT</t>
        </is>
      </c>
      <c r="H696" s="4" t="inlineStr">
        <is>
          <t xml:space="preserve">40Hx1 </t>
        </is>
      </c>
      <c r="I696" s="4" t="inlineStr">
        <is>
          <t>LCHY5</t>
        </is>
      </c>
      <c r="J696" s="4" t="inlineStr">
        <is>
          <t>PW DEPOT CO., LTD.</t>
        </is>
      </c>
      <c r="K696" s="4" t="inlineStr">
        <is>
          <t>20261015</t>
        </is>
      </c>
      <c r="L696" s="4" t="inlineStr">
        <is>
          <t>LOGIMARK INTERNATIONAL LIMITED</t>
        </is>
      </c>
      <c r="M696" s="4" t="inlineStr">
        <is>
          <t>TANG SIA PING METAL WORK CO., LTD.</t>
        </is>
      </c>
      <c r="N696" s="4" t="inlineStr">
        <is>
          <t xml:space="preserve">AGRICULTURAL MACHINERY AND EQUIPMENT </t>
        </is>
      </c>
      <c r="O696" s="4" t="inlineStr">
        <is>
          <t>GOOD AND CLEAN CONTAINER</t>
        </is>
      </c>
      <c r="P696" s="4" t="inlineStr">
        <is>
          <t>Pickup : 2026-10-15, Return : 2026-10-16</t>
        </is>
      </c>
      <c r="Q696" s="4" t="n">
        <v>0</v>
      </c>
      <c r="R696" s="4" t="n">
        <v>0</v>
      </c>
      <c r="S696" s="4" t="n">
        <v>1</v>
      </c>
      <c r="T696" s="4" t="n">
        <v>0</v>
      </c>
      <c r="U696" s="4" t="n">
        <v>0</v>
      </c>
      <c r="V696" s="4" t="n">
        <v>0</v>
      </c>
      <c r="W696" s="4" t="n">
        <v>0</v>
      </c>
      <c r="X696" s="4" t="n">
        <v>0</v>
      </c>
      <c r="Y696" s="4" t="n">
        <v>0</v>
      </c>
      <c r="Z696" s="4" t="n">
        <v>0</v>
      </c>
      <c r="AA696" s="4" t="n">
        <v>0</v>
      </c>
      <c r="AB696" s="4">
        <f>SUM(Q696:Y696)-Z696</f>
        <v/>
      </c>
      <c r="AC696" s="4">
        <f>IF(I696="","",IF(OR(LEFT(I696,3)="BKK",I696="LCH55"),"BKK",IF(LEFT(I696,3)="LCH","LCH","OTHER")))</f>
        <v/>
      </c>
      <c r="AD696" s="4">
        <f>MAX(0,Q696-MAX(0,Z696))</f>
        <v/>
      </c>
      <c r="AE696" s="4">
        <f>MAX(0,R696-MAX(0,Z696-SUM(Q696:Q696)))</f>
        <v/>
      </c>
      <c r="AF696" s="4">
        <f>MAX(0,S696-MAX(0,Z696-SUM(Q696:R696)))</f>
        <v/>
      </c>
      <c r="AG696" s="4">
        <f>MAX(0,T696-MAX(0,Z696-SUM(Q696:S696)))</f>
        <v/>
      </c>
      <c r="AH696" s="4">
        <f>MAX(0,U696-MAX(0,Z696-SUM(Q696:T696)))</f>
        <v/>
      </c>
      <c r="AI696" s="4">
        <f>MAX(0,V696-MAX(0,Z696-SUM(Q696:U696)))</f>
        <v/>
      </c>
      <c r="AJ696" s="4">
        <f>MAX(0,W696-MAX(0,Z696-SUM(Q696:V696)))</f>
        <v/>
      </c>
      <c r="AK696" s="4">
        <f>MAX(0,X696-MAX(0,Z696-SUM(Q696:W696)))</f>
        <v/>
      </c>
      <c r="AL696" s="4">
        <f>MAX(0,Y696-MAX(0,Z696-SUM(Q696:X696)))</f>
        <v/>
      </c>
    </row>
    <row r="697">
      <c r="A697" s="4" t="inlineStr">
        <is>
          <t>HASLS22260901642</t>
        </is>
      </c>
      <c r="B697" s="4" t="inlineStr">
        <is>
          <t>CMA</t>
        </is>
      </c>
      <c r="C697" s="4" t="inlineStr">
        <is>
          <t>2615N</t>
        </is>
      </c>
      <c r="D697" s="4" t="inlineStr">
        <is>
          <t>202610181600</t>
        </is>
      </c>
      <c r="E697" s="4" t="inlineStr"/>
      <c r="F697" s="4" t="inlineStr">
        <is>
          <t>THLCH</t>
        </is>
      </c>
      <c r="G697" s="4" t="inlineStr">
        <is>
          <t>CNSHK</t>
        </is>
      </c>
      <c r="H697" s="4" t="inlineStr">
        <is>
          <t xml:space="preserve">20'x1 </t>
        </is>
      </c>
      <c r="I697" s="4" t="inlineStr">
        <is>
          <t>LCHY5</t>
        </is>
      </c>
      <c r="J697" s="4" t="inlineStr">
        <is>
          <t>PW DEPOT CO., LTD.</t>
        </is>
      </c>
      <c r="K697" s="4" t="inlineStr">
        <is>
          <t>20261014</t>
        </is>
      </c>
      <c r="L697" s="4" t="inlineStr">
        <is>
          <t>LOUIS ADHESIVE TAPES CO., LTD.</t>
        </is>
      </c>
      <c r="M697" s="4" t="inlineStr">
        <is>
          <t>LOUIS ADHESIVE TAPES CO., LTD.</t>
        </is>
      </c>
      <c r="N697" s="4" t="inlineStr">
        <is>
          <t>CELLULOSE TAPE</t>
        </is>
      </c>
      <c r="O697" s="4" t="inlineStr">
        <is>
          <t>NEW, CLEAN, DRY &amp; NO PUSH IN CONTAINER</t>
        </is>
      </c>
      <c r="P697" s="4" t="inlineStr">
        <is>
          <t>Pickup : 2026-10-14, Return : 2026-10-15</t>
        </is>
      </c>
      <c r="Q697" s="4" t="n">
        <v>1</v>
      </c>
      <c r="R697" s="4" t="n">
        <v>0</v>
      </c>
      <c r="S697" s="4" t="n">
        <v>0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>
        <f>SUM(Q697:Y697)-Z697</f>
        <v/>
      </c>
      <c r="AC697" s="4">
        <f>IF(I697="","",IF(OR(LEFT(I697,3)="BKK",I697="LCH55"),"BKK",IF(LEFT(I697,3)="LCH","LCH","OTHER")))</f>
        <v/>
      </c>
      <c r="AD697" s="4">
        <f>MAX(0,Q697-MAX(0,Z697))</f>
        <v/>
      </c>
      <c r="AE697" s="4">
        <f>MAX(0,R697-MAX(0,Z697-SUM(Q697:Q697)))</f>
        <v/>
      </c>
      <c r="AF697" s="4">
        <f>MAX(0,S697-MAX(0,Z697-SUM(Q697:R697)))</f>
        <v/>
      </c>
      <c r="AG697" s="4">
        <f>MAX(0,T697-MAX(0,Z697-SUM(Q697:S697)))</f>
        <v/>
      </c>
      <c r="AH697" s="4">
        <f>MAX(0,U697-MAX(0,Z697-SUM(Q697:T697)))</f>
        <v/>
      </c>
      <c r="AI697" s="4">
        <f>MAX(0,V697-MAX(0,Z697-SUM(Q697:U697)))</f>
        <v/>
      </c>
      <c r="AJ697" s="4">
        <f>MAX(0,W697-MAX(0,Z697-SUM(Q697:V697)))</f>
        <v/>
      </c>
      <c r="AK697" s="4">
        <f>MAX(0,X697-MAX(0,Z697-SUM(Q697:W697)))</f>
        <v/>
      </c>
      <c r="AL697" s="4">
        <f>MAX(0,Y697-MAX(0,Z697-SUM(Q697:X697)))</f>
        <v/>
      </c>
    </row>
    <row r="698">
      <c r="A698" s="4" t="inlineStr">
        <is>
          <t>HASLS22260901648</t>
        </is>
      </c>
      <c r="B698" s="4" t="inlineStr">
        <is>
          <t>SKOR</t>
        </is>
      </c>
      <c r="C698" s="4" t="inlineStr">
        <is>
          <t>2612N</t>
        </is>
      </c>
      <c r="D698" s="4" t="inlineStr">
        <is>
          <t>202610190700</t>
        </is>
      </c>
      <c r="E698" s="4" t="inlineStr"/>
      <c r="F698" s="4" t="inlineStr">
        <is>
          <t>THLCH</t>
        </is>
      </c>
      <c r="G698" s="4" t="inlineStr">
        <is>
          <t>HKHKG</t>
        </is>
      </c>
      <c r="H698" s="4" t="inlineStr">
        <is>
          <t xml:space="preserve">40Hx1 </t>
        </is>
      </c>
      <c r="I698" s="4" t="inlineStr">
        <is>
          <t>LCHY5</t>
        </is>
      </c>
      <c r="J698" s="4" t="inlineStr">
        <is>
          <t>PW DEPOT CO., LTD.</t>
        </is>
      </c>
      <c r="K698" s="4" t="inlineStr">
        <is>
          <t>20261014</t>
        </is>
      </c>
      <c r="L698" s="4" t="inlineStr">
        <is>
          <t>ELIJAH INTER FREIGHT CO., LTD.</t>
        </is>
      </c>
      <c r="M698" s="4" t="inlineStr">
        <is>
          <t>THAI LOTTE CO., LTD.</t>
        </is>
      </c>
      <c r="N698" s="4" t="inlineStr">
        <is>
          <t>BISCUIT</t>
        </is>
      </c>
      <c r="O698" s="4" t="inlineStr">
        <is>
          <t>REQUEST CONTAINER GRADE A</t>
        </is>
      </c>
      <c r="P698" s="4" t="inlineStr">
        <is>
          <t>Pickup : 2026-10-14, Return : 2026-10-15</t>
        </is>
      </c>
      <c r="Q698" s="4" t="n">
        <v>0</v>
      </c>
      <c r="R698" s="4" t="n">
        <v>0</v>
      </c>
      <c r="S698" s="4" t="n">
        <v>1</v>
      </c>
      <c r="T698" s="4" t="n">
        <v>0</v>
      </c>
      <c r="U698" s="4" t="n">
        <v>0</v>
      </c>
      <c r="V698" s="4" t="n">
        <v>0</v>
      </c>
      <c r="W698" s="4" t="n">
        <v>0</v>
      </c>
      <c r="X698" s="4" t="n">
        <v>0</v>
      </c>
      <c r="Y698" s="4" t="n">
        <v>0</v>
      </c>
      <c r="Z698" s="4" t="n">
        <v>0</v>
      </c>
      <c r="AA698" s="4" t="n">
        <v>0</v>
      </c>
      <c r="AB698" s="4">
        <f>SUM(Q698:Y698)-Z698</f>
        <v/>
      </c>
      <c r="AC698" s="4">
        <f>IF(I698="","",IF(OR(LEFT(I698,3)="BKK",I698="LCH55"),"BKK",IF(LEFT(I698,3)="LCH","LCH","OTHER")))</f>
        <v/>
      </c>
      <c r="AD698" s="4">
        <f>MAX(0,Q698-MAX(0,Z698))</f>
        <v/>
      </c>
      <c r="AE698" s="4">
        <f>MAX(0,R698-MAX(0,Z698-SUM(Q698:Q698)))</f>
        <v/>
      </c>
      <c r="AF698" s="4">
        <f>MAX(0,S698-MAX(0,Z698-SUM(Q698:R698)))</f>
        <v/>
      </c>
      <c r="AG698" s="4">
        <f>MAX(0,T698-MAX(0,Z698-SUM(Q698:S698)))</f>
        <v/>
      </c>
      <c r="AH698" s="4">
        <f>MAX(0,U698-MAX(0,Z698-SUM(Q698:T698)))</f>
        <v/>
      </c>
      <c r="AI698" s="4">
        <f>MAX(0,V698-MAX(0,Z698-SUM(Q698:U698)))</f>
        <v/>
      </c>
      <c r="AJ698" s="4">
        <f>MAX(0,W698-MAX(0,Z698-SUM(Q698:V698)))</f>
        <v/>
      </c>
      <c r="AK698" s="4">
        <f>MAX(0,X698-MAX(0,Z698-SUM(Q698:W698)))</f>
        <v/>
      </c>
      <c r="AL698" s="4">
        <f>MAX(0,Y698-MAX(0,Z698-SUM(Q698:X698)))</f>
        <v/>
      </c>
    </row>
    <row r="699">
      <c r="A699" s="4" t="inlineStr">
        <is>
          <t>HASLS22260901651</t>
        </is>
      </c>
      <c r="B699" s="4" t="inlineStr">
        <is>
          <t>SKOR</t>
        </is>
      </c>
      <c r="C699" s="4" t="inlineStr">
        <is>
          <t>2612N</t>
        </is>
      </c>
      <c r="D699" s="4" t="inlineStr">
        <is>
          <t>202610190700</t>
        </is>
      </c>
      <c r="E699" s="4" t="inlineStr"/>
      <c r="F699" s="4" t="inlineStr">
        <is>
          <t>THLCH</t>
        </is>
      </c>
      <c r="G699" s="4" t="inlineStr">
        <is>
          <t>HKHKG</t>
        </is>
      </c>
      <c r="H699" s="4" t="inlineStr">
        <is>
          <t xml:space="preserve">40Hx1 </t>
        </is>
      </c>
      <c r="I699" s="4" t="inlineStr">
        <is>
          <t>LCHY5</t>
        </is>
      </c>
      <c r="J699" s="4" t="inlineStr">
        <is>
          <t>PW DEPOT CO., LTD.</t>
        </is>
      </c>
      <c r="K699" s="4" t="inlineStr">
        <is>
          <t>20261014</t>
        </is>
      </c>
      <c r="L699" s="4" t="inlineStr">
        <is>
          <t>ELIJAH INTER FREIGHT CO., LTD.</t>
        </is>
      </c>
      <c r="M699" s="4" t="inlineStr">
        <is>
          <t>THAI LOTTE CO., LTD.</t>
        </is>
      </c>
      <c r="N699" s="4" t="inlineStr">
        <is>
          <t>BISCUIT</t>
        </is>
      </c>
      <c r="O699" s="4" t="inlineStr">
        <is>
          <t>REQUEST CONTAINER GRADE A</t>
        </is>
      </c>
      <c r="P699" s="4" t="inlineStr">
        <is>
          <t>Pickup : 2026-10-14, Return : 2026-10-15</t>
        </is>
      </c>
      <c r="Q699" s="4" t="n">
        <v>0</v>
      </c>
      <c r="R699" s="4" t="n">
        <v>0</v>
      </c>
      <c r="S699" s="4" t="n">
        <v>1</v>
      </c>
      <c r="T699" s="4" t="n">
        <v>0</v>
      </c>
      <c r="U699" s="4" t="n">
        <v>0</v>
      </c>
      <c r="V699" s="4" t="n">
        <v>0</v>
      </c>
      <c r="W699" s="4" t="n">
        <v>0</v>
      </c>
      <c r="X699" s="4" t="n">
        <v>0</v>
      </c>
      <c r="Y699" s="4" t="n">
        <v>0</v>
      </c>
      <c r="Z699" s="4" t="n">
        <v>0</v>
      </c>
      <c r="AA699" s="4" t="n">
        <v>0</v>
      </c>
      <c r="AB699" s="4">
        <f>SUM(Q699:Y699)-Z699</f>
        <v/>
      </c>
      <c r="AC699" s="4">
        <f>IF(I699="","",IF(OR(LEFT(I699,3)="BKK",I699="LCH55"),"BKK",IF(LEFT(I699,3)="LCH","LCH","OTHER")))</f>
        <v/>
      </c>
      <c r="AD699" s="4">
        <f>MAX(0,Q699-MAX(0,Z699))</f>
        <v/>
      </c>
      <c r="AE699" s="4">
        <f>MAX(0,R699-MAX(0,Z699-SUM(Q699:Q699)))</f>
        <v/>
      </c>
      <c r="AF699" s="4">
        <f>MAX(0,S699-MAX(0,Z699-SUM(Q699:R699)))</f>
        <v/>
      </c>
      <c r="AG699" s="4">
        <f>MAX(0,T699-MAX(0,Z699-SUM(Q699:S699)))</f>
        <v/>
      </c>
      <c r="AH699" s="4">
        <f>MAX(0,U699-MAX(0,Z699-SUM(Q699:T699)))</f>
        <v/>
      </c>
      <c r="AI699" s="4">
        <f>MAX(0,V699-MAX(0,Z699-SUM(Q699:U699)))</f>
        <v/>
      </c>
      <c r="AJ699" s="4">
        <f>MAX(0,W699-MAX(0,Z699-SUM(Q699:V699)))</f>
        <v/>
      </c>
      <c r="AK699" s="4">
        <f>MAX(0,X699-MAX(0,Z699-SUM(Q699:W699)))</f>
        <v/>
      </c>
      <c r="AL699" s="4">
        <f>MAX(0,Y699-MAX(0,Z699-SUM(Q699:X699)))</f>
        <v/>
      </c>
    </row>
    <row r="700">
      <c r="A700" s="4" t="inlineStr">
        <is>
          <t>HASLS22260901660</t>
        </is>
      </c>
      <c r="B700" s="4" t="inlineStr">
        <is>
          <t>KXM</t>
        </is>
      </c>
      <c r="C700" s="4" t="inlineStr">
        <is>
          <t>2609S</t>
        </is>
      </c>
      <c r="D700" s="4" t="inlineStr">
        <is>
          <t>202611071830</t>
        </is>
      </c>
      <c r="E700" s="4" t="inlineStr"/>
      <c r="F700" s="4" t="inlineStr">
        <is>
          <t>THLCH</t>
        </is>
      </c>
      <c r="G700" s="4" t="inlineStr">
        <is>
          <t>IDJKT</t>
        </is>
      </c>
      <c r="H700" s="4" t="inlineStr">
        <is>
          <t xml:space="preserve">40Hx3 </t>
        </is>
      </c>
      <c r="I700" s="4" t="inlineStr">
        <is>
          <t>LCHY5</t>
        </is>
      </c>
      <c r="J700" s="4" t="inlineStr">
        <is>
          <t>PW DEPOT CO., LTD.</t>
        </is>
      </c>
      <c r="K700" s="4" t="inlineStr">
        <is>
          <t>20261005</t>
        </is>
      </c>
      <c r="L700" s="4" t="inlineStr">
        <is>
          <t>YUSEN LOGISTICS (THAILAND) CO., LTD.</t>
        </is>
      </c>
      <c r="M700" s="4" t="inlineStr">
        <is>
          <t>OATSIDE (THAILAND) LIMITED.</t>
        </is>
      </c>
      <c r="N700" s="4" t="inlineStr">
        <is>
          <t>OAT MILK ( GOOD GRADE CONTAINER REQUIRED)</t>
        </is>
      </c>
      <c r="O700" s="4" t="inlineStr">
        <is>
          <t>Good dry and clean container
Food grade container only
Rust-Free interior
No Physical Damage.</t>
        </is>
      </c>
      <c r="P700" s="4" t="inlineStr">
        <is>
          <t>Pickup : 2026-10-05, Return : 2026-10-05</t>
        </is>
      </c>
      <c r="Q700" s="4" t="n">
        <v>0</v>
      </c>
      <c r="R700" s="4" t="n">
        <v>0</v>
      </c>
      <c r="S700" s="4" t="n">
        <v>3</v>
      </c>
      <c r="T700" s="4" t="n">
        <v>0</v>
      </c>
      <c r="U700" s="4" t="n">
        <v>0</v>
      </c>
      <c r="V700" s="4" t="n">
        <v>0</v>
      </c>
      <c r="W700" s="4" t="n">
        <v>0</v>
      </c>
      <c r="X700" s="4" t="n">
        <v>0</v>
      </c>
      <c r="Y700" s="4" t="n">
        <v>0</v>
      </c>
      <c r="Z700" s="4" t="n">
        <v>0</v>
      </c>
      <c r="AA700" s="4" t="n">
        <v>0</v>
      </c>
      <c r="AB700" s="4">
        <f>SUM(Q700:Y700)-Z700</f>
        <v/>
      </c>
      <c r="AC700" s="4">
        <f>IF(I700="","",IF(OR(LEFT(I700,3)="BKK",I700="LCH55"),"BKK",IF(LEFT(I700,3)="LCH","LCH","OTHER")))</f>
        <v/>
      </c>
      <c r="AD700" s="4">
        <f>MAX(0,Q700-MAX(0,Z700))</f>
        <v/>
      </c>
      <c r="AE700" s="4">
        <f>MAX(0,R700-MAX(0,Z700-SUM(Q700:Q700)))</f>
        <v/>
      </c>
      <c r="AF700" s="4">
        <f>MAX(0,S700-MAX(0,Z700-SUM(Q700:R700)))</f>
        <v/>
      </c>
      <c r="AG700" s="4">
        <f>MAX(0,T700-MAX(0,Z700-SUM(Q700:S700)))</f>
        <v/>
      </c>
      <c r="AH700" s="4">
        <f>MAX(0,U700-MAX(0,Z700-SUM(Q700:T700)))</f>
        <v/>
      </c>
      <c r="AI700" s="4">
        <f>MAX(0,V700-MAX(0,Z700-SUM(Q700:U700)))</f>
        <v/>
      </c>
      <c r="AJ700" s="4">
        <f>MAX(0,W700-MAX(0,Z700-SUM(Q700:V700)))</f>
        <v/>
      </c>
      <c r="AK700" s="4">
        <f>MAX(0,X700-MAX(0,Z700-SUM(Q700:W700)))</f>
        <v/>
      </c>
      <c r="AL700" s="4">
        <f>MAX(0,Y700-MAX(0,Z700-SUM(Q700:X700)))</f>
        <v/>
      </c>
    </row>
    <row r="701">
      <c r="A701" s="4" t="inlineStr">
        <is>
          <t>HASLS22260901682</t>
        </is>
      </c>
      <c r="B701" s="4" t="inlineStr">
        <is>
          <t>HMVY</t>
        </is>
      </c>
      <c r="C701" s="4" t="inlineStr">
        <is>
          <t>2609N</t>
        </is>
      </c>
      <c r="D701" s="4" t="inlineStr">
        <is>
          <t>202610200330</t>
        </is>
      </c>
      <c r="E701" s="4" t="inlineStr"/>
      <c r="F701" s="4" t="inlineStr">
        <is>
          <t>THLCH</t>
        </is>
      </c>
      <c r="G701" s="4" t="inlineStr">
        <is>
          <t>JPMYJ</t>
        </is>
      </c>
      <c r="H701" s="4" t="inlineStr">
        <is>
          <t xml:space="preserve">40Hx4 </t>
        </is>
      </c>
      <c r="I701" s="4" t="inlineStr">
        <is>
          <t>LCHY5</t>
        </is>
      </c>
      <c r="J701" s="4" t="inlineStr">
        <is>
          <t>PW DEPOT CO., LTD.</t>
        </is>
      </c>
      <c r="K701" s="4" t="inlineStr">
        <is>
          <t>20261008</t>
        </is>
      </c>
      <c r="L701" s="4" t="inlineStr">
        <is>
          <t>WHA GC LOGISTICS COMPANY LIMITED</t>
        </is>
      </c>
      <c r="M701" s="4" t="inlineStr">
        <is>
          <t>PTT GLOBAL CHEMICAL PUBLIC COMPANY LIMITED</t>
        </is>
      </c>
      <c r="N701" s="4" t="inlineStr">
        <is>
          <t>RESIN</t>
        </is>
      </c>
      <c r="O701" s="4" t="inlineStr">
        <is>
          <t>GOOD AND CLEAN CTNR</t>
        </is>
      </c>
      <c r="P701" s="4" t="inlineStr">
        <is>
          <t>CY-RTN 08-10/10/26</t>
        </is>
      </c>
      <c r="Q701" s="4" t="n">
        <v>0</v>
      </c>
      <c r="R701" s="4" t="n">
        <v>0</v>
      </c>
      <c r="S701" s="4" t="n">
        <v>4</v>
      </c>
      <c r="T701" s="4" t="n">
        <v>0</v>
      </c>
      <c r="U701" s="4" t="n">
        <v>0</v>
      </c>
      <c r="V701" s="4" t="n">
        <v>0</v>
      </c>
      <c r="W701" s="4" t="n">
        <v>0</v>
      </c>
      <c r="X701" s="4" t="n">
        <v>0</v>
      </c>
      <c r="Y701" s="4" t="n">
        <v>0</v>
      </c>
      <c r="Z701" s="4" t="n">
        <v>0</v>
      </c>
      <c r="AA701" s="4" t="n">
        <v>0</v>
      </c>
      <c r="AB701" s="4">
        <f>SUM(Q701:Y701)-Z701</f>
        <v/>
      </c>
      <c r="AC701" s="4">
        <f>IF(I701="","",IF(OR(LEFT(I701,3)="BKK",I701="LCH55"),"BKK",IF(LEFT(I701,3)="LCH","LCH","OTHER")))</f>
        <v/>
      </c>
      <c r="AD701" s="4">
        <f>MAX(0,Q701-MAX(0,Z701))</f>
        <v/>
      </c>
      <c r="AE701" s="4">
        <f>MAX(0,R701-MAX(0,Z701-SUM(Q701:Q701)))</f>
        <v/>
      </c>
      <c r="AF701" s="4">
        <f>MAX(0,S701-MAX(0,Z701-SUM(Q701:R701)))</f>
        <v/>
      </c>
      <c r="AG701" s="4">
        <f>MAX(0,T701-MAX(0,Z701-SUM(Q701:S701)))</f>
        <v/>
      </c>
      <c r="AH701" s="4">
        <f>MAX(0,U701-MAX(0,Z701-SUM(Q701:T701)))</f>
        <v/>
      </c>
      <c r="AI701" s="4">
        <f>MAX(0,V701-MAX(0,Z701-SUM(Q701:U701)))</f>
        <v/>
      </c>
      <c r="AJ701" s="4">
        <f>MAX(0,W701-MAX(0,Z701-SUM(Q701:V701)))</f>
        <v/>
      </c>
      <c r="AK701" s="4">
        <f>MAX(0,X701-MAX(0,Z701-SUM(Q701:W701)))</f>
        <v/>
      </c>
      <c r="AL701" s="4">
        <f>MAX(0,Y701-MAX(0,Z701-SUM(Q701:X701)))</f>
        <v/>
      </c>
    </row>
    <row r="702">
      <c r="A702" s="4" t="inlineStr">
        <is>
          <t>HASLS22260901683</t>
        </is>
      </c>
      <c r="B702" s="4" t="inlineStr">
        <is>
          <t>HMVY</t>
        </is>
      </c>
      <c r="C702" s="4" t="inlineStr">
        <is>
          <t>2609N</t>
        </is>
      </c>
      <c r="D702" s="4" t="inlineStr">
        <is>
          <t>202610200330</t>
        </is>
      </c>
      <c r="E702" s="4" t="inlineStr"/>
      <c r="F702" s="4" t="inlineStr">
        <is>
          <t>THLCH</t>
        </is>
      </c>
      <c r="G702" s="4" t="inlineStr">
        <is>
          <t>JPMYJ</t>
        </is>
      </c>
      <c r="H702" s="4" t="inlineStr">
        <is>
          <t xml:space="preserve">40Hx4 </t>
        </is>
      </c>
      <c r="I702" s="4" t="inlineStr">
        <is>
          <t>LCHY5</t>
        </is>
      </c>
      <c r="J702" s="4" t="inlineStr">
        <is>
          <t>PW DEPOT CO., LTD.</t>
        </is>
      </c>
      <c r="K702" s="4" t="inlineStr">
        <is>
          <t>20261008</t>
        </is>
      </c>
      <c r="L702" s="4" t="inlineStr">
        <is>
          <t>WHA GC LOGISTICS COMPANY LIMITED</t>
        </is>
      </c>
      <c r="M702" s="4" t="inlineStr">
        <is>
          <t>PTT GLOBAL CHEMICAL PUBLIC COMPANY LIMITED</t>
        </is>
      </c>
      <c r="N702" s="4" t="inlineStr">
        <is>
          <t>RESIN</t>
        </is>
      </c>
      <c r="O702" s="4" t="inlineStr">
        <is>
          <t>GOOD AND CLEAN CTNR</t>
        </is>
      </c>
      <c r="P702" s="4" t="inlineStr">
        <is>
          <t>CY-RTN 08-10/10/26</t>
        </is>
      </c>
      <c r="Q702" s="4" t="n">
        <v>0</v>
      </c>
      <c r="R702" s="4" t="n">
        <v>0</v>
      </c>
      <c r="S702" s="4" t="n">
        <v>4</v>
      </c>
      <c r="T702" s="4" t="n">
        <v>0</v>
      </c>
      <c r="U702" s="4" t="n">
        <v>0</v>
      </c>
      <c r="V702" s="4" t="n">
        <v>0</v>
      </c>
      <c r="W702" s="4" t="n">
        <v>0</v>
      </c>
      <c r="X702" s="4" t="n">
        <v>0</v>
      </c>
      <c r="Y702" s="4" t="n">
        <v>0</v>
      </c>
      <c r="Z702" s="4" t="n">
        <v>0</v>
      </c>
      <c r="AA702" s="4" t="n">
        <v>0</v>
      </c>
      <c r="AB702" s="4">
        <f>SUM(Q702:Y702)-Z702</f>
        <v/>
      </c>
      <c r="AC702" s="4">
        <f>IF(I702="","",IF(OR(LEFT(I702,3)="BKK",I702="LCH55"),"BKK",IF(LEFT(I702,3)="LCH","LCH","OTHER")))</f>
        <v/>
      </c>
      <c r="AD702" s="4">
        <f>MAX(0,Q702-MAX(0,Z702))</f>
        <v/>
      </c>
      <c r="AE702" s="4">
        <f>MAX(0,R702-MAX(0,Z702-SUM(Q702:Q702)))</f>
        <v/>
      </c>
      <c r="AF702" s="4">
        <f>MAX(0,S702-MAX(0,Z702-SUM(Q702:R702)))</f>
        <v/>
      </c>
      <c r="AG702" s="4">
        <f>MAX(0,T702-MAX(0,Z702-SUM(Q702:S702)))</f>
        <v/>
      </c>
      <c r="AH702" s="4">
        <f>MAX(0,U702-MAX(0,Z702-SUM(Q702:T702)))</f>
        <v/>
      </c>
      <c r="AI702" s="4">
        <f>MAX(0,V702-MAX(0,Z702-SUM(Q702:U702)))</f>
        <v/>
      </c>
      <c r="AJ702" s="4">
        <f>MAX(0,W702-MAX(0,Z702-SUM(Q702:V702)))</f>
        <v/>
      </c>
      <c r="AK702" s="4">
        <f>MAX(0,X702-MAX(0,Z702-SUM(Q702:W702)))</f>
        <v/>
      </c>
      <c r="AL702" s="4">
        <f>MAX(0,Y702-MAX(0,Z702-SUM(Q702:X702)))</f>
        <v/>
      </c>
    </row>
    <row r="703">
      <c r="A703" s="4" t="inlineStr">
        <is>
          <t>HASLS22260901698</t>
        </is>
      </c>
      <c r="B703" s="4" t="inlineStr">
        <is>
          <t>SWRG</t>
        </is>
      </c>
      <c r="C703" s="4" t="inlineStr">
        <is>
          <t>2609N</t>
        </is>
      </c>
      <c r="D703" s="4" t="inlineStr">
        <is>
          <t>202610131130</t>
        </is>
      </c>
      <c r="E703" s="4" t="inlineStr"/>
      <c r="F703" s="4" t="inlineStr">
        <is>
          <t>THLCH</t>
        </is>
      </c>
      <c r="G703" s="4" t="inlineStr">
        <is>
          <t>KRPUS</t>
        </is>
      </c>
      <c r="H703" s="4" t="inlineStr">
        <is>
          <t xml:space="preserve">20'x1 </t>
        </is>
      </c>
      <c r="I703" s="4" t="inlineStr">
        <is>
          <t>LCHY5</t>
        </is>
      </c>
      <c r="J703" s="4" t="inlineStr">
        <is>
          <t>PW DEPOT CO., LTD.</t>
        </is>
      </c>
      <c r="K703" s="4" t="inlineStr">
        <is>
          <t>20261006</t>
        </is>
      </c>
      <c r="L703" s="4" t="inlineStr">
        <is>
          <t>SIAM FOOD (2513) CO., LTD.</t>
        </is>
      </c>
      <c r="M703" s="4" t="inlineStr">
        <is>
          <t>SIAM FOOD (2513) CO., LTD.</t>
        </is>
      </c>
      <c r="N703" s="4" t="inlineStr">
        <is>
          <t>2008.20</t>
        </is>
      </c>
      <c r="O703" s="4" t="inlineStr">
        <is>
          <t>GOOD AND CLEAN CONTAINER</t>
        </is>
      </c>
      <c r="P703" s="4" t="inlineStr">
        <is>
          <t>Pickup : 2026-10-06, Return : 2026-10-07</t>
        </is>
      </c>
      <c r="Q703" s="4" t="n">
        <v>1</v>
      </c>
      <c r="R703" s="4" t="n">
        <v>0</v>
      </c>
      <c r="S703" s="4" t="n">
        <v>0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>
        <f>SUM(Q703:Y703)-Z703</f>
        <v/>
      </c>
      <c r="AC703" s="4">
        <f>IF(I703="","",IF(OR(LEFT(I703,3)="BKK",I703="LCH55"),"BKK",IF(LEFT(I703,3)="LCH","LCH","OTHER")))</f>
        <v/>
      </c>
      <c r="AD703" s="4">
        <f>MAX(0,Q703-MAX(0,Z703))</f>
        <v/>
      </c>
      <c r="AE703" s="4">
        <f>MAX(0,R703-MAX(0,Z703-SUM(Q703:Q703)))</f>
        <v/>
      </c>
      <c r="AF703" s="4">
        <f>MAX(0,S703-MAX(0,Z703-SUM(Q703:R703)))</f>
        <v/>
      </c>
      <c r="AG703" s="4">
        <f>MAX(0,T703-MAX(0,Z703-SUM(Q703:S703)))</f>
        <v/>
      </c>
      <c r="AH703" s="4">
        <f>MAX(0,U703-MAX(0,Z703-SUM(Q703:T703)))</f>
        <v/>
      </c>
      <c r="AI703" s="4">
        <f>MAX(0,V703-MAX(0,Z703-SUM(Q703:U703)))</f>
        <v/>
      </c>
      <c r="AJ703" s="4">
        <f>MAX(0,W703-MAX(0,Z703-SUM(Q703:V703)))</f>
        <v/>
      </c>
      <c r="AK703" s="4">
        <f>MAX(0,X703-MAX(0,Z703-SUM(Q703:W703)))</f>
        <v/>
      </c>
      <c r="AL703" s="4">
        <f>MAX(0,Y703-MAX(0,Z703-SUM(Q703:X703)))</f>
        <v/>
      </c>
    </row>
    <row r="704">
      <c r="A704" s="4" t="inlineStr">
        <is>
          <t>HASLS22260901703</t>
        </is>
      </c>
      <c r="B704" s="4" t="inlineStr">
        <is>
          <t>SWMM</t>
        </is>
      </c>
      <c r="C704" s="4" t="inlineStr">
        <is>
          <t>2610N</t>
        </is>
      </c>
      <c r="D704" s="4" t="inlineStr">
        <is>
          <t>202610212100</t>
        </is>
      </c>
      <c r="E704" s="4" t="inlineStr"/>
      <c r="F704" s="4" t="inlineStr">
        <is>
          <t>THLCH</t>
        </is>
      </c>
      <c r="G704" s="4" t="inlineStr">
        <is>
          <t>VNSGN</t>
        </is>
      </c>
      <c r="H704" s="4" t="inlineStr">
        <is>
          <t xml:space="preserve">40Hx9 </t>
        </is>
      </c>
      <c r="I704" s="4" t="inlineStr">
        <is>
          <t>LCHY5</t>
        </is>
      </c>
      <c r="J704" s="4" t="inlineStr">
        <is>
          <t>PW DEPOT CO., LTD.</t>
        </is>
      </c>
      <c r="K704" s="4" t="inlineStr">
        <is>
          <t>20261009</t>
        </is>
      </c>
      <c r="L704" s="4" t="inlineStr">
        <is>
          <t>WHA GC LOGISTICS COMPANY LIMITED</t>
        </is>
      </c>
      <c r="M704" s="4" t="inlineStr">
        <is>
          <t>PTT GLOBAL CHEMICAL PUBLIC COMPANY LIMITED</t>
        </is>
      </c>
      <c r="N704" s="4" t="inlineStr">
        <is>
          <t>RESIN</t>
        </is>
      </c>
      <c r="O704" s="4" t="inlineStr">
        <is>
          <t>*** REQ. GOOD &amp; CLEAN  CONT. .( NO SMELL)  ***</t>
        </is>
      </c>
      <c r="P704" s="4" t="inlineStr">
        <is>
          <t>CY-RTN 09-12/10/26
*PLS CHECK OPEN GATE BEFORE RETURN CTNR*</t>
        </is>
      </c>
      <c r="Q704" s="4" t="n">
        <v>0</v>
      </c>
      <c r="R704" s="4" t="n">
        <v>0</v>
      </c>
      <c r="S704" s="4" t="n">
        <v>9</v>
      </c>
      <c r="T704" s="4" t="n">
        <v>0</v>
      </c>
      <c r="U704" s="4" t="n">
        <v>0</v>
      </c>
      <c r="V704" s="4" t="n">
        <v>0</v>
      </c>
      <c r="W704" s="4" t="n">
        <v>0</v>
      </c>
      <c r="X704" s="4" t="n">
        <v>0</v>
      </c>
      <c r="Y704" s="4" t="n">
        <v>0</v>
      </c>
      <c r="Z704" s="4" t="n">
        <v>0</v>
      </c>
      <c r="AA704" s="4" t="n">
        <v>0</v>
      </c>
      <c r="AB704" s="4">
        <f>SUM(Q704:Y704)-Z704</f>
        <v/>
      </c>
      <c r="AC704" s="4">
        <f>IF(I704="","",IF(OR(LEFT(I704,3)="BKK",I704="LCH55"),"BKK",IF(LEFT(I704,3)="LCH","LCH","OTHER")))</f>
        <v/>
      </c>
      <c r="AD704" s="4">
        <f>MAX(0,Q704-MAX(0,Z704))</f>
        <v/>
      </c>
      <c r="AE704" s="4">
        <f>MAX(0,R704-MAX(0,Z704-SUM(Q704:Q704)))</f>
        <v/>
      </c>
      <c r="AF704" s="4">
        <f>MAX(0,S704-MAX(0,Z704-SUM(Q704:R704)))</f>
        <v/>
      </c>
      <c r="AG704" s="4">
        <f>MAX(0,T704-MAX(0,Z704-SUM(Q704:S704)))</f>
        <v/>
      </c>
      <c r="AH704" s="4">
        <f>MAX(0,U704-MAX(0,Z704-SUM(Q704:T704)))</f>
        <v/>
      </c>
      <c r="AI704" s="4">
        <f>MAX(0,V704-MAX(0,Z704-SUM(Q704:U704)))</f>
        <v/>
      </c>
      <c r="AJ704" s="4">
        <f>MAX(0,W704-MAX(0,Z704-SUM(Q704:V704)))</f>
        <v/>
      </c>
      <c r="AK704" s="4">
        <f>MAX(0,X704-MAX(0,Z704-SUM(Q704:W704)))</f>
        <v/>
      </c>
      <c r="AL704" s="4">
        <f>MAX(0,Y704-MAX(0,Z704-SUM(Q704:X704)))</f>
        <v/>
      </c>
    </row>
    <row r="705">
      <c r="A705" s="4" t="inlineStr">
        <is>
          <t>HASLS22260901708</t>
        </is>
      </c>
      <c r="B705" s="4" t="inlineStr">
        <is>
          <t>SWSP</t>
        </is>
      </c>
      <c r="C705" s="4" t="inlineStr">
        <is>
          <t>2609N</t>
        </is>
      </c>
      <c r="D705" s="4" t="inlineStr">
        <is>
          <t>202610080830</t>
        </is>
      </c>
      <c r="E705" s="4" t="inlineStr"/>
      <c r="F705" s="4" t="inlineStr">
        <is>
          <t>THLCH</t>
        </is>
      </c>
      <c r="G705" s="4" t="inlineStr">
        <is>
          <t>JPKMJ</t>
        </is>
      </c>
      <c r="H705" s="4" t="inlineStr">
        <is>
          <t xml:space="preserve">40Hx1 </t>
        </is>
      </c>
      <c r="I705" s="4" t="inlineStr">
        <is>
          <t>LCHY5</t>
        </is>
      </c>
      <c r="J705" s="4" t="inlineStr">
        <is>
          <t>PW DEPOT CO., LTD.</t>
        </is>
      </c>
      <c r="K705" s="4" t="inlineStr">
        <is>
          <t>20260928</t>
        </is>
      </c>
      <c r="L705" s="4" t="inlineStr">
        <is>
          <t>DOW CHEMICAL THAILAND LTD.</t>
        </is>
      </c>
      <c r="M705" s="4" t="inlineStr">
        <is>
          <t>SIAM POLYETHYLENE CO., LTD.</t>
        </is>
      </c>
      <c r="N705" s="4" t="inlineStr">
        <is>
          <t>RESIN</t>
        </is>
      </c>
      <c r="O705" s="4" t="inlineStr">
        <is>
          <t>GOOD AND CLEAN CONTAINER</t>
        </is>
      </c>
      <c r="P705" s="4" t="inlineStr">
        <is>
          <t>Pickup : 2026-09-28, Return : 2026-10-03</t>
        </is>
      </c>
      <c r="Q705" s="4" t="n">
        <v>0</v>
      </c>
      <c r="R705" s="4" t="n">
        <v>0</v>
      </c>
      <c r="S705" s="4" t="n">
        <v>1</v>
      </c>
      <c r="T705" s="4" t="n">
        <v>0</v>
      </c>
      <c r="U705" s="4" t="n">
        <v>0</v>
      </c>
      <c r="V705" s="4" t="n">
        <v>0</v>
      </c>
      <c r="W705" s="4" t="n">
        <v>0</v>
      </c>
      <c r="X705" s="4" t="n">
        <v>0</v>
      </c>
      <c r="Y705" s="4" t="n">
        <v>0</v>
      </c>
      <c r="Z705" s="4" t="n">
        <v>0</v>
      </c>
      <c r="AA705" s="4" t="n">
        <v>0</v>
      </c>
      <c r="AB705" s="4">
        <f>SUM(Q705:Y705)-Z705</f>
        <v/>
      </c>
      <c r="AC705" s="4">
        <f>IF(I705="","",IF(OR(LEFT(I705,3)="BKK",I705="LCH55"),"BKK",IF(LEFT(I705,3)="LCH","LCH","OTHER")))</f>
        <v/>
      </c>
      <c r="AD705" s="4">
        <f>MAX(0,Q705-MAX(0,Z705))</f>
        <v/>
      </c>
      <c r="AE705" s="4">
        <f>MAX(0,R705-MAX(0,Z705-SUM(Q705:Q705)))</f>
        <v/>
      </c>
      <c r="AF705" s="4">
        <f>MAX(0,S705-MAX(0,Z705-SUM(Q705:R705)))</f>
        <v/>
      </c>
      <c r="AG705" s="4">
        <f>MAX(0,T705-MAX(0,Z705-SUM(Q705:S705)))</f>
        <v/>
      </c>
      <c r="AH705" s="4">
        <f>MAX(0,U705-MAX(0,Z705-SUM(Q705:T705)))</f>
        <v/>
      </c>
      <c r="AI705" s="4">
        <f>MAX(0,V705-MAX(0,Z705-SUM(Q705:U705)))</f>
        <v/>
      </c>
      <c r="AJ705" s="4">
        <f>MAX(0,W705-MAX(0,Z705-SUM(Q705:V705)))</f>
        <v/>
      </c>
      <c r="AK705" s="4">
        <f>MAX(0,X705-MAX(0,Z705-SUM(Q705:W705)))</f>
        <v/>
      </c>
      <c r="AL705" s="4">
        <f>MAX(0,Y705-MAX(0,Z705-SUM(Q705:X705)))</f>
        <v/>
      </c>
    </row>
    <row r="706">
      <c r="A706" s="4" t="inlineStr">
        <is>
          <t>HASLS22260901709</t>
        </is>
      </c>
      <c r="B706" s="4" t="inlineStr">
        <is>
          <t>SWSP</t>
        </is>
      </c>
      <c r="C706" s="4" t="inlineStr">
        <is>
          <t>2609N</t>
        </is>
      </c>
      <c r="D706" s="4" t="inlineStr">
        <is>
          <t>202610080830</t>
        </is>
      </c>
      <c r="E706" s="4" t="inlineStr"/>
      <c r="F706" s="4" t="inlineStr">
        <is>
          <t>THLCH</t>
        </is>
      </c>
      <c r="G706" s="4" t="inlineStr">
        <is>
          <t>JPKMJ</t>
        </is>
      </c>
      <c r="H706" s="4" t="inlineStr">
        <is>
          <t xml:space="preserve">40Hx5 </t>
        </is>
      </c>
      <c r="I706" s="4" t="inlineStr">
        <is>
          <t>LCHY5</t>
        </is>
      </c>
      <c r="J706" s="4" t="inlineStr">
        <is>
          <t>PW DEPOT CO., LTD.</t>
        </is>
      </c>
      <c r="K706" s="4" t="inlineStr">
        <is>
          <t>20260928</t>
        </is>
      </c>
      <c r="L706" s="4" t="inlineStr">
        <is>
          <t>DOW CHEMICAL THAILAND LTD.</t>
        </is>
      </c>
      <c r="M706" s="4" t="inlineStr">
        <is>
          <t>SIAM POLYETHYLENE CO., LTD.</t>
        </is>
      </c>
      <c r="N706" s="4" t="inlineStr">
        <is>
          <t>RESIN</t>
        </is>
      </c>
      <c r="O706" s="4" t="inlineStr">
        <is>
          <t>GOOD AND CLEAN CONTAINER</t>
        </is>
      </c>
      <c r="P706" s="4" t="inlineStr">
        <is>
          <t>Pickup : 2026-09-28, Return : 2026-10-03</t>
        </is>
      </c>
      <c r="Q706" s="4" t="n">
        <v>0</v>
      </c>
      <c r="R706" s="4" t="n">
        <v>0</v>
      </c>
      <c r="S706" s="4" t="n">
        <v>5</v>
      </c>
      <c r="T706" s="4" t="n">
        <v>0</v>
      </c>
      <c r="U706" s="4" t="n">
        <v>0</v>
      </c>
      <c r="V706" s="4" t="n">
        <v>0</v>
      </c>
      <c r="W706" s="4" t="n">
        <v>0</v>
      </c>
      <c r="X706" s="4" t="n">
        <v>0</v>
      </c>
      <c r="Y706" s="4" t="n">
        <v>0</v>
      </c>
      <c r="Z706" s="4" t="n">
        <v>0</v>
      </c>
      <c r="AA706" s="4" t="n">
        <v>0</v>
      </c>
      <c r="AB706" s="4">
        <f>SUM(Q706:Y706)-Z706</f>
        <v/>
      </c>
      <c r="AC706" s="4">
        <f>IF(I706="","",IF(OR(LEFT(I706,3)="BKK",I706="LCH55"),"BKK",IF(LEFT(I706,3)="LCH","LCH","OTHER")))</f>
        <v/>
      </c>
      <c r="AD706" s="4">
        <f>MAX(0,Q706-MAX(0,Z706))</f>
        <v/>
      </c>
      <c r="AE706" s="4">
        <f>MAX(0,R706-MAX(0,Z706-SUM(Q706:Q706)))</f>
        <v/>
      </c>
      <c r="AF706" s="4">
        <f>MAX(0,S706-MAX(0,Z706-SUM(Q706:R706)))</f>
        <v/>
      </c>
      <c r="AG706" s="4">
        <f>MAX(0,T706-MAX(0,Z706-SUM(Q706:S706)))</f>
        <v/>
      </c>
      <c r="AH706" s="4">
        <f>MAX(0,U706-MAX(0,Z706-SUM(Q706:T706)))</f>
        <v/>
      </c>
      <c r="AI706" s="4">
        <f>MAX(0,V706-MAX(0,Z706-SUM(Q706:U706)))</f>
        <v/>
      </c>
      <c r="AJ706" s="4">
        <f>MAX(0,W706-MAX(0,Z706-SUM(Q706:V706)))</f>
        <v/>
      </c>
      <c r="AK706" s="4">
        <f>MAX(0,X706-MAX(0,Z706-SUM(Q706:W706)))</f>
        <v/>
      </c>
      <c r="AL706" s="4">
        <f>MAX(0,Y706-MAX(0,Z706-SUM(Q706:X706)))</f>
        <v/>
      </c>
    </row>
    <row r="707">
      <c r="A707" s="4" t="inlineStr">
        <is>
          <t>HASLS22260901711</t>
        </is>
      </c>
      <c r="B707" s="4" t="inlineStr">
        <is>
          <t>SWSP</t>
        </is>
      </c>
      <c r="C707" s="4" t="inlineStr">
        <is>
          <t>2609N</t>
        </is>
      </c>
      <c r="D707" s="4" t="inlineStr">
        <is>
          <t>202610080830</t>
        </is>
      </c>
      <c r="E707" s="4" t="inlineStr"/>
      <c r="F707" s="4" t="inlineStr">
        <is>
          <t>THLCH</t>
        </is>
      </c>
      <c r="G707" s="4" t="inlineStr">
        <is>
          <t>JPKMJ</t>
        </is>
      </c>
      <c r="H707" s="4" t="inlineStr">
        <is>
          <t xml:space="preserve">40Hx6 </t>
        </is>
      </c>
      <c r="I707" s="4" t="inlineStr">
        <is>
          <t>LCHY5</t>
        </is>
      </c>
      <c r="J707" s="4" t="inlineStr">
        <is>
          <t>PW DEPOT CO., LTD.</t>
        </is>
      </c>
      <c r="K707" s="4" t="inlineStr">
        <is>
          <t>20260928</t>
        </is>
      </c>
      <c r="L707" s="4" t="inlineStr">
        <is>
          <t>DOW CHEMICAL THAILAND LTD.</t>
        </is>
      </c>
      <c r="M707" s="4" t="inlineStr">
        <is>
          <t>SIAM POLYETHYLENE CO., LTD.</t>
        </is>
      </c>
      <c r="N707" s="4" t="inlineStr">
        <is>
          <t>RESIN</t>
        </is>
      </c>
      <c r="O707" s="4" t="inlineStr">
        <is>
          <t>GOOD AND CLEAN CONTAINER</t>
        </is>
      </c>
      <c r="P707" s="4" t="inlineStr">
        <is>
          <t>Pickup : 2026-09-28, Return : 2026-10-03</t>
        </is>
      </c>
      <c r="Q707" s="4" t="n">
        <v>0</v>
      </c>
      <c r="R707" s="4" t="n">
        <v>0</v>
      </c>
      <c r="S707" s="4" t="n">
        <v>6</v>
      </c>
      <c r="T707" s="4" t="n">
        <v>0</v>
      </c>
      <c r="U707" s="4" t="n">
        <v>0</v>
      </c>
      <c r="V707" s="4" t="n">
        <v>0</v>
      </c>
      <c r="W707" s="4" t="n">
        <v>0</v>
      </c>
      <c r="X707" s="4" t="n">
        <v>0</v>
      </c>
      <c r="Y707" s="4" t="n">
        <v>0</v>
      </c>
      <c r="Z707" s="4" t="n">
        <v>0</v>
      </c>
      <c r="AA707" s="4" t="n">
        <v>0</v>
      </c>
      <c r="AB707" s="4">
        <f>SUM(Q707:Y707)-Z707</f>
        <v/>
      </c>
      <c r="AC707" s="4">
        <f>IF(I707="","",IF(OR(LEFT(I707,3)="BKK",I707="LCH55"),"BKK",IF(LEFT(I707,3)="LCH","LCH","OTHER")))</f>
        <v/>
      </c>
      <c r="AD707" s="4">
        <f>MAX(0,Q707-MAX(0,Z707))</f>
        <v/>
      </c>
      <c r="AE707" s="4">
        <f>MAX(0,R707-MAX(0,Z707-SUM(Q707:Q707)))</f>
        <v/>
      </c>
      <c r="AF707" s="4">
        <f>MAX(0,S707-MAX(0,Z707-SUM(Q707:R707)))</f>
        <v/>
      </c>
      <c r="AG707" s="4">
        <f>MAX(0,T707-MAX(0,Z707-SUM(Q707:S707)))</f>
        <v/>
      </c>
      <c r="AH707" s="4">
        <f>MAX(0,U707-MAX(0,Z707-SUM(Q707:T707)))</f>
        <v/>
      </c>
      <c r="AI707" s="4">
        <f>MAX(0,V707-MAX(0,Z707-SUM(Q707:U707)))</f>
        <v/>
      </c>
      <c r="AJ707" s="4">
        <f>MAX(0,W707-MAX(0,Z707-SUM(Q707:V707)))</f>
        <v/>
      </c>
      <c r="AK707" s="4">
        <f>MAX(0,X707-MAX(0,Z707-SUM(Q707:W707)))</f>
        <v/>
      </c>
      <c r="AL707" s="4">
        <f>MAX(0,Y707-MAX(0,Z707-SUM(Q707:X707)))</f>
        <v/>
      </c>
    </row>
    <row r="708">
      <c r="A708" s="4" t="inlineStr">
        <is>
          <t>HASLS22260901713</t>
        </is>
      </c>
      <c r="B708" s="4" t="inlineStr">
        <is>
          <t>SWSP</t>
        </is>
      </c>
      <c r="C708" s="4" t="inlineStr">
        <is>
          <t>2609N</t>
        </is>
      </c>
      <c r="D708" s="4" t="inlineStr">
        <is>
          <t>202610080830</t>
        </is>
      </c>
      <c r="E708" s="4" t="inlineStr"/>
      <c r="F708" s="4" t="inlineStr">
        <is>
          <t>THLCH</t>
        </is>
      </c>
      <c r="G708" s="4" t="inlineStr">
        <is>
          <t>JPNGO</t>
        </is>
      </c>
      <c r="H708" s="4" t="inlineStr">
        <is>
          <t xml:space="preserve">20'x1 </t>
        </is>
      </c>
      <c r="I708" s="4" t="inlineStr">
        <is>
          <t>LCHY5</t>
        </is>
      </c>
      <c r="J708" s="4" t="inlineStr">
        <is>
          <t>PW DEPOT CO., LTD.</t>
        </is>
      </c>
      <c r="K708" s="4" t="inlineStr">
        <is>
          <t>20260928</t>
        </is>
      </c>
      <c r="L708" s="4" t="inlineStr">
        <is>
          <t>DOW CHEMICAL THAILAND LTD.</t>
        </is>
      </c>
      <c r="M708" s="4" t="inlineStr">
        <is>
          <t>SIAM POLYETHYLENE CO., LTD.</t>
        </is>
      </c>
      <c r="N708" s="4" t="inlineStr">
        <is>
          <t>RESIN</t>
        </is>
      </c>
      <c r="O708" s="4" t="inlineStr">
        <is>
          <t>1X20' SEABULK</t>
        </is>
      </c>
      <c r="P708" s="4" t="inlineStr">
        <is>
          <t>Pickup : 2026-09-28, Return : 2026-10-03</t>
        </is>
      </c>
      <c r="Q708" s="4" t="n">
        <v>1</v>
      </c>
      <c r="R708" s="4" t="n">
        <v>0</v>
      </c>
      <c r="S708" s="4" t="n">
        <v>0</v>
      </c>
      <c r="T708" s="4" t="n">
        <v>0</v>
      </c>
      <c r="U708" s="4" t="n">
        <v>0</v>
      </c>
      <c r="V708" s="4" t="n">
        <v>0</v>
      </c>
      <c r="W708" s="4" t="n">
        <v>0</v>
      </c>
      <c r="X708" s="4" t="n">
        <v>0</v>
      </c>
      <c r="Y708" s="4" t="n">
        <v>0</v>
      </c>
      <c r="Z708" s="4" t="n">
        <v>0</v>
      </c>
      <c r="AA708" s="4" t="n">
        <v>0</v>
      </c>
      <c r="AB708" s="4">
        <f>SUM(Q708:Y708)-Z708</f>
        <v/>
      </c>
      <c r="AC708" s="4">
        <f>IF(I708="","",IF(OR(LEFT(I708,3)="BKK",I708="LCH55"),"BKK",IF(LEFT(I708,3)="LCH","LCH","OTHER")))</f>
        <v/>
      </c>
      <c r="AD708" s="4">
        <f>MAX(0,Q708-MAX(0,Z708))</f>
        <v/>
      </c>
      <c r="AE708" s="4">
        <f>MAX(0,R708-MAX(0,Z708-SUM(Q708:Q708)))</f>
        <v/>
      </c>
      <c r="AF708" s="4">
        <f>MAX(0,S708-MAX(0,Z708-SUM(Q708:R708)))</f>
        <v/>
      </c>
      <c r="AG708" s="4">
        <f>MAX(0,T708-MAX(0,Z708-SUM(Q708:S708)))</f>
        <v/>
      </c>
      <c r="AH708" s="4">
        <f>MAX(0,U708-MAX(0,Z708-SUM(Q708:T708)))</f>
        <v/>
      </c>
      <c r="AI708" s="4">
        <f>MAX(0,V708-MAX(0,Z708-SUM(Q708:U708)))</f>
        <v/>
      </c>
      <c r="AJ708" s="4">
        <f>MAX(0,W708-MAX(0,Z708-SUM(Q708:V708)))</f>
        <v/>
      </c>
      <c r="AK708" s="4">
        <f>MAX(0,X708-MAX(0,Z708-SUM(Q708:W708)))</f>
        <v/>
      </c>
      <c r="AL708" s="4">
        <f>MAX(0,Y708-MAX(0,Z708-SUM(Q708:X708)))</f>
        <v/>
      </c>
    </row>
    <row r="709">
      <c r="A709" s="4" t="inlineStr">
        <is>
          <t>HASLS22260901719</t>
        </is>
      </c>
      <c r="B709" s="4" t="inlineStr">
        <is>
          <t>SWSP</t>
        </is>
      </c>
      <c r="C709" s="4" t="inlineStr">
        <is>
          <t>2609N</t>
        </is>
      </c>
      <c r="D709" s="4" t="inlineStr">
        <is>
          <t>202610080830</t>
        </is>
      </c>
      <c r="E709" s="4" t="inlineStr"/>
      <c r="F709" s="4" t="inlineStr">
        <is>
          <t>THLCH</t>
        </is>
      </c>
      <c r="G709" s="4" t="inlineStr">
        <is>
          <t>VNSGN</t>
        </is>
      </c>
      <c r="H709" s="4" t="inlineStr">
        <is>
          <t xml:space="preserve">20'x1 </t>
        </is>
      </c>
      <c r="I709" s="4" t="inlineStr">
        <is>
          <t>LCHY5</t>
        </is>
      </c>
      <c r="J709" s="4" t="inlineStr">
        <is>
          <t>PW DEPOT CO., LTD.</t>
        </is>
      </c>
      <c r="K709" s="4" t="inlineStr">
        <is>
          <t>20260928</t>
        </is>
      </c>
      <c r="L709" s="4" t="inlineStr">
        <is>
          <t>WHA GC LOGISTICS COMPANY LIMITED</t>
        </is>
      </c>
      <c r="M709" s="4" t="inlineStr">
        <is>
          <t>PTT GLOBAL CHEMICAL PUBLIC COMPANY LIMITED</t>
        </is>
      </c>
      <c r="N709" s="4" t="inlineStr">
        <is>
          <t>RESIN</t>
        </is>
      </c>
      <c r="O709" s="4" t="inlineStr">
        <is>
          <t>*** REQ. GOOD &amp; CLEAN  CONT. .( NO SMELL)  ***</t>
        </is>
      </c>
      <c r="P709" s="4" t="inlineStr">
        <is>
          <t>CY 28/09/26 , RTN 29/09/26 (1ST RETUR DD.30/09/26)
*PLS CHECK OPEN GATE BEFORE RETURN CTNR*</t>
        </is>
      </c>
      <c r="Q709" s="4" t="n">
        <v>1</v>
      </c>
      <c r="R709" s="4" t="n">
        <v>0</v>
      </c>
      <c r="S709" s="4" t="n">
        <v>0</v>
      </c>
      <c r="T709" s="4" t="n">
        <v>0</v>
      </c>
      <c r="U709" s="4" t="n">
        <v>0</v>
      </c>
      <c r="V709" s="4" t="n">
        <v>0</v>
      </c>
      <c r="W709" s="4" t="n">
        <v>0</v>
      </c>
      <c r="X709" s="4" t="n">
        <v>0</v>
      </c>
      <c r="Y709" s="4" t="n">
        <v>0</v>
      </c>
      <c r="Z709" s="4" t="n">
        <v>0</v>
      </c>
      <c r="AA709" s="4" t="n">
        <v>0</v>
      </c>
      <c r="AB709" s="4">
        <f>SUM(Q709:Y709)-Z709</f>
        <v/>
      </c>
      <c r="AC709" s="4">
        <f>IF(I709="","",IF(OR(LEFT(I709,3)="BKK",I709="LCH55"),"BKK",IF(LEFT(I709,3)="LCH","LCH","OTHER")))</f>
        <v/>
      </c>
      <c r="AD709" s="4">
        <f>MAX(0,Q709-MAX(0,Z709))</f>
        <v/>
      </c>
      <c r="AE709" s="4">
        <f>MAX(0,R709-MAX(0,Z709-SUM(Q709:Q709)))</f>
        <v/>
      </c>
      <c r="AF709" s="4">
        <f>MAX(0,S709-MAX(0,Z709-SUM(Q709:R709)))</f>
        <v/>
      </c>
      <c r="AG709" s="4">
        <f>MAX(0,T709-MAX(0,Z709-SUM(Q709:S709)))</f>
        <v/>
      </c>
      <c r="AH709" s="4">
        <f>MAX(0,U709-MAX(0,Z709-SUM(Q709:T709)))</f>
        <v/>
      </c>
      <c r="AI709" s="4">
        <f>MAX(0,V709-MAX(0,Z709-SUM(Q709:U709)))</f>
        <v/>
      </c>
      <c r="AJ709" s="4">
        <f>MAX(0,W709-MAX(0,Z709-SUM(Q709:V709)))</f>
        <v/>
      </c>
      <c r="AK709" s="4">
        <f>MAX(0,X709-MAX(0,Z709-SUM(Q709:W709)))</f>
        <v/>
      </c>
      <c r="AL709" s="4">
        <f>MAX(0,Y709-MAX(0,Z709-SUM(Q709:X709)))</f>
        <v/>
      </c>
    </row>
    <row r="710">
      <c r="A710" s="4" t="inlineStr">
        <is>
          <t>HASLS22260901727</t>
        </is>
      </c>
      <c r="B710" s="4" t="inlineStr">
        <is>
          <t>KJT</t>
        </is>
      </c>
      <c r="C710" s="4" t="inlineStr">
        <is>
          <t>2611N</t>
        </is>
      </c>
      <c r="D710" s="4" t="inlineStr">
        <is>
          <t>202610151100</t>
        </is>
      </c>
      <c r="E710" s="4" t="inlineStr"/>
      <c r="F710" s="4" t="inlineStr">
        <is>
          <t>THLCH</t>
        </is>
      </c>
      <c r="G710" s="4" t="inlineStr">
        <is>
          <t>HKHKG</t>
        </is>
      </c>
      <c r="H710" s="4" t="inlineStr">
        <is>
          <t xml:space="preserve">20'x1 </t>
        </is>
      </c>
      <c r="I710" s="4" t="inlineStr">
        <is>
          <t>LCHY5</t>
        </is>
      </c>
      <c r="J710" s="4" t="inlineStr">
        <is>
          <t>PW DEPOT CO., LTD.</t>
        </is>
      </c>
      <c r="K710" s="4" t="inlineStr">
        <is>
          <t>20261010</t>
        </is>
      </c>
      <c r="L710" s="4" t="inlineStr">
        <is>
          <t>CARGO CARE LOGISTICS CO., LTD.</t>
        </is>
      </c>
      <c r="M710" s="4" t="inlineStr">
        <is>
          <t>SIAM DEL MONTE CO., LTD.</t>
        </is>
      </c>
      <c r="N710" s="4" t="inlineStr">
        <is>
          <t>SWEET CORN</t>
        </is>
      </c>
      <c r="O710" s="4" t="inlineStr">
        <is>
          <t>Good and Clean Container (Food Grade)
(No leaks, no odors, and no oil stains.)</t>
        </is>
      </c>
      <c r="P710" s="4" t="inlineStr">
        <is>
          <t xml:space="preserve">Pickup : 2026-10-10, Return : 2026-10-11 
 ** PLEASE CHECK OPEN GATE BEFORE RETURN CNTR **
</t>
        </is>
      </c>
      <c r="Q710" s="4" t="n">
        <v>1</v>
      </c>
      <c r="R710" s="4" t="n">
        <v>0</v>
      </c>
      <c r="S710" s="4" t="n">
        <v>0</v>
      </c>
      <c r="T710" s="4" t="n">
        <v>0</v>
      </c>
      <c r="U710" s="4" t="n">
        <v>0</v>
      </c>
      <c r="V710" s="4" t="n">
        <v>0</v>
      </c>
      <c r="W710" s="4" t="n">
        <v>0</v>
      </c>
      <c r="X710" s="4" t="n">
        <v>0</v>
      </c>
      <c r="Y710" s="4" t="n">
        <v>0</v>
      </c>
      <c r="Z710" s="4" t="n">
        <v>0</v>
      </c>
      <c r="AA710" s="4" t="n">
        <v>0</v>
      </c>
      <c r="AB710" s="4">
        <f>SUM(Q710:Y710)-Z710</f>
        <v/>
      </c>
      <c r="AC710" s="4">
        <f>IF(I710="","",IF(OR(LEFT(I710,3)="BKK",I710="LCH55"),"BKK",IF(LEFT(I710,3)="LCH","LCH","OTHER")))</f>
        <v/>
      </c>
      <c r="AD710" s="4">
        <f>MAX(0,Q710-MAX(0,Z710))</f>
        <v/>
      </c>
      <c r="AE710" s="4">
        <f>MAX(0,R710-MAX(0,Z710-SUM(Q710:Q710)))</f>
        <v/>
      </c>
      <c r="AF710" s="4">
        <f>MAX(0,S710-MAX(0,Z710-SUM(Q710:R710)))</f>
        <v/>
      </c>
      <c r="AG710" s="4">
        <f>MAX(0,T710-MAX(0,Z710-SUM(Q710:S710)))</f>
        <v/>
      </c>
      <c r="AH710" s="4">
        <f>MAX(0,U710-MAX(0,Z710-SUM(Q710:T710)))</f>
        <v/>
      </c>
      <c r="AI710" s="4">
        <f>MAX(0,V710-MAX(0,Z710-SUM(Q710:U710)))</f>
        <v/>
      </c>
      <c r="AJ710" s="4">
        <f>MAX(0,W710-MAX(0,Z710-SUM(Q710:V710)))</f>
        <v/>
      </c>
      <c r="AK710" s="4">
        <f>MAX(0,X710-MAX(0,Z710-SUM(Q710:W710)))</f>
        <v/>
      </c>
      <c r="AL710" s="4">
        <f>MAX(0,Y710-MAX(0,Z710-SUM(Q710:X710)))</f>
        <v/>
      </c>
    </row>
    <row r="711">
      <c r="A711" s="4" t="inlineStr">
        <is>
          <t>HASLS22260901729</t>
        </is>
      </c>
      <c r="B711" s="4" t="inlineStr">
        <is>
          <t>SWIC</t>
        </is>
      </c>
      <c r="C711" s="4" t="inlineStr">
        <is>
          <t>2611N</t>
        </is>
      </c>
      <c r="D711" s="4" t="inlineStr">
        <is>
          <t>202610132300</t>
        </is>
      </c>
      <c r="E711" s="4" t="inlineStr"/>
      <c r="F711" s="4" t="inlineStr">
        <is>
          <t>THLCH</t>
        </is>
      </c>
      <c r="G711" s="4" t="inlineStr">
        <is>
          <t>JPTMK</t>
        </is>
      </c>
      <c r="H711" s="4" t="inlineStr">
        <is>
          <t xml:space="preserve">20'x1 </t>
        </is>
      </c>
      <c r="I711" s="4" t="inlineStr">
        <is>
          <t>LCHY5</t>
        </is>
      </c>
      <c r="J711" s="4" t="inlineStr">
        <is>
          <t>PW DEPOT CO., LTD.</t>
        </is>
      </c>
      <c r="K711" s="4" t="inlineStr">
        <is>
          <t>20261007</t>
        </is>
      </c>
      <c r="L711" s="4" t="inlineStr">
        <is>
          <t>CROSS-WORLD INTERNATIONAL CO., LTD.</t>
        </is>
      </c>
      <c r="M711" s="4" t="inlineStr">
        <is>
          <t>TPBI PUBLIC COMPANY LIMITED</t>
        </is>
      </c>
      <c r="N711" s="4" t="inlineStr">
        <is>
          <t>PLASTIC BAG</t>
        </is>
      </c>
      <c r="O711" s="4" t="inlineStr">
        <is>
          <t>GOOD &amp; CLEAN CONTAINER</t>
        </is>
      </c>
      <c r="P711" s="4" t="inlineStr">
        <is>
          <t>Pickup : 2026-10-07, Return : 2026-10-08 (1ST RTN DD: 09/10/26 WO/RENT)</t>
        </is>
      </c>
      <c r="Q711" s="4" t="n">
        <v>1</v>
      </c>
      <c r="R711" s="4" t="n">
        <v>0</v>
      </c>
      <c r="S711" s="4" t="n">
        <v>0</v>
      </c>
      <c r="T711" s="4" t="n">
        <v>0</v>
      </c>
      <c r="U711" s="4" t="n">
        <v>0</v>
      </c>
      <c r="V711" s="4" t="n">
        <v>0</v>
      </c>
      <c r="W711" s="4" t="n">
        <v>0</v>
      </c>
      <c r="X711" s="4" t="n">
        <v>0</v>
      </c>
      <c r="Y711" s="4" t="n">
        <v>0</v>
      </c>
      <c r="Z711" s="4" t="n">
        <v>0</v>
      </c>
      <c r="AA711" s="4" t="n">
        <v>0</v>
      </c>
      <c r="AB711" s="4">
        <f>SUM(Q711:Y711)-Z711</f>
        <v/>
      </c>
      <c r="AC711" s="4">
        <f>IF(I711="","",IF(OR(LEFT(I711,3)="BKK",I711="LCH55"),"BKK",IF(LEFT(I711,3)="LCH","LCH","OTHER")))</f>
        <v/>
      </c>
      <c r="AD711" s="4">
        <f>MAX(0,Q711-MAX(0,Z711))</f>
        <v/>
      </c>
      <c r="AE711" s="4">
        <f>MAX(0,R711-MAX(0,Z711-SUM(Q711:Q711)))</f>
        <v/>
      </c>
      <c r="AF711" s="4">
        <f>MAX(0,S711-MAX(0,Z711-SUM(Q711:R711)))</f>
        <v/>
      </c>
      <c r="AG711" s="4">
        <f>MAX(0,T711-MAX(0,Z711-SUM(Q711:S711)))</f>
        <v/>
      </c>
      <c r="AH711" s="4">
        <f>MAX(0,U711-MAX(0,Z711-SUM(Q711:T711)))</f>
        <v/>
      </c>
      <c r="AI711" s="4">
        <f>MAX(0,V711-MAX(0,Z711-SUM(Q711:U711)))</f>
        <v/>
      </c>
      <c r="AJ711" s="4">
        <f>MAX(0,W711-MAX(0,Z711-SUM(Q711:V711)))</f>
        <v/>
      </c>
      <c r="AK711" s="4">
        <f>MAX(0,X711-MAX(0,Z711-SUM(Q711:W711)))</f>
        <v/>
      </c>
      <c r="AL711" s="4">
        <f>MAX(0,Y711-MAX(0,Z711-SUM(Q711:X711)))</f>
        <v/>
      </c>
    </row>
    <row r="712">
      <c r="A712" s="4" t="inlineStr">
        <is>
          <t>HASLS22260901730</t>
        </is>
      </c>
      <c r="B712" s="4" t="inlineStr">
        <is>
          <t>KJT</t>
        </is>
      </c>
      <c r="C712" s="4" t="inlineStr">
        <is>
          <t>2611N</t>
        </is>
      </c>
      <c r="D712" s="4" t="inlineStr">
        <is>
          <t>202610151100</t>
        </is>
      </c>
      <c r="E712" s="4" t="inlineStr"/>
      <c r="F712" s="4" t="inlineStr">
        <is>
          <t>THLCH</t>
        </is>
      </c>
      <c r="G712" s="4" t="inlineStr">
        <is>
          <t>HKHKG</t>
        </is>
      </c>
      <c r="H712" s="4" t="inlineStr">
        <is>
          <t xml:space="preserve">20'x1 </t>
        </is>
      </c>
      <c r="I712" s="4" t="inlineStr">
        <is>
          <t>LCHY5</t>
        </is>
      </c>
      <c r="J712" s="4" t="inlineStr">
        <is>
          <t>PW DEPOT CO., LTD.</t>
        </is>
      </c>
      <c r="K712" s="4" t="inlineStr">
        <is>
          <t>20261010</t>
        </is>
      </c>
      <c r="L712" s="4" t="inlineStr">
        <is>
          <t>CARGO CARE LOGISTICS CO., LTD.</t>
        </is>
      </c>
      <c r="M712" s="4" t="inlineStr">
        <is>
          <t>SIAM DEL MONTE CO., LTD.</t>
        </is>
      </c>
      <c r="N712" s="4" t="inlineStr">
        <is>
          <t>SWEET CORN</t>
        </is>
      </c>
      <c r="O712" s="4" t="inlineStr">
        <is>
          <t>Good and Clean Container (Food Grade)
(No leaks, no odors, and no oil stains.)</t>
        </is>
      </c>
      <c r="P712" s="4" t="inlineStr">
        <is>
          <t xml:space="preserve">Pickup : 2026-10-10, Return : 2026-10-11 
 ** PLEASE CHECK OPEN GATE BEFORE RETURN CNTR **
</t>
        </is>
      </c>
      <c r="Q712" s="4" t="n">
        <v>1</v>
      </c>
      <c r="R712" s="4" t="n">
        <v>0</v>
      </c>
      <c r="S712" s="4" t="n">
        <v>0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>
        <f>SUM(Q712:Y712)-Z712</f>
        <v/>
      </c>
      <c r="AC712" s="4">
        <f>IF(I712="","",IF(OR(LEFT(I712,3)="BKK",I712="LCH55"),"BKK",IF(LEFT(I712,3)="LCH","LCH","OTHER")))</f>
        <v/>
      </c>
      <c r="AD712" s="4">
        <f>MAX(0,Q712-MAX(0,Z712))</f>
        <v/>
      </c>
      <c r="AE712" s="4">
        <f>MAX(0,R712-MAX(0,Z712-SUM(Q712:Q712)))</f>
        <v/>
      </c>
      <c r="AF712" s="4">
        <f>MAX(0,S712-MAX(0,Z712-SUM(Q712:R712)))</f>
        <v/>
      </c>
      <c r="AG712" s="4">
        <f>MAX(0,T712-MAX(0,Z712-SUM(Q712:S712)))</f>
        <v/>
      </c>
      <c r="AH712" s="4">
        <f>MAX(0,U712-MAX(0,Z712-SUM(Q712:T712)))</f>
        <v/>
      </c>
      <c r="AI712" s="4">
        <f>MAX(0,V712-MAX(0,Z712-SUM(Q712:U712)))</f>
        <v/>
      </c>
      <c r="AJ712" s="4">
        <f>MAX(0,W712-MAX(0,Z712-SUM(Q712:V712)))</f>
        <v/>
      </c>
      <c r="AK712" s="4">
        <f>MAX(0,X712-MAX(0,Z712-SUM(Q712:W712)))</f>
        <v/>
      </c>
      <c r="AL712" s="4">
        <f>MAX(0,Y712-MAX(0,Z712-SUM(Q712:X712)))</f>
        <v/>
      </c>
    </row>
    <row r="713">
      <c r="A713" s="4" t="inlineStr">
        <is>
          <t>HASLS22260901731</t>
        </is>
      </c>
      <c r="B713" s="4" t="inlineStr">
        <is>
          <t>KJT</t>
        </is>
      </c>
      <c r="C713" s="4" t="inlineStr">
        <is>
          <t>2611N</t>
        </is>
      </c>
      <c r="D713" s="4" t="inlineStr">
        <is>
          <t>202610151100</t>
        </is>
      </c>
      <c r="E713" s="4" t="inlineStr"/>
      <c r="F713" s="4" t="inlineStr">
        <is>
          <t>THLCH</t>
        </is>
      </c>
      <c r="G713" s="4" t="inlineStr">
        <is>
          <t>HKHKG</t>
        </is>
      </c>
      <c r="H713" s="4" t="inlineStr">
        <is>
          <t xml:space="preserve">20'x1 </t>
        </is>
      </c>
      <c r="I713" s="4" t="inlineStr">
        <is>
          <t>LCHY5</t>
        </is>
      </c>
      <c r="J713" s="4" t="inlineStr">
        <is>
          <t>PW DEPOT CO., LTD.</t>
        </is>
      </c>
      <c r="K713" s="4" t="inlineStr">
        <is>
          <t>20261010</t>
        </is>
      </c>
      <c r="L713" s="4" t="inlineStr">
        <is>
          <t>CARGO CARE LOGISTICS CO., LTD.</t>
        </is>
      </c>
      <c r="M713" s="4" t="inlineStr">
        <is>
          <t>SIAM DEL MONTE CO., LTD.</t>
        </is>
      </c>
      <c r="N713" s="4" t="inlineStr">
        <is>
          <t>SWEET CORN</t>
        </is>
      </c>
      <c r="O713" s="4" t="inlineStr">
        <is>
          <t>Good and Clean Container (Food Grade)
(No leaks, no odors, and no oil stains.)</t>
        </is>
      </c>
      <c r="P713" s="4" t="inlineStr">
        <is>
          <t>Pickup : 2026-10-10, Return : 2026-10-12</t>
        </is>
      </c>
      <c r="Q713" s="4" t="n">
        <v>1</v>
      </c>
      <c r="R713" s="4" t="n">
        <v>0</v>
      </c>
      <c r="S713" s="4" t="n">
        <v>0</v>
      </c>
      <c r="T713" s="4" t="n">
        <v>0</v>
      </c>
      <c r="U713" s="4" t="n">
        <v>0</v>
      </c>
      <c r="V713" s="4" t="n">
        <v>0</v>
      </c>
      <c r="W713" s="4" t="n">
        <v>0</v>
      </c>
      <c r="X713" s="4" t="n">
        <v>0</v>
      </c>
      <c r="Y713" s="4" t="n">
        <v>0</v>
      </c>
      <c r="Z713" s="4" t="n">
        <v>0</v>
      </c>
      <c r="AA713" s="4" t="n">
        <v>0</v>
      </c>
      <c r="AB713" s="4">
        <f>SUM(Q713:Y713)-Z713</f>
        <v/>
      </c>
      <c r="AC713" s="4">
        <f>IF(I713="","",IF(OR(LEFT(I713,3)="BKK",I713="LCH55"),"BKK",IF(LEFT(I713,3)="LCH","LCH","OTHER")))</f>
        <v/>
      </c>
      <c r="AD713" s="4">
        <f>MAX(0,Q713-MAX(0,Z713))</f>
        <v/>
      </c>
      <c r="AE713" s="4">
        <f>MAX(0,R713-MAX(0,Z713-SUM(Q713:Q713)))</f>
        <v/>
      </c>
      <c r="AF713" s="4">
        <f>MAX(0,S713-MAX(0,Z713-SUM(Q713:R713)))</f>
        <v/>
      </c>
      <c r="AG713" s="4">
        <f>MAX(0,T713-MAX(0,Z713-SUM(Q713:S713)))</f>
        <v/>
      </c>
      <c r="AH713" s="4">
        <f>MAX(0,U713-MAX(0,Z713-SUM(Q713:T713)))</f>
        <v/>
      </c>
      <c r="AI713" s="4">
        <f>MAX(0,V713-MAX(0,Z713-SUM(Q713:U713)))</f>
        <v/>
      </c>
      <c r="AJ713" s="4">
        <f>MAX(0,W713-MAX(0,Z713-SUM(Q713:V713)))</f>
        <v/>
      </c>
      <c r="AK713" s="4">
        <f>MAX(0,X713-MAX(0,Z713-SUM(Q713:W713)))</f>
        <v/>
      </c>
      <c r="AL713" s="4">
        <f>MAX(0,Y713-MAX(0,Z713-SUM(Q713:X713)))</f>
        <v/>
      </c>
    </row>
    <row r="714">
      <c r="A714" s="4" t="inlineStr">
        <is>
          <t>HASLS22260901734</t>
        </is>
      </c>
      <c r="B714" s="4" t="inlineStr">
        <is>
          <t>KJT</t>
        </is>
      </c>
      <c r="C714" s="4" t="inlineStr">
        <is>
          <t>2611N</t>
        </is>
      </c>
      <c r="D714" s="4" t="inlineStr">
        <is>
          <t>202610151100</t>
        </is>
      </c>
      <c r="E714" s="4" t="inlineStr"/>
      <c r="F714" s="4" t="inlineStr">
        <is>
          <t>THLCH</t>
        </is>
      </c>
      <c r="G714" s="4" t="inlineStr">
        <is>
          <t>HKHKG</t>
        </is>
      </c>
      <c r="H714" s="4" t="inlineStr">
        <is>
          <t xml:space="preserve">20'x1 </t>
        </is>
      </c>
      <c r="I714" s="4" t="inlineStr">
        <is>
          <t>LCHY5</t>
        </is>
      </c>
      <c r="J714" s="4" t="inlineStr">
        <is>
          <t>PW DEPOT CO., LTD.</t>
        </is>
      </c>
      <c r="K714" s="4" t="inlineStr">
        <is>
          <t>20261010</t>
        </is>
      </c>
      <c r="L714" s="4" t="inlineStr">
        <is>
          <t>CARGO CARE LOGISTICS CO., LTD.</t>
        </is>
      </c>
      <c r="M714" s="4" t="inlineStr">
        <is>
          <t>SIAM DEL MONTE CO., LTD.</t>
        </is>
      </c>
      <c r="N714" s="4" t="inlineStr">
        <is>
          <t>SWEET CORN</t>
        </is>
      </c>
      <c r="O714" s="4" t="inlineStr">
        <is>
          <t>Good and Clean Container (Food Grade)
(No leaks, no odors, and no oil stains.)</t>
        </is>
      </c>
      <c r="P714" s="4" t="inlineStr">
        <is>
          <t xml:space="preserve">Pickup : 2026-10-10, Return : 2026-10-11 
 ** PLEASE CHECK OPEN GATE BEFORE RETURN CNTR **
</t>
        </is>
      </c>
      <c r="Q714" s="4" t="n">
        <v>1</v>
      </c>
      <c r="R714" s="4" t="n">
        <v>0</v>
      </c>
      <c r="S714" s="4" t="n">
        <v>0</v>
      </c>
      <c r="T714" s="4" t="n">
        <v>0</v>
      </c>
      <c r="U714" s="4" t="n">
        <v>0</v>
      </c>
      <c r="V714" s="4" t="n">
        <v>0</v>
      </c>
      <c r="W714" s="4" t="n">
        <v>0</v>
      </c>
      <c r="X714" s="4" t="n">
        <v>0</v>
      </c>
      <c r="Y714" s="4" t="n">
        <v>0</v>
      </c>
      <c r="Z714" s="4" t="n">
        <v>0</v>
      </c>
      <c r="AA714" s="4" t="n">
        <v>0</v>
      </c>
      <c r="AB714" s="4">
        <f>SUM(Q714:Y714)-Z714</f>
        <v/>
      </c>
      <c r="AC714" s="4">
        <f>IF(I714="","",IF(OR(LEFT(I714,3)="BKK",I714="LCH55"),"BKK",IF(LEFT(I714,3)="LCH","LCH","OTHER")))</f>
        <v/>
      </c>
      <c r="AD714" s="4">
        <f>MAX(0,Q714-MAX(0,Z714))</f>
        <v/>
      </c>
      <c r="AE714" s="4">
        <f>MAX(0,R714-MAX(0,Z714-SUM(Q714:Q714)))</f>
        <v/>
      </c>
      <c r="AF714" s="4">
        <f>MAX(0,S714-MAX(0,Z714-SUM(Q714:R714)))</f>
        <v/>
      </c>
      <c r="AG714" s="4">
        <f>MAX(0,T714-MAX(0,Z714-SUM(Q714:S714)))</f>
        <v/>
      </c>
      <c r="AH714" s="4">
        <f>MAX(0,U714-MAX(0,Z714-SUM(Q714:T714)))</f>
        <v/>
      </c>
      <c r="AI714" s="4">
        <f>MAX(0,V714-MAX(0,Z714-SUM(Q714:U714)))</f>
        <v/>
      </c>
      <c r="AJ714" s="4">
        <f>MAX(0,W714-MAX(0,Z714-SUM(Q714:V714)))</f>
        <v/>
      </c>
      <c r="AK714" s="4">
        <f>MAX(0,X714-MAX(0,Z714-SUM(Q714:W714)))</f>
        <v/>
      </c>
      <c r="AL714" s="4">
        <f>MAX(0,Y714-MAX(0,Z714-SUM(Q714:X714)))</f>
        <v/>
      </c>
    </row>
    <row r="715">
      <c r="A715" s="4" t="inlineStr">
        <is>
          <t>HASLS22260901739</t>
        </is>
      </c>
      <c r="B715" s="4" t="inlineStr">
        <is>
          <t>SWSP</t>
        </is>
      </c>
      <c r="C715" s="4" t="inlineStr">
        <is>
          <t>2609N</t>
        </is>
      </c>
      <c r="D715" s="4" t="inlineStr">
        <is>
          <t>202610080830</t>
        </is>
      </c>
      <c r="E715" s="4" t="inlineStr"/>
      <c r="F715" s="4" t="inlineStr">
        <is>
          <t>THLCH</t>
        </is>
      </c>
      <c r="G715" s="4" t="inlineStr">
        <is>
          <t>KRPTK</t>
        </is>
      </c>
      <c r="H715" s="4" t="inlineStr">
        <is>
          <t xml:space="preserve">40Hx5 </t>
        </is>
      </c>
      <c r="I715" s="4" t="inlineStr">
        <is>
          <t>LCHY5</t>
        </is>
      </c>
      <c r="J715" s="4" t="inlineStr">
        <is>
          <t>PW DEPOT CO., LTD.</t>
        </is>
      </c>
      <c r="K715" s="4" t="inlineStr">
        <is>
          <t>20260925</t>
        </is>
      </c>
      <c r="L715" s="4" t="inlineStr">
        <is>
          <t>SAMSUNG SDS GLOBAL SCL (THAILAND) CO.,LTD.</t>
        </is>
      </c>
      <c r="M715" s="4" t="inlineStr">
        <is>
          <t>THAI SAMSUNG ELECTRONICS CO., LTD.</t>
        </is>
      </c>
      <c r="N715" s="4" t="inlineStr">
        <is>
          <t>WASHING MATCHINE</t>
        </is>
      </c>
      <c r="O715" s="4" t="inlineStr">
        <is>
          <t>*No containers with cut and patch marks inside*
GOOD CLEAN CONTIANER NO BLEAM (ELECTRONICS GOODS)</t>
        </is>
      </c>
      <c r="P715" s="4" t="inlineStr">
        <is>
          <t xml:space="preserve">Pickup : 2026-09-25, Return : 2026-09-29 
 ** PLEASE CHECK OPEN GATE BEFORE RETURN CNTR **
</t>
        </is>
      </c>
      <c r="Q715" s="4" t="n">
        <v>0</v>
      </c>
      <c r="R715" s="4" t="n">
        <v>0</v>
      </c>
      <c r="S715" s="4" t="n">
        <v>5</v>
      </c>
      <c r="T715" s="4" t="n">
        <v>0</v>
      </c>
      <c r="U715" s="4" t="n">
        <v>0</v>
      </c>
      <c r="V715" s="4" t="n">
        <v>0</v>
      </c>
      <c r="W715" s="4" t="n">
        <v>0</v>
      </c>
      <c r="X715" s="4" t="n">
        <v>0</v>
      </c>
      <c r="Y715" s="4" t="n">
        <v>0</v>
      </c>
      <c r="Z715" s="4" t="n">
        <v>1</v>
      </c>
      <c r="AA715" s="4" t="n">
        <v>0</v>
      </c>
      <c r="AB715" s="4">
        <f>SUM(Q715:Y715)-Z715</f>
        <v/>
      </c>
      <c r="AC715" s="4">
        <f>IF(I715="","",IF(OR(LEFT(I715,3)="BKK",I715="LCH55"),"BKK",IF(LEFT(I715,3)="LCH","LCH","OTHER")))</f>
        <v/>
      </c>
      <c r="AD715" s="4">
        <f>MAX(0,Q715-MAX(0,Z715))</f>
        <v/>
      </c>
      <c r="AE715" s="4">
        <f>MAX(0,R715-MAX(0,Z715-SUM(Q715:Q715)))</f>
        <v/>
      </c>
      <c r="AF715" s="4">
        <f>MAX(0,S715-MAX(0,Z715-SUM(Q715:R715)))</f>
        <v/>
      </c>
      <c r="AG715" s="4">
        <f>MAX(0,T715-MAX(0,Z715-SUM(Q715:S715)))</f>
        <v/>
      </c>
      <c r="AH715" s="4">
        <f>MAX(0,U715-MAX(0,Z715-SUM(Q715:T715)))</f>
        <v/>
      </c>
      <c r="AI715" s="4">
        <f>MAX(0,V715-MAX(0,Z715-SUM(Q715:U715)))</f>
        <v/>
      </c>
      <c r="AJ715" s="4">
        <f>MAX(0,W715-MAX(0,Z715-SUM(Q715:V715)))</f>
        <v/>
      </c>
      <c r="AK715" s="4">
        <f>MAX(0,X715-MAX(0,Z715-SUM(Q715:W715)))</f>
        <v/>
      </c>
      <c r="AL715" s="4">
        <f>MAX(0,Y715-MAX(0,Z715-SUM(Q715:X715)))</f>
        <v/>
      </c>
    </row>
    <row r="716">
      <c r="A716" s="4" t="inlineStr">
        <is>
          <t>HASLS22260901742</t>
        </is>
      </c>
      <c r="B716" s="4" t="inlineStr">
        <is>
          <t>PGPO</t>
        </is>
      </c>
      <c r="C716" s="4" t="inlineStr">
        <is>
          <t>2612N</t>
        </is>
      </c>
      <c r="D716" s="4" t="inlineStr">
        <is>
          <t>202610151200</t>
        </is>
      </c>
      <c r="E716" s="4" t="inlineStr"/>
      <c r="F716" s="4" t="inlineStr">
        <is>
          <t>THLCH</t>
        </is>
      </c>
      <c r="G716" s="4" t="inlineStr">
        <is>
          <t>KRPTK</t>
        </is>
      </c>
      <c r="H716" s="4" t="inlineStr">
        <is>
          <t xml:space="preserve">40Hx16 </t>
        </is>
      </c>
      <c r="I716" s="4" t="inlineStr">
        <is>
          <t>LCHY5</t>
        </is>
      </c>
      <c r="J716" s="4" t="inlineStr">
        <is>
          <t>PW DEPOT CO., LTD.</t>
        </is>
      </c>
      <c r="K716" s="4" t="inlineStr">
        <is>
          <t>20261007</t>
        </is>
      </c>
      <c r="L716" s="4" t="inlineStr">
        <is>
          <t>SAMSUNG SDS GLOBAL SCL (THAILAND) CO.,LTD.</t>
        </is>
      </c>
      <c r="M716" s="4" t="inlineStr">
        <is>
          <t>THAI SAMSUNG ELECTRONICS CO., LTD.</t>
        </is>
      </c>
      <c r="N716" s="4" t="inlineStr">
        <is>
          <t>REFRIGERATOR</t>
        </is>
      </c>
      <c r="O716" s="4" t="inlineStr">
        <is>
          <t>*No containers with cut and patch marks inside*
GOOD CLEAN CONTIANER NO BLEAM (ELECTRONICS GOODS)</t>
        </is>
      </c>
      <c r="P716" s="4" t="inlineStr">
        <is>
          <t>Pickup : 2026-10-07, Return : 2026-10-09</t>
        </is>
      </c>
      <c r="Q716" s="4" t="n">
        <v>0</v>
      </c>
      <c r="R716" s="4" t="n">
        <v>0</v>
      </c>
      <c r="S716" s="4" t="n">
        <v>16</v>
      </c>
      <c r="T716" s="4" t="n">
        <v>0</v>
      </c>
      <c r="U716" s="4" t="n">
        <v>0</v>
      </c>
      <c r="V716" s="4" t="n">
        <v>0</v>
      </c>
      <c r="W716" s="4" t="n">
        <v>0</v>
      </c>
      <c r="X716" s="4" t="n">
        <v>0</v>
      </c>
      <c r="Y716" s="4" t="n">
        <v>0</v>
      </c>
      <c r="Z716" s="4" t="n">
        <v>0</v>
      </c>
      <c r="AA716" s="4" t="n">
        <v>0</v>
      </c>
      <c r="AB716" s="4">
        <f>SUM(Q716:Y716)-Z716</f>
        <v/>
      </c>
      <c r="AC716" s="4">
        <f>IF(I716="","",IF(OR(LEFT(I716,3)="BKK",I716="LCH55"),"BKK",IF(LEFT(I716,3)="LCH","LCH","OTHER")))</f>
        <v/>
      </c>
      <c r="AD716" s="4">
        <f>MAX(0,Q716-MAX(0,Z716))</f>
        <v/>
      </c>
      <c r="AE716" s="4">
        <f>MAX(0,R716-MAX(0,Z716-SUM(Q716:Q716)))</f>
        <v/>
      </c>
      <c r="AF716" s="4">
        <f>MAX(0,S716-MAX(0,Z716-SUM(Q716:R716)))</f>
        <v/>
      </c>
      <c r="AG716" s="4">
        <f>MAX(0,T716-MAX(0,Z716-SUM(Q716:S716)))</f>
        <v/>
      </c>
      <c r="AH716" s="4">
        <f>MAX(0,U716-MAX(0,Z716-SUM(Q716:T716)))</f>
        <v/>
      </c>
      <c r="AI716" s="4">
        <f>MAX(0,V716-MAX(0,Z716-SUM(Q716:U716)))</f>
        <v/>
      </c>
      <c r="AJ716" s="4">
        <f>MAX(0,W716-MAX(0,Z716-SUM(Q716:V716)))</f>
        <v/>
      </c>
      <c r="AK716" s="4">
        <f>MAX(0,X716-MAX(0,Z716-SUM(Q716:W716)))</f>
        <v/>
      </c>
      <c r="AL716" s="4">
        <f>MAX(0,Y716-MAX(0,Z716-SUM(Q716:X716)))</f>
        <v/>
      </c>
    </row>
    <row r="717">
      <c r="A717" s="4" t="inlineStr">
        <is>
          <t>HASLS22260901745</t>
        </is>
      </c>
      <c r="B717" s="4" t="inlineStr">
        <is>
          <t>DJCF</t>
        </is>
      </c>
      <c r="C717" s="4" t="inlineStr">
        <is>
          <t>0152N</t>
        </is>
      </c>
      <c r="D717" s="4" t="inlineStr">
        <is>
          <t>202610120400</t>
        </is>
      </c>
      <c r="E717" s="4" t="inlineStr"/>
      <c r="F717" s="4" t="inlineStr">
        <is>
          <t>THLCH</t>
        </is>
      </c>
      <c r="G717" s="4" t="inlineStr">
        <is>
          <t>KRPTK</t>
        </is>
      </c>
      <c r="H717" s="4" t="inlineStr">
        <is>
          <t xml:space="preserve">40Hx8 </t>
        </is>
      </c>
      <c r="I717" s="4" t="inlineStr">
        <is>
          <t>LCHY5</t>
        </is>
      </c>
      <c r="J717" s="4" t="inlineStr">
        <is>
          <t>PW DEPOT CO., LTD.</t>
        </is>
      </c>
      <c r="K717" s="4" t="inlineStr">
        <is>
          <t>20261002</t>
        </is>
      </c>
      <c r="L717" s="4" t="inlineStr">
        <is>
          <t>SAMSUNG SDS GLOBAL SCL (THAILAND) CO.,LTD.</t>
        </is>
      </c>
      <c r="M717" s="4" t="inlineStr">
        <is>
          <t>THAI SAMSUNG ELECTRONICS CO., LTD.</t>
        </is>
      </c>
      <c r="N717" s="4" t="inlineStr">
        <is>
          <t>WASHING MATCHINE</t>
        </is>
      </c>
      <c r="O717" s="4" t="inlineStr">
        <is>
          <t>*No containers with cut and patch marks inside*
GOOD CLEAN CONTIANER NO BLEAM (ELECTRONICS GOODS)</t>
        </is>
      </c>
      <c r="P717" s="4" t="inlineStr">
        <is>
          <t>Pickup : 2026-10-02, Return : 2026-10-04</t>
        </is>
      </c>
      <c r="Q717" s="4" t="n">
        <v>0</v>
      </c>
      <c r="R717" s="4" t="n">
        <v>0</v>
      </c>
      <c r="S717" s="4" t="n">
        <v>8</v>
      </c>
      <c r="T717" s="4" t="n">
        <v>0</v>
      </c>
      <c r="U717" s="4" t="n">
        <v>0</v>
      </c>
      <c r="V717" s="4" t="n">
        <v>0</v>
      </c>
      <c r="W717" s="4" t="n">
        <v>0</v>
      </c>
      <c r="X717" s="4" t="n">
        <v>0</v>
      </c>
      <c r="Y717" s="4" t="n">
        <v>0</v>
      </c>
      <c r="Z717" s="4" t="n">
        <v>0</v>
      </c>
      <c r="AA717" s="4" t="n">
        <v>0</v>
      </c>
      <c r="AB717" s="4">
        <f>SUM(Q717:Y717)-Z717</f>
        <v/>
      </c>
      <c r="AC717" s="4">
        <f>IF(I717="","",IF(OR(LEFT(I717,3)="BKK",I717="LCH55"),"BKK",IF(LEFT(I717,3)="LCH","LCH","OTHER")))</f>
        <v/>
      </c>
      <c r="AD717" s="4">
        <f>MAX(0,Q717-MAX(0,Z717))</f>
        <v/>
      </c>
      <c r="AE717" s="4">
        <f>MAX(0,R717-MAX(0,Z717-SUM(Q717:Q717)))</f>
        <v/>
      </c>
      <c r="AF717" s="4">
        <f>MAX(0,S717-MAX(0,Z717-SUM(Q717:R717)))</f>
        <v/>
      </c>
      <c r="AG717" s="4">
        <f>MAX(0,T717-MAX(0,Z717-SUM(Q717:S717)))</f>
        <v/>
      </c>
      <c r="AH717" s="4">
        <f>MAX(0,U717-MAX(0,Z717-SUM(Q717:T717)))</f>
        <v/>
      </c>
      <c r="AI717" s="4">
        <f>MAX(0,V717-MAX(0,Z717-SUM(Q717:U717)))</f>
        <v/>
      </c>
      <c r="AJ717" s="4">
        <f>MAX(0,W717-MAX(0,Z717-SUM(Q717:V717)))</f>
        <v/>
      </c>
      <c r="AK717" s="4">
        <f>MAX(0,X717-MAX(0,Z717-SUM(Q717:W717)))</f>
        <v/>
      </c>
      <c r="AL717" s="4">
        <f>MAX(0,Y717-MAX(0,Z717-SUM(Q717:X717)))</f>
        <v/>
      </c>
    </row>
    <row r="718">
      <c r="A718" s="4" t="inlineStr">
        <is>
          <t>HASLS22260901767</t>
        </is>
      </c>
      <c r="B718" s="4" t="inlineStr">
        <is>
          <t>SWSP</t>
        </is>
      </c>
      <c r="C718" s="4" t="inlineStr">
        <is>
          <t>2609N</t>
        </is>
      </c>
      <c r="D718" s="4" t="inlineStr">
        <is>
          <t>202610080830</t>
        </is>
      </c>
      <c r="E718" s="4" t="inlineStr"/>
      <c r="F718" s="4" t="inlineStr">
        <is>
          <t>THLCH</t>
        </is>
      </c>
      <c r="G718" s="4" t="inlineStr">
        <is>
          <t>VNSGN</t>
        </is>
      </c>
      <c r="H718" s="4" t="inlineStr">
        <is>
          <t xml:space="preserve">40Hx1 </t>
        </is>
      </c>
      <c r="I718" s="4" t="inlineStr">
        <is>
          <t>LCHY5</t>
        </is>
      </c>
      <c r="J718" s="4" t="inlineStr">
        <is>
          <t>PW DEPOT CO., LTD.</t>
        </is>
      </c>
      <c r="K718" s="4" t="inlineStr">
        <is>
          <t>20261001</t>
        </is>
      </c>
      <c r="L718" s="4" t="inlineStr">
        <is>
          <t>MERCURIAL LOGISTICS  CO.,LTD</t>
        </is>
      </c>
      <c r="M718" s="4" t="inlineStr">
        <is>
          <t>BARBE (THAILAND) LTD.</t>
        </is>
      </c>
      <c r="N718" s="4" t="inlineStr">
        <is>
          <t>RUBBER COMPOUND</t>
        </is>
      </c>
      <c r="O718" s="4" t="inlineStr">
        <is>
          <t>GOOD AND CLEAN CONTAINER</t>
        </is>
      </c>
      <c r="P718" s="4" t="inlineStr">
        <is>
          <t>Pickup : 2026-10-01, Return : 2026-10-02
**CHECK OPENGATE BEFORE RETURN CNTR**</t>
        </is>
      </c>
      <c r="Q718" s="4" t="n">
        <v>0</v>
      </c>
      <c r="R718" s="4" t="n">
        <v>0</v>
      </c>
      <c r="S718" s="4" t="n">
        <v>1</v>
      </c>
      <c r="T718" s="4" t="n">
        <v>0</v>
      </c>
      <c r="U718" s="4" t="n">
        <v>0</v>
      </c>
      <c r="V718" s="4" t="n">
        <v>0</v>
      </c>
      <c r="W718" s="4" t="n">
        <v>0</v>
      </c>
      <c r="X718" s="4" t="n">
        <v>0</v>
      </c>
      <c r="Y718" s="4" t="n">
        <v>0</v>
      </c>
      <c r="Z718" s="4" t="n">
        <v>0</v>
      </c>
      <c r="AA718" s="4" t="n">
        <v>0</v>
      </c>
      <c r="AB718" s="4">
        <f>SUM(Q718:Y718)-Z718</f>
        <v/>
      </c>
      <c r="AC718" s="4">
        <f>IF(I718="","",IF(OR(LEFT(I718,3)="BKK",I718="LCH55"),"BKK",IF(LEFT(I718,3)="LCH","LCH","OTHER")))</f>
        <v/>
      </c>
      <c r="AD718" s="4">
        <f>MAX(0,Q718-MAX(0,Z718))</f>
        <v/>
      </c>
      <c r="AE718" s="4">
        <f>MAX(0,R718-MAX(0,Z718-SUM(Q718:Q718)))</f>
        <v/>
      </c>
      <c r="AF718" s="4">
        <f>MAX(0,S718-MAX(0,Z718-SUM(Q718:R718)))</f>
        <v/>
      </c>
      <c r="AG718" s="4">
        <f>MAX(0,T718-MAX(0,Z718-SUM(Q718:S718)))</f>
        <v/>
      </c>
      <c r="AH718" s="4">
        <f>MAX(0,U718-MAX(0,Z718-SUM(Q718:T718)))</f>
        <v/>
      </c>
      <c r="AI718" s="4">
        <f>MAX(0,V718-MAX(0,Z718-SUM(Q718:U718)))</f>
        <v/>
      </c>
      <c r="AJ718" s="4">
        <f>MAX(0,W718-MAX(0,Z718-SUM(Q718:V718)))</f>
        <v/>
      </c>
      <c r="AK718" s="4">
        <f>MAX(0,X718-MAX(0,Z718-SUM(Q718:W718)))</f>
        <v/>
      </c>
      <c r="AL718" s="4">
        <f>MAX(0,Y718-MAX(0,Z718-SUM(Q718:X718)))</f>
        <v/>
      </c>
    </row>
    <row r="719">
      <c r="A719" s="4" t="inlineStr">
        <is>
          <t>HASLS22260901774</t>
        </is>
      </c>
      <c r="B719" s="4" t="inlineStr">
        <is>
          <t>CMA</t>
        </is>
      </c>
      <c r="C719" s="4" t="inlineStr">
        <is>
          <t>2615N</t>
        </is>
      </c>
      <c r="D719" s="4" t="inlineStr">
        <is>
          <t>202610181600</t>
        </is>
      </c>
      <c r="E719" s="4" t="inlineStr"/>
      <c r="F719" s="4" t="inlineStr">
        <is>
          <t>THLCH</t>
        </is>
      </c>
      <c r="G719" s="4" t="inlineStr">
        <is>
          <t>HKHKG</t>
        </is>
      </c>
      <c r="H719" s="4" t="inlineStr">
        <is>
          <t xml:space="preserve">40Hx1 </t>
        </is>
      </c>
      <c r="I719" s="4" t="inlineStr">
        <is>
          <t>LCHY5</t>
        </is>
      </c>
      <c r="J719" s="4" t="inlineStr">
        <is>
          <t>PW DEPOT CO., LTD.</t>
        </is>
      </c>
      <c r="K719" s="4" t="inlineStr">
        <is>
          <t>20261013</t>
        </is>
      </c>
      <c r="L719" s="4" t="inlineStr">
        <is>
          <t>KWE-KINTETSU WORLD EXPRESS (THAILAND) CO., LTD.</t>
        </is>
      </c>
      <c r="M719" s="4" t="inlineStr">
        <is>
          <t>ELNA (THAILAND) CO.,LTD.</t>
        </is>
      </c>
      <c r="N719" s="4" t="inlineStr">
        <is>
          <t>ELECTROLYTIC CONDENSER SOLUTION</t>
        </is>
      </c>
      <c r="O719" s="4" t="inlineStr">
        <is>
          <t>**REQ GOOD, CLEAN, NO LEAK AND GRADE A CONTAINER</t>
        </is>
      </c>
      <c r="P719" s="4" t="inlineStr">
        <is>
          <t>Pickup : 2026-10-13, Return : 2026-10-15</t>
        </is>
      </c>
      <c r="Q719" s="4" t="n">
        <v>0</v>
      </c>
      <c r="R719" s="4" t="n">
        <v>0</v>
      </c>
      <c r="S719" s="4" t="n">
        <v>1</v>
      </c>
      <c r="T719" s="4" t="n">
        <v>0</v>
      </c>
      <c r="U719" s="4" t="n">
        <v>0</v>
      </c>
      <c r="V719" s="4" t="n">
        <v>0</v>
      </c>
      <c r="W719" s="4" t="n">
        <v>0</v>
      </c>
      <c r="X719" s="4" t="n">
        <v>0</v>
      </c>
      <c r="Y719" s="4" t="n">
        <v>0</v>
      </c>
      <c r="Z719" s="4" t="n">
        <v>0</v>
      </c>
      <c r="AA719" s="4" t="n">
        <v>0</v>
      </c>
      <c r="AB719" s="4">
        <f>SUM(Q719:Y719)-Z719</f>
        <v/>
      </c>
      <c r="AC719" s="4">
        <f>IF(I719="","",IF(OR(LEFT(I719,3)="BKK",I719="LCH55"),"BKK",IF(LEFT(I719,3)="LCH","LCH","OTHER")))</f>
        <v/>
      </c>
      <c r="AD719" s="4">
        <f>MAX(0,Q719-MAX(0,Z719))</f>
        <v/>
      </c>
      <c r="AE719" s="4">
        <f>MAX(0,R719-MAX(0,Z719-SUM(Q719:Q719)))</f>
        <v/>
      </c>
      <c r="AF719" s="4">
        <f>MAX(0,S719-MAX(0,Z719-SUM(Q719:R719)))</f>
        <v/>
      </c>
      <c r="AG719" s="4">
        <f>MAX(0,T719-MAX(0,Z719-SUM(Q719:S719)))</f>
        <v/>
      </c>
      <c r="AH719" s="4">
        <f>MAX(0,U719-MAX(0,Z719-SUM(Q719:T719)))</f>
        <v/>
      </c>
      <c r="AI719" s="4">
        <f>MAX(0,V719-MAX(0,Z719-SUM(Q719:U719)))</f>
        <v/>
      </c>
      <c r="AJ719" s="4">
        <f>MAX(0,W719-MAX(0,Z719-SUM(Q719:V719)))</f>
        <v/>
      </c>
      <c r="AK719" s="4">
        <f>MAX(0,X719-MAX(0,Z719-SUM(Q719:W719)))</f>
        <v/>
      </c>
      <c r="AL719" s="4">
        <f>MAX(0,Y719-MAX(0,Z719-SUM(Q719:X719)))</f>
        <v/>
      </c>
    </row>
    <row r="720">
      <c r="A720" s="4" t="inlineStr">
        <is>
          <t>HASLS22260901779</t>
        </is>
      </c>
      <c r="B720" s="4" t="inlineStr">
        <is>
          <t>SWVG</t>
        </is>
      </c>
      <c r="C720" s="4" t="inlineStr">
        <is>
          <t>2612N</t>
        </is>
      </c>
      <c r="D720" s="4" t="inlineStr">
        <is>
          <t>202610070330</t>
        </is>
      </c>
      <c r="E720" s="4" t="inlineStr"/>
      <c r="F720" s="4" t="inlineStr">
        <is>
          <t>THLCH</t>
        </is>
      </c>
      <c r="G720" s="4" t="inlineStr">
        <is>
          <t>CNSHA</t>
        </is>
      </c>
      <c r="H720" s="4" t="inlineStr">
        <is>
          <t xml:space="preserve">20'x1 </t>
        </is>
      </c>
      <c r="I720" s="4" t="inlineStr">
        <is>
          <t>LCHY5</t>
        </is>
      </c>
      <c r="J720" s="4" t="inlineStr">
        <is>
          <t>PW DEPOT CO., LTD.</t>
        </is>
      </c>
      <c r="K720" s="4" t="inlineStr">
        <is>
          <t>20261003</t>
        </is>
      </c>
      <c r="L720" s="4" t="inlineStr">
        <is>
          <t>EXPEDITORS (THAILAND) LTD.</t>
        </is>
      </c>
      <c r="M720" s="4" t="inlineStr">
        <is>
          <t>GANG YAN DIAMOND TOOLS (THAILAND) CO., LTD.</t>
        </is>
      </c>
      <c r="N720" s="4" t="inlineStr">
        <is>
          <t>SAW BLADE</t>
        </is>
      </c>
      <c r="O720" s="4" t="inlineStr">
        <is>
          <t>Special Remark : Request well clean and dry cntrs</t>
        </is>
      </c>
      <c r="P720" s="4" t="inlineStr">
        <is>
          <t>Pickup : 2026-10-03, Return : 2026-10-05</t>
        </is>
      </c>
      <c r="Q720" s="4" t="n">
        <v>1</v>
      </c>
      <c r="R720" s="4" t="n">
        <v>0</v>
      </c>
      <c r="S720" s="4" t="n">
        <v>0</v>
      </c>
      <c r="T720" s="4" t="n">
        <v>0</v>
      </c>
      <c r="U720" s="4" t="n">
        <v>0</v>
      </c>
      <c r="V720" s="4" t="n">
        <v>0</v>
      </c>
      <c r="W720" s="4" t="n">
        <v>0</v>
      </c>
      <c r="X720" s="4" t="n">
        <v>0</v>
      </c>
      <c r="Y720" s="4" t="n">
        <v>0</v>
      </c>
      <c r="Z720" s="4" t="n">
        <v>0</v>
      </c>
      <c r="AA720" s="4" t="n">
        <v>0</v>
      </c>
      <c r="AB720" s="4">
        <f>SUM(Q720:Y720)-Z720</f>
        <v/>
      </c>
      <c r="AC720" s="4">
        <f>IF(I720="","",IF(OR(LEFT(I720,3)="BKK",I720="LCH55"),"BKK",IF(LEFT(I720,3)="LCH","LCH","OTHER")))</f>
        <v/>
      </c>
      <c r="AD720" s="4">
        <f>MAX(0,Q720-MAX(0,Z720))</f>
        <v/>
      </c>
      <c r="AE720" s="4">
        <f>MAX(0,R720-MAX(0,Z720-SUM(Q720:Q720)))</f>
        <v/>
      </c>
      <c r="AF720" s="4">
        <f>MAX(0,S720-MAX(0,Z720-SUM(Q720:R720)))</f>
        <v/>
      </c>
      <c r="AG720" s="4">
        <f>MAX(0,T720-MAX(0,Z720-SUM(Q720:S720)))</f>
        <v/>
      </c>
      <c r="AH720" s="4">
        <f>MAX(0,U720-MAX(0,Z720-SUM(Q720:T720)))</f>
        <v/>
      </c>
      <c r="AI720" s="4">
        <f>MAX(0,V720-MAX(0,Z720-SUM(Q720:U720)))</f>
        <v/>
      </c>
      <c r="AJ720" s="4">
        <f>MAX(0,W720-MAX(0,Z720-SUM(Q720:V720)))</f>
        <v/>
      </c>
      <c r="AK720" s="4">
        <f>MAX(0,X720-MAX(0,Z720-SUM(Q720:W720)))</f>
        <v/>
      </c>
      <c r="AL720" s="4">
        <f>MAX(0,Y720-MAX(0,Z720-SUM(Q720:X720)))</f>
        <v/>
      </c>
    </row>
    <row r="721">
      <c r="A721" s="4" t="inlineStr">
        <is>
          <t>HASLS22260901780</t>
        </is>
      </c>
      <c r="B721" s="4" t="inlineStr">
        <is>
          <t>SWVG</t>
        </is>
      </c>
      <c r="C721" s="4" t="inlineStr">
        <is>
          <t>2612N</t>
        </is>
      </c>
      <c r="D721" s="4" t="inlineStr">
        <is>
          <t>202610070330</t>
        </is>
      </c>
      <c r="E721" s="4" t="inlineStr"/>
      <c r="F721" s="4" t="inlineStr">
        <is>
          <t>THLCH</t>
        </is>
      </c>
      <c r="G721" s="4" t="inlineStr">
        <is>
          <t>CNSHA</t>
        </is>
      </c>
      <c r="H721" s="4" t="inlineStr">
        <is>
          <t xml:space="preserve">20'x1 </t>
        </is>
      </c>
      <c r="I721" s="4" t="inlineStr">
        <is>
          <t>LCHY5</t>
        </is>
      </c>
      <c r="J721" s="4" t="inlineStr">
        <is>
          <t>PW DEPOT CO., LTD.</t>
        </is>
      </c>
      <c r="K721" s="4" t="inlineStr">
        <is>
          <t>20261001</t>
        </is>
      </c>
      <c r="L721" s="4" t="inlineStr">
        <is>
          <t>TRANS-MAKER CO., LTD.</t>
        </is>
      </c>
      <c r="M721" s="4" t="inlineStr">
        <is>
          <t>TFL LEDERTECHNIK GMBH</t>
        </is>
      </c>
      <c r="N721" s="4" t="inlineStr">
        <is>
          <t>LEATHER CHEMICALS</t>
        </is>
      </c>
      <c r="O721" s="4" t="inlineStr">
        <is>
          <t>GOOD AND CLEAN CONTAINER</t>
        </is>
      </c>
      <c r="P721" s="4" t="inlineStr">
        <is>
          <t>Pickup : 2026-10-01, Return : 2026-10-03</t>
        </is>
      </c>
      <c r="Q721" s="4" t="n">
        <v>1</v>
      </c>
      <c r="R721" s="4" t="n">
        <v>0</v>
      </c>
      <c r="S721" s="4" t="n">
        <v>0</v>
      </c>
      <c r="T721" s="4" t="n">
        <v>0</v>
      </c>
      <c r="U721" s="4" t="n">
        <v>0</v>
      </c>
      <c r="V721" s="4" t="n">
        <v>0</v>
      </c>
      <c r="W721" s="4" t="n">
        <v>0</v>
      </c>
      <c r="X721" s="4" t="n">
        <v>0</v>
      </c>
      <c r="Y721" s="4" t="n">
        <v>0</v>
      </c>
      <c r="Z721" s="4" t="n">
        <v>0</v>
      </c>
      <c r="AA721" s="4" t="n">
        <v>0</v>
      </c>
      <c r="AB721" s="4">
        <f>SUM(Q721:Y721)-Z721</f>
        <v/>
      </c>
      <c r="AC721" s="4">
        <f>IF(I721="","",IF(OR(LEFT(I721,3)="BKK",I721="LCH55"),"BKK",IF(LEFT(I721,3)="LCH","LCH","OTHER")))</f>
        <v/>
      </c>
      <c r="AD721" s="4">
        <f>MAX(0,Q721-MAX(0,Z721))</f>
        <v/>
      </c>
      <c r="AE721" s="4">
        <f>MAX(0,R721-MAX(0,Z721-SUM(Q721:Q721)))</f>
        <v/>
      </c>
      <c r="AF721" s="4">
        <f>MAX(0,S721-MAX(0,Z721-SUM(Q721:R721)))</f>
        <v/>
      </c>
      <c r="AG721" s="4">
        <f>MAX(0,T721-MAX(0,Z721-SUM(Q721:S721)))</f>
        <v/>
      </c>
      <c r="AH721" s="4">
        <f>MAX(0,U721-MAX(0,Z721-SUM(Q721:T721)))</f>
        <v/>
      </c>
      <c r="AI721" s="4">
        <f>MAX(0,V721-MAX(0,Z721-SUM(Q721:U721)))</f>
        <v/>
      </c>
      <c r="AJ721" s="4">
        <f>MAX(0,W721-MAX(0,Z721-SUM(Q721:V721)))</f>
        <v/>
      </c>
      <c r="AK721" s="4">
        <f>MAX(0,X721-MAX(0,Z721-SUM(Q721:W721)))</f>
        <v/>
      </c>
      <c r="AL721" s="4">
        <f>MAX(0,Y721-MAX(0,Z721-SUM(Q721:X721)))</f>
        <v/>
      </c>
    </row>
    <row r="722">
      <c r="A722" s="4" t="inlineStr">
        <is>
          <t>HASLS22260901781</t>
        </is>
      </c>
      <c r="B722" s="4" t="inlineStr">
        <is>
          <t>SWVG</t>
        </is>
      </c>
      <c r="C722" s="4" t="inlineStr">
        <is>
          <t>2612N</t>
        </is>
      </c>
      <c r="D722" s="4" t="inlineStr">
        <is>
          <t>202610070330</t>
        </is>
      </c>
      <c r="E722" s="4" t="inlineStr"/>
      <c r="F722" s="4" t="inlineStr">
        <is>
          <t>THLCH</t>
        </is>
      </c>
      <c r="G722" s="4" t="inlineStr">
        <is>
          <t>CNSHA</t>
        </is>
      </c>
      <c r="H722" s="4" t="inlineStr">
        <is>
          <t xml:space="preserve">20'x1 </t>
        </is>
      </c>
      <c r="I722" s="4" t="inlineStr">
        <is>
          <t>LCHY5</t>
        </is>
      </c>
      <c r="J722" s="4" t="inlineStr">
        <is>
          <t>PW DEPOT CO., LTD.</t>
        </is>
      </c>
      <c r="K722" s="4" t="inlineStr">
        <is>
          <t>20260926</t>
        </is>
      </c>
      <c r="L722" s="4" t="inlineStr">
        <is>
          <t>SCGJWD LOGISTICS PUBLIC COMPANY LIMITED</t>
        </is>
      </c>
      <c r="M722" s="4" t="inlineStr">
        <is>
          <t>THAI POLYETHYLENE CO., LTD.</t>
        </is>
      </c>
      <c r="N722" s="4" t="inlineStr">
        <is>
          <t>RESIN</t>
        </is>
      </c>
      <c r="O722" s="4" t="inlineStr">
        <is>
          <t>REQ GOOD AND CLEAN CONT., NO OIL, NO RUSTY</t>
        </is>
      </c>
      <c r="P722" s="4" t="inlineStr">
        <is>
          <t>CY-RTN 26-29/09/26 (INV.3031062142)</t>
        </is>
      </c>
      <c r="Q722" s="4" t="n">
        <v>1</v>
      </c>
      <c r="R722" s="4" t="n">
        <v>0</v>
      </c>
      <c r="S722" s="4" t="n">
        <v>0</v>
      </c>
      <c r="T722" s="4" t="n">
        <v>0</v>
      </c>
      <c r="U722" s="4" t="n">
        <v>0</v>
      </c>
      <c r="V722" s="4" t="n">
        <v>0</v>
      </c>
      <c r="W722" s="4" t="n">
        <v>0</v>
      </c>
      <c r="X722" s="4" t="n">
        <v>0</v>
      </c>
      <c r="Y722" s="4" t="n">
        <v>0</v>
      </c>
      <c r="Z722" s="4" t="n">
        <v>0</v>
      </c>
      <c r="AA722" s="4" t="n">
        <v>0</v>
      </c>
      <c r="AB722" s="4">
        <f>SUM(Q722:Y722)-Z722</f>
        <v/>
      </c>
      <c r="AC722" s="4">
        <f>IF(I722="","",IF(OR(LEFT(I722,3)="BKK",I722="LCH55"),"BKK",IF(LEFT(I722,3)="LCH","LCH","OTHER")))</f>
        <v/>
      </c>
      <c r="AD722" s="4">
        <f>MAX(0,Q722-MAX(0,Z722))</f>
        <v/>
      </c>
      <c r="AE722" s="4">
        <f>MAX(0,R722-MAX(0,Z722-SUM(Q722:Q722)))</f>
        <v/>
      </c>
      <c r="AF722" s="4">
        <f>MAX(0,S722-MAX(0,Z722-SUM(Q722:R722)))</f>
        <v/>
      </c>
      <c r="AG722" s="4">
        <f>MAX(0,T722-MAX(0,Z722-SUM(Q722:S722)))</f>
        <v/>
      </c>
      <c r="AH722" s="4">
        <f>MAX(0,U722-MAX(0,Z722-SUM(Q722:T722)))</f>
        <v/>
      </c>
      <c r="AI722" s="4">
        <f>MAX(0,V722-MAX(0,Z722-SUM(Q722:U722)))</f>
        <v/>
      </c>
      <c r="AJ722" s="4">
        <f>MAX(0,W722-MAX(0,Z722-SUM(Q722:V722)))</f>
        <v/>
      </c>
      <c r="AK722" s="4">
        <f>MAX(0,X722-MAX(0,Z722-SUM(Q722:W722)))</f>
        <v/>
      </c>
      <c r="AL722" s="4">
        <f>MAX(0,Y722-MAX(0,Z722-SUM(Q722:X722)))</f>
        <v/>
      </c>
    </row>
    <row r="723">
      <c r="A723" s="4" t="inlineStr">
        <is>
          <t>HASLS22260901786</t>
        </is>
      </c>
      <c r="B723" s="4" t="inlineStr">
        <is>
          <t>KMBK</t>
        </is>
      </c>
      <c r="C723" s="4" t="inlineStr">
        <is>
          <t>2611N</t>
        </is>
      </c>
      <c r="D723" s="4" t="inlineStr">
        <is>
          <t>202610040100</t>
        </is>
      </c>
      <c r="E723" s="4" t="inlineStr"/>
      <c r="F723" s="4" t="inlineStr">
        <is>
          <t>THLCH</t>
        </is>
      </c>
      <c r="G723" s="4" t="inlineStr">
        <is>
          <t>VNSGN</t>
        </is>
      </c>
      <c r="H723" s="4" t="inlineStr">
        <is>
          <t xml:space="preserve">20'x1 </t>
        </is>
      </c>
      <c r="I723" s="4" t="inlineStr">
        <is>
          <t>LCHY5</t>
        </is>
      </c>
      <c r="J723" s="4" t="inlineStr">
        <is>
          <t>PW DEPOT CO., LTD.</t>
        </is>
      </c>
      <c r="K723" s="4" t="inlineStr">
        <is>
          <t>20260930</t>
        </is>
      </c>
      <c r="L723" s="4" t="inlineStr">
        <is>
          <t>ALL CARGO SOLUTIONS CO., LTD.</t>
        </is>
      </c>
      <c r="M723" s="4" t="inlineStr">
        <is>
          <t>SHEICO (THAILAND) CO., LTD.</t>
        </is>
      </c>
      <c r="N723" s="4" t="inlineStr">
        <is>
          <t>GARMENTS ACCESSORIES</t>
        </is>
      </c>
      <c r="O723" s="4" t="inlineStr">
        <is>
          <t>GOOD AND CLEAN CONTAINER</t>
        </is>
      </c>
      <c r="P723" s="4" t="inlineStr">
        <is>
          <t>Pickup : 2026-09-30, Return : 2026-09-30</t>
        </is>
      </c>
      <c r="Q723" s="4" t="n">
        <v>1</v>
      </c>
      <c r="R723" s="4" t="n">
        <v>0</v>
      </c>
      <c r="S723" s="4" t="n">
        <v>0</v>
      </c>
      <c r="T723" s="4" t="n">
        <v>0</v>
      </c>
      <c r="U723" s="4" t="n">
        <v>0</v>
      </c>
      <c r="V723" s="4" t="n">
        <v>0</v>
      </c>
      <c r="W723" s="4" t="n">
        <v>0</v>
      </c>
      <c r="X723" s="4" t="n">
        <v>0</v>
      </c>
      <c r="Y723" s="4" t="n">
        <v>0</v>
      </c>
      <c r="Z723" s="4" t="n">
        <v>0</v>
      </c>
      <c r="AA723" s="4" t="n">
        <v>0</v>
      </c>
      <c r="AB723" s="4">
        <f>SUM(Q723:Y723)-Z723</f>
        <v/>
      </c>
      <c r="AC723" s="4">
        <f>IF(I723="","",IF(OR(LEFT(I723,3)="BKK",I723="LCH55"),"BKK",IF(LEFT(I723,3)="LCH","LCH","OTHER")))</f>
        <v/>
      </c>
      <c r="AD723" s="4">
        <f>MAX(0,Q723-MAX(0,Z723))</f>
        <v/>
      </c>
      <c r="AE723" s="4">
        <f>MAX(0,R723-MAX(0,Z723-SUM(Q723:Q723)))</f>
        <v/>
      </c>
      <c r="AF723" s="4">
        <f>MAX(0,S723-MAX(0,Z723-SUM(Q723:R723)))</f>
        <v/>
      </c>
      <c r="AG723" s="4">
        <f>MAX(0,T723-MAX(0,Z723-SUM(Q723:S723)))</f>
        <v/>
      </c>
      <c r="AH723" s="4">
        <f>MAX(0,U723-MAX(0,Z723-SUM(Q723:T723)))</f>
        <v/>
      </c>
      <c r="AI723" s="4">
        <f>MAX(0,V723-MAX(0,Z723-SUM(Q723:U723)))</f>
        <v/>
      </c>
      <c r="AJ723" s="4">
        <f>MAX(0,W723-MAX(0,Z723-SUM(Q723:V723)))</f>
        <v/>
      </c>
      <c r="AK723" s="4">
        <f>MAX(0,X723-MAX(0,Z723-SUM(Q723:W723)))</f>
        <v/>
      </c>
      <c r="AL723" s="4">
        <f>MAX(0,Y723-MAX(0,Z723-SUM(Q723:X723)))</f>
        <v/>
      </c>
    </row>
    <row r="724">
      <c r="A724" s="4" t="inlineStr">
        <is>
          <t>HASLS22260901797</t>
        </is>
      </c>
      <c r="B724" s="4" t="inlineStr">
        <is>
          <t>KMBK</t>
        </is>
      </c>
      <c r="C724" s="4" t="inlineStr">
        <is>
          <t>2611N</t>
        </is>
      </c>
      <c r="D724" s="4" t="inlineStr">
        <is>
          <t>202610040100</t>
        </is>
      </c>
      <c r="E724" s="4" t="inlineStr"/>
      <c r="F724" s="4" t="inlineStr">
        <is>
          <t>THLCH</t>
        </is>
      </c>
      <c r="G724" s="4" t="inlineStr">
        <is>
          <t>VNSGN</t>
        </is>
      </c>
      <c r="H724" s="4" t="inlineStr">
        <is>
          <t xml:space="preserve">40Hx1 20'x1 </t>
        </is>
      </c>
      <c r="I724" s="4" t="inlineStr">
        <is>
          <t>LCHY5</t>
        </is>
      </c>
      <c r="J724" s="4" t="inlineStr">
        <is>
          <t>PW DEPOT CO., LTD.</t>
        </is>
      </c>
      <c r="K724" s="4" t="inlineStr">
        <is>
          <t>20260929</t>
        </is>
      </c>
      <c r="L724" s="4" t="inlineStr">
        <is>
          <t>KORCHINA FREIGHT (THAILAND) CO., LTD.</t>
        </is>
      </c>
      <c r="M724" s="4" t="inlineStr">
        <is>
          <t>YOKOHAMA TIRE MANUFACTURING (THAILAND) CO., LTD.</t>
        </is>
      </c>
      <c r="N724" s="4" t="inlineStr">
        <is>
          <t>STEEL SPOOLS ,PLASTIC PALLETS</t>
        </is>
      </c>
      <c r="O724" s="4" t="inlineStr">
        <is>
          <t>GOOD AND CLEAN CONTAINER</t>
        </is>
      </c>
      <c r="P724" s="4" t="inlineStr">
        <is>
          <t>Pickup : 2026-09-29, Return : 2026-09-29 (1ST RTN DD: 30/09/26 WO/RENT)
**CHECK OPENGATE BEFORE RETURN CNTR**</t>
        </is>
      </c>
      <c r="Q724" s="4" t="n">
        <v>1</v>
      </c>
      <c r="R724" s="4" t="n">
        <v>0</v>
      </c>
      <c r="S724" s="4" t="n">
        <v>1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>
        <f>SUM(Q724:Y724)-Z724</f>
        <v/>
      </c>
      <c r="AC724" s="4">
        <f>IF(I724="","",IF(OR(LEFT(I724,3)="BKK",I724="LCH55"),"BKK",IF(LEFT(I724,3)="LCH","LCH","OTHER")))</f>
        <v/>
      </c>
      <c r="AD724" s="4">
        <f>MAX(0,Q724-MAX(0,Z724))</f>
        <v/>
      </c>
      <c r="AE724" s="4">
        <f>MAX(0,R724-MAX(0,Z724-SUM(Q724:Q724)))</f>
        <v/>
      </c>
      <c r="AF724" s="4">
        <f>MAX(0,S724-MAX(0,Z724-SUM(Q724:R724)))</f>
        <v/>
      </c>
      <c r="AG724" s="4">
        <f>MAX(0,T724-MAX(0,Z724-SUM(Q724:S724)))</f>
        <v/>
      </c>
      <c r="AH724" s="4">
        <f>MAX(0,U724-MAX(0,Z724-SUM(Q724:T724)))</f>
        <v/>
      </c>
      <c r="AI724" s="4">
        <f>MAX(0,V724-MAX(0,Z724-SUM(Q724:U724)))</f>
        <v/>
      </c>
      <c r="AJ724" s="4">
        <f>MAX(0,W724-MAX(0,Z724-SUM(Q724:V724)))</f>
        <v/>
      </c>
      <c r="AK724" s="4">
        <f>MAX(0,X724-MAX(0,Z724-SUM(Q724:W724)))</f>
        <v/>
      </c>
      <c r="AL724" s="4">
        <f>MAX(0,Y724-MAX(0,Z724-SUM(Q724:X724)))</f>
        <v/>
      </c>
    </row>
    <row r="725">
      <c r="A725" s="4" t="inlineStr">
        <is>
          <t>HASLS22260901819</t>
        </is>
      </c>
      <c r="B725" s="4" t="inlineStr">
        <is>
          <t>PCCP</t>
        </is>
      </c>
      <c r="C725" s="4" t="inlineStr">
        <is>
          <t>2610N</t>
        </is>
      </c>
      <c r="D725" s="4" t="inlineStr">
        <is>
          <t>202610120600</t>
        </is>
      </c>
      <c r="E725" s="4" t="inlineStr"/>
      <c r="F725" s="4" t="inlineStr">
        <is>
          <t>THLCH</t>
        </is>
      </c>
      <c r="G725" s="4" t="inlineStr">
        <is>
          <t>KRINC</t>
        </is>
      </c>
      <c r="H725" s="4" t="inlineStr">
        <is>
          <t xml:space="preserve">20'x1 </t>
        </is>
      </c>
      <c r="I725" s="4" t="inlineStr">
        <is>
          <t>LCHY5</t>
        </is>
      </c>
      <c r="J725" s="4" t="inlineStr">
        <is>
          <t>PW DEPOT CO., LTD.</t>
        </is>
      </c>
      <c r="K725" s="4" t="inlineStr">
        <is>
          <t>20261006</t>
        </is>
      </c>
      <c r="L725" s="4" t="inlineStr">
        <is>
          <t>H &amp; FRIENDS GTL (THAILAND) CO., LTD.</t>
        </is>
      </c>
      <c r="M725" s="4" t="inlineStr">
        <is>
          <t>INGREDION (THAILAND) CO., LTD.</t>
        </is>
      </c>
      <c r="N725" s="4" t="inlineStr">
        <is>
          <t>MODIFIED TAPIOCA STARCH</t>
        </is>
      </c>
      <c r="O725" s="4" t="inlineStr">
        <is>
          <t>Request Container good food grade / No damage / No smell / Clean CNTR /DRY</t>
        </is>
      </c>
      <c r="P725" s="4" t="inlineStr">
        <is>
          <t>Pickup : 2026-10-06, Return : 2026-10-07</t>
        </is>
      </c>
      <c r="Q725" s="4" t="n">
        <v>1</v>
      </c>
      <c r="R725" s="4" t="n">
        <v>0</v>
      </c>
      <c r="S725" s="4" t="n">
        <v>0</v>
      </c>
      <c r="T725" s="4" t="n">
        <v>0</v>
      </c>
      <c r="U725" s="4" t="n">
        <v>0</v>
      </c>
      <c r="V725" s="4" t="n">
        <v>0</v>
      </c>
      <c r="W725" s="4" t="n">
        <v>0</v>
      </c>
      <c r="X725" s="4" t="n">
        <v>0</v>
      </c>
      <c r="Y725" s="4" t="n">
        <v>0</v>
      </c>
      <c r="Z725" s="4" t="n">
        <v>0</v>
      </c>
      <c r="AA725" s="4" t="n">
        <v>0</v>
      </c>
      <c r="AB725" s="4">
        <f>SUM(Q725:Y725)-Z725</f>
        <v/>
      </c>
      <c r="AC725" s="4">
        <f>IF(I725="","",IF(OR(LEFT(I725,3)="BKK",I725="LCH55"),"BKK",IF(LEFT(I725,3)="LCH","LCH","OTHER")))</f>
        <v/>
      </c>
      <c r="AD725" s="4">
        <f>MAX(0,Q725-MAX(0,Z725))</f>
        <v/>
      </c>
      <c r="AE725" s="4">
        <f>MAX(0,R725-MAX(0,Z725-SUM(Q725:Q725)))</f>
        <v/>
      </c>
      <c r="AF725" s="4">
        <f>MAX(0,S725-MAX(0,Z725-SUM(Q725:R725)))</f>
        <v/>
      </c>
      <c r="AG725" s="4">
        <f>MAX(0,T725-MAX(0,Z725-SUM(Q725:S725)))</f>
        <v/>
      </c>
      <c r="AH725" s="4">
        <f>MAX(0,U725-MAX(0,Z725-SUM(Q725:T725)))</f>
        <v/>
      </c>
      <c r="AI725" s="4">
        <f>MAX(0,V725-MAX(0,Z725-SUM(Q725:U725)))</f>
        <v/>
      </c>
      <c r="AJ725" s="4">
        <f>MAX(0,W725-MAX(0,Z725-SUM(Q725:V725)))</f>
        <v/>
      </c>
      <c r="AK725" s="4">
        <f>MAX(0,X725-MAX(0,Z725-SUM(Q725:W725)))</f>
        <v/>
      </c>
      <c r="AL725" s="4">
        <f>MAX(0,Y725-MAX(0,Z725-SUM(Q725:X725)))</f>
        <v/>
      </c>
    </row>
    <row r="726">
      <c r="A726" s="4" t="inlineStr">
        <is>
          <t>HASLS22260901820</t>
        </is>
      </c>
      <c r="B726" s="4" t="inlineStr">
        <is>
          <t>SWAL</t>
        </is>
      </c>
      <c r="C726" s="4" t="inlineStr">
        <is>
          <t>2609N</t>
        </is>
      </c>
      <c r="D726" s="4" t="inlineStr">
        <is>
          <t>202610200800</t>
        </is>
      </c>
      <c r="E726" s="4" t="inlineStr"/>
      <c r="F726" s="4" t="inlineStr">
        <is>
          <t>THLCH</t>
        </is>
      </c>
      <c r="G726" s="4" t="inlineStr">
        <is>
          <t>KRINC</t>
        </is>
      </c>
      <c r="H726" s="4" t="inlineStr">
        <is>
          <t xml:space="preserve">20'x1 </t>
        </is>
      </c>
      <c r="I726" s="4" t="inlineStr">
        <is>
          <t>LCHY5</t>
        </is>
      </c>
      <c r="J726" s="4" t="inlineStr">
        <is>
          <t>PW DEPOT CO., LTD.</t>
        </is>
      </c>
      <c r="K726" s="4" t="inlineStr">
        <is>
          <t>20261015</t>
        </is>
      </c>
      <c r="L726" s="4" t="inlineStr">
        <is>
          <t>H &amp; FRIENDS GTL (THAILAND) CO., LTD.</t>
        </is>
      </c>
      <c r="M726" s="4" t="inlineStr">
        <is>
          <t>INGREDION (THAILAND) CO., LTD.</t>
        </is>
      </c>
      <c r="N726" s="4" t="inlineStr">
        <is>
          <t>MODIFIED TAPIOCA STARCH</t>
        </is>
      </c>
      <c r="O726" s="4" t="inlineStr">
        <is>
          <t>Request Container good food grade / No damage / No smell / Clean CNTR / DRY</t>
        </is>
      </c>
      <c r="P726" s="4" t="inlineStr">
        <is>
          <t>Pickup : 2026-10-15, Return : 2026-10-16</t>
        </is>
      </c>
      <c r="Q726" s="4" t="n">
        <v>1</v>
      </c>
      <c r="R726" s="4" t="n">
        <v>0</v>
      </c>
      <c r="S726" s="4" t="n">
        <v>0</v>
      </c>
      <c r="T726" s="4" t="n">
        <v>0</v>
      </c>
      <c r="U726" s="4" t="n">
        <v>0</v>
      </c>
      <c r="V726" s="4" t="n">
        <v>0</v>
      </c>
      <c r="W726" s="4" t="n">
        <v>0</v>
      </c>
      <c r="X726" s="4" t="n">
        <v>0</v>
      </c>
      <c r="Y726" s="4" t="n">
        <v>0</v>
      </c>
      <c r="Z726" s="4" t="n">
        <v>0</v>
      </c>
      <c r="AA726" s="4" t="n">
        <v>0</v>
      </c>
      <c r="AB726" s="4">
        <f>SUM(Q726:Y726)-Z726</f>
        <v/>
      </c>
      <c r="AC726" s="4">
        <f>IF(I726="","",IF(OR(LEFT(I726,3)="BKK",I726="LCH55"),"BKK",IF(LEFT(I726,3)="LCH","LCH","OTHER")))</f>
        <v/>
      </c>
      <c r="AD726" s="4">
        <f>MAX(0,Q726-MAX(0,Z726))</f>
        <v/>
      </c>
      <c r="AE726" s="4">
        <f>MAX(0,R726-MAX(0,Z726-SUM(Q726:Q726)))</f>
        <v/>
      </c>
      <c r="AF726" s="4">
        <f>MAX(0,S726-MAX(0,Z726-SUM(Q726:R726)))</f>
        <v/>
      </c>
      <c r="AG726" s="4">
        <f>MAX(0,T726-MAX(0,Z726-SUM(Q726:S726)))</f>
        <v/>
      </c>
      <c r="AH726" s="4">
        <f>MAX(0,U726-MAX(0,Z726-SUM(Q726:T726)))</f>
        <v/>
      </c>
      <c r="AI726" s="4">
        <f>MAX(0,V726-MAX(0,Z726-SUM(Q726:U726)))</f>
        <v/>
      </c>
      <c r="AJ726" s="4">
        <f>MAX(0,W726-MAX(0,Z726-SUM(Q726:V726)))</f>
        <v/>
      </c>
      <c r="AK726" s="4">
        <f>MAX(0,X726-MAX(0,Z726-SUM(Q726:W726)))</f>
        <v/>
      </c>
      <c r="AL726" s="4">
        <f>MAX(0,Y726-MAX(0,Z726-SUM(Q726:X726)))</f>
        <v/>
      </c>
    </row>
    <row r="727">
      <c r="A727" s="4" t="inlineStr">
        <is>
          <t>HASLS22260901822</t>
        </is>
      </c>
      <c r="B727" s="4" t="inlineStr">
        <is>
          <t>KMGY</t>
        </is>
      </c>
      <c r="C727" s="4" t="inlineStr">
        <is>
          <t>2611N</t>
        </is>
      </c>
      <c r="D727" s="4" t="inlineStr">
        <is>
          <t>202610210400</t>
        </is>
      </c>
      <c r="E727" s="4" t="inlineStr"/>
      <c r="F727" s="4" t="inlineStr">
        <is>
          <t>THLCH</t>
        </is>
      </c>
      <c r="G727" s="4" t="inlineStr">
        <is>
          <t>HKHKG</t>
        </is>
      </c>
      <c r="H727" s="4" t="inlineStr">
        <is>
          <t xml:space="preserve">40Hx5 </t>
        </is>
      </c>
      <c r="I727" s="4" t="inlineStr">
        <is>
          <t>LCHY5</t>
        </is>
      </c>
      <c r="J727" s="4" t="inlineStr">
        <is>
          <t>PW DEPOT CO., LTD.</t>
        </is>
      </c>
      <c r="K727" s="4" t="inlineStr">
        <is>
          <t>20261016</t>
        </is>
      </c>
      <c r="L727" s="4" t="inlineStr">
        <is>
          <t>ORIENTAL LOGISTICS GROUP (THAILAND) CO., LTD.</t>
        </is>
      </c>
      <c r="M727" s="4" t="inlineStr">
        <is>
          <t>ANDAMAN METAL CO., LTD.</t>
        </is>
      </c>
      <c r="N727" s="4" t="inlineStr">
        <is>
          <t>COPPER RECYCLE</t>
        </is>
      </c>
      <c r="O727" s="4" t="inlineStr">
        <is>
          <t>RQST CONTAINER 32.5 TONS.</t>
        </is>
      </c>
      <c r="P727" s="4" t="inlineStr">
        <is>
          <t xml:space="preserve">Pickup : 2026-10-16, Return : 2026-10-17 
 ** PLEASE CHECK OPEN GATE BEFORE RETURN CNTR **
</t>
        </is>
      </c>
      <c r="Q727" s="4" t="n">
        <v>0</v>
      </c>
      <c r="R727" s="4" t="n">
        <v>0</v>
      </c>
      <c r="S727" s="4" t="n">
        <v>5</v>
      </c>
      <c r="T727" s="4" t="n">
        <v>0</v>
      </c>
      <c r="U727" s="4" t="n">
        <v>0</v>
      </c>
      <c r="V727" s="4" t="n">
        <v>0</v>
      </c>
      <c r="W727" s="4" t="n">
        <v>0</v>
      </c>
      <c r="X727" s="4" t="n">
        <v>0</v>
      </c>
      <c r="Y727" s="4" t="n">
        <v>0</v>
      </c>
      <c r="Z727" s="4" t="n">
        <v>0</v>
      </c>
      <c r="AA727" s="4" t="n">
        <v>0</v>
      </c>
      <c r="AB727" s="4">
        <f>SUM(Q727:Y727)-Z727</f>
        <v/>
      </c>
      <c r="AC727" s="4">
        <f>IF(I727="","",IF(OR(LEFT(I727,3)="BKK",I727="LCH55"),"BKK",IF(LEFT(I727,3)="LCH","LCH","OTHER")))</f>
        <v/>
      </c>
      <c r="AD727" s="4">
        <f>MAX(0,Q727-MAX(0,Z727))</f>
        <v/>
      </c>
      <c r="AE727" s="4">
        <f>MAX(0,R727-MAX(0,Z727-SUM(Q727:Q727)))</f>
        <v/>
      </c>
      <c r="AF727" s="4">
        <f>MAX(0,S727-MAX(0,Z727-SUM(Q727:R727)))</f>
        <v/>
      </c>
      <c r="AG727" s="4">
        <f>MAX(0,T727-MAX(0,Z727-SUM(Q727:S727)))</f>
        <v/>
      </c>
      <c r="AH727" s="4">
        <f>MAX(0,U727-MAX(0,Z727-SUM(Q727:T727)))</f>
        <v/>
      </c>
      <c r="AI727" s="4">
        <f>MAX(0,V727-MAX(0,Z727-SUM(Q727:U727)))</f>
        <v/>
      </c>
      <c r="AJ727" s="4">
        <f>MAX(0,W727-MAX(0,Z727-SUM(Q727:V727)))</f>
        <v/>
      </c>
      <c r="AK727" s="4">
        <f>MAX(0,X727-MAX(0,Z727-SUM(Q727:W727)))</f>
        <v/>
      </c>
      <c r="AL727" s="4">
        <f>MAX(0,Y727-MAX(0,Z727-SUM(Q727:X727)))</f>
        <v/>
      </c>
    </row>
    <row r="728">
      <c r="A728" s="4" t="inlineStr">
        <is>
          <t>HASLS22260901825</t>
        </is>
      </c>
      <c r="B728" s="4" t="inlineStr">
        <is>
          <t>KXM</t>
        </is>
      </c>
      <c r="C728" s="4" t="inlineStr">
        <is>
          <t>2608S</t>
        </is>
      </c>
      <c r="D728" s="4" t="inlineStr">
        <is>
          <t>202610100500</t>
        </is>
      </c>
      <c r="E728" s="4" t="inlineStr"/>
      <c r="F728" s="4" t="inlineStr">
        <is>
          <t>THLCH</t>
        </is>
      </c>
      <c r="G728" s="4" t="inlineStr">
        <is>
          <t>IDJKT</t>
        </is>
      </c>
      <c r="H728" s="4" t="inlineStr">
        <is>
          <t xml:space="preserve">20'x1 </t>
        </is>
      </c>
      <c r="I728" s="4" t="inlineStr">
        <is>
          <t>LCHY5</t>
        </is>
      </c>
      <c r="J728" s="4" t="inlineStr">
        <is>
          <t>PW DEPOT CO., LTD.</t>
        </is>
      </c>
      <c r="K728" s="4" t="inlineStr">
        <is>
          <t>20261005</t>
        </is>
      </c>
      <c r="L728" s="4" t="inlineStr">
        <is>
          <t>EASTERN AIR LOGISTICS CO., LTD.</t>
        </is>
      </c>
      <c r="M728" s="4" t="inlineStr">
        <is>
          <t>APEX CIRCUIT (THAILAND) CO., LTD.</t>
        </is>
      </c>
      <c r="N728" s="4" t="inlineStr">
        <is>
          <t>PRINTED CIRCUIT BOARD NO BRAND</t>
        </is>
      </c>
      <c r="O728" s="4" t="inlineStr">
        <is>
          <t>GOOD AND CLEAN CONTAINER</t>
        </is>
      </c>
      <c r="P728" s="4" t="inlineStr">
        <is>
          <t>Pickup : 2026-10-05, Return : 2026-10-07</t>
        </is>
      </c>
      <c r="Q728" s="4" t="n">
        <v>1</v>
      </c>
      <c r="R728" s="4" t="n">
        <v>0</v>
      </c>
      <c r="S728" s="4" t="n">
        <v>0</v>
      </c>
      <c r="T728" s="4" t="n">
        <v>0</v>
      </c>
      <c r="U728" s="4" t="n">
        <v>0</v>
      </c>
      <c r="V728" s="4" t="n">
        <v>0</v>
      </c>
      <c r="W728" s="4" t="n">
        <v>0</v>
      </c>
      <c r="X728" s="4" t="n">
        <v>0</v>
      </c>
      <c r="Y728" s="4" t="n">
        <v>0</v>
      </c>
      <c r="Z728" s="4" t="n">
        <v>0</v>
      </c>
      <c r="AA728" s="4" t="n">
        <v>0</v>
      </c>
      <c r="AB728" s="4">
        <f>SUM(Q728:Y728)-Z728</f>
        <v/>
      </c>
      <c r="AC728" s="4">
        <f>IF(I728="","",IF(OR(LEFT(I728,3)="BKK",I728="LCH55"),"BKK",IF(LEFT(I728,3)="LCH","LCH","OTHER")))</f>
        <v/>
      </c>
      <c r="AD728" s="4">
        <f>MAX(0,Q728-MAX(0,Z728))</f>
        <v/>
      </c>
      <c r="AE728" s="4">
        <f>MAX(0,R728-MAX(0,Z728-SUM(Q728:Q728)))</f>
        <v/>
      </c>
      <c r="AF728" s="4">
        <f>MAX(0,S728-MAX(0,Z728-SUM(Q728:R728)))</f>
        <v/>
      </c>
      <c r="AG728" s="4">
        <f>MAX(0,T728-MAX(0,Z728-SUM(Q728:S728)))</f>
        <v/>
      </c>
      <c r="AH728" s="4">
        <f>MAX(0,U728-MAX(0,Z728-SUM(Q728:T728)))</f>
        <v/>
      </c>
      <c r="AI728" s="4">
        <f>MAX(0,V728-MAX(0,Z728-SUM(Q728:U728)))</f>
        <v/>
      </c>
      <c r="AJ728" s="4">
        <f>MAX(0,W728-MAX(0,Z728-SUM(Q728:V728)))</f>
        <v/>
      </c>
      <c r="AK728" s="4">
        <f>MAX(0,X728-MAX(0,Z728-SUM(Q728:W728)))</f>
        <v/>
      </c>
      <c r="AL728" s="4">
        <f>MAX(0,Y728-MAX(0,Z728-SUM(Q728:X728)))</f>
        <v/>
      </c>
    </row>
    <row r="729">
      <c r="A729" s="4" t="inlineStr">
        <is>
          <t>HASLS22260901842</t>
        </is>
      </c>
      <c r="B729" s="4" t="inlineStr">
        <is>
          <t>YSVY</t>
        </is>
      </c>
      <c r="C729" s="4" t="inlineStr">
        <is>
          <t>2608S</t>
        </is>
      </c>
      <c r="D729" s="4" t="inlineStr">
        <is>
          <t>202610190700</t>
        </is>
      </c>
      <c r="E729" s="4" t="inlineStr"/>
      <c r="F729" s="4" t="inlineStr">
        <is>
          <t>THLCH</t>
        </is>
      </c>
      <c r="G729" s="4" t="inlineStr">
        <is>
          <t>IDJKT</t>
        </is>
      </c>
      <c r="H729" s="4" t="inlineStr">
        <is>
          <t xml:space="preserve">40Hx1 </t>
        </is>
      </c>
      <c r="I729" s="4" t="inlineStr">
        <is>
          <t>LCHY5</t>
        </is>
      </c>
      <c r="J729" s="4" t="inlineStr">
        <is>
          <t>PW DEPOT CO., LTD.</t>
        </is>
      </c>
      <c r="K729" s="4" t="inlineStr">
        <is>
          <t>20261016</t>
        </is>
      </c>
      <c r="L729" s="4" t="inlineStr">
        <is>
          <t>CTI LOGISTICS CO., LTD.</t>
        </is>
      </c>
      <c r="M729" s="4" t="inlineStr">
        <is>
          <t>NIPPON STEEL PIPE (THAILAND) COMPANY LIMITED</t>
        </is>
      </c>
      <c r="N729" s="4" t="inlineStr">
        <is>
          <t>STAINLESS STEEL</t>
        </is>
      </c>
      <c r="O729" s="4" t="inlineStr">
        <is>
          <t>GOOD AND CLEAN CONTAINER</t>
        </is>
      </c>
      <c r="P729" s="4" t="inlineStr">
        <is>
          <t>Pickup : 2026-10-16, Return : 2026-10-16</t>
        </is>
      </c>
      <c r="Q729" s="4" t="n">
        <v>0</v>
      </c>
      <c r="R729" s="4" t="n">
        <v>0</v>
      </c>
      <c r="S729" s="4" t="n">
        <v>1</v>
      </c>
      <c r="T729" s="4" t="n">
        <v>0</v>
      </c>
      <c r="U729" s="4" t="n">
        <v>0</v>
      </c>
      <c r="V729" s="4" t="n">
        <v>0</v>
      </c>
      <c r="W729" s="4" t="n">
        <v>0</v>
      </c>
      <c r="X729" s="4" t="n">
        <v>0</v>
      </c>
      <c r="Y729" s="4" t="n">
        <v>0</v>
      </c>
      <c r="Z729" s="4" t="n">
        <v>0</v>
      </c>
      <c r="AA729" s="4" t="n">
        <v>0</v>
      </c>
      <c r="AB729" s="4">
        <f>SUM(Q729:Y729)-Z729</f>
        <v/>
      </c>
      <c r="AC729" s="4">
        <f>IF(I729="","",IF(OR(LEFT(I729,3)="BKK",I729="LCH55"),"BKK",IF(LEFT(I729,3)="LCH","LCH","OTHER")))</f>
        <v/>
      </c>
      <c r="AD729" s="4">
        <f>MAX(0,Q729-MAX(0,Z729))</f>
        <v/>
      </c>
      <c r="AE729" s="4">
        <f>MAX(0,R729-MAX(0,Z729-SUM(Q729:Q729)))</f>
        <v/>
      </c>
      <c r="AF729" s="4">
        <f>MAX(0,S729-MAX(0,Z729-SUM(Q729:R729)))</f>
        <v/>
      </c>
      <c r="AG729" s="4">
        <f>MAX(0,T729-MAX(0,Z729-SUM(Q729:S729)))</f>
        <v/>
      </c>
      <c r="AH729" s="4">
        <f>MAX(0,U729-MAX(0,Z729-SUM(Q729:T729)))</f>
        <v/>
      </c>
      <c r="AI729" s="4">
        <f>MAX(0,V729-MAX(0,Z729-SUM(Q729:U729)))</f>
        <v/>
      </c>
      <c r="AJ729" s="4">
        <f>MAX(0,W729-MAX(0,Z729-SUM(Q729:V729)))</f>
        <v/>
      </c>
      <c r="AK729" s="4">
        <f>MAX(0,X729-MAX(0,Z729-SUM(Q729:W729)))</f>
        <v/>
      </c>
      <c r="AL729" s="4">
        <f>MAX(0,Y729-MAX(0,Z729-SUM(Q729:X729)))</f>
        <v/>
      </c>
    </row>
    <row r="730">
      <c r="A730" s="4" t="inlineStr">
        <is>
          <t>HASLS22260901851</t>
        </is>
      </c>
      <c r="B730" s="4" t="inlineStr">
        <is>
          <t>KXM</t>
        </is>
      </c>
      <c r="C730" s="4" t="inlineStr">
        <is>
          <t>2608S</t>
        </is>
      </c>
      <c r="D730" s="4" t="inlineStr">
        <is>
          <t>202610100500</t>
        </is>
      </c>
      <c r="E730" s="4" t="inlineStr"/>
      <c r="F730" s="4" t="inlineStr">
        <is>
          <t>THLCH</t>
        </is>
      </c>
      <c r="G730" s="4" t="inlineStr">
        <is>
          <t>IDJKT</t>
        </is>
      </c>
      <c r="H730" s="4" t="inlineStr">
        <is>
          <t xml:space="preserve">40Hx3 </t>
        </is>
      </c>
      <c r="I730" s="4" t="inlineStr">
        <is>
          <t>LCHY5</t>
        </is>
      </c>
      <c r="J730" s="4" t="inlineStr">
        <is>
          <t>PW DEPOT CO., LTD.</t>
        </is>
      </c>
      <c r="K730" s="4" t="inlineStr">
        <is>
          <t>20261005</t>
        </is>
      </c>
      <c r="L730" s="4" t="inlineStr">
        <is>
          <t>YUSEN LOGISTICS (THAILAND) CO., LTD.</t>
        </is>
      </c>
      <c r="M730" s="4" t="inlineStr">
        <is>
          <t>OATSIDE (THAILAND) LIMITED.</t>
        </is>
      </c>
      <c r="N730" s="4" t="inlineStr">
        <is>
          <t>OAT MILK ( GOOD GRADE CONTAINER REQUIRED)</t>
        </is>
      </c>
      <c r="O730" s="4" t="inlineStr">
        <is>
          <t>Good dry and clean container
Food grade container only
Rust-Free interior
No Physical Damage.</t>
        </is>
      </c>
      <c r="P730" s="4" t="inlineStr">
        <is>
          <t>Pickup : 2026-10-05, Return : 2026-10-06</t>
        </is>
      </c>
      <c r="Q730" s="4" t="n">
        <v>0</v>
      </c>
      <c r="R730" s="4" t="n">
        <v>0</v>
      </c>
      <c r="S730" s="4" t="n">
        <v>3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>
        <f>SUM(Q730:Y730)-Z730</f>
        <v/>
      </c>
      <c r="AC730" s="4">
        <f>IF(I730="","",IF(OR(LEFT(I730,3)="BKK",I730="LCH55"),"BKK",IF(LEFT(I730,3)="LCH","LCH","OTHER")))</f>
        <v/>
      </c>
      <c r="AD730" s="4">
        <f>MAX(0,Q730-MAX(0,Z730))</f>
        <v/>
      </c>
      <c r="AE730" s="4">
        <f>MAX(0,R730-MAX(0,Z730-SUM(Q730:Q730)))</f>
        <v/>
      </c>
      <c r="AF730" s="4">
        <f>MAX(0,S730-MAX(0,Z730-SUM(Q730:R730)))</f>
        <v/>
      </c>
      <c r="AG730" s="4">
        <f>MAX(0,T730-MAX(0,Z730-SUM(Q730:S730)))</f>
        <v/>
      </c>
      <c r="AH730" s="4">
        <f>MAX(0,U730-MAX(0,Z730-SUM(Q730:T730)))</f>
        <v/>
      </c>
      <c r="AI730" s="4">
        <f>MAX(0,V730-MAX(0,Z730-SUM(Q730:U730)))</f>
        <v/>
      </c>
      <c r="AJ730" s="4">
        <f>MAX(0,W730-MAX(0,Z730-SUM(Q730:V730)))</f>
        <v/>
      </c>
      <c r="AK730" s="4">
        <f>MAX(0,X730-MAX(0,Z730-SUM(Q730:W730)))</f>
        <v/>
      </c>
      <c r="AL730" s="4">
        <f>MAX(0,Y730-MAX(0,Z730-SUM(Q730:X730)))</f>
        <v/>
      </c>
    </row>
    <row r="731">
      <c r="A731" s="4" t="inlineStr">
        <is>
          <t>HASLS22260901852</t>
        </is>
      </c>
      <c r="B731" s="4" t="inlineStr">
        <is>
          <t>KXM</t>
        </is>
      </c>
      <c r="C731" s="4" t="inlineStr">
        <is>
          <t>2608S</t>
        </is>
      </c>
      <c r="D731" s="4" t="inlineStr">
        <is>
          <t>202610100500</t>
        </is>
      </c>
      <c r="E731" s="4" t="inlineStr"/>
      <c r="F731" s="4" t="inlineStr">
        <is>
          <t>THLCH</t>
        </is>
      </c>
      <c r="G731" s="4" t="inlineStr">
        <is>
          <t>IDJKT</t>
        </is>
      </c>
      <c r="H731" s="4" t="inlineStr">
        <is>
          <t xml:space="preserve">40Hx3 </t>
        </is>
      </c>
      <c r="I731" s="4" t="inlineStr">
        <is>
          <t>LCHY5</t>
        </is>
      </c>
      <c r="J731" s="4" t="inlineStr">
        <is>
          <t>PW DEPOT CO., LTD.</t>
        </is>
      </c>
      <c r="K731" s="4" t="inlineStr">
        <is>
          <t>20261006</t>
        </is>
      </c>
      <c r="L731" s="4" t="inlineStr">
        <is>
          <t>YUSEN LOGISTICS (THAILAND) CO., LTD.</t>
        </is>
      </c>
      <c r="M731" s="4" t="inlineStr">
        <is>
          <t>OATSIDE (THAILAND) LIMITED.</t>
        </is>
      </c>
      <c r="N731" s="4" t="inlineStr">
        <is>
          <t>OAT MILK ( GOOD GRADE CONTAINER REQUIRED)</t>
        </is>
      </c>
      <c r="O731" s="4" t="inlineStr">
        <is>
          <t>Good dry and clean container
Food grade container only
Rust-Free interior
No Physical Damage.</t>
        </is>
      </c>
      <c r="P731" s="4" t="inlineStr">
        <is>
          <t>Pickup : 2026-10-06, Return : 2026-10-07</t>
        </is>
      </c>
      <c r="Q731" s="4" t="n">
        <v>0</v>
      </c>
      <c r="R731" s="4" t="n">
        <v>0</v>
      </c>
      <c r="S731" s="4" t="n">
        <v>3</v>
      </c>
      <c r="T731" s="4" t="n">
        <v>0</v>
      </c>
      <c r="U731" s="4" t="n">
        <v>0</v>
      </c>
      <c r="V731" s="4" t="n">
        <v>0</v>
      </c>
      <c r="W731" s="4" t="n">
        <v>0</v>
      </c>
      <c r="X731" s="4" t="n">
        <v>0</v>
      </c>
      <c r="Y731" s="4" t="n">
        <v>0</v>
      </c>
      <c r="Z731" s="4" t="n">
        <v>0</v>
      </c>
      <c r="AA731" s="4" t="n">
        <v>0</v>
      </c>
      <c r="AB731" s="4">
        <f>SUM(Q731:Y731)-Z731</f>
        <v/>
      </c>
      <c r="AC731" s="4">
        <f>IF(I731="","",IF(OR(LEFT(I731,3)="BKK",I731="LCH55"),"BKK",IF(LEFT(I731,3)="LCH","LCH","OTHER")))</f>
        <v/>
      </c>
      <c r="AD731" s="4">
        <f>MAX(0,Q731-MAX(0,Z731))</f>
        <v/>
      </c>
      <c r="AE731" s="4">
        <f>MAX(0,R731-MAX(0,Z731-SUM(Q731:Q731)))</f>
        <v/>
      </c>
      <c r="AF731" s="4">
        <f>MAX(0,S731-MAX(0,Z731-SUM(Q731:R731)))</f>
        <v/>
      </c>
      <c r="AG731" s="4">
        <f>MAX(0,T731-MAX(0,Z731-SUM(Q731:S731)))</f>
        <v/>
      </c>
      <c r="AH731" s="4">
        <f>MAX(0,U731-MAX(0,Z731-SUM(Q731:T731)))</f>
        <v/>
      </c>
      <c r="AI731" s="4">
        <f>MAX(0,V731-MAX(0,Z731-SUM(Q731:U731)))</f>
        <v/>
      </c>
      <c r="AJ731" s="4">
        <f>MAX(0,W731-MAX(0,Z731-SUM(Q731:V731)))</f>
        <v/>
      </c>
      <c r="AK731" s="4">
        <f>MAX(0,X731-MAX(0,Z731-SUM(Q731:W731)))</f>
        <v/>
      </c>
      <c r="AL731" s="4">
        <f>MAX(0,Y731-MAX(0,Z731-SUM(Q731:X731)))</f>
        <v/>
      </c>
    </row>
    <row r="732">
      <c r="A732" s="4" t="inlineStr">
        <is>
          <t>HASLS22260901853</t>
        </is>
      </c>
      <c r="B732" s="4" t="inlineStr">
        <is>
          <t>CMA</t>
        </is>
      </c>
      <c r="C732" s="4" t="inlineStr">
        <is>
          <t>2615N</t>
        </is>
      </c>
      <c r="D732" s="4" t="inlineStr">
        <is>
          <t>202610181600</t>
        </is>
      </c>
      <c r="E732" s="4" t="inlineStr"/>
      <c r="F732" s="4" t="inlineStr">
        <is>
          <t>THLCH</t>
        </is>
      </c>
      <c r="G732" s="4" t="inlineStr">
        <is>
          <t>CNSHK</t>
        </is>
      </c>
      <c r="H732" s="4" t="inlineStr">
        <is>
          <t xml:space="preserve">20'x1 </t>
        </is>
      </c>
      <c r="I732" s="4" t="inlineStr">
        <is>
          <t>LCHY5</t>
        </is>
      </c>
      <c r="J732" s="4" t="inlineStr">
        <is>
          <t>PW DEPOT CO., LTD.</t>
        </is>
      </c>
      <c r="K732" s="4" t="inlineStr">
        <is>
          <t>20261015</t>
        </is>
      </c>
      <c r="L732" s="4" t="inlineStr">
        <is>
          <t>DIMERCO EXPRESS (THAILAND) CO., LTD.</t>
        </is>
      </c>
      <c r="M732" s="4" t="inlineStr">
        <is>
          <t>THAILON TECHNO FIBER LIMITED</t>
        </is>
      </c>
      <c r="N732" s="4" t="inlineStr">
        <is>
          <t>POLYAMIDE 66 TEXTURED YARN</t>
        </is>
      </c>
      <c r="O732" s="4" t="inlineStr">
        <is>
          <t>GOOD AND CLEAN CONTAINER</t>
        </is>
      </c>
      <c r="P732" s="4" t="inlineStr">
        <is>
          <t xml:space="preserve">Pickup : 2026-10-15, Return : 2026-10-15
** PLEASE CHECK OPEN GATE BEFORE RETURN CONTAINER ** </t>
        </is>
      </c>
      <c r="Q732" s="4" t="n">
        <v>1</v>
      </c>
      <c r="R732" s="4" t="n">
        <v>0</v>
      </c>
      <c r="S732" s="4" t="n">
        <v>0</v>
      </c>
      <c r="T732" s="4" t="n">
        <v>0</v>
      </c>
      <c r="U732" s="4" t="n">
        <v>0</v>
      </c>
      <c r="V732" s="4" t="n">
        <v>0</v>
      </c>
      <c r="W732" s="4" t="n">
        <v>0</v>
      </c>
      <c r="X732" s="4" t="n">
        <v>0</v>
      </c>
      <c r="Y732" s="4" t="n">
        <v>0</v>
      </c>
      <c r="Z732" s="4" t="n">
        <v>0</v>
      </c>
      <c r="AA732" s="4" t="n">
        <v>0</v>
      </c>
      <c r="AB732" s="4">
        <f>SUM(Q732:Y732)-Z732</f>
        <v/>
      </c>
      <c r="AC732" s="4">
        <f>IF(I732="","",IF(OR(LEFT(I732,3)="BKK",I732="LCH55"),"BKK",IF(LEFT(I732,3)="LCH","LCH","OTHER")))</f>
        <v/>
      </c>
      <c r="AD732" s="4">
        <f>MAX(0,Q732-MAX(0,Z732))</f>
        <v/>
      </c>
      <c r="AE732" s="4">
        <f>MAX(0,R732-MAX(0,Z732-SUM(Q732:Q732)))</f>
        <v/>
      </c>
      <c r="AF732" s="4">
        <f>MAX(0,S732-MAX(0,Z732-SUM(Q732:R732)))</f>
        <v/>
      </c>
      <c r="AG732" s="4">
        <f>MAX(0,T732-MAX(0,Z732-SUM(Q732:S732)))</f>
        <v/>
      </c>
      <c r="AH732" s="4">
        <f>MAX(0,U732-MAX(0,Z732-SUM(Q732:T732)))</f>
        <v/>
      </c>
      <c r="AI732" s="4">
        <f>MAX(0,V732-MAX(0,Z732-SUM(Q732:U732)))</f>
        <v/>
      </c>
      <c r="AJ732" s="4">
        <f>MAX(0,W732-MAX(0,Z732-SUM(Q732:V732)))</f>
        <v/>
      </c>
      <c r="AK732" s="4">
        <f>MAX(0,X732-MAX(0,Z732-SUM(Q732:W732)))</f>
        <v/>
      </c>
      <c r="AL732" s="4">
        <f>MAX(0,Y732-MAX(0,Z732-SUM(Q732:X732)))</f>
        <v/>
      </c>
    </row>
    <row r="733">
      <c r="A733" s="4" t="inlineStr">
        <is>
          <t>HASLS22260901856</t>
        </is>
      </c>
      <c r="B733" s="4" t="inlineStr">
        <is>
          <t>SWBT</t>
        </is>
      </c>
      <c r="C733" s="4" t="inlineStr">
        <is>
          <t>2616N</t>
        </is>
      </c>
      <c r="D733" s="4" t="inlineStr">
        <is>
          <t>202610140000</t>
        </is>
      </c>
      <c r="E733" s="4" t="inlineStr"/>
      <c r="F733" s="4" t="inlineStr">
        <is>
          <t>THLCH</t>
        </is>
      </c>
      <c r="G733" s="4" t="inlineStr">
        <is>
          <t>VNSGN</t>
        </is>
      </c>
      <c r="H733" s="4" t="inlineStr">
        <is>
          <t xml:space="preserve">20'x2 </t>
        </is>
      </c>
      <c r="I733" s="4" t="inlineStr">
        <is>
          <t>LCHY5</t>
        </is>
      </c>
      <c r="J733" s="4" t="inlineStr">
        <is>
          <t>PW DEPOT CO., LTD.</t>
        </is>
      </c>
      <c r="K733" s="4" t="inlineStr">
        <is>
          <t>20261008</t>
        </is>
      </c>
      <c r="L733" s="4" t="inlineStr">
        <is>
          <t>THAI KAWANISHI LIMITED</t>
        </is>
      </c>
      <c r="M733" s="4" t="inlineStr">
        <is>
          <t>AKIYAMA (THAILAND) CO.,LTD.</t>
        </is>
      </c>
      <c r="N733" s="4" t="inlineStr">
        <is>
          <t>MODIFIED STARCH</t>
        </is>
      </c>
      <c r="O733" s="4" t="inlineStr">
        <is>
          <t>REQUEST FOOD GRADE / SMOOTH FLOOR / NO SMELL / UNDER DECK</t>
        </is>
      </c>
      <c r="P733" s="4" t="inlineStr">
        <is>
          <t>Pickup : 2026-10-08, Return : 2026-10-09</t>
        </is>
      </c>
      <c r="Q733" s="4" t="n">
        <v>2</v>
      </c>
      <c r="R733" s="4" t="n">
        <v>0</v>
      </c>
      <c r="S733" s="4" t="n">
        <v>0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>
        <f>SUM(Q733:Y733)-Z733</f>
        <v/>
      </c>
      <c r="AC733" s="4">
        <f>IF(I733="","",IF(OR(LEFT(I733,3)="BKK",I733="LCH55"),"BKK",IF(LEFT(I733,3)="LCH","LCH","OTHER")))</f>
        <v/>
      </c>
      <c r="AD733" s="4">
        <f>MAX(0,Q733-MAX(0,Z733))</f>
        <v/>
      </c>
      <c r="AE733" s="4">
        <f>MAX(0,R733-MAX(0,Z733-SUM(Q733:Q733)))</f>
        <v/>
      </c>
      <c r="AF733" s="4">
        <f>MAX(0,S733-MAX(0,Z733-SUM(Q733:R733)))</f>
        <v/>
      </c>
      <c r="AG733" s="4">
        <f>MAX(0,T733-MAX(0,Z733-SUM(Q733:S733)))</f>
        <v/>
      </c>
      <c r="AH733" s="4">
        <f>MAX(0,U733-MAX(0,Z733-SUM(Q733:T733)))</f>
        <v/>
      </c>
      <c r="AI733" s="4">
        <f>MAX(0,V733-MAX(0,Z733-SUM(Q733:U733)))</f>
        <v/>
      </c>
      <c r="AJ733" s="4">
        <f>MAX(0,W733-MAX(0,Z733-SUM(Q733:V733)))</f>
        <v/>
      </c>
      <c r="AK733" s="4">
        <f>MAX(0,X733-MAX(0,Z733-SUM(Q733:W733)))</f>
        <v/>
      </c>
      <c r="AL733" s="4">
        <f>MAX(0,Y733-MAX(0,Z733-SUM(Q733:X733)))</f>
        <v/>
      </c>
    </row>
    <row r="734">
      <c r="A734" s="4" t="inlineStr">
        <is>
          <t>HASLS22260901872</t>
        </is>
      </c>
      <c r="B734" s="4" t="inlineStr">
        <is>
          <t>SWBT</t>
        </is>
      </c>
      <c r="C734" s="4" t="inlineStr">
        <is>
          <t>2616N</t>
        </is>
      </c>
      <c r="D734" s="4" t="inlineStr">
        <is>
          <t>202610140000</t>
        </is>
      </c>
      <c r="E734" s="4" t="inlineStr"/>
      <c r="F734" s="4" t="inlineStr">
        <is>
          <t>THLCH</t>
        </is>
      </c>
      <c r="G734" s="4" t="inlineStr">
        <is>
          <t>KRPTK</t>
        </is>
      </c>
      <c r="H734" s="4" t="inlineStr">
        <is>
          <t xml:space="preserve">40Hx7 </t>
        </is>
      </c>
      <c r="I734" s="4" t="inlineStr">
        <is>
          <t>LCHY5</t>
        </is>
      </c>
      <c r="J734" s="4" t="inlineStr">
        <is>
          <t>PW DEPOT CO., LTD.</t>
        </is>
      </c>
      <c r="K734" s="4" t="inlineStr">
        <is>
          <t>20261002</t>
        </is>
      </c>
      <c r="L734" s="4" t="inlineStr">
        <is>
          <t>SAMSUNG SDS GLOBAL SCL (THAILAND) CO.,LTD.</t>
        </is>
      </c>
      <c r="M734" s="4" t="inlineStr">
        <is>
          <t>THAI SAMSUNG ELECTRONICS CO., LTD.</t>
        </is>
      </c>
      <c r="N734" s="4" t="inlineStr">
        <is>
          <t>REFRIGERATOR</t>
        </is>
      </c>
      <c r="O734" s="4" t="inlineStr">
        <is>
          <t>*No containers with cut and patch marks inside*
GOOD CLEAN CONTIANER NO BLEAM (ELECTRONICS GOODS)</t>
        </is>
      </c>
      <c r="P734" s="4" t="inlineStr">
        <is>
          <t>Pickup : 2026-10-02, Return : 2026-10-08</t>
        </is>
      </c>
      <c r="Q734" s="4" t="n">
        <v>0</v>
      </c>
      <c r="R734" s="4" t="n">
        <v>0</v>
      </c>
      <c r="S734" s="4" t="n">
        <v>7</v>
      </c>
      <c r="T734" s="4" t="n">
        <v>0</v>
      </c>
      <c r="U734" s="4" t="n">
        <v>0</v>
      </c>
      <c r="V734" s="4" t="n">
        <v>0</v>
      </c>
      <c r="W734" s="4" t="n">
        <v>0</v>
      </c>
      <c r="X734" s="4" t="n">
        <v>0</v>
      </c>
      <c r="Y734" s="4" t="n">
        <v>0</v>
      </c>
      <c r="Z734" s="4" t="n">
        <v>0</v>
      </c>
      <c r="AA734" s="4" t="n">
        <v>0</v>
      </c>
      <c r="AB734" s="4">
        <f>SUM(Q734:Y734)-Z734</f>
        <v/>
      </c>
      <c r="AC734" s="4">
        <f>IF(I734="","",IF(OR(LEFT(I734,3)="BKK",I734="LCH55"),"BKK",IF(LEFT(I734,3)="LCH","LCH","OTHER")))</f>
        <v/>
      </c>
      <c r="AD734" s="4">
        <f>MAX(0,Q734-MAX(0,Z734))</f>
        <v/>
      </c>
      <c r="AE734" s="4">
        <f>MAX(0,R734-MAX(0,Z734-SUM(Q734:Q734)))</f>
        <v/>
      </c>
      <c r="AF734" s="4">
        <f>MAX(0,S734-MAX(0,Z734-SUM(Q734:R734)))</f>
        <v/>
      </c>
      <c r="AG734" s="4">
        <f>MAX(0,T734-MAX(0,Z734-SUM(Q734:S734)))</f>
        <v/>
      </c>
      <c r="AH734" s="4">
        <f>MAX(0,U734-MAX(0,Z734-SUM(Q734:T734)))</f>
        <v/>
      </c>
      <c r="AI734" s="4">
        <f>MAX(0,V734-MAX(0,Z734-SUM(Q734:U734)))</f>
        <v/>
      </c>
      <c r="AJ734" s="4">
        <f>MAX(0,W734-MAX(0,Z734-SUM(Q734:V734)))</f>
        <v/>
      </c>
      <c r="AK734" s="4">
        <f>MAX(0,X734-MAX(0,Z734-SUM(Q734:W734)))</f>
        <v/>
      </c>
      <c r="AL734" s="4">
        <f>MAX(0,Y734-MAX(0,Z734-SUM(Q734:X734)))</f>
        <v/>
      </c>
    </row>
    <row r="735">
      <c r="A735" s="4" t="inlineStr">
        <is>
          <t>HASLS22260901873</t>
        </is>
      </c>
      <c r="B735" s="4" t="inlineStr">
        <is>
          <t>SWDN</t>
        </is>
      </c>
      <c r="C735" s="4" t="inlineStr">
        <is>
          <t>2610N</t>
        </is>
      </c>
      <c r="D735" s="4" t="inlineStr">
        <is>
          <t>202610070300</t>
        </is>
      </c>
      <c r="E735" s="4" t="inlineStr"/>
      <c r="F735" s="4" t="inlineStr">
        <is>
          <t>THLCH</t>
        </is>
      </c>
      <c r="G735" s="4" t="inlineStr">
        <is>
          <t>CNXMN</t>
        </is>
      </c>
      <c r="H735" s="4" t="inlineStr">
        <is>
          <t xml:space="preserve">20'x1 </t>
        </is>
      </c>
      <c r="I735" s="4" t="inlineStr">
        <is>
          <t>LCHY5</t>
        </is>
      </c>
      <c r="J735" s="4" t="inlineStr">
        <is>
          <t>PW DEPOT CO., LTD.</t>
        </is>
      </c>
      <c r="K735" s="4" t="inlineStr">
        <is>
          <t>20260928</t>
        </is>
      </c>
      <c r="L735" s="4" t="inlineStr">
        <is>
          <t>DIMERCO EXPRESS (THAILAND) CO., LTD.</t>
        </is>
      </c>
      <c r="M735" s="4" t="inlineStr">
        <is>
          <t>MITSUBISHI ELECTRIC THAI AUTO-PARTS CO., LTD.</t>
        </is>
      </c>
      <c r="N735" s="4" t="inlineStr">
        <is>
          <t>ASSY-LCD</t>
        </is>
      </c>
      <c r="O735" s="4" t="inlineStr">
        <is>
          <t>GOOD AND CLEAN CONTAINER</t>
        </is>
      </c>
      <c r="P735" s="4" t="inlineStr">
        <is>
          <t xml:space="preserve">Pickup : 2026-09-28, Return : 2026-09-29 (1ST RTN 29/09 W/O RENT) 
 ** PLEASE CHECK OPEN GATE BEFORE RETURN CNTR **
</t>
        </is>
      </c>
      <c r="Q735" s="4" t="n">
        <v>1</v>
      </c>
      <c r="R735" s="4" t="n">
        <v>0</v>
      </c>
      <c r="S735" s="4" t="n">
        <v>0</v>
      </c>
      <c r="T735" s="4" t="n">
        <v>0</v>
      </c>
      <c r="U735" s="4" t="n">
        <v>0</v>
      </c>
      <c r="V735" s="4" t="n">
        <v>0</v>
      </c>
      <c r="W735" s="4" t="n">
        <v>0</v>
      </c>
      <c r="X735" s="4" t="n">
        <v>0</v>
      </c>
      <c r="Y735" s="4" t="n">
        <v>0</v>
      </c>
      <c r="Z735" s="4" t="n">
        <v>0</v>
      </c>
      <c r="AA735" s="4" t="n">
        <v>0</v>
      </c>
      <c r="AB735" s="4">
        <f>SUM(Q735:Y735)-Z735</f>
        <v/>
      </c>
      <c r="AC735" s="4">
        <f>IF(I735="","",IF(OR(LEFT(I735,3)="BKK",I735="LCH55"),"BKK",IF(LEFT(I735,3)="LCH","LCH","OTHER")))</f>
        <v/>
      </c>
      <c r="AD735" s="4">
        <f>MAX(0,Q735-MAX(0,Z735))</f>
        <v/>
      </c>
      <c r="AE735" s="4">
        <f>MAX(0,R735-MAX(0,Z735-SUM(Q735:Q735)))</f>
        <v/>
      </c>
      <c r="AF735" s="4">
        <f>MAX(0,S735-MAX(0,Z735-SUM(Q735:R735)))</f>
        <v/>
      </c>
      <c r="AG735" s="4">
        <f>MAX(0,T735-MAX(0,Z735-SUM(Q735:S735)))</f>
        <v/>
      </c>
      <c r="AH735" s="4">
        <f>MAX(0,U735-MAX(0,Z735-SUM(Q735:T735)))</f>
        <v/>
      </c>
      <c r="AI735" s="4">
        <f>MAX(0,V735-MAX(0,Z735-SUM(Q735:U735)))</f>
        <v/>
      </c>
      <c r="AJ735" s="4">
        <f>MAX(0,W735-MAX(0,Z735-SUM(Q735:V735)))</f>
        <v/>
      </c>
      <c r="AK735" s="4">
        <f>MAX(0,X735-MAX(0,Z735-SUM(Q735:W735)))</f>
        <v/>
      </c>
      <c r="AL735" s="4">
        <f>MAX(0,Y735-MAX(0,Z735-SUM(Q735:X735)))</f>
        <v/>
      </c>
    </row>
    <row r="736">
      <c r="A736" s="4" t="inlineStr">
        <is>
          <t>HASLS22260901876</t>
        </is>
      </c>
      <c r="B736" s="4" t="inlineStr">
        <is>
          <t>KUS</t>
        </is>
      </c>
      <c r="C736" s="4" t="inlineStr">
        <is>
          <t>2616N</t>
        </is>
      </c>
      <c r="D736" s="4" t="inlineStr">
        <is>
          <t>202610150400</t>
        </is>
      </c>
      <c r="E736" s="4" t="inlineStr"/>
      <c r="F736" s="4" t="inlineStr">
        <is>
          <t>THLCH</t>
        </is>
      </c>
      <c r="G736" s="4" t="inlineStr">
        <is>
          <t>JPKIJ</t>
        </is>
      </c>
      <c r="H736" s="4" t="inlineStr">
        <is>
          <t xml:space="preserve">40Hx2 </t>
        </is>
      </c>
      <c r="I736" s="4" t="inlineStr">
        <is>
          <t>LCHY5</t>
        </is>
      </c>
      <c r="J736" s="4" t="inlineStr">
        <is>
          <t>PW DEPOT CO., LTD.</t>
        </is>
      </c>
      <c r="K736" s="4" t="inlineStr">
        <is>
          <t>20261007</t>
        </is>
      </c>
      <c r="L736" s="4" t="inlineStr">
        <is>
          <t>WHA GC LOGISTICS COMPANY LIMITED</t>
        </is>
      </c>
      <c r="M736" s="4" t="inlineStr">
        <is>
          <t>PTT GLOBAL CHEMICAL PUBLIC COMPANY LIMITED</t>
        </is>
      </c>
      <c r="N736" s="4" t="inlineStr">
        <is>
          <t>RESIN</t>
        </is>
      </c>
      <c r="O736" s="4" t="inlineStr">
        <is>
          <t>GOOD AND CLEAN CONTAINERS</t>
        </is>
      </c>
      <c r="P736" s="4" t="inlineStr">
        <is>
          <t xml:space="preserve">CY-RTN 07-09/10/26 (PR2610003177 )
*PLS CHECK OPEN GATE BEFORE RETURN CTNR*
</t>
        </is>
      </c>
      <c r="Q736" s="4" t="n">
        <v>0</v>
      </c>
      <c r="R736" s="4" t="n">
        <v>0</v>
      </c>
      <c r="S736" s="4" t="n">
        <v>2</v>
      </c>
      <c r="T736" s="4" t="n">
        <v>0</v>
      </c>
      <c r="U736" s="4" t="n">
        <v>0</v>
      </c>
      <c r="V736" s="4" t="n">
        <v>0</v>
      </c>
      <c r="W736" s="4" t="n">
        <v>0</v>
      </c>
      <c r="X736" s="4" t="n">
        <v>0</v>
      </c>
      <c r="Y736" s="4" t="n">
        <v>0</v>
      </c>
      <c r="Z736" s="4" t="n">
        <v>0</v>
      </c>
      <c r="AA736" s="4" t="n">
        <v>0</v>
      </c>
      <c r="AB736" s="4">
        <f>SUM(Q736:Y736)-Z736</f>
        <v/>
      </c>
      <c r="AC736" s="4">
        <f>IF(I736="","",IF(OR(LEFT(I736,3)="BKK",I736="LCH55"),"BKK",IF(LEFT(I736,3)="LCH","LCH","OTHER")))</f>
        <v/>
      </c>
      <c r="AD736" s="4">
        <f>MAX(0,Q736-MAX(0,Z736))</f>
        <v/>
      </c>
      <c r="AE736" s="4">
        <f>MAX(0,R736-MAX(0,Z736-SUM(Q736:Q736)))</f>
        <v/>
      </c>
      <c r="AF736" s="4">
        <f>MAX(0,S736-MAX(0,Z736-SUM(Q736:R736)))</f>
        <v/>
      </c>
      <c r="AG736" s="4">
        <f>MAX(0,T736-MAX(0,Z736-SUM(Q736:S736)))</f>
        <v/>
      </c>
      <c r="AH736" s="4">
        <f>MAX(0,U736-MAX(0,Z736-SUM(Q736:T736)))</f>
        <v/>
      </c>
      <c r="AI736" s="4">
        <f>MAX(0,V736-MAX(0,Z736-SUM(Q736:U736)))</f>
        <v/>
      </c>
      <c r="AJ736" s="4">
        <f>MAX(0,W736-MAX(0,Z736-SUM(Q736:V736)))</f>
        <v/>
      </c>
      <c r="AK736" s="4">
        <f>MAX(0,X736-MAX(0,Z736-SUM(Q736:W736)))</f>
        <v/>
      </c>
      <c r="AL736" s="4">
        <f>MAX(0,Y736-MAX(0,Z736-SUM(Q736:X736)))</f>
        <v/>
      </c>
    </row>
    <row r="737">
      <c r="A737" s="4" t="inlineStr">
        <is>
          <t>HASLS22260901880</t>
        </is>
      </c>
      <c r="B737" s="4" t="inlineStr">
        <is>
          <t>KMBK</t>
        </is>
      </c>
      <c r="C737" s="4" t="inlineStr">
        <is>
          <t>2611N</t>
        </is>
      </c>
      <c r="D737" s="4" t="inlineStr">
        <is>
          <t>202610040100</t>
        </is>
      </c>
      <c r="E737" s="4" t="inlineStr"/>
      <c r="F737" s="4" t="inlineStr">
        <is>
          <t>THLCH</t>
        </is>
      </c>
      <c r="G737" s="4" t="inlineStr">
        <is>
          <t>VNSGN</t>
        </is>
      </c>
      <c r="H737" s="4" t="inlineStr">
        <is>
          <t xml:space="preserve">40Hx1 </t>
        </is>
      </c>
      <c r="I737" s="4" t="inlineStr">
        <is>
          <t>LCHY5</t>
        </is>
      </c>
      <c r="J737" s="4" t="inlineStr">
        <is>
          <t>PW DEPOT CO., LTD.</t>
        </is>
      </c>
      <c r="K737" s="4" t="inlineStr">
        <is>
          <t>20260930</t>
        </is>
      </c>
      <c r="L737" s="4" t="inlineStr">
        <is>
          <t>BEE LOGISTICS (THAILAND) CO., LTD.</t>
        </is>
      </c>
      <c r="M737" s="4" t="inlineStr">
        <is>
          <t>SIRI LABORATORIES CO., LTD.</t>
        </is>
      </c>
      <c r="N737" s="4" t="inlineStr">
        <is>
          <t xml:space="preserve">LAUNDRY DETERGENT </t>
        </is>
      </c>
      <c r="O737" s="4" t="inlineStr">
        <is>
          <t>GOOD AND CLEAN CONTAINER</t>
        </is>
      </c>
      <c r="P737" s="4" t="inlineStr">
        <is>
          <t>Pickup : 2026-09-30, Return : 2026-10-01</t>
        </is>
      </c>
      <c r="Q737" s="4" t="n">
        <v>0</v>
      </c>
      <c r="R737" s="4" t="n">
        <v>0</v>
      </c>
      <c r="S737" s="4" t="n">
        <v>1</v>
      </c>
      <c r="T737" s="4" t="n">
        <v>0</v>
      </c>
      <c r="U737" s="4" t="n">
        <v>0</v>
      </c>
      <c r="V737" s="4" t="n">
        <v>0</v>
      </c>
      <c r="W737" s="4" t="n">
        <v>0</v>
      </c>
      <c r="X737" s="4" t="n">
        <v>0</v>
      </c>
      <c r="Y737" s="4" t="n">
        <v>0</v>
      </c>
      <c r="Z737" s="4" t="n">
        <v>0</v>
      </c>
      <c r="AA737" s="4" t="n">
        <v>0</v>
      </c>
      <c r="AB737" s="4">
        <f>SUM(Q737:Y737)-Z737</f>
        <v/>
      </c>
      <c r="AC737" s="4">
        <f>IF(I737="","",IF(OR(LEFT(I737,3)="BKK",I737="LCH55"),"BKK",IF(LEFT(I737,3)="LCH","LCH","OTHER")))</f>
        <v/>
      </c>
      <c r="AD737" s="4">
        <f>MAX(0,Q737-MAX(0,Z737))</f>
        <v/>
      </c>
      <c r="AE737" s="4">
        <f>MAX(0,R737-MAX(0,Z737-SUM(Q737:Q737)))</f>
        <v/>
      </c>
      <c r="AF737" s="4">
        <f>MAX(0,S737-MAX(0,Z737-SUM(Q737:R737)))</f>
        <v/>
      </c>
      <c r="AG737" s="4">
        <f>MAX(0,T737-MAX(0,Z737-SUM(Q737:S737)))</f>
        <v/>
      </c>
      <c r="AH737" s="4">
        <f>MAX(0,U737-MAX(0,Z737-SUM(Q737:T737)))</f>
        <v/>
      </c>
      <c r="AI737" s="4">
        <f>MAX(0,V737-MAX(0,Z737-SUM(Q737:U737)))</f>
        <v/>
      </c>
      <c r="AJ737" s="4">
        <f>MAX(0,W737-MAX(0,Z737-SUM(Q737:V737)))</f>
        <v/>
      </c>
      <c r="AK737" s="4">
        <f>MAX(0,X737-MAX(0,Z737-SUM(Q737:W737)))</f>
        <v/>
      </c>
      <c r="AL737" s="4">
        <f>MAX(0,Y737-MAX(0,Z737-SUM(Q737:X737)))</f>
        <v/>
      </c>
    </row>
    <row r="738">
      <c r="A738" s="4" t="inlineStr">
        <is>
          <t>HASLS22260901894</t>
        </is>
      </c>
      <c r="B738" s="4" t="inlineStr">
        <is>
          <t>KMBK</t>
        </is>
      </c>
      <c r="C738" s="4" t="inlineStr">
        <is>
          <t>2611N</t>
        </is>
      </c>
      <c r="D738" s="4" t="inlineStr">
        <is>
          <t>202610040100</t>
        </is>
      </c>
      <c r="E738" s="4" t="inlineStr"/>
      <c r="F738" s="4" t="inlineStr">
        <is>
          <t>THLCH</t>
        </is>
      </c>
      <c r="G738" s="4" t="inlineStr">
        <is>
          <t>VNSGN</t>
        </is>
      </c>
      <c r="H738" s="4" t="inlineStr">
        <is>
          <t xml:space="preserve">20'x1 </t>
        </is>
      </c>
      <c r="I738" s="4" t="inlineStr">
        <is>
          <t>LCHY5</t>
        </is>
      </c>
      <c r="J738" s="4" t="inlineStr">
        <is>
          <t>PW DEPOT CO., LTD.</t>
        </is>
      </c>
      <c r="K738" s="4" t="inlineStr">
        <is>
          <t>20261001</t>
        </is>
      </c>
      <c r="L738" s="4" t="inlineStr">
        <is>
          <t>BDP ASIA-PACIFIC LTD.</t>
        </is>
      </c>
      <c r="M738" s="4" t="inlineStr">
        <is>
          <t>PPG COATINGS (THAILAND) CO., LTD.</t>
        </is>
      </c>
      <c r="N738" s="4" t="inlineStr">
        <is>
          <t>LACQUER</t>
        </is>
      </c>
      <c r="O738" s="4" t="inlineStr">
        <is>
          <t>**APPROVED BY JEONG-YONG UM DD.22/09/26 ** MIX DG22GPx1 (CLS 3 / UN 1263)</t>
        </is>
      </c>
      <c r="P738" s="4" t="inlineStr">
        <is>
          <t>**APPROVED BY JEONG-YONG UM DD.22/09/26 ** MIX DG22GPx1 (CLS 3 / UN 1263) 
Pickup : 2026-10-01, Return @JWD : 2026-10-02</t>
        </is>
      </c>
      <c r="Q738" s="4" t="n">
        <v>1</v>
      </c>
      <c r="R738" s="4" t="n">
        <v>0</v>
      </c>
      <c r="S738" s="4" t="n">
        <v>0</v>
      </c>
      <c r="T738" s="4" t="n">
        <v>0</v>
      </c>
      <c r="U738" s="4" t="n">
        <v>0</v>
      </c>
      <c r="V738" s="4" t="n">
        <v>0</v>
      </c>
      <c r="W738" s="4" t="n">
        <v>0</v>
      </c>
      <c r="X738" s="4" t="n">
        <v>0</v>
      </c>
      <c r="Y738" s="4" t="n">
        <v>0</v>
      </c>
      <c r="Z738" s="4" t="n">
        <v>0</v>
      </c>
      <c r="AA738" s="4" t="n">
        <v>0</v>
      </c>
      <c r="AB738" s="4">
        <f>SUM(Q738:Y738)-Z738</f>
        <v/>
      </c>
      <c r="AC738" s="4">
        <f>IF(I738="","",IF(OR(LEFT(I738,3)="BKK",I738="LCH55"),"BKK",IF(LEFT(I738,3)="LCH","LCH","OTHER")))</f>
        <v/>
      </c>
      <c r="AD738" s="4">
        <f>MAX(0,Q738-MAX(0,Z738))</f>
        <v/>
      </c>
      <c r="AE738" s="4">
        <f>MAX(0,R738-MAX(0,Z738-SUM(Q738:Q738)))</f>
        <v/>
      </c>
      <c r="AF738" s="4">
        <f>MAX(0,S738-MAX(0,Z738-SUM(Q738:R738)))</f>
        <v/>
      </c>
      <c r="AG738" s="4">
        <f>MAX(0,T738-MAX(0,Z738-SUM(Q738:S738)))</f>
        <v/>
      </c>
      <c r="AH738" s="4">
        <f>MAX(0,U738-MAX(0,Z738-SUM(Q738:T738)))</f>
        <v/>
      </c>
      <c r="AI738" s="4">
        <f>MAX(0,V738-MAX(0,Z738-SUM(Q738:U738)))</f>
        <v/>
      </c>
      <c r="AJ738" s="4">
        <f>MAX(0,W738-MAX(0,Z738-SUM(Q738:V738)))</f>
        <v/>
      </c>
      <c r="AK738" s="4">
        <f>MAX(0,X738-MAX(0,Z738-SUM(Q738:W738)))</f>
        <v/>
      </c>
      <c r="AL738" s="4">
        <f>MAX(0,Y738-MAX(0,Z738-SUM(Q738:X738)))</f>
        <v/>
      </c>
    </row>
    <row r="739">
      <c r="A739" s="4" t="inlineStr">
        <is>
          <t>HASLS22260901900</t>
        </is>
      </c>
      <c r="B739" s="4" t="inlineStr">
        <is>
          <t>HMVY</t>
        </is>
      </c>
      <c r="C739" s="4" t="inlineStr">
        <is>
          <t>2609N</t>
        </is>
      </c>
      <c r="D739" s="4" t="inlineStr">
        <is>
          <t>202610200330</t>
        </is>
      </c>
      <c r="E739" s="4" t="inlineStr"/>
      <c r="F739" s="4" t="inlineStr">
        <is>
          <t>THLCH</t>
        </is>
      </c>
      <c r="G739" s="4" t="inlineStr">
        <is>
          <t>CNSHA</t>
        </is>
      </c>
      <c r="H739" s="4" t="inlineStr">
        <is>
          <t xml:space="preserve">20'x6 </t>
        </is>
      </c>
      <c r="I739" s="4" t="inlineStr">
        <is>
          <t>LCHY5</t>
        </is>
      </c>
      <c r="J739" s="4" t="inlineStr">
        <is>
          <t>PW DEPOT CO., LTD.</t>
        </is>
      </c>
      <c r="K739" s="4" t="inlineStr">
        <is>
          <t>20261006</t>
        </is>
      </c>
      <c r="L739" s="4" t="inlineStr">
        <is>
          <t>WHA GC LOGISTICS COMPANY LIMITED</t>
        </is>
      </c>
      <c r="M739" s="4" t="inlineStr">
        <is>
          <t>PTT GLOBAL CHEMICAL PUBLIC COMPANY LIMITED</t>
        </is>
      </c>
      <c r="N739" s="4" t="inlineStr">
        <is>
          <t>RESIN</t>
        </is>
      </c>
      <c r="O739" s="4" t="inlineStr">
        <is>
          <t>GOOD AND CLEAN CTNR</t>
        </is>
      </c>
      <c r="P739" s="4" t="inlineStr">
        <is>
          <t>CY-RTN 06-10/10/26 
*PLS CHECK OPEN GATE BEFORE RETURN CTNR*</t>
        </is>
      </c>
      <c r="Q739" s="4" t="n">
        <v>6</v>
      </c>
      <c r="R739" s="4" t="n">
        <v>0</v>
      </c>
      <c r="S739" s="4" t="n">
        <v>0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>
        <f>SUM(Q739:Y739)-Z739</f>
        <v/>
      </c>
      <c r="AC739" s="4">
        <f>IF(I739="","",IF(OR(LEFT(I739,3)="BKK",I739="LCH55"),"BKK",IF(LEFT(I739,3)="LCH","LCH","OTHER")))</f>
        <v/>
      </c>
      <c r="AD739" s="4">
        <f>MAX(0,Q739-MAX(0,Z739))</f>
        <v/>
      </c>
      <c r="AE739" s="4">
        <f>MAX(0,R739-MAX(0,Z739-SUM(Q739:Q739)))</f>
        <v/>
      </c>
      <c r="AF739" s="4">
        <f>MAX(0,S739-MAX(0,Z739-SUM(Q739:R739)))</f>
        <v/>
      </c>
      <c r="AG739" s="4">
        <f>MAX(0,T739-MAX(0,Z739-SUM(Q739:S739)))</f>
        <v/>
      </c>
      <c r="AH739" s="4">
        <f>MAX(0,U739-MAX(0,Z739-SUM(Q739:T739)))</f>
        <v/>
      </c>
      <c r="AI739" s="4">
        <f>MAX(0,V739-MAX(0,Z739-SUM(Q739:U739)))</f>
        <v/>
      </c>
      <c r="AJ739" s="4">
        <f>MAX(0,W739-MAX(0,Z739-SUM(Q739:V739)))</f>
        <v/>
      </c>
      <c r="AK739" s="4">
        <f>MAX(0,X739-MAX(0,Z739-SUM(Q739:W739)))</f>
        <v/>
      </c>
      <c r="AL739" s="4">
        <f>MAX(0,Y739-MAX(0,Z739-SUM(Q739:X739)))</f>
        <v/>
      </c>
    </row>
    <row r="740">
      <c r="A740" s="4" t="inlineStr">
        <is>
          <t>HASLS22260901901</t>
        </is>
      </c>
      <c r="B740" s="4" t="inlineStr">
        <is>
          <t>HMVY</t>
        </is>
      </c>
      <c r="C740" s="4" t="inlineStr">
        <is>
          <t>2609N</t>
        </is>
      </c>
      <c r="D740" s="4" t="inlineStr">
        <is>
          <t>202610200330</t>
        </is>
      </c>
      <c r="E740" s="4" t="inlineStr"/>
      <c r="F740" s="4" t="inlineStr">
        <is>
          <t>THLCH</t>
        </is>
      </c>
      <c r="G740" s="4" t="inlineStr">
        <is>
          <t>CNSHA</t>
        </is>
      </c>
      <c r="H740" s="4" t="inlineStr">
        <is>
          <t xml:space="preserve">20'x6 </t>
        </is>
      </c>
      <c r="I740" s="4" t="inlineStr">
        <is>
          <t>LCHY5</t>
        </is>
      </c>
      <c r="J740" s="4" t="inlineStr">
        <is>
          <t>PW DEPOT CO., LTD.</t>
        </is>
      </c>
      <c r="K740" s="4" t="inlineStr">
        <is>
          <t>20261006</t>
        </is>
      </c>
      <c r="L740" s="4" t="inlineStr">
        <is>
          <t>WHA GC LOGISTICS COMPANY LIMITED</t>
        </is>
      </c>
      <c r="M740" s="4" t="inlineStr">
        <is>
          <t>PTT GLOBAL CHEMICAL PUBLIC COMPANY LIMITED</t>
        </is>
      </c>
      <c r="N740" s="4" t="inlineStr">
        <is>
          <t>RESIN</t>
        </is>
      </c>
      <c r="O740" s="4" t="inlineStr">
        <is>
          <t>GOOD AND CLEAN CTNR</t>
        </is>
      </c>
      <c r="P740" s="4" t="inlineStr">
        <is>
          <t>CY-RTN 06-10/10/26 
*PLS CHECK OPEN GATE BEFORE RETURN CTNR*</t>
        </is>
      </c>
      <c r="Q740" s="4" t="n">
        <v>6</v>
      </c>
      <c r="R740" s="4" t="n">
        <v>0</v>
      </c>
      <c r="S740" s="4" t="n">
        <v>0</v>
      </c>
      <c r="T740" s="4" t="n">
        <v>0</v>
      </c>
      <c r="U740" s="4" t="n">
        <v>0</v>
      </c>
      <c r="V740" s="4" t="n">
        <v>0</v>
      </c>
      <c r="W740" s="4" t="n">
        <v>0</v>
      </c>
      <c r="X740" s="4" t="n">
        <v>0</v>
      </c>
      <c r="Y740" s="4" t="n">
        <v>0</v>
      </c>
      <c r="Z740" s="4" t="n">
        <v>0</v>
      </c>
      <c r="AA740" s="4" t="n">
        <v>0</v>
      </c>
      <c r="AB740" s="4">
        <f>SUM(Q740:Y740)-Z740</f>
        <v/>
      </c>
      <c r="AC740" s="4">
        <f>IF(I740="","",IF(OR(LEFT(I740,3)="BKK",I740="LCH55"),"BKK",IF(LEFT(I740,3)="LCH","LCH","OTHER")))</f>
        <v/>
      </c>
      <c r="AD740" s="4">
        <f>MAX(0,Q740-MAX(0,Z740))</f>
        <v/>
      </c>
      <c r="AE740" s="4">
        <f>MAX(0,R740-MAX(0,Z740-SUM(Q740:Q740)))</f>
        <v/>
      </c>
      <c r="AF740" s="4">
        <f>MAX(0,S740-MAX(0,Z740-SUM(Q740:R740)))</f>
        <v/>
      </c>
      <c r="AG740" s="4">
        <f>MAX(0,T740-MAX(0,Z740-SUM(Q740:S740)))</f>
        <v/>
      </c>
      <c r="AH740" s="4">
        <f>MAX(0,U740-MAX(0,Z740-SUM(Q740:T740)))</f>
        <v/>
      </c>
      <c r="AI740" s="4">
        <f>MAX(0,V740-MAX(0,Z740-SUM(Q740:U740)))</f>
        <v/>
      </c>
      <c r="AJ740" s="4">
        <f>MAX(0,W740-MAX(0,Z740-SUM(Q740:V740)))</f>
        <v/>
      </c>
      <c r="AK740" s="4">
        <f>MAX(0,X740-MAX(0,Z740-SUM(Q740:W740)))</f>
        <v/>
      </c>
      <c r="AL740" s="4">
        <f>MAX(0,Y740-MAX(0,Z740-SUM(Q740:X740)))</f>
        <v/>
      </c>
    </row>
    <row r="741">
      <c r="A741" s="4" t="inlineStr">
        <is>
          <t>HASLS22260901902</t>
        </is>
      </c>
      <c r="B741" s="4" t="inlineStr">
        <is>
          <t>HMVY</t>
        </is>
      </c>
      <c r="C741" s="4" t="inlineStr">
        <is>
          <t>2609N</t>
        </is>
      </c>
      <c r="D741" s="4" t="inlineStr">
        <is>
          <t>202610200330</t>
        </is>
      </c>
      <c r="E741" s="4" t="inlineStr"/>
      <c r="F741" s="4" t="inlineStr">
        <is>
          <t>THLCH</t>
        </is>
      </c>
      <c r="G741" s="4" t="inlineStr">
        <is>
          <t>CNSHA</t>
        </is>
      </c>
      <c r="H741" s="4" t="inlineStr">
        <is>
          <t xml:space="preserve">40Hx4 </t>
        </is>
      </c>
      <c r="I741" s="4" t="inlineStr">
        <is>
          <t>LCHY5</t>
        </is>
      </c>
      <c r="J741" s="4" t="inlineStr">
        <is>
          <t>PW DEPOT CO., LTD.</t>
        </is>
      </c>
      <c r="K741" s="4" t="inlineStr">
        <is>
          <t>20261006</t>
        </is>
      </c>
      <c r="L741" s="4" t="inlineStr">
        <is>
          <t>WHA GC LOGISTICS COMPANY LIMITED</t>
        </is>
      </c>
      <c r="M741" s="4" t="inlineStr">
        <is>
          <t>PTT GLOBAL CHEMICAL PUBLIC COMPANY LIMITED</t>
        </is>
      </c>
      <c r="N741" s="4" t="inlineStr">
        <is>
          <t>RESIN</t>
        </is>
      </c>
      <c r="O741" s="4" t="inlineStr">
        <is>
          <t>GOOD AND CLEAN CTNR</t>
        </is>
      </c>
      <c r="P741" s="4" t="inlineStr">
        <is>
          <t>CY-RTN 06-10/10/26 
*PLS CHECK OPEN GATE BEFORE RETURN CTNR*</t>
        </is>
      </c>
      <c r="Q741" s="4" t="n">
        <v>0</v>
      </c>
      <c r="R741" s="4" t="n">
        <v>0</v>
      </c>
      <c r="S741" s="4" t="n">
        <v>4</v>
      </c>
      <c r="T741" s="4" t="n">
        <v>0</v>
      </c>
      <c r="U741" s="4" t="n">
        <v>0</v>
      </c>
      <c r="V741" s="4" t="n">
        <v>0</v>
      </c>
      <c r="W741" s="4" t="n">
        <v>0</v>
      </c>
      <c r="X741" s="4" t="n">
        <v>0</v>
      </c>
      <c r="Y741" s="4" t="n">
        <v>0</v>
      </c>
      <c r="Z741" s="4" t="n">
        <v>0</v>
      </c>
      <c r="AA741" s="4" t="n">
        <v>0</v>
      </c>
      <c r="AB741" s="4">
        <f>SUM(Q741:Y741)-Z741</f>
        <v/>
      </c>
      <c r="AC741" s="4">
        <f>IF(I741="","",IF(OR(LEFT(I741,3)="BKK",I741="LCH55"),"BKK",IF(LEFT(I741,3)="LCH","LCH","OTHER")))</f>
        <v/>
      </c>
      <c r="AD741" s="4">
        <f>MAX(0,Q741-MAX(0,Z741))</f>
        <v/>
      </c>
      <c r="AE741" s="4">
        <f>MAX(0,R741-MAX(0,Z741-SUM(Q741:Q741)))</f>
        <v/>
      </c>
      <c r="AF741" s="4">
        <f>MAX(0,S741-MAX(0,Z741-SUM(Q741:R741)))</f>
        <v/>
      </c>
      <c r="AG741" s="4">
        <f>MAX(0,T741-MAX(0,Z741-SUM(Q741:S741)))</f>
        <v/>
      </c>
      <c r="AH741" s="4">
        <f>MAX(0,U741-MAX(0,Z741-SUM(Q741:T741)))</f>
        <v/>
      </c>
      <c r="AI741" s="4">
        <f>MAX(0,V741-MAX(0,Z741-SUM(Q741:U741)))</f>
        <v/>
      </c>
      <c r="AJ741" s="4">
        <f>MAX(0,W741-MAX(0,Z741-SUM(Q741:V741)))</f>
        <v/>
      </c>
      <c r="AK741" s="4">
        <f>MAX(0,X741-MAX(0,Z741-SUM(Q741:W741)))</f>
        <v/>
      </c>
      <c r="AL741" s="4">
        <f>MAX(0,Y741-MAX(0,Z741-SUM(Q741:X741)))</f>
        <v/>
      </c>
    </row>
    <row r="742">
      <c r="A742" s="4" t="inlineStr">
        <is>
          <t>HASLS22260901903</t>
        </is>
      </c>
      <c r="B742" s="4" t="inlineStr">
        <is>
          <t>HMVY</t>
        </is>
      </c>
      <c r="C742" s="4" t="inlineStr">
        <is>
          <t>2609N</t>
        </is>
      </c>
      <c r="D742" s="4" t="inlineStr">
        <is>
          <t>202610200330</t>
        </is>
      </c>
      <c r="E742" s="4" t="inlineStr"/>
      <c r="F742" s="4" t="inlineStr">
        <is>
          <t>THLCH</t>
        </is>
      </c>
      <c r="G742" s="4" t="inlineStr">
        <is>
          <t>CNSHA</t>
        </is>
      </c>
      <c r="H742" s="4" t="inlineStr">
        <is>
          <t xml:space="preserve">40Hx4 </t>
        </is>
      </c>
      <c r="I742" s="4" t="inlineStr">
        <is>
          <t>LCHY5</t>
        </is>
      </c>
      <c r="J742" s="4" t="inlineStr">
        <is>
          <t>PW DEPOT CO., LTD.</t>
        </is>
      </c>
      <c r="K742" s="4" t="inlineStr">
        <is>
          <t>20261006</t>
        </is>
      </c>
      <c r="L742" s="4" t="inlineStr">
        <is>
          <t>WHA GC LOGISTICS COMPANY LIMITED</t>
        </is>
      </c>
      <c r="M742" s="4" t="inlineStr">
        <is>
          <t>PTT GLOBAL CHEMICAL PUBLIC COMPANY LIMITED</t>
        </is>
      </c>
      <c r="N742" s="4" t="inlineStr">
        <is>
          <t>RESIN</t>
        </is>
      </c>
      <c r="O742" s="4" t="inlineStr">
        <is>
          <t>GOOD AND CLEAN CTNR</t>
        </is>
      </c>
      <c r="P742" s="4" t="inlineStr">
        <is>
          <t>CY-RTN 06-10/10/26 
*PLS CHECK OPEN GATE BEFORE RETURN CTNR*</t>
        </is>
      </c>
      <c r="Q742" s="4" t="n">
        <v>0</v>
      </c>
      <c r="R742" s="4" t="n">
        <v>0</v>
      </c>
      <c r="S742" s="4" t="n">
        <v>4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>
        <f>SUM(Q742:Y742)-Z742</f>
        <v/>
      </c>
      <c r="AC742" s="4">
        <f>IF(I742="","",IF(OR(LEFT(I742,3)="BKK",I742="LCH55"),"BKK",IF(LEFT(I742,3)="LCH","LCH","OTHER")))</f>
        <v/>
      </c>
      <c r="AD742" s="4">
        <f>MAX(0,Q742-MAX(0,Z742))</f>
        <v/>
      </c>
      <c r="AE742" s="4">
        <f>MAX(0,R742-MAX(0,Z742-SUM(Q742:Q742)))</f>
        <v/>
      </c>
      <c r="AF742" s="4">
        <f>MAX(0,S742-MAX(0,Z742-SUM(Q742:R742)))</f>
        <v/>
      </c>
      <c r="AG742" s="4">
        <f>MAX(0,T742-MAX(0,Z742-SUM(Q742:S742)))</f>
        <v/>
      </c>
      <c r="AH742" s="4">
        <f>MAX(0,U742-MAX(0,Z742-SUM(Q742:T742)))</f>
        <v/>
      </c>
      <c r="AI742" s="4">
        <f>MAX(0,V742-MAX(0,Z742-SUM(Q742:U742)))</f>
        <v/>
      </c>
      <c r="AJ742" s="4">
        <f>MAX(0,W742-MAX(0,Z742-SUM(Q742:V742)))</f>
        <v/>
      </c>
      <c r="AK742" s="4">
        <f>MAX(0,X742-MAX(0,Z742-SUM(Q742:W742)))</f>
        <v/>
      </c>
      <c r="AL742" s="4">
        <f>MAX(0,Y742-MAX(0,Z742-SUM(Q742:X742)))</f>
        <v/>
      </c>
    </row>
    <row r="743">
      <c r="A743" s="4" t="inlineStr">
        <is>
          <t>HASLS22260901905</t>
        </is>
      </c>
      <c r="B743" s="4" t="inlineStr">
        <is>
          <t>SWSP</t>
        </is>
      </c>
      <c r="C743" s="4" t="inlineStr">
        <is>
          <t>2609N</t>
        </is>
      </c>
      <c r="D743" s="4" t="inlineStr">
        <is>
          <t>202610080830</t>
        </is>
      </c>
      <c r="E743" s="4" t="inlineStr"/>
      <c r="F743" s="4" t="inlineStr">
        <is>
          <t>THLCH</t>
        </is>
      </c>
      <c r="G743" s="4" t="inlineStr">
        <is>
          <t>RUVVO</t>
        </is>
      </c>
      <c r="H743" s="4" t="inlineStr">
        <is>
          <t xml:space="preserve">20'x1 </t>
        </is>
      </c>
      <c r="I743" s="4" t="inlineStr">
        <is>
          <t>LCHY5</t>
        </is>
      </c>
      <c r="J743" s="4" t="inlineStr">
        <is>
          <t>PW DEPOT CO., LTD.</t>
        </is>
      </c>
      <c r="K743" s="4" t="inlineStr">
        <is>
          <t>20260928</t>
        </is>
      </c>
      <c r="L743" s="4" t="inlineStr">
        <is>
          <t>RICH FREIGHT FORWARDER CO., LTD.</t>
        </is>
      </c>
      <c r="M743" s="4" t="inlineStr">
        <is>
          <t>COCO BLUES (THAILAND) CO.,LTD.</t>
        </is>
      </c>
      <c r="N743" s="4" t="inlineStr">
        <is>
          <t>COSMETICS</t>
        </is>
      </c>
      <c r="O743" s="4" t="inlineStr">
        <is>
          <t>RQST Good &amp; Clean Container</t>
        </is>
      </c>
      <c r="P743" s="4" t="inlineStr">
        <is>
          <t>Pickup : 2026-09-28, Return : 2026-09-30 **1ST RETURN CNTR DD.02/10/2026 WIHTOUT RENT**
rqst Good &amp; Clean Container</t>
        </is>
      </c>
      <c r="Q743" s="4" t="n">
        <v>1</v>
      </c>
      <c r="R743" s="4" t="n">
        <v>0</v>
      </c>
      <c r="S743" s="4" t="n">
        <v>0</v>
      </c>
      <c r="T743" s="4" t="n">
        <v>0</v>
      </c>
      <c r="U743" s="4" t="n">
        <v>0</v>
      </c>
      <c r="V743" s="4" t="n">
        <v>0</v>
      </c>
      <c r="W743" s="4" t="n">
        <v>0</v>
      </c>
      <c r="X743" s="4" t="n">
        <v>0</v>
      </c>
      <c r="Y743" s="4" t="n">
        <v>0</v>
      </c>
      <c r="Z743" s="4" t="n">
        <v>0</v>
      </c>
      <c r="AA743" s="4" t="n">
        <v>0</v>
      </c>
      <c r="AB743" s="4">
        <f>SUM(Q743:Y743)-Z743</f>
        <v/>
      </c>
      <c r="AC743" s="4">
        <f>IF(I743="","",IF(OR(LEFT(I743,3)="BKK",I743="LCH55"),"BKK",IF(LEFT(I743,3)="LCH","LCH","OTHER")))</f>
        <v/>
      </c>
      <c r="AD743" s="4">
        <f>MAX(0,Q743-MAX(0,Z743))</f>
        <v/>
      </c>
      <c r="AE743" s="4">
        <f>MAX(0,R743-MAX(0,Z743-SUM(Q743:Q743)))</f>
        <v/>
      </c>
      <c r="AF743" s="4">
        <f>MAX(0,S743-MAX(0,Z743-SUM(Q743:R743)))</f>
        <v/>
      </c>
      <c r="AG743" s="4">
        <f>MAX(0,T743-MAX(0,Z743-SUM(Q743:S743)))</f>
        <v/>
      </c>
      <c r="AH743" s="4">
        <f>MAX(0,U743-MAX(0,Z743-SUM(Q743:T743)))</f>
        <v/>
      </c>
      <c r="AI743" s="4">
        <f>MAX(0,V743-MAX(0,Z743-SUM(Q743:U743)))</f>
        <v/>
      </c>
      <c r="AJ743" s="4">
        <f>MAX(0,W743-MAX(0,Z743-SUM(Q743:V743)))</f>
        <v/>
      </c>
      <c r="AK743" s="4">
        <f>MAX(0,X743-MAX(0,Z743-SUM(Q743:W743)))</f>
        <v/>
      </c>
      <c r="AL743" s="4">
        <f>MAX(0,Y743-MAX(0,Z743-SUM(Q743:X743)))</f>
        <v/>
      </c>
    </row>
    <row r="744">
      <c r="A744" s="4" t="inlineStr">
        <is>
          <t>HASLS22260901909</t>
        </is>
      </c>
      <c r="B744" s="4" t="inlineStr">
        <is>
          <t>KMBK</t>
        </is>
      </c>
      <c r="C744" s="4" t="inlineStr">
        <is>
          <t>2611N</t>
        </is>
      </c>
      <c r="D744" s="4" t="inlineStr">
        <is>
          <t>202610040100</t>
        </is>
      </c>
      <c r="E744" s="4" t="inlineStr"/>
      <c r="F744" s="4" t="inlineStr">
        <is>
          <t>THLCH</t>
        </is>
      </c>
      <c r="G744" s="4" t="inlineStr">
        <is>
          <t>VNSGN</t>
        </is>
      </c>
      <c r="H744" s="4" t="inlineStr">
        <is>
          <t xml:space="preserve">40Hx4 </t>
        </is>
      </c>
      <c r="I744" s="4" t="inlineStr">
        <is>
          <t>LCHY5</t>
        </is>
      </c>
      <c r="J744" s="4" t="inlineStr">
        <is>
          <t>PW DEPOT CO., LTD.</t>
        </is>
      </c>
      <c r="K744" s="4" t="inlineStr">
        <is>
          <t>20260929</t>
        </is>
      </c>
      <c r="L744" s="4" t="inlineStr">
        <is>
          <t>CANVAS GLOBAL LOGISTICS (THAILAND) CO., LTD.</t>
        </is>
      </c>
      <c r="M744" s="4" t="inlineStr">
        <is>
          <t>SANJIANG CHEMICAL FIBER (THAILAND) CO.,LTD</t>
        </is>
      </c>
      <c r="N744" s="4" t="inlineStr">
        <is>
          <t>POLYESTER STAPLE FIBER</t>
        </is>
      </c>
      <c r="O744" s="4" t="inlineStr">
        <is>
          <t>GOOD AND CLEAN CONTAINER</t>
        </is>
      </c>
      <c r="P744" s="4" t="inlineStr">
        <is>
          <t>Pickup : 2026-09-29, Return : 2026-09-30</t>
        </is>
      </c>
      <c r="Q744" s="4" t="n">
        <v>0</v>
      </c>
      <c r="R744" s="4" t="n">
        <v>0</v>
      </c>
      <c r="S744" s="4" t="n">
        <v>4</v>
      </c>
      <c r="T744" s="4" t="n">
        <v>0</v>
      </c>
      <c r="U744" s="4" t="n">
        <v>0</v>
      </c>
      <c r="V744" s="4" t="n">
        <v>0</v>
      </c>
      <c r="W744" s="4" t="n">
        <v>0</v>
      </c>
      <c r="X744" s="4" t="n">
        <v>0</v>
      </c>
      <c r="Y744" s="4" t="n">
        <v>0</v>
      </c>
      <c r="Z744" s="4" t="n">
        <v>0</v>
      </c>
      <c r="AA744" s="4" t="n">
        <v>0</v>
      </c>
      <c r="AB744" s="4">
        <f>SUM(Q744:Y744)-Z744</f>
        <v/>
      </c>
      <c r="AC744" s="4">
        <f>IF(I744="","",IF(OR(LEFT(I744,3)="BKK",I744="LCH55"),"BKK",IF(LEFT(I744,3)="LCH","LCH","OTHER")))</f>
        <v/>
      </c>
      <c r="AD744" s="4">
        <f>MAX(0,Q744-MAX(0,Z744))</f>
        <v/>
      </c>
      <c r="AE744" s="4">
        <f>MAX(0,R744-MAX(0,Z744-SUM(Q744:Q744)))</f>
        <v/>
      </c>
      <c r="AF744" s="4">
        <f>MAX(0,S744-MAX(0,Z744-SUM(Q744:R744)))</f>
        <v/>
      </c>
      <c r="AG744" s="4">
        <f>MAX(0,T744-MAX(0,Z744-SUM(Q744:S744)))</f>
        <v/>
      </c>
      <c r="AH744" s="4">
        <f>MAX(0,U744-MAX(0,Z744-SUM(Q744:T744)))</f>
        <v/>
      </c>
      <c r="AI744" s="4">
        <f>MAX(0,V744-MAX(0,Z744-SUM(Q744:U744)))</f>
        <v/>
      </c>
      <c r="AJ744" s="4">
        <f>MAX(0,W744-MAX(0,Z744-SUM(Q744:V744)))</f>
        <v/>
      </c>
      <c r="AK744" s="4">
        <f>MAX(0,X744-MAX(0,Z744-SUM(Q744:W744)))</f>
        <v/>
      </c>
      <c r="AL744" s="4">
        <f>MAX(0,Y744-MAX(0,Z744-SUM(Q744:X744)))</f>
        <v/>
      </c>
    </row>
    <row r="745">
      <c r="A745" s="4" t="inlineStr">
        <is>
          <t>HASLS22260901910</t>
        </is>
      </c>
      <c r="B745" s="4" t="inlineStr">
        <is>
          <t>SWVG</t>
        </is>
      </c>
      <c r="C745" s="4" t="inlineStr">
        <is>
          <t>2612N</t>
        </is>
      </c>
      <c r="D745" s="4" t="inlineStr">
        <is>
          <t>202610070330</t>
        </is>
      </c>
      <c r="E745" s="4" t="inlineStr"/>
      <c r="F745" s="4" t="inlineStr">
        <is>
          <t>THLCH</t>
        </is>
      </c>
      <c r="G745" s="4" t="inlineStr">
        <is>
          <t>CNSHA</t>
        </is>
      </c>
      <c r="H745" s="4" t="inlineStr">
        <is>
          <t xml:space="preserve">20'x2 </t>
        </is>
      </c>
      <c r="I745" s="4" t="inlineStr">
        <is>
          <t>LCHY5</t>
        </is>
      </c>
      <c r="J745" s="4" t="inlineStr">
        <is>
          <t>PW DEPOT CO., LTD.</t>
        </is>
      </c>
      <c r="K745" s="4" t="inlineStr">
        <is>
          <t>20261001</t>
        </is>
      </c>
      <c r="L745" s="4" t="inlineStr">
        <is>
          <t>MITSUBISHI LOGISTICS (THAILAND) CO., LTD.</t>
        </is>
      </c>
      <c r="M745" s="4" t="inlineStr">
        <is>
          <t>SHIN-ETSU SILICONES (THAILAND) LTD.</t>
        </is>
      </c>
      <c r="N745" s="4" t="inlineStr">
        <is>
          <t>SILICONE</t>
        </is>
      </c>
      <c r="O745" s="4" t="inlineStr">
        <is>
          <t>Good , Clean, No smell container are requested.</t>
        </is>
      </c>
      <c r="P745" s="4" t="inlineStr">
        <is>
          <t>Pickup : 2026-10-01, Return : 2026-10-02</t>
        </is>
      </c>
      <c r="Q745" s="4" t="n">
        <v>2</v>
      </c>
      <c r="R745" s="4" t="n">
        <v>0</v>
      </c>
      <c r="S745" s="4" t="n">
        <v>0</v>
      </c>
      <c r="T745" s="4" t="n">
        <v>0</v>
      </c>
      <c r="U745" s="4" t="n">
        <v>0</v>
      </c>
      <c r="V745" s="4" t="n">
        <v>0</v>
      </c>
      <c r="W745" s="4" t="n">
        <v>0</v>
      </c>
      <c r="X745" s="4" t="n">
        <v>0</v>
      </c>
      <c r="Y745" s="4" t="n">
        <v>0</v>
      </c>
      <c r="Z745" s="4" t="n">
        <v>0</v>
      </c>
      <c r="AA745" s="4" t="n">
        <v>0</v>
      </c>
      <c r="AB745" s="4">
        <f>SUM(Q745:Y745)-Z745</f>
        <v/>
      </c>
      <c r="AC745" s="4">
        <f>IF(I745="","",IF(OR(LEFT(I745,3)="BKK",I745="LCH55"),"BKK",IF(LEFT(I745,3)="LCH","LCH","OTHER")))</f>
        <v/>
      </c>
      <c r="AD745" s="4">
        <f>MAX(0,Q745-MAX(0,Z745))</f>
        <v/>
      </c>
      <c r="AE745" s="4">
        <f>MAX(0,R745-MAX(0,Z745-SUM(Q745:Q745)))</f>
        <v/>
      </c>
      <c r="AF745" s="4">
        <f>MAX(0,S745-MAX(0,Z745-SUM(Q745:R745)))</f>
        <v/>
      </c>
      <c r="AG745" s="4">
        <f>MAX(0,T745-MAX(0,Z745-SUM(Q745:S745)))</f>
        <v/>
      </c>
      <c r="AH745" s="4">
        <f>MAX(0,U745-MAX(0,Z745-SUM(Q745:T745)))</f>
        <v/>
      </c>
      <c r="AI745" s="4">
        <f>MAX(0,V745-MAX(0,Z745-SUM(Q745:U745)))</f>
        <v/>
      </c>
      <c r="AJ745" s="4">
        <f>MAX(0,W745-MAX(0,Z745-SUM(Q745:V745)))</f>
        <v/>
      </c>
      <c r="AK745" s="4">
        <f>MAX(0,X745-MAX(0,Z745-SUM(Q745:W745)))</f>
        <v/>
      </c>
      <c r="AL745" s="4">
        <f>MAX(0,Y745-MAX(0,Z745-SUM(Q745:X745)))</f>
        <v/>
      </c>
    </row>
    <row r="746">
      <c r="A746" s="4" t="inlineStr">
        <is>
          <t>HASLS22260901911</t>
        </is>
      </c>
      <c r="B746" s="4" t="inlineStr">
        <is>
          <t>SWRG</t>
        </is>
      </c>
      <c r="C746" s="4" t="inlineStr">
        <is>
          <t>2609N</t>
        </is>
      </c>
      <c r="D746" s="4" t="inlineStr">
        <is>
          <t>202610131130</t>
        </is>
      </c>
      <c r="E746" s="4" t="inlineStr"/>
      <c r="F746" s="4" t="inlineStr">
        <is>
          <t>THLCH</t>
        </is>
      </c>
      <c r="G746" s="4" t="inlineStr">
        <is>
          <t>CNSHA</t>
        </is>
      </c>
      <c r="H746" s="4" t="inlineStr">
        <is>
          <t xml:space="preserve">20'x2 </t>
        </is>
      </c>
      <c r="I746" s="4" t="inlineStr">
        <is>
          <t>LCHY5</t>
        </is>
      </c>
      <c r="J746" s="4" t="inlineStr">
        <is>
          <t>PW DEPOT CO., LTD.</t>
        </is>
      </c>
      <c r="K746" s="4" t="inlineStr">
        <is>
          <t>20261005</t>
        </is>
      </c>
      <c r="L746" s="4" t="inlineStr">
        <is>
          <t>MITSUBISHI LOGISTICS (THAILAND) CO., LTD.</t>
        </is>
      </c>
      <c r="M746" s="4" t="inlineStr">
        <is>
          <t>SHIN-ETSU SILICONES (THAILAND) LTD.</t>
        </is>
      </c>
      <c r="N746" s="4" t="inlineStr">
        <is>
          <t>SILICONE</t>
        </is>
      </c>
      <c r="O746" s="4" t="inlineStr">
        <is>
          <t>Good , Clean, No smell container are requested.</t>
        </is>
      </c>
      <c r="P746" s="4" t="inlineStr">
        <is>
          <t>Pickup : 2026-10-05, Return : 2026-10-06</t>
        </is>
      </c>
      <c r="Q746" s="4" t="n">
        <v>2</v>
      </c>
      <c r="R746" s="4" t="n">
        <v>0</v>
      </c>
      <c r="S746" s="4" t="n">
        <v>0</v>
      </c>
      <c r="T746" s="4" t="n">
        <v>0</v>
      </c>
      <c r="U746" s="4" t="n">
        <v>0</v>
      </c>
      <c r="V746" s="4" t="n">
        <v>0</v>
      </c>
      <c r="W746" s="4" t="n">
        <v>0</v>
      </c>
      <c r="X746" s="4" t="n">
        <v>0</v>
      </c>
      <c r="Y746" s="4" t="n">
        <v>0</v>
      </c>
      <c r="Z746" s="4" t="n">
        <v>0</v>
      </c>
      <c r="AA746" s="4" t="n">
        <v>0</v>
      </c>
      <c r="AB746" s="4">
        <f>SUM(Q746:Y746)-Z746</f>
        <v/>
      </c>
      <c r="AC746" s="4">
        <f>IF(I746="","",IF(OR(LEFT(I746,3)="BKK",I746="LCH55"),"BKK",IF(LEFT(I746,3)="LCH","LCH","OTHER")))</f>
        <v/>
      </c>
      <c r="AD746" s="4">
        <f>MAX(0,Q746-MAX(0,Z746))</f>
        <v/>
      </c>
      <c r="AE746" s="4">
        <f>MAX(0,R746-MAX(0,Z746-SUM(Q746:Q746)))</f>
        <v/>
      </c>
      <c r="AF746" s="4">
        <f>MAX(0,S746-MAX(0,Z746-SUM(Q746:R746)))</f>
        <v/>
      </c>
      <c r="AG746" s="4">
        <f>MAX(0,T746-MAX(0,Z746-SUM(Q746:S746)))</f>
        <v/>
      </c>
      <c r="AH746" s="4">
        <f>MAX(0,U746-MAX(0,Z746-SUM(Q746:T746)))</f>
        <v/>
      </c>
      <c r="AI746" s="4">
        <f>MAX(0,V746-MAX(0,Z746-SUM(Q746:U746)))</f>
        <v/>
      </c>
      <c r="AJ746" s="4">
        <f>MAX(0,W746-MAX(0,Z746-SUM(Q746:V746)))</f>
        <v/>
      </c>
      <c r="AK746" s="4">
        <f>MAX(0,X746-MAX(0,Z746-SUM(Q746:W746)))</f>
        <v/>
      </c>
      <c r="AL746" s="4">
        <f>MAX(0,Y746-MAX(0,Z746-SUM(Q746:X746)))</f>
        <v/>
      </c>
    </row>
    <row r="747">
      <c r="A747" s="4" t="inlineStr">
        <is>
          <t>HASLS22260901913</t>
        </is>
      </c>
      <c r="B747" s="4" t="inlineStr">
        <is>
          <t>SWRG</t>
        </is>
      </c>
      <c r="C747" s="4" t="inlineStr">
        <is>
          <t>2609N</t>
        </is>
      </c>
      <c r="D747" s="4" t="inlineStr">
        <is>
          <t>202610131130</t>
        </is>
      </c>
      <c r="E747" s="4" t="inlineStr"/>
      <c r="F747" s="4" t="inlineStr">
        <is>
          <t>THLCH</t>
        </is>
      </c>
      <c r="G747" s="4" t="inlineStr">
        <is>
          <t>CNSHA</t>
        </is>
      </c>
      <c r="H747" s="4" t="inlineStr">
        <is>
          <t xml:space="preserve">20'x1 </t>
        </is>
      </c>
      <c r="I747" s="4" t="inlineStr">
        <is>
          <t>LCHY5</t>
        </is>
      </c>
      <c r="J747" s="4" t="inlineStr">
        <is>
          <t>PW DEPOT CO., LTD.</t>
        </is>
      </c>
      <c r="K747" s="4" t="inlineStr">
        <is>
          <t>20261005</t>
        </is>
      </c>
      <c r="L747" s="4" t="inlineStr">
        <is>
          <t>MITSUBISHI LOGISTICS (THAILAND) CO., LTD.</t>
        </is>
      </c>
      <c r="M747" s="4" t="inlineStr">
        <is>
          <t>SHIN-ETSU SILICONES (THAILAND) LTD.</t>
        </is>
      </c>
      <c r="N747" s="4" t="inlineStr">
        <is>
          <t>SILICONE</t>
        </is>
      </c>
      <c r="O747" s="4" t="inlineStr">
        <is>
          <t>Good , Clean, No smell container are requested.</t>
        </is>
      </c>
      <c r="P747" s="4" t="inlineStr">
        <is>
          <t>Pickup : 2026-10-05, Return : 2026-10-06</t>
        </is>
      </c>
      <c r="Q747" s="4" t="n">
        <v>1</v>
      </c>
      <c r="R747" s="4" t="n">
        <v>0</v>
      </c>
      <c r="S747" s="4" t="n">
        <v>0</v>
      </c>
      <c r="T747" s="4" t="n">
        <v>0</v>
      </c>
      <c r="U747" s="4" t="n">
        <v>0</v>
      </c>
      <c r="V747" s="4" t="n">
        <v>0</v>
      </c>
      <c r="W747" s="4" t="n">
        <v>0</v>
      </c>
      <c r="X747" s="4" t="n">
        <v>0</v>
      </c>
      <c r="Y747" s="4" t="n">
        <v>0</v>
      </c>
      <c r="Z747" s="4" t="n">
        <v>0</v>
      </c>
      <c r="AA747" s="4" t="n">
        <v>0</v>
      </c>
      <c r="AB747" s="4">
        <f>SUM(Q747:Y747)-Z747</f>
        <v/>
      </c>
      <c r="AC747" s="4">
        <f>IF(I747="","",IF(OR(LEFT(I747,3)="BKK",I747="LCH55"),"BKK",IF(LEFT(I747,3)="LCH","LCH","OTHER")))</f>
        <v/>
      </c>
      <c r="AD747" s="4">
        <f>MAX(0,Q747-MAX(0,Z747))</f>
        <v/>
      </c>
      <c r="AE747" s="4">
        <f>MAX(0,R747-MAX(0,Z747-SUM(Q747:Q747)))</f>
        <v/>
      </c>
      <c r="AF747" s="4">
        <f>MAX(0,S747-MAX(0,Z747-SUM(Q747:R747)))</f>
        <v/>
      </c>
      <c r="AG747" s="4">
        <f>MAX(0,T747-MAX(0,Z747-SUM(Q747:S747)))</f>
        <v/>
      </c>
      <c r="AH747" s="4">
        <f>MAX(0,U747-MAX(0,Z747-SUM(Q747:T747)))</f>
        <v/>
      </c>
      <c r="AI747" s="4">
        <f>MAX(0,V747-MAX(0,Z747-SUM(Q747:U747)))</f>
        <v/>
      </c>
      <c r="AJ747" s="4">
        <f>MAX(0,W747-MAX(0,Z747-SUM(Q747:V747)))</f>
        <v/>
      </c>
      <c r="AK747" s="4">
        <f>MAX(0,X747-MAX(0,Z747-SUM(Q747:W747)))</f>
        <v/>
      </c>
      <c r="AL747" s="4">
        <f>MAX(0,Y747-MAX(0,Z747-SUM(Q747:X747)))</f>
        <v/>
      </c>
    </row>
    <row r="748">
      <c r="A748" s="4" t="inlineStr">
        <is>
          <t>HASLS22260901970</t>
        </is>
      </c>
      <c r="B748" s="4" t="inlineStr">
        <is>
          <t>SWVG</t>
        </is>
      </c>
      <c r="C748" s="4" t="inlineStr">
        <is>
          <t>2612N</t>
        </is>
      </c>
      <c r="D748" s="4" t="inlineStr">
        <is>
          <t>202610070330</t>
        </is>
      </c>
      <c r="E748" s="4" t="inlineStr"/>
      <c r="F748" s="4" t="inlineStr">
        <is>
          <t>THLCH</t>
        </is>
      </c>
      <c r="G748" s="4" t="inlineStr">
        <is>
          <t>CNSHA</t>
        </is>
      </c>
      <c r="H748" s="4" t="inlineStr">
        <is>
          <t xml:space="preserve">40Hx2 </t>
        </is>
      </c>
      <c r="I748" s="4" t="inlineStr">
        <is>
          <t>LCHY5</t>
        </is>
      </c>
      <c r="J748" s="4" t="inlineStr">
        <is>
          <t>PW DEPOT CO., LTD.</t>
        </is>
      </c>
      <c r="K748" s="4" t="inlineStr">
        <is>
          <t>20261003</t>
        </is>
      </c>
      <c r="L748" s="4" t="inlineStr">
        <is>
          <t>OASIS LOGISTICS CO., LTD.</t>
        </is>
      </c>
      <c r="M748" s="4" t="inlineStr">
        <is>
          <t>LAEMTHONG FURNITURE CO.,LTD.</t>
        </is>
      </c>
      <c r="N748" s="4" t="inlineStr">
        <is>
          <t>PRADAUK WOOD LOGS</t>
        </is>
      </c>
      <c r="O748" s="4" t="inlineStr">
        <is>
          <t>UPGRAED CNTR 32.5 TONS</t>
        </is>
      </c>
      <c r="P748" s="4" t="inlineStr">
        <is>
          <t xml:space="preserve">Pickup : 2026-10-03, Return : 2026-10-04 
 </t>
        </is>
      </c>
      <c r="Q748" s="4" t="n">
        <v>0</v>
      </c>
      <c r="R748" s="4" t="n">
        <v>0</v>
      </c>
      <c r="S748" s="4" t="n">
        <v>2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>
        <f>SUM(Q748:Y748)-Z748</f>
        <v/>
      </c>
      <c r="AC748" s="4">
        <f>IF(I748="","",IF(OR(LEFT(I748,3)="BKK",I748="LCH55"),"BKK",IF(LEFT(I748,3)="LCH","LCH","OTHER")))</f>
        <v/>
      </c>
      <c r="AD748" s="4">
        <f>MAX(0,Q748-MAX(0,Z748))</f>
        <v/>
      </c>
      <c r="AE748" s="4">
        <f>MAX(0,R748-MAX(0,Z748-SUM(Q748:Q748)))</f>
        <v/>
      </c>
      <c r="AF748" s="4">
        <f>MAX(0,S748-MAX(0,Z748-SUM(Q748:R748)))</f>
        <v/>
      </c>
      <c r="AG748" s="4">
        <f>MAX(0,T748-MAX(0,Z748-SUM(Q748:S748)))</f>
        <v/>
      </c>
      <c r="AH748" s="4">
        <f>MAX(0,U748-MAX(0,Z748-SUM(Q748:T748)))</f>
        <v/>
      </c>
      <c r="AI748" s="4">
        <f>MAX(0,V748-MAX(0,Z748-SUM(Q748:U748)))</f>
        <v/>
      </c>
      <c r="AJ748" s="4">
        <f>MAX(0,W748-MAX(0,Z748-SUM(Q748:V748)))</f>
        <v/>
      </c>
      <c r="AK748" s="4">
        <f>MAX(0,X748-MAX(0,Z748-SUM(Q748:W748)))</f>
        <v/>
      </c>
      <c r="AL748" s="4">
        <f>MAX(0,Y748-MAX(0,Z748-SUM(Q748:X748)))</f>
        <v/>
      </c>
    </row>
    <row r="749">
      <c r="A749" s="4" t="inlineStr">
        <is>
          <t>HASLS22260901975</t>
        </is>
      </c>
      <c r="B749" s="4" t="inlineStr">
        <is>
          <t>PCCP</t>
        </is>
      </c>
      <c r="C749" s="4" t="inlineStr">
        <is>
          <t>2610N</t>
        </is>
      </c>
      <c r="D749" s="4" t="inlineStr">
        <is>
          <t>202610120600</t>
        </is>
      </c>
      <c r="E749" s="4" t="inlineStr"/>
      <c r="F749" s="4" t="inlineStr">
        <is>
          <t>THLCH</t>
        </is>
      </c>
      <c r="G749" s="4" t="inlineStr">
        <is>
          <t>VNSGN</t>
        </is>
      </c>
      <c r="H749" s="4" t="inlineStr">
        <is>
          <t xml:space="preserve">20'x12 </t>
        </is>
      </c>
      <c r="I749" s="4" t="inlineStr">
        <is>
          <t>LCHY5</t>
        </is>
      </c>
      <c r="J749" s="4" t="inlineStr">
        <is>
          <t>PW DEPOT CO., LTD.</t>
        </is>
      </c>
      <c r="K749" s="4" t="inlineStr">
        <is>
          <t>20261008</t>
        </is>
      </c>
      <c r="L749" s="4" t="inlineStr">
        <is>
          <t>EVERGREEN LOGISTICS (THAILAND) CO., LTD.</t>
        </is>
      </c>
      <c r="M749" s="4" t="inlineStr">
        <is>
          <t>T.C.PHARMACEUTICAL INDUSTRIES CO., LTD.</t>
        </is>
      </c>
      <c r="N749" s="4" t="inlineStr">
        <is>
          <t>ENERGY DRINK</t>
        </is>
      </c>
      <c r="O749" s="4" t="inlineStr">
        <is>
          <t>RQST GOOD CLEAN &amp; DRY CONT.</t>
        </is>
      </c>
      <c r="P749" s="4" t="inlineStr">
        <is>
          <t xml:space="preserve">Pickup : 2026-10-08, Return : 2026-10-09 // CLS TIME 09/10 @23.59 
 </t>
        </is>
      </c>
      <c r="Q749" s="4" t="n">
        <v>12</v>
      </c>
      <c r="R749" s="4" t="n">
        <v>0</v>
      </c>
      <c r="S749" s="4" t="n">
        <v>0</v>
      </c>
      <c r="T749" s="4" t="n">
        <v>0</v>
      </c>
      <c r="U749" s="4" t="n">
        <v>0</v>
      </c>
      <c r="V749" s="4" t="n">
        <v>0</v>
      </c>
      <c r="W749" s="4" t="n">
        <v>0</v>
      </c>
      <c r="X749" s="4" t="n">
        <v>0</v>
      </c>
      <c r="Y749" s="4" t="n">
        <v>0</v>
      </c>
      <c r="Z749" s="4" t="n">
        <v>0</v>
      </c>
      <c r="AA749" s="4" t="n">
        <v>0</v>
      </c>
      <c r="AB749" s="4">
        <f>SUM(Q749:Y749)-Z749</f>
        <v/>
      </c>
      <c r="AC749" s="4">
        <f>IF(I749="","",IF(OR(LEFT(I749,3)="BKK",I749="LCH55"),"BKK",IF(LEFT(I749,3)="LCH","LCH","OTHER")))</f>
        <v/>
      </c>
      <c r="AD749" s="4">
        <f>MAX(0,Q749-MAX(0,Z749))</f>
        <v/>
      </c>
      <c r="AE749" s="4">
        <f>MAX(0,R749-MAX(0,Z749-SUM(Q749:Q749)))</f>
        <v/>
      </c>
      <c r="AF749" s="4">
        <f>MAX(0,S749-MAX(0,Z749-SUM(Q749:R749)))</f>
        <v/>
      </c>
      <c r="AG749" s="4">
        <f>MAX(0,T749-MAX(0,Z749-SUM(Q749:S749)))</f>
        <v/>
      </c>
      <c r="AH749" s="4">
        <f>MAX(0,U749-MAX(0,Z749-SUM(Q749:T749)))</f>
        <v/>
      </c>
      <c r="AI749" s="4">
        <f>MAX(0,V749-MAX(0,Z749-SUM(Q749:U749)))</f>
        <v/>
      </c>
      <c r="AJ749" s="4">
        <f>MAX(0,W749-MAX(0,Z749-SUM(Q749:V749)))</f>
        <v/>
      </c>
      <c r="AK749" s="4">
        <f>MAX(0,X749-MAX(0,Z749-SUM(Q749:W749)))</f>
        <v/>
      </c>
      <c r="AL749" s="4">
        <f>MAX(0,Y749-MAX(0,Z749-SUM(Q749:X749)))</f>
        <v/>
      </c>
    </row>
    <row r="750">
      <c r="A750" s="4" t="inlineStr">
        <is>
          <t>HASLS22260901977</t>
        </is>
      </c>
      <c r="B750" s="4" t="inlineStr">
        <is>
          <t>PCCP</t>
        </is>
      </c>
      <c r="C750" s="4" t="inlineStr">
        <is>
          <t>2610N</t>
        </is>
      </c>
      <c r="D750" s="4" t="inlineStr">
        <is>
          <t>202610120600</t>
        </is>
      </c>
      <c r="E750" s="4" t="inlineStr"/>
      <c r="F750" s="4" t="inlineStr">
        <is>
          <t>THLCH</t>
        </is>
      </c>
      <c r="G750" s="4" t="inlineStr">
        <is>
          <t>VNSGN</t>
        </is>
      </c>
      <c r="H750" s="4" t="inlineStr">
        <is>
          <t xml:space="preserve">20'x2 </t>
        </is>
      </c>
      <c r="I750" s="4" t="inlineStr">
        <is>
          <t>LCHY5</t>
        </is>
      </c>
      <c r="J750" s="4" t="inlineStr">
        <is>
          <t>PW DEPOT CO., LTD.</t>
        </is>
      </c>
      <c r="K750" s="4" t="inlineStr">
        <is>
          <t>20261008</t>
        </is>
      </c>
      <c r="L750" s="4" t="inlineStr">
        <is>
          <t>EVERGREEN LOGISTICS (THAILAND) CO., LTD.</t>
        </is>
      </c>
      <c r="M750" s="4" t="inlineStr">
        <is>
          <t>T.C.PHARMACEUTICAL INDUSTRIES CO., LTD.</t>
        </is>
      </c>
      <c r="N750" s="4" t="inlineStr">
        <is>
          <t>ENERGY DRINK</t>
        </is>
      </c>
      <c r="O750" s="4" t="inlineStr">
        <is>
          <t>GOOD AND CLEAN CONTAINER</t>
        </is>
      </c>
      <c r="P750" s="4" t="inlineStr">
        <is>
          <t xml:space="preserve">Pickup : 2026-10-08, Return : 2026-10-09 *EXTEND CLS TIME : 09/10/2026 @23.59* 
** PLEASE CHECK OPEN GATE BEFORE RETURN CONTAINER ** </t>
        </is>
      </c>
      <c r="Q750" s="4" t="n">
        <v>2</v>
      </c>
      <c r="R750" s="4" t="n">
        <v>0</v>
      </c>
      <c r="S750" s="4" t="n">
        <v>0</v>
      </c>
      <c r="T750" s="4" t="n">
        <v>0</v>
      </c>
      <c r="U750" s="4" t="n">
        <v>0</v>
      </c>
      <c r="V750" s="4" t="n">
        <v>0</v>
      </c>
      <c r="W750" s="4" t="n">
        <v>0</v>
      </c>
      <c r="X750" s="4" t="n">
        <v>0</v>
      </c>
      <c r="Y750" s="4" t="n">
        <v>0</v>
      </c>
      <c r="Z750" s="4" t="n">
        <v>0</v>
      </c>
      <c r="AA750" s="4" t="n">
        <v>0</v>
      </c>
      <c r="AB750" s="4">
        <f>SUM(Q750:Y750)-Z750</f>
        <v/>
      </c>
      <c r="AC750" s="4">
        <f>IF(I750="","",IF(OR(LEFT(I750,3)="BKK",I750="LCH55"),"BKK",IF(LEFT(I750,3)="LCH","LCH","OTHER")))</f>
        <v/>
      </c>
      <c r="AD750" s="4">
        <f>MAX(0,Q750-MAX(0,Z750))</f>
        <v/>
      </c>
      <c r="AE750" s="4">
        <f>MAX(0,R750-MAX(0,Z750-SUM(Q750:Q750)))</f>
        <v/>
      </c>
      <c r="AF750" s="4">
        <f>MAX(0,S750-MAX(0,Z750-SUM(Q750:R750)))</f>
        <v/>
      </c>
      <c r="AG750" s="4">
        <f>MAX(0,T750-MAX(0,Z750-SUM(Q750:S750)))</f>
        <v/>
      </c>
      <c r="AH750" s="4">
        <f>MAX(0,U750-MAX(0,Z750-SUM(Q750:T750)))</f>
        <v/>
      </c>
      <c r="AI750" s="4">
        <f>MAX(0,V750-MAX(0,Z750-SUM(Q750:U750)))</f>
        <v/>
      </c>
      <c r="AJ750" s="4">
        <f>MAX(0,W750-MAX(0,Z750-SUM(Q750:V750)))</f>
        <v/>
      </c>
      <c r="AK750" s="4">
        <f>MAX(0,X750-MAX(0,Z750-SUM(Q750:W750)))</f>
        <v/>
      </c>
      <c r="AL750" s="4">
        <f>MAX(0,Y750-MAX(0,Z750-SUM(Q750:X750)))</f>
        <v/>
      </c>
    </row>
    <row r="751">
      <c r="A751" s="4" t="inlineStr">
        <is>
          <t>HASLS22260901981</t>
        </is>
      </c>
      <c r="B751" s="4" t="inlineStr">
        <is>
          <t>SWRG</t>
        </is>
      </c>
      <c r="C751" s="4" t="inlineStr">
        <is>
          <t>2609N</t>
        </is>
      </c>
      <c r="D751" s="4" t="inlineStr">
        <is>
          <t>202610131130</t>
        </is>
      </c>
      <c r="E751" s="4" t="inlineStr"/>
      <c r="F751" s="4" t="inlineStr">
        <is>
          <t>THLCH</t>
        </is>
      </c>
      <c r="G751" s="4" t="inlineStr">
        <is>
          <t>KRKAN</t>
        </is>
      </c>
      <c r="H751" s="4" t="inlineStr">
        <is>
          <t xml:space="preserve">40Hx1 </t>
        </is>
      </c>
      <c r="I751" s="4" t="inlineStr">
        <is>
          <t>LCHY5</t>
        </is>
      </c>
      <c r="J751" s="4" t="inlineStr">
        <is>
          <t>PW DEPOT CO., LTD.</t>
        </is>
      </c>
      <c r="K751" s="4" t="inlineStr">
        <is>
          <t>20261006</t>
        </is>
      </c>
      <c r="L751" s="4" t="inlineStr">
        <is>
          <t>EASTERN AIR LOGISTICS CO., LTD.</t>
        </is>
      </c>
      <c r="M751" s="4" t="inlineStr">
        <is>
          <t>THAI YOOWON ELECTRONICS CO., LTD.</t>
        </is>
      </c>
      <c r="N751" s="4" t="inlineStr">
        <is>
          <t>EVAPORATOR</t>
        </is>
      </c>
      <c r="O751" s="4" t="inlineStr">
        <is>
          <t>GOOD AND CLEAN CONTAINER</t>
        </is>
      </c>
      <c r="P751" s="4" t="inlineStr">
        <is>
          <t>Pickup : 2026-10-06, Return : 2026-10-06</t>
        </is>
      </c>
      <c r="Q751" s="4" t="n">
        <v>0</v>
      </c>
      <c r="R751" s="4" t="n">
        <v>0</v>
      </c>
      <c r="S751" s="4" t="n">
        <v>1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>
        <f>SUM(Q751:Y751)-Z751</f>
        <v/>
      </c>
      <c r="AC751" s="4">
        <f>IF(I751="","",IF(OR(LEFT(I751,3)="BKK",I751="LCH55"),"BKK",IF(LEFT(I751,3)="LCH","LCH","OTHER")))</f>
        <v/>
      </c>
      <c r="AD751" s="4">
        <f>MAX(0,Q751-MAX(0,Z751))</f>
        <v/>
      </c>
      <c r="AE751" s="4">
        <f>MAX(0,R751-MAX(0,Z751-SUM(Q751:Q751)))</f>
        <v/>
      </c>
      <c r="AF751" s="4">
        <f>MAX(0,S751-MAX(0,Z751-SUM(Q751:R751)))</f>
        <v/>
      </c>
      <c r="AG751" s="4">
        <f>MAX(0,T751-MAX(0,Z751-SUM(Q751:S751)))</f>
        <v/>
      </c>
      <c r="AH751" s="4">
        <f>MAX(0,U751-MAX(0,Z751-SUM(Q751:T751)))</f>
        <v/>
      </c>
      <c r="AI751" s="4">
        <f>MAX(0,V751-MAX(0,Z751-SUM(Q751:U751)))</f>
        <v/>
      </c>
      <c r="AJ751" s="4">
        <f>MAX(0,W751-MAX(0,Z751-SUM(Q751:V751)))</f>
        <v/>
      </c>
      <c r="AK751" s="4">
        <f>MAX(0,X751-MAX(0,Z751-SUM(Q751:W751)))</f>
        <v/>
      </c>
      <c r="AL751" s="4">
        <f>MAX(0,Y751-MAX(0,Z751-SUM(Q751:X751)))</f>
        <v/>
      </c>
    </row>
    <row r="752">
      <c r="A752" s="4" t="inlineStr">
        <is>
          <t>HASLS22260901983</t>
        </is>
      </c>
      <c r="B752" s="4" t="inlineStr">
        <is>
          <t>PGPO</t>
        </is>
      </c>
      <c r="C752" s="4" t="inlineStr">
        <is>
          <t>2612N</t>
        </is>
      </c>
      <c r="D752" s="4" t="inlineStr">
        <is>
          <t>202610151200</t>
        </is>
      </c>
      <c r="E752" s="4" t="inlineStr"/>
      <c r="F752" s="4" t="inlineStr">
        <is>
          <t>THLCH</t>
        </is>
      </c>
      <c r="G752" s="4" t="inlineStr">
        <is>
          <t>KRKAN</t>
        </is>
      </c>
      <c r="H752" s="4" t="inlineStr">
        <is>
          <t xml:space="preserve">40Hx2 </t>
        </is>
      </c>
      <c r="I752" s="4" t="inlineStr">
        <is>
          <t>LCHY5</t>
        </is>
      </c>
      <c r="J752" s="4" t="inlineStr">
        <is>
          <t>PW DEPOT CO., LTD.</t>
        </is>
      </c>
      <c r="K752" s="4" t="inlineStr">
        <is>
          <t>20261009</t>
        </is>
      </c>
      <c r="L752" s="4" t="inlineStr">
        <is>
          <t>EASTERN AIR LOGISTICS CO., LTD.</t>
        </is>
      </c>
      <c r="M752" s="4" t="inlineStr">
        <is>
          <t>THAI YOOWON ELECTRONICS CO., LTD.</t>
        </is>
      </c>
      <c r="N752" s="4" t="inlineStr">
        <is>
          <t>EVAPORATOR</t>
        </is>
      </c>
      <c r="O752" s="4" t="inlineStr">
        <is>
          <t>GOOD AND CLEAN CONTAINER</t>
        </is>
      </c>
      <c r="P752" s="4" t="inlineStr">
        <is>
          <t>Pickup : 2026-10-09, Return : 2026-10-09 [1ST RTN 10/10/2026 W/O RENT]
** PLEASE CHECK OPEN GATE BEFORE RETURN CONTAINER **</t>
        </is>
      </c>
      <c r="Q752" s="4" t="n">
        <v>0</v>
      </c>
      <c r="R752" s="4" t="n">
        <v>0</v>
      </c>
      <c r="S752" s="4" t="n">
        <v>2</v>
      </c>
      <c r="T752" s="4" t="n">
        <v>0</v>
      </c>
      <c r="U752" s="4" t="n">
        <v>0</v>
      </c>
      <c r="V752" s="4" t="n">
        <v>0</v>
      </c>
      <c r="W752" s="4" t="n">
        <v>0</v>
      </c>
      <c r="X752" s="4" t="n">
        <v>0</v>
      </c>
      <c r="Y752" s="4" t="n">
        <v>0</v>
      </c>
      <c r="Z752" s="4" t="n">
        <v>0</v>
      </c>
      <c r="AA752" s="4" t="n">
        <v>0</v>
      </c>
      <c r="AB752" s="4">
        <f>SUM(Q752:Y752)-Z752</f>
        <v/>
      </c>
      <c r="AC752" s="4">
        <f>IF(I752="","",IF(OR(LEFT(I752,3)="BKK",I752="LCH55"),"BKK",IF(LEFT(I752,3)="LCH","LCH","OTHER")))</f>
        <v/>
      </c>
      <c r="AD752" s="4">
        <f>MAX(0,Q752-MAX(0,Z752))</f>
        <v/>
      </c>
      <c r="AE752" s="4">
        <f>MAX(0,R752-MAX(0,Z752-SUM(Q752:Q752)))</f>
        <v/>
      </c>
      <c r="AF752" s="4">
        <f>MAX(0,S752-MAX(0,Z752-SUM(Q752:R752)))</f>
        <v/>
      </c>
      <c r="AG752" s="4">
        <f>MAX(0,T752-MAX(0,Z752-SUM(Q752:S752)))</f>
        <v/>
      </c>
      <c r="AH752" s="4">
        <f>MAX(0,U752-MAX(0,Z752-SUM(Q752:T752)))</f>
        <v/>
      </c>
      <c r="AI752" s="4">
        <f>MAX(0,V752-MAX(0,Z752-SUM(Q752:U752)))</f>
        <v/>
      </c>
      <c r="AJ752" s="4">
        <f>MAX(0,W752-MAX(0,Z752-SUM(Q752:V752)))</f>
        <v/>
      </c>
      <c r="AK752" s="4">
        <f>MAX(0,X752-MAX(0,Z752-SUM(Q752:W752)))</f>
        <v/>
      </c>
      <c r="AL752" s="4">
        <f>MAX(0,Y752-MAX(0,Z752-SUM(Q752:X752)))</f>
        <v/>
      </c>
    </row>
    <row r="753">
      <c r="A753" s="4" t="inlineStr">
        <is>
          <t>HASLS22260901987</t>
        </is>
      </c>
      <c r="B753" s="4" t="inlineStr">
        <is>
          <t>KMBK</t>
        </is>
      </c>
      <c r="C753" s="4" t="inlineStr">
        <is>
          <t>2611N</t>
        </is>
      </c>
      <c r="D753" s="4" t="inlineStr">
        <is>
          <t>202610040100</t>
        </is>
      </c>
      <c r="E753" s="4" t="inlineStr"/>
      <c r="F753" s="4" t="inlineStr">
        <is>
          <t>THLCH</t>
        </is>
      </c>
      <c r="G753" s="4" t="inlineStr">
        <is>
          <t>VNSGN</t>
        </is>
      </c>
      <c r="H753" s="4" t="inlineStr">
        <is>
          <t xml:space="preserve">20'x6 </t>
        </is>
      </c>
      <c r="I753" s="4" t="inlineStr">
        <is>
          <t>LCHY5</t>
        </is>
      </c>
      <c r="J753" s="4" t="inlineStr">
        <is>
          <t>PW DEPOT CO., LTD.</t>
        </is>
      </c>
      <c r="K753" s="4" t="inlineStr">
        <is>
          <t>20260928</t>
        </is>
      </c>
      <c r="L753" s="4" t="inlineStr">
        <is>
          <t>FAIR AND FAST COMPANY LIMITED</t>
        </is>
      </c>
      <c r="M753" s="4" t="inlineStr">
        <is>
          <t>PACIFIC SUGAR CORPORATION LIMITED</t>
        </is>
      </c>
      <c r="N753" s="4" t="inlineStr">
        <is>
          <t>Sugar</t>
        </is>
      </c>
      <c r="O753" s="4" t="inlineStr">
        <is>
          <t>REQUEST GOOD AND CLEAN CONTAINER FOR FOOD</t>
        </is>
      </c>
      <c r="P753" s="4" t="inlineStr">
        <is>
          <t>Pickup : 2026-09-28, Return : 2026-09-29 (1ST RTN DD: 30/09/26 WO/RENT)
**CHECK OPENGATE BEFORE RETURN CNTR**</t>
        </is>
      </c>
      <c r="Q753" s="4" t="n">
        <v>6</v>
      </c>
      <c r="R753" s="4" t="n">
        <v>0</v>
      </c>
      <c r="S753" s="4" t="n">
        <v>0</v>
      </c>
      <c r="T753" s="4" t="n">
        <v>0</v>
      </c>
      <c r="U753" s="4" t="n">
        <v>0</v>
      </c>
      <c r="V753" s="4" t="n">
        <v>0</v>
      </c>
      <c r="W753" s="4" t="n">
        <v>0</v>
      </c>
      <c r="X753" s="4" t="n">
        <v>0</v>
      </c>
      <c r="Y753" s="4" t="n">
        <v>0</v>
      </c>
      <c r="Z753" s="4" t="n">
        <v>0</v>
      </c>
      <c r="AA753" s="4" t="n">
        <v>0</v>
      </c>
      <c r="AB753" s="4">
        <f>SUM(Q753:Y753)-Z753</f>
        <v/>
      </c>
      <c r="AC753" s="4">
        <f>IF(I753="","",IF(OR(LEFT(I753,3)="BKK",I753="LCH55"),"BKK",IF(LEFT(I753,3)="LCH","LCH","OTHER")))</f>
        <v/>
      </c>
      <c r="AD753" s="4">
        <f>MAX(0,Q753-MAX(0,Z753))</f>
        <v/>
      </c>
      <c r="AE753" s="4">
        <f>MAX(0,R753-MAX(0,Z753-SUM(Q753:Q753)))</f>
        <v/>
      </c>
      <c r="AF753" s="4">
        <f>MAX(0,S753-MAX(0,Z753-SUM(Q753:R753)))</f>
        <v/>
      </c>
      <c r="AG753" s="4">
        <f>MAX(0,T753-MAX(0,Z753-SUM(Q753:S753)))</f>
        <v/>
      </c>
      <c r="AH753" s="4">
        <f>MAX(0,U753-MAX(0,Z753-SUM(Q753:T753)))</f>
        <v/>
      </c>
      <c r="AI753" s="4">
        <f>MAX(0,V753-MAX(0,Z753-SUM(Q753:U753)))</f>
        <v/>
      </c>
      <c r="AJ753" s="4">
        <f>MAX(0,W753-MAX(0,Z753-SUM(Q753:V753)))</f>
        <v/>
      </c>
      <c r="AK753" s="4">
        <f>MAX(0,X753-MAX(0,Z753-SUM(Q753:W753)))</f>
        <v/>
      </c>
      <c r="AL753" s="4">
        <f>MAX(0,Y753-MAX(0,Z753-SUM(Q753:X753)))</f>
        <v/>
      </c>
    </row>
    <row r="754">
      <c r="A754" s="4" t="inlineStr">
        <is>
          <t>HASLS22260901988</t>
        </is>
      </c>
      <c r="B754" s="4" t="inlineStr">
        <is>
          <t>PGPO</t>
        </is>
      </c>
      <c r="C754" s="4" t="inlineStr">
        <is>
          <t>2612N</t>
        </is>
      </c>
      <c r="D754" s="4" t="inlineStr">
        <is>
          <t>202610151200</t>
        </is>
      </c>
      <c r="E754" s="4" t="inlineStr"/>
      <c r="F754" s="4" t="inlineStr">
        <is>
          <t>THLCH</t>
        </is>
      </c>
      <c r="G754" s="4" t="inlineStr">
        <is>
          <t>KRKAN</t>
        </is>
      </c>
      <c r="H754" s="4" t="inlineStr">
        <is>
          <t xml:space="preserve">40Hx2 </t>
        </is>
      </c>
      <c r="I754" s="4" t="inlineStr">
        <is>
          <t>LCHY5</t>
        </is>
      </c>
      <c r="J754" s="4" t="inlineStr">
        <is>
          <t>PW DEPOT CO., LTD.</t>
        </is>
      </c>
      <c r="K754" s="4" t="inlineStr">
        <is>
          <t>20261012</t>
        </is>
      </c>
      <c r="L754" s="4" t="inlineStr">
        <is>
          <t>EASTERN AIR LOGISTICS CO., LTD.</t>
        </is>
      </c>
      <c r="M754" s="4" t="inlineStr">
        <is>
          <t>THAI YOOWON ELECTRONICS CO., LTD.</t>
        </is>
      </c>
      <c r="N754" s="4" t="inlineStr">
        <is>
          <t>EVAPORATOR</t>
        </is>
      </c>
      <c r="O754" s="4" t="inlineStr">
        <is>
          <t>GOOD AND CLEAN CONTAINER</t>
        </is>
      </c>
      <c r="P754" s="4" t="inlineStr">
        <is>
          <t>Pickup : 2026-10-12, Return : 2026-10-12</t>
        </is>
      </c>
      <c r="Q754" s="4" t="n">
        <v>0</v>
      </c>
      <c r="R754" s="4" t="n">
        <v>0</v>
      </c>
      <c r="S754" s="4" t="n">
        <v>2</v>
      </c>
      <c r="T754" s="4" t="n">
        <v>0</v>
      </c>
      <c r="U754" s="4" t="n">
        <v>0</v>
      </c>
      <c r="V754" s="4" t="n">
        <v>0</v>
      </c>
      <c r="W754" s="4" t="n">
        <v>0</v>
      </c>
      <c r="X754" s="4" t="n">
        <v>0</v>
      </c>
      <c r="Y754" s="4" t="n">
        <v>0</v>
      </c>
      <c r="Z754" s="4" t="n">
        <v>0</v>
      </c>
      <c r="AA754" s="4" t="n">
        <v>0</v>
      </c>
      <c r="AB754" s="4">
        <f>SUM(Q754:Y754)-Z754</f>
        <v/>
      </c>
      <c r="AC754" s="4">
        <f>IF(I754="","",IF(OR(LEFT(I754,3)="BKK",I754="LCH55"),"BKK",IF(LEFT(I754,3)="LCH","LCH","OTHER")))</f>
        <v/>
      </c>
      <c r="AD754" s="4">
        <f>MAX(0,Q754-MAX(0,Z754))</f>
        <v/>
      </c>
      <c r="AE754" s="4">
        <f>MAX(0,R754-MAX(0,Z754-SUM(Q754:Q754)))</f>
        <v/>
      </c>
      <c r="AF754" s="4">
        <f>MAX(0,S754-MAX(0,Z754-SUM(Q754:R754)))</f>
        <v/>
      </c>
      <c r="AG754" s="4">
        <f>MAX(0,T754-MAX(0,Z754-SUM(Q754:S754)))</f>
        <v/>
      </c>
      <c r="AH754" s="4">
        <f>MAX(0,U754-MAX(0,Z754-SUM(Q754:T754)))</f>
        <v/>
      </c>
      <c r="AI754" s="4">
        <f>MAX(0,V754-MAX(0,Z754-SUM(Q754:U754)))</f>
        <v/>
      </c>
      <c r="AJ754" s="4">
        <f>MAX(0,W754-MAX(0,Z754-SUM(Q754:V754)))</f>
        <v/>
      </c>
      <c r="AK754" s="4">
        <f>MAX(0,X754-MAX(0,Z754-SUM(Q754:W754)))</f>
        <v/>
      </c>
      <c r="AL754" s="4">
        <f>MAX(0,Y754-MAX(0,Z754-SUM(Q754:X754)))</f>
        <v/>
      </c>
    </row>
    <row r="755">
      <c r="A755" s="4" t="inlineStr">
        <is>
          <t>HASLS22260901989</t>
        </is>
      </c>
      <c r="B755" s="4" t="inlineStr">
        <is>
          <t>SWAL</t>
        </is>
      </c>
      <c r="C755" s="4" t="inlineStr">
        <is>
          <t>2609N</t>
        </is>
      </c>
      <c r="D755" s="4" t="inlineStr">
        <is>
          <t>202610200800</t>
        </is>
      </c>
      <c r="E755" s="4" t="inlineStr"/>
      <c r="F755" s="4" t="inlineStr">
        <is>
          <t>THLCH</t>
        </is>
      </c>
      <c r="G755" s="4" t="inlineStr">
        <is>
          <t>JPNGO</t>
        </is>
      </c>
      <c r="H755" s="4" t="inlineStr">
        <is>
          <t xml:space="preserve">20'x13 </t>
        </is>
      </c>
      <c r="I755" s="4" t="inlineStr">
        <is>
          <t>LCHY5</t>
        </is>
      </c>
      <c r="J755" s="4" t="inlineStr">
        <is>
          <t>PW DEPOT CO., LTD.</t>
        </is>
      </c>
      <c r="K755" s="4" t="inlineStr">
        <is>
          <t>20260930</t>
        </is>
      </c>
      <c r="L755" s="4" t="inlineStr">
        <is>
          <t>WHA GC LOGISTICS COMPANY LIMITED</t>
        </is>
      </c>
      <c r="M755" s="4" t="inlineStr">
        <is>
          <t>PTT GLOBAL CHEMICAL PUBLIC COMPANY LIMITED</t>
        </is>
      </c>
      <c r="N755" s="4" t="inlineStr">
        <is>
          <t>RESIN</t>
        </is>
      </c>
      <c r="O755" s="4" t="inlineStr">
        <is>
          <t>REQUEST SEA BULK CONTAIER + SURVEY EMPTY BEFORE PICK UP (REQ SURVEY 30/09/2026)</t>
        </is>
      </c>
      <c r="P755" s="4" t="inlineStr">
        <is>
          <t>CY-RTN 08-10/10/26 (PR2610002570)
*PLS CHECK OPEN GATE BEFORE RETURN CTNR*</t>
        </is>
      </c>
      <c r="Q755" s="4" t="n">
        <v>13</v>
      </c>
      <c r="R755" s="4" t="n">
        <v>0</v>
      </c>
      <c r="S755" s="4" t="n">
        <v>0</v>
      </c>
      <c r="T755" s="4" t="n">
        <v>0</v>
      </c>
      <c r="U755" s="4" t="n">
        <v>0</v>
      </c>
      <c r="V755" s="4" t="n">
        <v>0</v>
      </c>
      <c r="W755" s="4" t="n">
        <v>0</v>
      </c>
      <c r="X755" s="4" t="n">
        <v>0</v>
      </c>
      <c r="Y755" s="4" t="n">
        <v>0</v>
      </c>
      <c r="Z755" s="4" t="n">
        <v>0</v>
      </c>
      <c r="AA755" s="4" t="n">
        <v>0</v>
      </c>
      <c r="AB755" s="4">
        <f>SUM(Q755:Y755)-Z755</f>
        <v/>
      </c>
      <c r="AC755" s="4">
        <f>IF(I755="","",IF(OR(LEFT(I755,3)="BKK",I755="LCH55"),"BKK",IF(LEFT(I755,3)="LCH","LCH","OTHER")))</f>
        <v/>
      </c>
      <c r="AD755" s="4">
        <f>MAX(0,Q755-MAX(0,Z755))</f>
        <v/>
      </c>
      <c r="AE755" s="4">
        <f>MAX(0,R755-MAX(0,Z755-SUM(Q755:Q755)))</f>
        <v/>
      </c>
      <c r="AF755" s="4">
        <f>MAX(0,S755-MAX(0,Z755-SUM(Q755:R755)))</f>
        <v/>
      </c>
      <c r="AG755" s="4">
        <f>MAX(0,T755-MAX(0,Z755-SUM(Q755:S755)))</f>
        <v/>
      </c>
      <c r="AH755" s="4">
        <f>MAX(0,U755-MAX(0,Z755-SUM(Q755:T755)))</f>
        <v/>
      </c>
      <c r="AI755" s="4">
        <f>MAX(0,V755-MAX(0,Z755-SUM(Q755:U755)))</f>
        <v/>
      </c>
      <c r="AJ755" s="4">
        <f>MAX(0,W755-MAX(0,Z755-SUM(Q755:V755)))</f>
        <v/>
      </c>
      <c r="AK755" s="4">
        <f>MAX(0,X755-MAX(0,Z755-SUM(Q755:W755)))</f>
        <v/>
      </c>
      <c r="AL755" s="4">
        <f>MAX(0,Y755-MAX(0,Z755-SUM(Q755:X755)))</f>
        <v/>
      </c>
    </row>
    <row r="756">
      <c r="A756" s="4" t="inlineStr">
        <is>
          <t>HASLS22260901995</t>
        </is>
      </c>
      <c r="B756" s="4" t="inlineStr">
        <is>
          <t>SWSP</t>
        </is>
      </c>
      <c r="C756" s="4" t="inlineStr">
        <is>
          <t>2609N</t>
        </is>
      </c>
      <c r="D756" s="4" t="inlineStr">
        <is>
          <t>202610080830</t>
        </is>
      </c>
      <c r="E756" s="4" t="inlineStr"/>
      <c r="F756" s="4" t="inlineStr">
        <is>
          <t>THLCH</t>
        </is>
      </c>
      <c r="G756" s="4" t="inlineStr">
        <is>
          <t>VNSGN</t>
        </is>
      </c>
      <c r="H756" s="4" t="inlineStr">
        <is>
          <t xml:space="preserve">20'x1 </t>
        </is>
      </c>
      <c r="I756" s="4" t="inlineStr">
        <is>
          <t>LCHY5</t>
        </is>
      </c>
      <c r="J756" s="4" t="inlineStr">
        <is>
          <t>PW DEPOT CO., LTD.</t>
        </is>
      </c>
      <c r="K756" s="4" t="inlineStr">
        <is>
          <t>20261002</t>
        </is>
      </c>
      <c r="L756" s="4" t="inlineStr">
        <is>
          <t>NH LOGISTICS CO., LTD.</t>
        </is>
      </c>
      <c r="M756" s="4" t="inlineStr">
        <is>
          <t>TROY SIAM CO., LTD.</t>
        </is>
      </c>
      <c r="N756" s="4" t="inlineStr">
        <is>
          <t xml:space="preserve">HAZARDOUS CHEMICAL </t>
        </is>
      </c>
      <c r="O756" s="4" t="inlineStr">
        <is>
          <t>**APPROVE DG IN SYSTEM**DG22GPx1 (CLS 8 / UN 3267)</t>
        </is>
      </c>
      <c r="P756" s="4" t="inlineStr">
        <is>
          <t xml:space="preserve">**APPROVE DG IN SYSTEM** DG22GPx1 (CLS 8 / UN 3267) 
Pickup : 2026-10-02, Return @JWD : 2026-10-02  </t>
        </is>
      </c>
      <c r="Q756" s="4" t="n">
        <v>1</v>
      </c>
      <c r="R756" s="4" t="n">
        <v>0</v>
      </c>
      <c r="S756" s="4" t="n">
        <v>0</v>
      </c>
      <c r="T756" s="4" t="n">
        <v>0</v>
      </c>
      <c r="U756" s="4" t="n">
        <v>0</v>
      </c>
      <c r="V756" s="4" t="n">
        <v>0</v>
      </c>
      <c r="W756" s="4" t="n">
        <v>0</v>
      </c>
      <c r="X756" s="4" t="n">
        <v>0</v>
      </c>
      <c r="Y756" s="4" t="n">
        <v>0</v>
      </c>
      <c r="Z756" s="4" t="n">
        <v>0</v>
      </c>
      <c r="AA756" s="4" t="n">
        <v>0</v>
      </c>
      <c r="AB756" s="4">
        <f>SUM(Q756:Y756)-Z756</f>
        <v/>
      </c>
      <c r="AC756" s="4">
        <f>IF(I756="","",IF(OR(LEFT(I756,3)="BKK",I756="LCH55"),"BKK",IF(LEFT(I756,3)="LCH","LCH","OTHER")))</f>
        <v/>
      </c>
      <c r="AD756" s="4">
        <f>MAX(0,Q756-MAX(0,Z756))</f>
        <v/>
      </c>
      <c r="AE756" s="4">
        <f>MAX(0,R756-MAX(0,Z756-SUM(Q756:Q756)))</f>
        <v/>
      </c>
      <c r="AF756" s="4">
        <f>MAX(0,S756-MAX(0,Z756-SUM(Q756:R756)))</f>
        <v/>
      </c>
      <c r="AG756" s="4">
        <f>MAX(0,T756-MAX(0,Z756-SUM(Q756:S756)))</f>
        <v/>
      </c>
      <c r="AH756" s="4">
        <f>MAX(0,U756-MAX(0,Z756-SUM(Q756:T756)))</f>
        <v/>
      </c>
      <c r="AI756" s="4">
        <f>MAX(0,V756-MAX(0,Z756-SUM(Q756:U756)))</f>
        <v/>
      </c>
      <c r="AJ756" s="4">
        <f>MAX(0,W756-MAX(0,Z756-SUM(Q756:V756)))</f>
        <v/>
      </c>
      <c r="AK756" s="4">
        <f>MAX(0,X756-MAX(0,Z756-SUM(Q756:W756)))</f>
        <v/>
      </c>
      <c r="AL756" s="4">
        <f>MAX(0,Y756-MAX(0,Z756-SUM(Q756:X756)))</f>
        <v/>
      </c>
    </row>
    <row r="757">
      <c r="A757" s="4" t="inlineStr">
        <is>
          <t>HASLS22260901998</t>
        </is>
      </c>
      <c r="B757" s="4" t="inlineStr">
        <is>
          <t>SWVG</t>
        </is>
      </c>
      <c r="C757" s="4" t="inlineStr">
        <is>
          <t>2612N</t>
        </is>
      </c>
      <c r="D757" s="4" t="inlineStr">
        <is>
          <t>202610070330</t>
        </is>
      </c>
      <c r="E757" s="4" t="inlineStr"/>
      <c r="F757" s="4" t="inlineStr">
        <is>
          <t>THLCH</t>
        </is>
      </c>
      <c r="G757" s="4" t="inlineStr">
        <is>
          <t>CNSHA</t>
        </is>
      </c>
      <c r="H757" s="4" t="inlineStr">
        <is>
          <t xml:space="preserve">40Hx8 </t>
        </is>
      </c>
      <c r="I757" s="4" t="inlineStr">
        <is>
          <t>LCHY5</t>
        </is>
      </c>
      <c r="J757" s="4" t="inlineStr">
        <is>
          <t>PW DEPOT CO., LTD.</t>
        </is>
      </c>
      <c r="K757" s="4" t="inlineStr">
        <is>
          <t>20260929</t>
        </is>
      </c>
      <c r="L757" s="4" t="inlineStr">
        <is>
          <t>LOGMAN INTERNATIONAL CO., LTD.</t>
        </is>
      </c>
      <c r="M757" s="4" t="inlineStr">
        <is>
          <t>TISSIN FOOD (THAILAND) CO.,LTD.</t>
        </is>
      </c>
      <c r="N757" s="4" t="inlineStr">
        <is>
          <t>CHOCOLATE POWDER</t>
        </is>
      </c>
      <c r="O757" s="4" t="inlineStr">
        <is>
          <t>REQ UPGRADE CNTR 32.5TONS, REQ GOOD AND CLEAN CONTAINER,  NEW &amp; CLEAN CONTAINER BOTH INSIDE &amp; OUTSIDE</t>
        </is>
      </c>
      <c r="P757" s="4" t="inlineStr">
        <is>
          <t xml:space="preserve">Pickup : 2026-09-29, Return : 2026-09-30 [1TS RTN 02/10/2026 W/O RENT]
** PLEASE CHECK OPEN GATE BEFORE RETURN CONTAINER ** 
</t>
        </is>
      </c>
      <c r="Q757" s="4" t="n">
        <v>0</v>
      </c>
      <c r="R757" s="4" t="n">
        <v>0</v>
      </c>
      <c r="S757" s="4" t="n">
        <v>8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>
        <f>SUM(Q757:Y757)-Z757</f>
        <v/>
      </c>
      <c r="AC757" s="4">
        <f>IF(I757="","",IF(OR(LEFT(I757,3)="BKK",I757="LCH55"),"BKK",IF(LEFT(I757,3)="LCH","LCH","OTHER")))</f>
        <v/>
      </c>
      <c r="AD757" s="4">
        <f>MAX(0,Q757-MAX(0,Z757))</f>
        <v/>
      </c>
      <c r="AE757" s="4">
        <f>MAX(0,R757-MAX(0,Z757-SUM(Q757:Q757)))</f>
        <v/>
      </c>
      <c r="AF757" s="4">
        <f>MAX(0,S757-MAX(0,Z757-SUM(Q757:R757)))</f>
        <v/>
      </c>
      <c r="AG757" s="4">
        <f>MAX(0,T757-MAX(0,Z757-SUM(Q757:S757)))</f>
        <v/>
      </c>
      <c r="AH757" s="4">
        <f>MAX(0,U757-MAX(0,Z757-SUM(Q757:T757)))</f>
        <v/>
      </c>
      <c r="AI757" s="4">
        <f>MAX(0,V757-MAX(0,Z757-SUM(Q757:U757)))</f>
        <v/>
      </c>
      <c r="AJ757" s="4">
        <f>MAX(0,W757-MAX(0,Z757-SUM(Q757:V757)))</f>
        <v/>
      </c>
      <c r="AK757" s="4">
        <f>MAX(0,X757-MAX(0,Z757-SUM(Q757:W757)))</f>
        <v/>
      </c>
      <c r="AL757" s="4">
        <f>MAX(0,Y757-MAX(0,Z757-SUM(Q757:X757)))</f>
        <v/>
      </c>
    </row>
    <row r="758">
      <c r="A758" s="4" t="inlineStr">
        <is>
          <t>HASLS22260902002</t>
        </is>
      </c>
      <c r="B758" s="4" t="inlineStr">
        <is>
          <t>KMBK</t>
        </is>
      </c>
      <c r="C758" s="4" t="inlineStr">
        <is>
          <t>2611N</t>
        </is>
      </c>
      <c r="D758" s="4" t="inlineStr">
        <is>
          <t>202610040100</t>
        </is>
      </c>
      <c r="E758" s="4" t="inlineStr"/>
      <c r="F758" s="4" t="inlineStr">
        <is>
          <t>THLCH</t>
        </is>
      </c>
      <c r="G758" s="4" t="inlineStr">
        <is>
          <t>VNSGN</t>
        </is>
      </c>
      <c r="H758" s="4" t="inlineStr">
        <is>
          <t xml:space="preserve">20'x7 </t>
        </is>
      </c>
      <c r="I758" s="4" t="inlineStr">
        <is>
          <t>LCHY5</t>
        </is>
      </c>
      <c r="J758" s="4" t="inlineStr">
        <is>
          <t>PW DEPOT CO., LTD.</t>
        </is>
      </c>
      <c r="K758" s="4" t="inlineStr">
        <is>
          <t>20260929</t>
        </is>
      </c>
      <c r="L758" s="4" t="inlineStr">
        <is>
          <t>EVERGREEN LOGISTICS (THAILAND) CO., LTD.</t>
        </is>
      </c>
      <c r="M758" s="4" t="inlineStr">
        <is>
          <t>T.C.PHARMACEUTICAL INDUSTRIES CO., LTD.</t>
        </is>
      </c>
      <c r="N758" s="4" t="inlineStr">
        <is>
          <t>ENERGY DRINK</t>
        </is>
      </c>
      <c r="O758" s="4" t="inlineStr">
        <is>
          <t>GOOD AND CLEAN CONTAINER</t>
        </is>
      </c>
      <c r="P758" s="4" t="inlineStr">
        <is>
          <t>Pickup : 2026-09-29, Return : 2026-09-30</t>
        </is>
      </c>
      <c r="Q758" s="4" t="n">
        <v>7</v>
      </c>
      <c r="R758" s="4" t="n">
        <v>0</v>
      </c>
      <c r="S758" s="4" t="n">
        <v>0</v>
      </c>
      <c r="T758" s="4" t="n">
        <v>0</v>
      </c>
      <c r="U758" s="4" t="n">
        <v>0</v>
      </c>
      <c r="V758" s="4" t="n">
        <v>0</v>
      </c>
      <c r="W758" s="4" t="n">
        <v>0</v>
      </c>
      <c r="X758" s="4" t="n">
        <v>0</v>
      </c>
      <c r="Y758" s="4" t="n">
        <v>0</v>
      </c>
      <c r="Z758" s="4" t="n">
        <v>0</v>
      </c>
      <c r="AA758" s="4" t="n">
        <v>0</v>
      </c>
      <c r="AB758" s="4">
        <f>SUM(Q758:Y758)-Z758</f>
        <v/>
      </c>
      <c r="AC758" s="4">
        <f>IF(I758="","",IF(OR(LEFT(I758,3)="BKK",I758="LCH55"),"BKK",IF(LEFT(I758,3)="LCH","LCH","OTHER")))</f>
        <v/>
      </c>
      <c r="AD758" s="4">
        <f>MAX(0,Q758-MAX(0,Z758))</f>
        <v/>
      </c>
      <c r="AE758" s="4">
        <f>MAX(0,R758-MAX(0,Z758-SUM(Q758:Q758)))</f>
        <v/>
      </c>
      <c r="AF758" s="4">
        <f>MAX(0,S758-MAX(0,Z758-SUM(Q758:R758)))</f>
        <v/>
      </c>
      <c r="AG758" s="4">
        <f>MAX(0,T758-MAX(0,Z758-SUM(Q758:S758)))</f>
        <v/>
      </c>
      <c r="AH758" s="4">
        <f>MAX(0,U758-MAX(0,Z758-SUM(Q758:T758)))</f>
        <v/>
      </c>
      <c r="AI758" s="4">
        <f>MAX(0,V758-MAX(0,Z758-SUM(Q758:U758)))</f>
        <v/>
      </c>
      <c r="AJ758" s="4">
        <f>MAX(0,W758-MAX(0,Z758-SUM(Q758:V758)))</f>
        <v/>
      </c>
      <c r="AK758" s="4">
        <f>MAX(0,X758-MAX(0,Z758-SUM(Q758:W758)))</f>
        <v/>
      </c>
      <c r="AL758" s="4">
        <f>MAX(0,Y758-MAX(0,Z758-SUM(Q758:X758)))</f>
        <v/>
      </c>
    </row>
    <row r="759">
      <c r="A759" s="4" t="inlineStr">
        <is>
          <t>HASLS22260902022</t>
        </is>
      </c>
      <c r="B759" s="4" t="inlineStr">
        <is>
          <t>SWVG</t>
        </is>
      </c>
      <c r="C759" s="4" t="inlineStr">
        <is>
          <t>2612N</t>
        </is>
      </c>
      <c r="D759" s="4" t="inlineStr">
        <is>
          <t>202610070330</t>
        </is>
      </c>
      <c r="E759" s="4" t="inlineStr"/>
      <c r="F759" s="4" t="inlineStr">
        <is>
          <t>THLCH</t>
        </is>
      </c>
      <c r="G759" s="4" t="inlineStr">
        <is>
          <t>CNSHA</t>
        </is>
      </c>
      <c r="H759" s="4" t="inlineStr">
        <is>
          <t xml:space="preserve">20'x1 </t>
        </is>
      </c>
      <c r="I759" s="4" t="inlineStr">
        <is>
          <t>LCHY5</t>
        </is>
      </c>
      <c r="J759" s="4" t="inlineStr">
        <is>
          <t>PW DEPOT CO., LTD.</t>
        </is>
      </c>
      <c r="K759" s="4" t="inlineStr">
        <is>
          <t>20260930</t>
        </is>
      </c>
      <c r="L759" s="4" t="inlineStr">
        <is>
          <t>RCL LOGISTICS CO., LTD.</t>
        </is>
      </c>
      <c r="M759" s="4" t="inlineStr">
        <is>
          <t>CHUKYO YUSHI (THAILAND) CO., LTD.</t>
        </is>
      </c>
      <c r="N759" s="4" t="inlineStr">
        <is>
          <t>MOLD RELEASE AGENTS</t>
        </is>
      </c>
      <c r="O759" s="4" t="inlineStr">
        <is>
          <t>**DO NOT RELEASE CNTR WAIT APPROVE**</t>
        </is>
      </c>
      <c r="P759" s="4" t="inlineStr">
        <is>
          <t xml:space="preserve">**DO NOT RELEASE CNTR WAIT APPROVE** DG22GPx1 (CLS 3 / UN 3295) 
Pickup : 2026-09-30, Return @JWD : 2026-09-30 </t>
        </is>
      </c>
      <c r="Q759" s="4" t="n">
        <v>1</v>
      </c>
      <c r="R759" s="4" t="n">
        <v>0</v>
      </c>
      <c r="S759" s="4" t="n">
        <v>0</v>
      </c>
      <c r="T759" s="4" t="n">
        <v>0</v>
      </c>
      <c r="U759" s="4" t="n">
        <v>0</v>
      </c>
      <c r="V759" s="4" t="n">
        <v>0</v>
      </c>
      <c r="W759" s="4" t="n">
        <v>0</v>
      </c>
      <c r="X759" s="4" t="n">
        <v>0</v>
      </c>
      <c r="Y759" s="4" t="n">
        <v>0</v>
      </c>
      <c r="Z759" s="4" t="n">
        <v>0</v>
      </c>
      <c r="AA759" s="4" t="n">
        <v>0</v>
      </c>
      <c r="AB759" s="4">
        <f>SUM(Q759:Y759)-Z759</f>
        <v/>
      </c>
      <c r="AC759" s="4">
        <f>IF(I759="","",IF(OR(LEFT(I759,3)="BKK",I759="LCH55"),"BKK",IF(LEFT(I759,3)="LCH","LCH","OTHER")))</f>
        <v/>
      </c>
      <c r="AD759" s="4">
        <f>MAX(0,Q759-MAX(0,Z759))</f>
        <v/>
      </c>
      <c r="AE759" s="4">
        <f>MAX(0,R759-MAX(0,Z759-SUM(Q759:Q759)))</f>
        <v/>
      </c>
      <c r="AF759" s="4">
        <f>MAX(0,S759-MAX(0,Z759-SUM(Q759:R759)))</f>
        <v/>
      </c>
      <c r="AG759" s="4">
        <f>MAX(0,T759-MAX(0,Z759-SUM(Q759:S759)))</f>
        <v/>
      </c>
      <c r="AH759" s="4">
        <f>MAX(0,U759-MAX(0,Z759-SUM(Q759:T759)))</f>
        <v/>
      </c>
      <c r="AI759" s="4">
        <f>MAX(0,V759-MAX(0,Z759-SUM(Q759:U759)))</f>
        <v/>
      </c>
      <c r="AJ759" s="4">
        <f>MAX(0,W759-MAX(0,Z759-SUM(Q759:V759)))</f>
        <v/>
      </c>
      <c r="AK759" s="4">
        <f>MAX(0,X759-MAX(0,Z759-SUM(Q759:W759)))</f>
        <v/>
      </c>
      <c r="AL759" s="4">
        <f>MAX(0,Y759-MAX(0,Z759-SUM(Q759:X759)))</f>
        <v/>
      </c>
    </row>
    <row r="760">
      <c r="A760" s="4" t="inlineStr">
        <is>
          <t>HASLS22260902024</t>
        </is>
      </c>
      <c r="B760" s="4" t="inlineStr">
        <is>
          <t>PCCP</t>
        </is>
      </c>
      <c r="C760" s="4" t="inlineStr">
        <is>
          <t>2610N</t>
        </is>
      </c>
      <c r="D760" s="4" t="inlineStr">
        <is>
          <t>202610120600</t>
        </is>
      </c>
      <c r="E760" s="4" t="inlineStr"/>
      <c r="F760" s="4" t="inlineStr">
        <is>
          <t>THLCH</t>
        </is>
      </c>
      <c r="G760" s="4" t="inlineStr">
        <is>
          <t>JPNGO</t>
        </is>
      </c>
      <c r="H760" s="4" t="inlineStr">
        <is>
          <t xml:space="preserve">20'x1 </t>
        </is>
      </c>
      <c r="I760" s="4" t="inlineStr">
        <is>
          <t>LCHY5</t>
        </is>
      </c>
      <c r="J760" s="4" t="inlineStr">
        <is>
          <t>PW DEPOT CO., LTD.</t>
        </is>
      </c>
      <c r="K760" s="4" t="inlineStr">
        <is>
          <t>20261005</t>
        </is>
      </c>
      <c r="L760" s="4" t="inlineStr">
        <is>
          <t>DOW CHEMICAL THAILAND LTD.</t>
        </is>
      </c>
      <c r="M760" s="4" t="inlineStr">
        <is>
          <t>SIAM POLYETHYLENE CO., LTD.</t>
        </is>
      </c>
      <c r="N760" s="4" t="inlineStr">
        <is>
          <t>RESIN</t>
        </is>
      </c>
      <c r="O760" s="4" t="inlineStr">
        <is>
          <t>1X20' SEABULK</t>
        </is>
      </c>
      <c r="P760" s="4" t="inlineStr">
        <is>
          <t>Pickup : 2026-10-05, Return : 2026-10-08</t>
        </is>
      </c>
      <c r="Q760" s="4" t="n">
        <v>1</v>
      </c>
      <c r="R760" s="4" t="n">
        <v>0</v>
      </c>
      <c r="S760" s="4" t="n">
        <v>0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>
        <f>SUM(Q760:Y760)-Z760</f>
        <v/>
      </c>
      <c r="AC760" s="4">
        <f>IF(I760="","",IF(OR(LEFT(I760,3)="BKK",I760="LCH55"),"BKK",IF(LEFT(I760,3)="LCH","LCH","OTHER")))</f>
        <v/>
      </c>
      <c r="AD760" s="4">
        <f>MAX(0,Q760-MAX(0,Z760))</f>
        <v/>
      </c>
      <c r="AE760" s="4">
        <f>MAX(0,R760-MAX(0,Z760-SUM(Q760:Q760)))</f>
        <v/>
      </c>
      <c r="AF760" s="4">
        <f>MAX(0,S760-MAX(0,Z760-SUM(Q760:R760)))</f>
        <v/>
      </c>
      <c r="AG760" s="4">
        <f>MAX(0,T760-MAX(0,Z760-SUM(Q760:S760)))</f>
        <v/>
      </c>
      <c r="AH760" s="4">
        <f>MAX(0,U760-MAX(0,Z760-SUM(Q760:T760)))</f>
        <v/>
      </c>
      <c r="AI760" s="4">
        <f>MAX(0,V760-MAX(0,Z760-SUM(Q760:U760)))</f>
        <v/>
      </c>
      <c r="AJ760" s="4">
        <f>MAX(0,W760-MAX(0,Z760-SUM(Q760:V760)))</f>
        <v/>
      </c>
      <c r="AK760" s="4">
        <f>MAX(0,X760-MAX(0,Z760-SUM(Q760:W760)))</f>
        <v/>
      </c>
      <c r="AL760" s="4">
        <f>MAX(0,Y760-MAX(0,Z760-SUM(Q760:X760)))</f>
        <v/>
      </c>
    </row>
    <row r="761">
      <c r="A761" s="4" t="inlineStr">
        <is>
          <t>HASLS22260902025</t>
        </is>
      </c>
      <c r="B761" s="4" t="inlineStr">
        <is>
          <t>PCCP</t>
        </is>
      </c>
      <c r="C761" s="4" t="inlineStr">
        <is>
          <t>2610N</t>
        </is>
      </c>
      <c r="D761" s="4" t="inlineStr">
        <is>
          <t>202610120600</t>
        </is>
      </c>
      <c r="E761" s="4" t="inlineStr"/>
      <c r="F761" s="4" t="inlineStr">
        <is>
          <t>THLCH</t>
        </is>
      </c>
      <c r="G761" s="4" t="inlineStr">
        <is>
          <t>JPNGO</t>
        </is>
      </c>
      <c r="H761" s="4" t="inlineStr">
        <is>
          <t xml:space="preserve">20'x1 </t>
        </is>
      </c>
      <c r="I761" s="4" t="inlineStr">
        <is>
          <t>LCHY5</t>
        </is>
      </c>
      <c r="J761" s="4" t="inlineStr">
        <is>
          <t>PW DEPOT CO., LTD.</t>
        </is>
      </c>
      <c r="K761" s="4" t="inlineStr">
        <is>
          <t>20261005</t>
        </is>
      </c>
      <c r="L761" s="4" t="inlineStr">
        <is>
          <t>DOW CHEMICAL THAILAND LTD.</t>
        </is>
      </c>
      <c r="M761" s="4" t="inlineStr">
        <is>
          <t>SIAM POLYETHYLENE CO., LTD.</t>
        </is>
      </c>
      <c r="N761" s="4" t="inlineStr">
        <is>
          <t>RESIN</t>
        </is>
      </c>
      <c r="O761" s="4" t="inlineStr">
        <is>
          <t>1X20' SEABULK</t>
        </is>
      </c>
      <c r="P761" s="4" t="inlineStr">
        <is>
          <t>Pickup : 2026-10-05, Return : 2026-10-08</t>
        </is>
      </c>
      <c r="Q761" s="4" t="n">
        <v>1</v>
      </c>
      <c r="R761" s="4" t="n">
        <v>0</v>
      </c>
      <c r="S761" s="4" t="n">
        <v>0</v>
      </c>
      <c r="T761" s="4" t="n">
        <v>0</v>
      </c>
      <c r="U761" s="4" t="n">
        <v>0</v>
      </c>
      <c r="V761" s="4" t="n">
        <v>0</v>
      </c>
      <c r="W761" s="4" t="n">
        <v>0</v>
      </c>
      <c r="X761" s="4" t="n">
        <v>0</v>
      </c>
      <c r="Y761" s="4" t="n">
        <v>0</v>
      </c>
      <c r="Z761" s="4" t="n">
        <v>0</v>
      </c>
      <c r="AA761" s="4" t="n">
        <v>0</v>
      </c>
      <c r="AB761" s="4">
        <f>SUM(Q761:Y761)-Z761</f>
        <v/>
      </c>
      <c r="AC761" s="4">
        <f>IF(I761="","",IF(OR(LEFT(I761,3)="BKK",I761="LCH55"),"BKK",IF(LEFT(I761,3)="LCH","LCH","OTHER")))</f>
        <v/>
      </c>
      <c r="AD761" s="4">
        <f>MAX(0,Q761-MAX(0,Z761))</f>
        <v/>
      </c>
      <c r="AE761" s="4">
        <f>MAX(0,R761-MAX(0,Z761-SUM(Q761:Q761)))</f>
        <v/>
      </c>
      <c r="AF761" s="4">
        <f>MAX(0,S761-MAX(0,Z761-SUM(Q761:R761)))</f>
        <v/>
      </c>
      <c r="AG761" s="4">
        <f>MAX(0,T761-MAX(0,Z761-SUM(Q761:S761)))</f>
        <v/>
      </c>
      <c r="AH761" s="4">
        <f>MAX(0,U761-MAX(0,Z761-SUM(Q761:T761)))</f>
        <v/>
      </c>
      <c r="AI761" s="4">
        <f>MAX(0,V761-MAX(0,Z761-SUM(Q761:U761)))</f>
        <v/>
      </c>
      <c r="AJ761" s="4">
        <f>MAX(0,W761-MAX(0,Z761-SUM(Q761:V761)))</f>
        <v/>
      </c>
      <c r="AK761" s="4">
        <f>MAX(0,X761-MAX(0,Z761-SUM(Q761:W761)))</f>
        <v/>
      </c>
      <c r="AL761" s="4">
        <f>MAX(0,Y761-MAX(0,Z761-SUM(Q761:X761)))</f>
        <v/>
      </c>
    </row>
    <row r="762">
      <c r="A762" s="4" t="inlineStr">
        <is>
          <t>HASLS22260902026</t>
        </is>
      </c>
      <c r="B762" s="4" t="inlineStr">
        <is>
          <t>PCCP</t>
        </is>
      </c>
      <c r="C762" s="4" t="inlineStr">
        <is>
          <t>2610N</t>
        </is>
      </c>
      <c r="D762" s="4" t="inlineStr">
        <is>
          <t>202610120600</t>
        </is>
      </c>
      <c r="E762" s="4" t="inlineStr"/>
      <c r="F762" s="4" t="inlineStr">
        <is>
          <t>THLCH</t>
        </is>
      </c>
      <c r="G762" s="4" t="inlineStr">
        <is>
          <t>JPNGO</t>
        </is>
      </c>
      <c r="H762" s="4" t="inlineStr">
        <is>
          <t xml:space="preserve">20'x1 </t>
        </is>
      </c>
      <c r="I762" s="4" t="inlineStr">
        <is>
          <t>LCHY5</t>
        </is>
      </c>
      <c r="J762" s="4" t="inlineStr">
        <is>
          <t>PW DEPOT CO., LTD.</t>
        </is>
      </c>
      <c r="K762" s="4" t="inlineStr">
        <is>
          <t>20261005</t>
        </is>
      </c>
      <c r="L762" s="4" t="inlineStr">
        <is>
          <t>DOW CHEMICAL THAILAND LTD.</t>
        </is>
      </c>
      <c r="M762" s="4" t="inlineStr">
        <is>
          <t>SIAM POLYETHYLENE CO., LTD.</t>
        </is>
      </c>
      <c r="N762" s="4" t="inlineStr">
        <is>
          <t>RESIN</t>
        </is>
      </c>
      <c r="O762" s="4" t="inlineStr">
        <is>
          <t>1X20' SEABULK</t>
        </is>
      </c>
      <c r="P762" s="4" t="inlineStr">
        <is>
          <t>Pickup : 2026-10-05, Return : 2026-10-08</t>
        </is>
      </c>
      <c r="Q762" s="4" t="n">
        <v>1</v>
      </c>
      <c r="R762" s="4" t="n">
        <v>0</v>
      </c>
      <c r="S762" s="4" t="n">
        <v>0</v>
      </c>
      <c r="T762" s="4" t="n">
        <v>0</v>
      </c>
      <c r="U762" s="4" t="n">
        <v>0</v>
      </c>
      <c r="V762" s="4" t="n">
        <v>0</v>
      </c>
      <c r="W762" s="4" t="n">
        <v>0</v>
      </c>
      <c r="X762" s="4" t="n">
        <v>0</v>
      </c>
      <c r="Y762" s="4" t="n">
        <v>0</v>
      </c>
      <c r="Z762" s="4" t="n">
        <v>0</v>
      </c>
      <c r="AA762" s="4" t="n">
        <v>0</v>
      </c>
      <c r="AB762" s="4">
        <f>SUM(Q762:Y762)-Z762</f>
        <v/>
      </c>
      <c r="AC762" s="4">
        <f>IF(I762="","",IF(OR(LEFT(I762,3)="BKK",I762="LCH55"),"BKK",IF(LEFT(I762,3)="LCH","LCH","OTHER")))</f>
        <v/>
      </c>
      <c r="AD762" s="4">
        <f>MAX(0,Q762-MAX(0,Z762))</f>
        <v/>
      </c>
      <c r="AE762" s="4">
        <f>MAX(0,R762-MAX(0,Z762-SUM(Q762:Q762)))</f>
        <v/>
      </c>
      <c r="AF762" s="4">
        <f>MAX(0,S762-MAX(0,Z762-SUM(Q762:R762)))</f>
        <v/>
      </c>
      <c r="AG762" s="4">
        <f>MAX(0,T762-MAX(0,Z762-SUM(Q762:S762)))</f>
        <v/>
      </c>
      <c r="AH762" s="4">
        <f>MAX(0,U762-MAX(0,Z762-SUM(Q762:T762)))</f>
        <v/>
      </c>
      <c r="AI762" s="4">
        <f>MAX(0,V762-MAX(0,Z762-SUM(Q762:U762)))</f>
        <v/>
      </c>
      <c r="AJ762" s="4">
        <f>MAX(0,W762-MAX(0,Z762-SUM(Q762:V762)))</f>
        <v/>
      </c>
      <c r="AK762" s="4">
        <f>MAX(0,X762-MAX(0,Z762-SUM(Q762:W762)))</f>
        <v/>
      </c>
      <c r="AL762" s="4">
        <f>MAX(0,Y762-MAX(0,Z762-SUM(Q762:X762)))</f>
        <v/>
      </c>
    </row>
    <row r="763">
      <c r="A763" s="4" t="inlineStr">
        <is>
          <t>HASLS22260902027</t>
        </is>
      </c>
      <c r="B763" s="4" t="inlineStr">
        <is>
          <t>SWIC</t>
        </is>
      </c>
      <c r="C763" s="4" t="inlineStr">
        <is>
          <t>2611N</t>
        </is>
      </c>
      <c r="D763" s="4" t="inlineStr">
        <is>
          <t>202610132300</t>
        </is>
      </c>
      <c r="E763" s="4" t="inlineStr"/>
      <c r="F763" s="4" t="inlineStr">
        <is>
          <t>THLCH</t>
        </is>
      </c>
      <c r="G763" s="4" t="inlineStr">
        <is>
          <t>JPYKK</t>
        </is>
      </c>
      <c r="H763" s="4" t="inlineStr">
        <is>
          <t xml:space="preserve">20'x1 </t>
        </is>
      </c>
      <c r="I763" s="4" t="inlineStr">
        <is>
          <t>LCHY5</t>
        </is>
      </c>
      <c r="J763" s="4" t="inlineStr">
        <is>
          <t>PW DEPOT CO., LTD.</t>
        </is>
      </c>
      <c r="K763" s="4" t="inlineStr">
        <is>
          <t>20261005</t>
        </is>
      </c>
      <c r="L763" s="4" t="inlineStr">
        <is>
          <t>DOW CHEMICAL THAILAND LTD.</t>
        </is>
      </c>
      <c r="M763" s="4" t="inlineStr">
        <is>
          <t>SIAM POLYETHYLENE CO., LTD.</t>
        </is>
      </c>
      <c r="N763" s="4" t="inlineStr">
        <is>
          <t>RESIN</t>
        </is>
      </c>
      <c r="O763" s="4" t="inlineStr">
        <is>
          <t>1X20' SEABULK</t>
        </is>
      </c>
      <c r="P763" s="4" t="inlineStr">
        <is>
          <t>Pickup : 2026-10-05, Return : 2026-10-09</t>
        </is>
      </c>
      <c r="Q763" s="4" t="n">
        <v>1</v>
      </c>
      <c r="R763" s="4" t="n">
        <v>0</v>
      </c>
      <c r="S763" s="4" t="n">
        <v>0</v>
      </c>
      <c r="T763" s="4" t="n">
        <v>0</v>
      </c>
      <c r="U763" s="4" t="n">
        <v>0</v>
      </c>
      <c r="V763" s="4" t="n">
        <v>0</v>
      </c>
      <c r="W763" s="4" t="n">
        <v>0</v>
      </c>
      <c r="X763" s="4" t="n">
        <v>0</v>
      </c>
      <c r="Y763" s="4" t="n">
        <v>0</v>
      </c>
      <c r="Z763" s="4" t="n">
        <v>0</v>
      </c>
      <c r="AA763" s="4" t="n">
        <v>0</v>
      </c>
      <c r="AB763" s="4">
        <f>SUM(Q763:Y763)-Z763</f>
        <v/>
      </c>
      <c r="AC763" s="4">
        <f>IF(I763="","",IF(OR(LEFT(I763,3)="BKK",I763="LCH55"),"BKK",IF(LEFT(I763,3)="LCH","LCH","OTHER")))</f>
        <v/>
      </c>
      <c r="AD763" s="4">
        <f>MAX(0,Q763-MAX(0,Z763))</f>
        <v/>
      </c>
      <c r="AE763" s="4">
        <f>MAX(0,R763-MAX(0,Z763-SUM(Q763:Q763)))</f>
        <v/>
      </c>
      <c r="AF763" s="4">
        <f>MAX(0,S763-MAX(0,Z763-SUM(Q763:R763)))</f>
        <v/>
      </c>
      <c r="AG763" s="4">
        <f>MAX(0,T763-MAX(0,Z763-SUM(Q763:S763)))</f>
        <v/>
      </c>
      <c r="AH763" s="4">
        <f>MAX(0,U763-MAX(0,Z763-SUM(Q763:T763)))</f>
        <v/>
      </c>
      <c r="AI763" s="4">
        <f>MAX(0,V763-MAX(0,Z763-SUM(Q763:U763)))</f>
        <v/>
      </c>
      <c r="AJ763" s="4">
        <f>MAX(0,W763-MAX(0,Z763-SUM(Q763:V763)))</f>
        <v/>
      </c>
      <c r="AK763" s="4">
        <f>MAX(0,X763-MAX(0,Z763-SUM(Q763:W763)))</f>
        <v/>
      </c>
      <c r="AL763" s="4">
        <f>MAX(0,Y763-MAX(0,Z763-SUM(Q763:X763)))</f>
        <v/>
      </c>
    </row>
    <row r="764">
      <c r="A764" s="4" t="inlineStr">
        <is>
          <t>HASLS22260902028</t>
        </is>
      </c>
      <c r="B764" s="4" t="inlineStr">
        <is>
          <t>SWIC</t>
        </is>
      </c>
      <c r="C764" s="4" t="inlineStr">
        <is>
          <t>2611N</t>
        </is>
      </c>
      <c r="D764" s="4" t="inlineStr">
        <is>
          <t>202610132300</t>
        </is>
      </c>
      <c r="E764" s="4" t="inlineStr"/>
      <c r="F764" s="4" t="inlineStr">
        <is>
          <t>THLCH</t>
        </is>
      </c>
      <c r="G764" s="4" t="inlineStr">
        <is>
          <t>JPYKK</t>
        </is>
      </c>
      <c r="H764" s="4" t="inlineStr">
        <is>
          <t xml:space="preserve">20'x1 </t>
        </is>
      </c>
      <c r="I764" s="4" t="inlineStr">
        <is>
          <t>LCHY5</t>
        </is>
      </c>
      <c r="J764" s="4" t="inlineStr">
        <is>
          <t>PW DEPOT CO., LTD.</t>
        </is>
      </c>
      <c r="K764" s="4" t="inlineStr">
        <is>
          <t>20261005</t>
        </is>
      </c>
      <c r="L764" s="4" t="inlineStr">
        <is>
          <t>DOW CHEMICAL THAILAND LTD.</t>
        </is>
      </c>
      <c r="M764" s="4" t="inlineStr">
        <is>
          <t>SIAM POLYETHYLENE CO., LTD.</t>
        </is>
      </c>
      <c r="N764" s="4" t="inlineStr">
        <is>
          <t>RESIN</t>
        </is>
      </c>
      <c r="O764" s="4" t="inlineStr">
        <is>
          <t>1X20' SEABULK</t>
        </is>
      </c>
      <c r="P764" s="4" t="inlineStr">
        <is>
          <t>Pickup : 2026-10-05, Return : 2026-10-09</t>
        </is>
      </c>
      <c r="Q764" s="4" t="n">
        <v>1</v>
      </c>
      <c r="R764" s="4" t="n">
        <v>0</v>
      </c>
      <c r="S764" s="4" t="n">
        <v>0</v>
      </c>
      <c r="T764" s="4" t="n">
        <v>0</v>
      </c>
      <c r="U764" s="4" t="n">
        <v>0</v>
      </c>
      <c r="V764" s="4" t="n">
        <v>0</v>
      </c>
      <c r="W764" s="4" t="n">
        <v>0</v>
      </c>
      <c r="X764" s="4" t="n">
        <v>0</v>
      </c>
      <c r="Y764" s="4" t="n">
        <v>0</v>
      </c>
      <c r="Z764" s="4" t="n">
        <v>0</v>
      </c>
      <c r="AA764" s="4" t="n">
        <v>0</v>
      </c>
      <c r="AB764" s="4">
        <f>SUM(Q764:Y764)-Z764</f>
        <v/>
      </c>
      <c r="AC764" s="4">
        <f>IF(I764="","",IF(OR(LEFT(I764,3)="BKK",I764="LCH55"),"BKK",IF(LEFT(I764,3)="LCH","LCH","OTHER")))</f>
        <v/>
      </c>
      <c r="AD764" s="4">
        <f>MAX(0,Q764-MAX(0,Z764))</f>
        <v/>
      </c>
      <c r="AE764" s="4">
        <f>MAX(0,R764-MAX(0,Z764-SUM(Q764:Q764)))</f>
        <v/>
      </c>
      <c r="AF764" s="4">
        <f>MAX(0,S764-MAX(0,Z764-SUM(Q764:R764)))</f>
        <v/>
      </c>
      <c r="AG764" s="4">
        <f>MAX(0,T764-MAX(0,Z764-SUM(Q764:S764)))</f>
        <v/>
      </c>
      <c r="AH764" s="4">
        <f>MAX(0,U764-MAX(0,Z764-SUM(Q764:T764)))</f>
        <v/>
      </c>
      <c r="AI764" s="4">
        <f>MAX(0,V764-MAX(0,Z764-SUM(Q764:U764)))</f>
        <v/>
      </c>
      <c r="AJ764" s="4">
        <f>MAX(0,W764-MAX(0,Z764-SUM(Q764:V764)))</f>
        <v/>
      </c>
      <c r="AK764" s="4">
        <f>MAX(0,X764-MAX(0,Z764-SUM(Q764:W764)))</f>
        <v/>
      </c>
      <c r="AL764" s="4">
        <f>MAX(0,Y764-MAX(0,Z764-SUM(Q764:X764)))</f>
        <v/>
      </c>
    </row>
    <row r="765">
      <c r="A765" s="4" t="inlineStr">
        <is>
          <t>HASLS22260902029</t>
        </is>
      </c>
      <c r="B765" s="4" t="inlineStr">
        <is>
          <t>SWIC</t>
        </is>
      </c>
      <c r="C765" s="4" t="inlineStr">
        <is>
          <t>2611N</t>
        </is>
      </c>
      <c r="D765" s="4" t="inlineStr">
        <is>
          <t>202610132300</t>
        </is>
      </c>
      <c r="E765" s="4" t="inlineStr"/>
      <c r="F765" s="4" t="inlineStr">
        <is>
          <t>THLCH</t>
        </is>
      </c>
      <c r="G765" s="4" t="inlineStr">
        <is>
          <t>JPYKK</t>
        </is>
      </c>
      <c r="H765" s="4" t="inlineStr">
        <is>
          <t xml:space="preserve">20'x1 </t>
        </is>
      </c>
      <c r="I765" s="4" t="inlineStr">
        <is>
          <t>LCHY5</t>
        </is>
      </c>
      <c r="J765" s="4" t="inlineStr">
        <is>
          <t>PW DEPOT CO., LTD.</t>
        </is>
      </c>
      <c r="K765" s="4" t="inlineStr">
        <is>
          <t>20261005</t>
        </is>
      </c>
      <c r="L765" s="4" t="inlineStr">
        <is>
          <t>DOW CHEMICAL THAILAND LTD.</t>
        </is>
      </c>
      <c r="M765" s="4" t="inlineStr">
        <is>
          <t>SIAM POLYETHYLENE CO., LTD.</t>
        </is>
      </c>
      <c r="N765" s="4" t="inlineStr">
        <is>
          <t>RESIN</t>
        </is>
      </c>
      <c r="O765" s="4" t="inlineStr">
        <is>
          <t>1X20' SEABULK</t>
        </is>
      </c>
      <c r="P765" s="4" t="inlineStr">
        <is>
          <t>Pickup : 2026-10-05, Return : 2026-10-09</t>
        </is>
      </c>
      <c r="Q765" s="4" t="n">
        <v>1</v>
      </c>
      <c r="R765" s="4" t="n">
        <v>0</v>
      </c>
      <c r="S765" s="4" t="n">
        <v>0</v>
      </c>
      <c r="T765" s="4" t="n">
        <v>0</v>
      </c>
      <c r="U765" s="4" t="n">
        <v>0</v>
      </c>
      <c r="V765" s="4" t="n">
        <v>0</v>
      </c>
      <c r="W765" s="4" t="n">
        <v>0</v>
      </c>
      <c r="X765" s="4" t="n">
        <v>0</v>
      </c>
      <c r="Y765" s="4" t="n">
        <v>0</v>
      </c>
      <c r="Z765" s="4" t="n">
        <v>0</v>
      </c>
      <c r="AA765" s="4" t="n">
        <v>0</v>
      </c>
      <c r="AB765" s="4">
        <f>SUM(Q765:Y765)-Z765</f>
        <v/>
      </c>
      <c r="AC765" s="4">
        <f>IF(I765="","",IF(OR(LEFT(I765,3)="BKK",I765="LCH55"),"BKK",IF(LEFT(I765,3)="LCH","LCH","OTHER")))</f>
        <v/>
      </c>
      <c r="AD765" s="4">
        <f>MAX(0,Q765-MAX(0,Z765))</f>
        <v/>
      </c>
      <c r="AE765" s="4">
        <f>MAX(0,R765-MAX(0,Z765-SUM(Q765:Q765)))</f>
        <v/>
      </c>
      <c r="AF765" s="4">
        <f>MAX(0,S765-MAX(0,Z765-SUM(Q765:R765)))</f>
        <v/>
      </c>
      <c r="AG765" s="4">
        <f>MAX(0,T765-MAX(0,Z765-SUM(Q765:S765)))</f>
        <v/>
      </c>
      <c r="AH765" s="4">
        <f>MAX(0,U765-MAX(0,Z765-SUM(Q765:T765)))</f>
        <v/>
      </c>
      <c r="AI765" s="4">
        <f>MAX(0,V765-MAX(0,Z765-SUM(Q765:U765)))</f>
        <v/>
      </c>
      <c r="AJ765" s="4">
        <f>MAX(0,W765-MAX(0,Z765-SUM(Q765:V765)))</f>
        <v/>
      </c>
      <c r="AK765" s="4">
        <f>MAX(0,X765-MAX(0,Z765-SUM(Q765:W765)))</f>
        <v/>
      </c>
      <c r="AL765" s="4">
        <f>MAX(0,Y765-MAX(0,Z765-SUM(Q765:X765)))</f>
        <v/>
      </c>
    </row>
    <row r="766">
      <c r="A766" s="4" t="inlineStr">
        <is>
          <t>HASLS22260902030</t>
        </is>
      </c>
      <c r="B766" s="4" t="inlineStr">
        <is>
          <t>SWIC</t>
        </is>
      </c>
      <c r="C766" s="4" t="inlineStr">
        <is>
          <t>2611N</t>
        </is>
      </c>
      <c r="D766" s="4" t="inlineStr">
        <is>
          <t>202610132300</t>
        </is>
      </c>
      <c r="E766" s="4" t="inlineStr"/>
      <c r="F766" s="4" t="inlineStr">
        <is>
          <t>THLCH</t>
        </is>
      </c>
      <c r="G766" s="4" t="inlineStr">
        <is>
          <t>JPYKK</t>
        </is>
      </c>
      <c r="H766" s="4" t="inlineStr">
        <is>
          <t xml:space="preserve">20'x1 </t>
        </is>
      </c>
      <c r="I766" s="4" t="inlineStr">
        <is>
          <t>LCHY5</t>
        </is>
      </c>
      <c r="J766" s="4" t="inlineStr">
        <is>
          <t>PW DEPOT CO., LTD.</t>
        </is>
      </c>
      <c r="K766" s="4" t="inlineStr">
        <is>
          <t>20261005</t>
        </is>
      </c>
      <c r="L766" s="4" t="inlineStr">
        <is>
          <t>DOW CHEMICAL THAILAND LTD.</t>
        </is>
      </c>
      <c r="M766" s="4" t="inlineStr">
        <is>
          <t>SIAM POLYETHYLENE CO., LTD.</t>
        </is>
      </c>
      <c r="N766" s="4" t="inlineStr">
        <is>
          <t>RESIN</t>
        </is>
      </c>
      <c r="O766" s="4" t="inlineStr">
        <is>
          <t>1X20' SEABULK</t>
        </is>
      </c>
      <c r="P766" s="4" t="inlineStr">
        <is>
          <t>Pickup : 2026-10-05, Return : 2026-10-09</t>
        </is>
      </c>
      <c r="Q766" s="4" t="n">
        <v>1</v>
      </c>
      <c r="R766" s="4" t="n">
        <v>0</v>
      </c>
      <c r="S766" s="4" t="n">
        <v>0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>
        <f>SUM(Q766:Y766)-Z766</f>
        <v/>
      </c>
      <c r="AC766" s="4">
        <f>IF(I766="","",IF(OR(LEFT(I766,3)="BKK",I766="LCH55"),"BKK",IF(LEFT(I766,3)="LCH","LCH","OTHER")))</f>
        <v/>
      </c>
      <c r="AD766" s="4">
        <f>MAX(0,Q766-MAX(0,Z766))</f>
        <v/>
      </c>
      <c r="AE766" s="4">
        <f>MAX(0,R766-MAX(0,Z766-SUM(Q766:Q766)))</f>
        <v/>
      </c>
      <c r="AF766" s="4">
        <f>MAX(0,S766-MAX(0,Z766-SUM(Q766:R766)))</f>
        <v/>
      </c>
      <c r="AG766" s="4">
        <f>MAX(0,T766-MAX(0,Z766-SUM(Q766:S766)))</f>
        <v/>
      </c>
      <c r="AH766" s="4">
        <f>MAX(0,U766-MAX(0,Z766-SUM(Q766:T766)))</f>
        <v/>
      </c>
      <c r="AI766" s="4">
        <f>MAX(0,V766-MAX(0,Z766-SUM(Q766:U766)))</f>
        <v/>
      </c>
      <c r="AJ766" s="4">
        <f>MAX(0,W766-MAX(0,Z766-SUM(Q766:V766)))</f>
        <v/>
      </c>
      <c r="AK766" s="4">
        <f>MAX(0,X766-MAX(0,Z766-SUM(Q766:W766)))</f>
        <v/>
      </c>
      <c r="AL766" s="4">
        <f>MAX(0,Y766-MAX(0,Z766-SUM(Q766:X766)))</f>
        <v/>
      </c>
    </row>
    <row r="767">
      <c r="A767" s="4" t="inlineStr">
        <is>
          <t>HASLS22260902033</t>
        </is>
      </c>
      <c r="B767" s="4" t="inlineStr">
        <is>
          <t>SWVG</t>
        </is>
      </c>
      <c r="C767" s="4" t="inlineStr">
        <is>
          <t>2612N</t>
        </is>
      </c>
      <c r="D767" s="4" t="inlineStr">
        <is>
          <t>202610070330</t>
        </is>
      </c>
      <c r="E767" s="4" t="inlineStr"/>
      <c r="F767" s="4" t="inlineStr">
        <is>
          <t>THLCH</t>
        </is>
      </c>
      <c r="G767" s="4" t="inlineStr">
        <is>
          <t>CNSHA</t>
        </is>
      </c>
      <c r="H767" s="4" t="inlineStr">
        <is>
          <t xml:space="preserve">40Hx1 </t>
        </is>
      </c>
      <c r="I767" s="4" t="inlineStr">
        <is>
          <t>LCHY5</t>
        </is>
      </c>
      <c r="J767" s="4" t="inlineStr">
        <is>
          <t>PW DEPOT CO., LTD.</t>
        </is>
      </c>
      <c r="K767" s="4" t="inlineStr">
        <is>
          <t>20260929</t>
        </is>
      </c>
      <c r="L767" s="4" t="inlineStr">
        <is>
          <t>DOUBLE A (1991) PUBLIC COMPANY LIMITED</t>
        </is>
      </c>
      <c r="M767" s="4" t="inlineStr">
        <is>
          <t>DOUBLE A (1991) PUBLIC COMPANY LIMITED</t>
        </is>
      </c>
      <c r="N767" s="4" t="inlineStr">
        <is>
          <t>PAPER</t>
        </is>
      </c>
      <c r="O767" s="4" t="inlineStr">
        <is>
          <t>GOOD AND CLEAN CONTAINER</t>
        </is>
      </c>
      <c r="P767" s="4" t="inlineStr">
        <is>
          <t xml:space="preserve">CY-RTN : 29-04/10/2026 
REF : PI-CN-TH-DA-26100037
FRT  31/20'/40'HQ Freetime 21 days 
</t>
        </is>
      </c>
      <c r="Q767" s="4" t="n">
        <v>0</v>
      </c>
      <c r="R767" s="4" t="n">
        <v>0</v>
      </c>
      <c r="S767" s="4" t="n">
        <v>1</v>
      </c>
      <c r="T767" s="4" t="n">
        <v>0</v>
      </c>
      <c r="U767" s="4" t="n">
        <v>0</v>
      </c>
      <c r="V767" s="4" t="n">
        <v>0</v>
      </c>
      <c r="W767" s="4" t="n">
        <v>0</v>
      </c>
      <c r="X767" s="4" t="n">
        <v>0</v>
      </c>
      <c r="Y767" s="4" t="n">
        <v>0</v>
      </c>
      <c r="Z767" s="4" t="n">
        <v>0</v>
      </c>
      <c r="AA767" s="4" t="n">
        <v>0</v>
      </c>
      <c r="AB767" s="4">
        <f>SUM(Q767:Y767)-Z767</f>
        <v/>
      </c>
      <c r="AC767" s="4">
        <f>IF(I767="","",IF(OR(LEFT(I767,3)="BKK",I767="LCH55"),"BKK",IF(LEFT(I767,3)="LCH","LCH","OTHER")))</f>
        <v/>
      </c>
      <c r="AD767" s="4">
        <f>MAX(0,Q767-MAX(0,Z767))</f>
        <v/>
      </c>
      <c r="AE767" s="4">
        <f>MAX(0,R767-MAX(0,Z767-SUM(Q767:Q767)))</f>
        <v/>
      </c>
      <c r="AF767" s="4">
        <f>MAX(0,S767-MAX(0,Z767-SUM(Q767:R767)))</f>
        <v/>
      </c>
      <c r="AG767" s="4">
        <f>MAX(0,T767-MAX(0,Z767-SUM(Q767:S767)))</f>
        <v/>
      </c>
      <c r="AH767" s="4">
        <f>MAX(0,U767-MAX(0,Z767-SUM(Q767:T767)))</f>
        <v/>
      </c>
      <c r="AI767" s="4">
        <f>MAX(0,V767-MAX(0,Z767-SUM(Q767:U767)))</f>
        <v/>
      </c>
      <c r="AJ767" s="4">
        <f>MAX(0,W767-MAX(0,Z767-SUM(Q767:V767)))</f>
        <v/>
      </c>
      <c r="AK767" s="4">
        <f>MAX(0,X767-MAX(0,Z767-SUM(Q767:W767)))</f>
        <v/>
      </c>
      <c r="AL767" s="4">
        <f>MAX(0,Y767-MAX(0,Z767-SUM(Q767:X767)))</f>
        <v/>
      </c>
    </row>
    <row r="768">
      <c r="A768" s="4" t="inlineStr">
        <is>
          <t>HASLS22260902034</t>
        </is>
      </c>
      <c r="B768" s="4" t="inlineStr">
        <is>
          <t>SWRG</t>
        </is>
      </c>
      <c r="C768" s="4" t="inlineStr">
        <is>
          <t>2609N</t>
        </is>
      </c>
      <c r="D768" s="4" t="inlineStr">
        <is>
          <t>202610131130</t>
        </is>
      </c>
      <c r="E768" s="4" t="inlineStr"/>
      <c r="F768" s="4" t="inlineStr">
        <is>
          <t>THLCH</t>
        </is>
      </c>
      <c r="G768" s="4" t="inlineStr">
        <is>
          <t>CNSHA</t>
        </is>
      </c>
      <c r="H768" s="4" t="inlineStr">
        <is>
          <t xml:space="preserve">20'x12 </t>
        </is>
      </c>
      <c r="I768" s="4" t="inlineStr">
        <is>
          <t>LCHY5</t>
        </is>
      </c>
      <c r="J768" s="4" t="inlineStr">
        <is>
          <t>PW DEPOT CO., LTD.</t>
        </is>
      </c>
      <c r="K768" s="4" t="inlineStr">
        <is>
          <t>20261002</t>
        </is>
      </c>
      <c r="L768" s="4" t="inlineStr">
        <is>
          <t>DOUBLE A (1991) PUBLIC COMPANY LIMITED</t>
        </is>
      </c>
      <c r="M768" s="4" t="inlineStr">
        <is>
          <t>DOUBLE A (1991) PUBLIC COMPANY LIMITED</t>
        </is>
      </c>
      <c r="N768" s="4" t="inlineStr">
        <is>
          <t>PAPER</t>
        </is>
      </c>
      <c r="O768" s="4" t="inlineStr">
        <is>
          <t>GOOD AND CLEAN CONTAINER</t>
        </is>
      </c>
      <c r="P768" s="4" t="inlineStr">
        <is>
          <t xml:space="preserve">CY-RTN : 02-05/10/2026 
REF : PI-CN-TH-DA-26100029
FRT  31/20'/40'HQ Freetime 21 days 
</t>
        </is>
      </c>
      <c r="Q768" s="4" t="n">
        <v>12</v>
      </c>
      <c r="R768" s="4" t="n">
        <v>0</v>
      </c>
      <c r="S768" s="4" t="n">
        <v>0</v>
      </c>
      <c r="T768" s="4" t="n">
        <v>0</v>
      </c>
      <c r="U768" s="4" t="n">
        <v>0</v>
      </c>
      <c r="V768" s="4" t="n">
        <v>0</v>
      </c>
      <c r="W768" s="4" t="n">
        <v>0</v>
      </c>
      <c r="X768" s="4" t="n">
        <v>0</v>
      </c>
      <c r="Y768" s="4" t="n">
        <v>0</v>
      </c>
      <c r="Z768" s="4" t="n">
        <v>0</v>
      </c>
      <c r="AA768" s="4" t="n">
        <v>0</v>
      </c>
      <c r="AB768" s="4">
        <f>SUM(Q768:Y768)-Z768</f>
        <v/>
      </c>
      <c r="AC768" s="4">
        <f>IF(I768="","",IF(OR(LEFT(I768,3)="BKK",I768="LCH55"),"BKK",IF(LEFT(I768,3)="LCH","LCH","OTHER")))</f>
        <v/>
      </c>
      <c r="AD768" s="4">
        <f>MAX(0,Q768-MAX(0,Z768))</f>
        <v/>
      </c>
      <c r="AE768" s="4">
        <f>MAX(0,R768-MAX(0,Z768-SUM(Q768:Q768)))</f>
        <v/>
      </c>
      <c r="AF768" s="4">
        <f>MAX(0,S768-MAX(0,Z768-SUM(Q768:R768)))</f>
        <v/>
      </c>
      <c r="AG768" s="4">
        <f>MAX(0,T768-MAX(0,Z768-SUM(Q768:S768)))</f>
        <v/>
      </c>
      <c r="AH768" s="4">
        <f>MAX(0,U768-MAX(0,Z768-SUM(Q768:T768)))</f>
        <v/>
      </c>
      <c r="AI768" s="4">
        <f>MAX(0,V768-MAX(0,Z768-SUM(Q768:U768)))</f>
        <v/>
      </c>
      <c r="AJ768" s="4">
        <f>MAX(0,W768-MAX(0,Z768-SUM(Q768:V768)))</f>
        <v/>
      </c>
      <c r="AK768" s="4">
        <f>MAX(0,X768-MAX(0,Z768-SUM(Q768:W768)))</f>
        <v/>
      </c>
      <c r="AL768" s="4">
        <f>MAX(0,Y768-MAX(0,Z768-SUM(Q768:X768)))</f>
        <v/>
      </c>
    </row>
    <row r="769">
      <c r="A769" s="4" t="inlineStr">
        <is>
          <t>HASLS22260902035</t>
        </is>
      </c>
      <c r="B769" s="4" t="inlineStr">
        <is>
          <t>SWRG</t>
        </is>
      </c>
      <c r="C769" s="4" t="inlineStr">
        <is>
          <t>2609N</t>
        </is>
      </c>
      <c r="D769" s="4" t="inlineStr">
        <is>
          <t>202610131130</t>
        </is>
      </c>
      <c r="E769" s="4" t="inlineStr"/>
      <c r="F769" s="4" t="inlineStr">
        <is>
          <t>THLCH</t>
        </is>
      </c>
      <c r="G769" s="4" t="inlineStr">
        <is>
          <t>CNSHA</t>
        </is>
      </c>
      <c r="H769" s="4" t="inlineStr">
        <is>
          <t xml:space="preserve">40Hx1 </t>
        </is>
      </c>
      <c r="I769" s="4" t="inlineStr">
        <is>
          <t>LCHY5</t>
        </is>
      </c>
      <c r="J769" s="4" t="inlineStr">
        <is>
          <t>PW DEPOT CO., LTD.</t>
        </is>
      </c>
      <c r="K769" s="4" t="inlineStr">
        <is>
          <t>20261002</t>
        </is>
      </c>
      <c r="L769" s="4" t="inlineStr">
        <is>
          <t>DOUBLE A (1991) PUBLIC COMPANY LIMITED</t>
        </is>
      </c>
      <c r="M769" s="4" t="inlineStr">
        <is>
          <t>DOUBLE A (1991) PUBLIC COMPANY LIMITED</t>
        </is>
      </c>
      <c r="N769" s="4" t="inlineStr">
        <is>
          <t>PAPER</t>
        </is>
      </c>
      <c r="O769" s="4" t="inlineStr">
        <is>
          <t>GOOD AND CLEAN CONTAINER</t>
        </is>
      </c>
      <c r="P769" s="4" t="inlineStr">
        <is>
          <t xml:space="preserve">CY-RTN : 02-05/10/2026 
REF : PI-CN-TH-DA-26100035
FRT  31/20'/40'HQ Freetime 21 days 
</t>
        </is>
      </c>
      <c r="Q769" s="4" t="n">
        <v>0</v>
      </c>
      <c r="R769" s="4" t="n">
        <v>0</v>
      </c>
      <c r="S769" s="4" t="n">
        <v>1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>
        <f>SUM(Q769:Y769)-Z769</f>
        <v/>
      </c>
      <c r="AC769" s="4">
        <f>IF(I769="","",IF(OR(LEFT(I769,3)="BKK",I769="LCH55"),"BKK",IF(LEFT(I769,3)="LCH","LCH","OTHER")))</f>
        <v/>
      </c>
      <c r="AD769" s="4">
        <f>MAX(0,Q769-MAX(0,Z769))</f>
        <v/>
      </c>
      <c r="AE769" s="4">
        <f>MAX(0,R769-MAX(0,Z769-SUM(Q769:Q769)))</f>
        <v/>
      </c>
      <c r="AF769" s="4">
        <f>MAX(0,S769-MAX(0,Z769-SUM(Q769:R769)))</f>
        <v/>
      </c>
      <c r="AG769" s="4">
        <f>MAX(0,T769-MAX(0,Z769-SUM(Q769:S769)))</f>
        <v/>
      </c>
      <c r="AH769" s="4">
        <f>MAX(0,U769-MAX(0,Z769-SUM(Q769:T769)))</f>
        <v/>
      </c>
      <c r="AI769" s="4">
        <f>MAX(0,V769-MAX(0,Z769-SUM(Q769:U769)))</f>
        <v/>
      </c>
      <c r="AJ769" s="4">
        <f>MAX(0,W769-MAX(0,Z769-SUM(Q769:V769)))</f>
        <v/>
      </c>
      <c r="AK769" s="4">
        <f>MAX(0,X769-MAX(0,Z769-SUM(Q769:W769)))</f>
        <v/>
      </c>
      <c r="AL769" s="4">
        <f>MAX(0,Y769-MAX(0,Z769-SUM(Q769:X769)))</f>
        <v/>
      </c>
    </row>
    <row r="770">
      <c r="A770" s="4" t="inlineStr">
        <is>
          <t>HASLS22260902036</t>
        </is>
      </c>
      <c r="B770" s="4" t="inlineStr">
        <is>
          <t>SWRG</t>
        </is>
      </c>
      <c r="C770" s="4" t="inlineStr">
        <is>
          <t>2609N</t>
        </is>
      </c>
      <c r="D770" s="4" t="inlineStr">
        <is>
          <t>202610131130</t>
        </is>
      </c>
      <c r="E770" s="4" t="inlineStr"/>
      <c r="F770" s="4" t="inlineStr">
        <is>
          <t>THLCH</t>
        </is>
      </c>
      <c r="G770" s="4" t="inlineStr">
        <is>
          <t>CNSHA</t>
        </is>
      </c>
      <c r="H770" s="4" t="inlineStr">
        <is>
          <t xml:space="preserve">40Hx3 </t>
        </is>
      </c>
      <c r="I770" s="4" t="inlineStr">
        <is>
          <t>LCHY5</t>
        </is>
      </c>
      <c r="J770" s="4" t="inlineStr">
        <is>
          <t>PW DEPOT CO., LTD.</t>
        </is>
      </c>
      <c r="K770" s="4" t="inlineStr">
        <is>
          <t>20261002</t>
        </is>
      </c>
      <c r="L770" s="4" t="inlineStr">
        <is>
          <t>DOUBLE A (1991) PUBLIC COMPANY LIMITED</t>
        </is>
      </c>
      <c r="M770" s="4" t="inlineStr">
        <is>
          <t>DOUBLE A (1991) PUBLIC COMPANY LIMITED</t>
        </is>
      </c>
      <c r="N770" s="4" t="inlineStr">
        <is>
          <t>PAPER</t>
        </is>
      </c>
      <c r="O770" s="4" t="inlineStr">
        <is>
          <t>GOOD AND CLEAN CONTAINER</t>
        </is>
      </c>
      <c r="P770" s="4" t="inlineStr">
        <is>
          <t xml:space="preserve">CY-RTN : 02-05/10/2026 
REF : PI-CN-TH-DA-26100046
FRT  31/20'/40'HQ Freetime 21 days 
</t>
        </is>
      </c>
      <c r="Q770" s="4" t="n">
        <v>0</v>
      </c>
      <c r="R770" s="4" t="n">
        <v>0</v>
      </c>
      <c r="S770" s="4" t="n">
        <v>3</v>
      </c>
      <c r="T770" s="4" t="n">
        <v>0</v>
      </c>
      <c r="U770" s="4" t="n">
        <v>0</v>
      </c>
      <c r="V770" s="4" t="n">
        <v>0</v>
      </c>
      <c r="W770" s="4" t="n">
        <v>0</v>
      </c>
      <c r="X770" s="4" t="n">
        <v>0</v>
      </c>
      <c r="Y770" s="4" t="n">
        <v>0</v>
      </c>
      <c r="Z770" s="4" t="n">
        <v>0</v>
      </c>
      <c r="AA770" s="4" t="n">
        <v>0</v>
      </c>
      <c r="AB770" s="4">
        <f>SUM(Q770:Y770)-Z770</f>
        <v/>
      </c>
      <c r="AC770" s="4">
        <f>IF(I770="","",IF(OR(LEFT(I770,3)="BKK",I770="LCH55"),"BKK",IF(LEFT(I770,3)="LCH","LCH","OTHER")))</f>
        <v/>
      </c>
      <c r="AD770" s="4">
        <f>MAX(0,Q770-MAX(0,Z770))</f>
        <v/>
      </c>
      <c r="AE770" s="4">
        <f>MAX(0,R770-MAX(0,Z770-SUM(Q770:Q770)))</f>
        <v/>
      </c>
      <c r="AF770" s="4">
        <f>MAX(0,S770-MAX(0,Z770-SUM(Q770:R770)))</f>
        <v/>
      </c>
      <c r="AG770" s="4">
        <f>MAX(0,T770-MAX(0,Z770-SUM(Q770:S770)))</f>
        <v/>
      </c>
      <c r="AH770" s="4">
        <f>MAX(0,U770-MAX(0,Z770-SUM(Q770:T770)))</f>
        <v/>
      </c>
      <c r="AI770" s="4">
        <f>MAX(0,V770-MAX(0,Z770-SUM(Q770:U770)))</f>
        <v/>
      </c>
      <c r="AJ770" s="4">
        <f>MAX(0,W770-MAX(0,Z770-SUM(Q770:V770)))</f>
        <v/>
      </c>
      <c r="AK770" s="4">
        <f>MAX(0,X770-MAX(0,Z770-SUM(Q770:W770)))</f>
        <v/>
      </c>
      <c r="AL770" s="4">
        <f>MAX(0,Y770-MAX(0,Z770-SUM(Q770:X770)))</f>
        <v/>
      </c>
    </row>
    <row r="771">
      <c r="A771" s="4" t="inlineStr">
        <is>
          <t>HASLS22260902037</t>
        </is>
      </c>
      <c r="B771" s="4" t="inlineStr">
        <is>
          <t>HMVY</t>
        </is>
      </c>
      <c r="C771" s="4" t="inlineStr">
        <is>
          <t>2609N</t>
        </is>
      </c>
      <c r="D771" s="4" t="inlineStr">
        <is>
          <t>202610200330</t>
        </is>
      </c>
      <c r="E771" s="4" t="inlineStr"/>
      <c r="F771" s="4" t="inlineStr">
        <is>
          <t>THLCH</t>
        </is>
      </c>
      <c r="G771" s="4" t="inlineStr">
        <is>
          <t>CNSHA</t>
        </is>
      </c>
      <c r="H771" s="4" t="inlineStr">
        <is>
          <t xml:space="preserve">20'x1 </t>
        </is>
      </c>
      <c r="I771" s="4" t="inlineStr">
        <is>
          <t>LCHY5</t>
        </is>
      </c>
      <c r="J771" s="4" t="inlineStr">
        <is>
          <t>PW DEPOT CO., LTD.</t>
        </is>
      </c>
      <c r="K771" s="4" t="inlineStr">
        <is>
          <t>20261010</t>
        </is>
      </c>
      <c r="L771" s="4" t="inlineStr">
        <is>
          <t>DOUBLE A (1991) PUBLIC COMPANY LIMITED</t>
        </is>
      </c>
      <c r="M771" s="4" t="inlineStr">
        <is>
          <t>DOUBLE A (1991) PUBLIC COMPANY LIMITED</t>
        </is>
      </c>
      <c r="N771" s="4" t="inlineStr">
        <is>
          <t>PAPER</t>
        </is>
      </c>
      <c r="O771" s="4" t="inlineStr">
        <is>
          <t>GOOD AND CLEAN CONTAINER</t>
        </is>
      </c>
      <c r="P771" s="4" t="inlineStr">
        <is>
          <t xml:space="preserve">CY-RTN : 10-13/10/2026 
REF : PI-CN-TH-DA-26100048
FRT  31/20'/40'HQ Freetime 21 days 
</t>
        </is>
      </c>
      <c r="Q771" s="4" t="n">
        <v>1</v>
      </c>
      <c r="R771" s="4" t="n">
        <v>0</v>
      </c>
      <c r="S771" s="4" t="n">
        <v>0</v>
      </c>
      <c r="T771" s="4" t="n">
        <v>0</v>
      </c>
      <c r="U771" s="4" t="n">
        <v>0</v>
      </c>
      <c r="V771" s="4" t="n">
        <v>0</v>
      </c>
      <c r="W771" s="4" t="n">
        <v>0</v>
      </c>
      <c r="X771" s="4" t="n">
        <v>0</v>
      </c>
      <c r="Y771" s="4" t="n">
        <v>0</v>
      </c>
      <c r="Z771" s="4" t="n">
        <v>0</v>
      </c>
      <c r="AA771" s="4" t="n">
        <v>0</v>
      </c>
      <c r="AB771" s="4">
        <f>SUM(Q771:Y771)-Z771</f>
        <v/>
      </c>
      <c r="AC771" s="4">
        <f>IF(I771="","",IF(OR(LEFT(I771,3)="BKK",I771="LCH55"),"BKK",IF(LEFT(I771,3)="LCH","LCH","OTHER")))</f>
        <v/>
      </c>
      <c r="AD771" s="4">
        <f>MAX(0,Q771-MAX(0,Z771))</f>
        <v/>
      </c>
      <c r="AE771" s="4">
        <f>MAX(0,R771-MAX(0,Z771-SUM(Q771:Q771)))</f>
        <v/>
      </c>
      <c r="AF771" s="4">
        <f>MAX(0,S771-MAX(0,Z771-SUM(Q771:R771)))</f>
        <v/>
      </c>
      <c r="AG771" s="4">
        <f>MAX(0,T771-MAX(0,Z771-SUM(Q771:S771)))</f>
        <v/>
      </c>
      <c r="AH771" s="4">
        <f>MAX(0,U771-MAX(0,Z771-SUM(Q771:T771)))</f>
        <v/>
      </c>
      <c r="AI771" s="4">
        <f>MAX(0,V771-MAX(0,Z771-SUM(Q771:U771)))</f>
        <v/>
      </c>
      <c r="AJ771" s="4">
        <f>MAX(0,W771-MAX(0,Z771-SUM(Q771:V771)))</f>
        <v/>
      </c>
      <c r="AK771" s="4">
        <f>MAX(0,X771-MAX(0,Z771-SUM(Q771:W771)))</f>
        <v/>
      </c>
      <c r="AL771" s="4">
        <f>MAX(0,Y771-MAX(0,Z771-SUM(Q771:X771)))</f>
        <v/>
      </c>
    </row>
    <row r="772">
      <c r="A772" s="4" t="inlineStr">
        <is>
          <t>HASLS22260902042</t>
        </is>
      </c>
      <c r="B772" s="4" t="inlineStr">
        <is>
          <t>SWVG</t>
        </is>
      </c>
      <c r="C772" s="4" t="inlineStr">
        <is>
          <t>2612N</t>
        </is>
      </c>
      <c r="D772" s="4" t="inlineStr">
        <is>
          <t>202610070330</t>
        </is>
      </c>
      <c r="E772" s="4" t="inlineStr"/>
      <c r="F772" s="4" t="inlineStr">
        <is>
          <t>THLCH</t>
        </is>
      </c>
      <c r="G772" s="4" t="inlineStr">
        <is>
          <t>CNSHA</t>
        </is>
      </c>
      <c r="H772" s="4" t="inlineStr">
        <is>
          <t xml:space="preserve">20'x3 </t>
        </is>
      </c>
      <c r="I772" s="4" t="inlineStr">
        <is>
          <t>LCHY5</t>
        </is>
      </c>
      <c r="J772" s="4" t="inlineStr">
        <is>
          <t>PW DEPOT CO., LTD.</t>
        </is>
      </c>
      <c r="K772" s="4" t="inlineStr">
        <is>
          <t>20260930</t>
        </is>
      </c>
      <c r="L772" s="4" t="inlineStr">
        <is>
          <t>DOUBLE A (1991) PUBLIC COMPANY LIMITED</t>
        </is>
      </c>
      <c r="M772" s="4" t="inlineStr">
        <is>
          <t>DOUBLE A (1991) PUBLIC COMPANY LIMITED</t>
        </is>
      </c>
      <c r="N772" s="4" t="inlineStr">
        <is>
          <t>PAPER</t>
        </is>
      </c>
      <c r="O772" s="4" t="inlineStr">
        <is>
          <t>GOOD AND CLEAN CONTAINER</t>
        </is>
      </c>
      <c r="P772" s="4" t="inlineStr">
        <is>
          <t xml:space="preserve">CY-RTN : 30-02/10/2026 
REF : PI-CN-TH-DA-26090061, PI-CN-TH-DA-26090062
FRT  31/20'/40'HQ Freetime 21 days 
</t>
        </is>
      </c>
      <c r="Q772" s="4" t="n">
        <v>3</v>
      </c>
      <c r="R772" s="4" t="n">
        <v>0</v>
      </c>
      <c r="S772" s="4" t="n">
        <v>0</v>
      </c>
      <c r="T772" s="4" t="n">
        <v>0</v>
      </c>
      <c r="U772" s="4" t="n">
        <v>0</v>
      </c>
      <c r="V772" s="4" t="n">
        <v>0</v>
      </c>
      <c r="W772" s="4" t="n">
        <v>0</v>
      </c>
      <c r="X772" s="4" t="n">
        <v>0</v>
      </c>
      <c r="Y772" s="4" t="n">
        <v>0</v>
      </c>
      <c r="Z772" s="4" t="n">
        <v>0</v>
      </c>
      <c r="AA772" s="4" t="n">
        <v>0</v>
      </c>
      <c r="AB772" s="4">
        <f>SUM(Q772:Y772)-Z772</f>
        <v/>
      </c>
      <c r="AC772" s="4">
        <f>IF(I772="","",IF(OR(LEFT(I772,3)="BKK",I772="LCH55"),"BKK",IF(LEFT(I772,3)="LCH","LCH","OTHER")))</f>
        <v/>
      </c>
      <c r="AD772" s="4">
        <f>MAX(0,Q772-MAX(0,Z772))</f>
        <v/>
      </c>
      <c r="AE772" s="4">
        <f>MAX(0,R772-MAX(0,Z772-SUM(Q772:Q772)))</f>
        <v/>
      </c>
      <c r="AF772" s="4">
        <f>MAX(0,S772-MAX(0,Z772-SUM(Q772:R772)))</f>
        <v/>
      </c>
      <c r="AG772" s="4">
        <f>MAX(0,T772-MAX(0,Z772-SUM(Q772:S772)))</f>
        <v/>
      </c>
      <c r="AH772" s="4">
        <f>MAX(0,U772-MAX(0,Z772-SUM(Q772:T772)))</f>
        <v/>
      </c>
      <c r="AI772" s="4">
        <f>MAX(0,V772-MAX(0,Z772-SUM(Q772:U772)))</f>
        <v/>
      </c>
      <c r="AJ772" s="4">
        <f>MAX(0,W772-MAX(0,Z772-SUM(Q772:V772)))</f>
        <v/>
      </c>
      <c r="AK772" s="4">
        <f>MAX(0,X772-MAX(0,Z772-SUM(Q772:W772)))</f>
        <v/>
      </c>
      <c r="AL772" s="4">
        <f>MAX(0,Y772-MAX(0,Z772-SUM(Q772:X772)))</f>
        <v/>
      </c>
    </row>
    <row r="773">
      <c r="A773" s="4" t="inlineStr">
        <is>
          <t>HASLS22260902048</t>
        </is>
      </c>
      <c r="B773" s="4" t="inlineStr">
        <is>
          <t>SWIC</t>
        </is>
      </c>
      <c r="C773" s="4" t="inlineStr">
        <is>
          <t>2611N</t>
        </is>
      </c>
      <c r="D773" s="4" t="inlineStr">
        <is>
          <t>202610132300</t>
        </is>
      </c>
      <c r="E773" s="4" t="inlineStr"/>
      <c r="F773" s="4" t="inlineStr">
        <is>
          <t>THLCH</t>
        </is>
      </c>
      <c r="G773" s="4" t="inlineStr">
        <is>
          <t>VNSGN</t>
        </is>
      </c>
      <c r="H773" s="4" t="inlineStr">
        <is>
          <t xml:space="preserve">20'x3 </t>
        </is>
      </c>
      <c r="I773" s="4" t="inlineStr">
        <is>
          <t>LCHY5</t>
        </is>
      </c>
      <c r="J773" s="4" t="inlineStr">
        <is>
          <t>PW DEPOT CO., LTD.</t>
        </is>
      </c>
      <c r="K773" s="4" t="inlineStr">
        <is>
          <t>20261002</t>
        </is>
      </c>
      <c r="L773" s="4" t="inlineStr">
        <is>
          <t>WHA GC LOGISTICS COMPANY LIMITED</t>
        </is>
      </c>
      <c r="M773" s="4" t="inlineStr">
        <is>
          <t>PTT GLOBAL CHEMICAL PUBLIC COMPANY LIMITED</t>
        </is>
      </c>
      <c r="N773" s="4" t="inlineStr">
        <is>
          <t>RESIN</t>
        </is>
      </c>
      <c r="O773" s="4" t="inlineStr">
        <is>
          <t>*** REQ. GOOD &amp; CLEAN  CONT. .( NO SMELL)  ***</t>
        </is>
      </c>
      <c r="P773" s="4" t="inlineStr">
        <is>
          <t xml:space="preserve">CY : 02/10/26 , RTN : 04/10/26 [1ST RTN 09/10/2026 W/O RENT]
** PLEASE CHECK OPEN GATE BEFORE RETURN CONTAINER ** 
</t>
        </is>
      </c>
      <c r="Q773" s="4" t="n">
        <v>3</v>
      </c>
      <c r="R773" s="4" t="n">
        <v>0</v>
      </c>
      <c r="S773" s="4" t="n">
        <v>0</v>
      </c>
      <c r="T773" s="4" t="n">
        <v>0</v>
      </c>
      <c r="U773" s="4" t="n">
        <v>0</v>
      </c>
      <c r="V773" s="4" t="n">
        <v>0</v>
      </c>
      <c r="W773" s="4" t="n">
        <v>0</v>
      </c>
      <c r="X773" s="4" t="n">
        <v>0</v>
      </c>
      <c r="Y773" s="4" t="n">
        <v>0</v>
      </c>
      <c r="Z773" s="4" t="n">
        <v>0</v>
      </c>
      <c r="AA773" s="4" t="n">
        <v>0</v>
      </c>
      <c r="AB773" s="4">
        <f>SUM(Q773:Y773)-Z773</f>
        <v/>
      </c>
      <c r="AC773" s="4">
        <f>IF(I773="","",IF(OR(LEFT(I773,3)="BKK",I773="LCH55"),"BKK",IF(LEFT(I773,3)="LCH","LCH","OTHER")))</f>
        <v/>
      </c>
      <c r="AD773" s="4">
        <f>MAX(0,Q773-MAX(0,Z773))</f>
        <v/>
      </c>
      <c r="AE773" s="4">
        <f>MAX(0,R773-MAX(0,Z773-SUM(Q773:Q773)))</f>
        <v/>
      </c>
      <c r="AF773" s="4">
        <f>MAX(0,S773-MAX(0,Z773-SUM(Q773:R773)))</f>
        <v/>
      </c>
      <c r="AG773" s="4">
        <f>MAX(0,T773-MAX(0,Z773-SUM(Q773:S773)))</f>
        <v/>
      </c>
      <c r="AH773" s="4">
        <f>MAX(0,U773-MAX(0,Z773-SUM(Q773:T773)))</f>
        <v/>
      </c>
      <c r="AI773" s="4">
        <f>MAX(0,V773-MAX(0,Z773-SUM(Q773:U773)))</f>
        <v/>
      </c>
      <c r="AJ773" s="4">
        <f>MAX(0,W773-MAX(0,Z773-SUM(Q773:V773)))</f>
        <v/>
      </c>
      <c r="AK773" s="4">
        <f>MAX(0,X773-MAX(0,Z773-SUM(Q773:W773)))</f>
        <v/>
      </c>
      <c r="AL773" s="4">
        <f>MAX(0,Y773-MAX(0,Z773-SUM(Q773:X773)))</f>
        <v/>
      </c>
    </row>
    <row r="774">
      <c r="A774" s="4" t="inlineStr">
        <is>
          <t>HASLS22260902061</t>
        </is>
      </c>
      <c r="B774" s="4" t="inlineStr">
        <is>
          <t>SWAT</t>
        </is>
      </c>
      <c r="C774" s="4" t="inlineStr">
        <is>
          <t>2610N</t>
        </is>
      </c>
      <c r="D774" s="4" t="inlineStr">
        <is>
          <t>202610081000</t>
        </is>
      </c>
      <c r="E774" s="4" t="inlineStr"/>
      <c r="F774" s="4" t="inlineStr">
        <is>
          <t>THLCH</t>
        </is>
      </c>
      <c r="G774" s="4" t="inlineStr">
        <is>
          <t>TWKEL</t>
        </is>
      </c>
      <c r="H774" s="4" t="inlineStr">
        <is>
          <t xml:space="preserve">20'x1 </t>
        </is>
      </c>
      <c r="I774" s="4" t="inlineStr">
        <is>
          <t>LCHY5</t>
        </is>
      </c>
      <c r="J774" s="4" t="inlineStr">
        <is>
          <t>PW DEPOT CO., LTD.</t>
        </is>
      </c>
      <c r="K774" s="4" t="inlineStr">
        <is>
          <t>20261005</t>
        </is>
      </c>
      <c r="L774" s="4" t="inlineStr">
        <is>
          <t>LEO GLOBAL LOGISTICS PUBLIC COMPANY LIMITED</t>
        </is>
      </c>
      <c r="M774" s="4" t="inlineStr">
        <is>
          <t>MODERN DYESTUFFS &amp; PIGMENTS CO., LTD.</t>
        </is>
      </c>
      <c r="N774" s="4" t="inlineStr">
        <is>
          <t>ORGANIC DYESTUFFS / H.S.CODE 320412</t>
        </is>
      </c>
      <c r="O774" s="4" t="inlineStr">
        <is>
          <t>REQUEST SMOOTH, GOOD AND CLEAN CONTAINER</t>
        </is>
      </c>
      <c r="P774" s="4" t="inlineStr">
        <is>
          <t>Pickup : 2026-10-05, Return : 2026-10-05 
 ** PLEASE CHECK OPEN GATE BEFORE RETURN CNTR **</t>
        </is>
      </c>
      <c r="Q774" s="4" t="n">
        <v>1</v>
      </c>
      <c r="R774" s="4" t="n">
        <v>0</v>
      </c>
      <c r="S774" s="4" t="n">
        <v>0</v>
      </c>
      <c r="T774" s="4" t="n">
        <v>0</v>
      </c>
      <c r="U774" s="4" t="n">
        <v>0</v>
      </c>
      <c r="V774" s="4" t="n">
        <v>0</v>
      </c>
      <c r="W774" s="4" t="n">
        <v>0</v>
      </c>
      <c r="X774" s="4" t="n">
        <v>0</v>
      </c>
      <c r="Y774" s="4" t="n">
        <v>0</v>
      </c>
      <c r="Z774" s="4" t="n">
        <v>0</v>
      </c>
      <c r="AA774" s="4" t="n">
        <v>0</v>
      </c>
      <c r="AB774" s="4">
        <f>SUM(Q774:Y774)-Z774</f>
        <v/>
      </c>
      <c r="AC774" s="4">
        <f>IF(I774="","",IF(OR(LEFT(I774,3)="BKK",I774="LCH55"),"BKK",IF(LEFT(I774,3)="LCH","LCH","OTHER")))</f>
        <v/>
      </c>
      <c r="AD774" s="4">
        <f>MAX(0,Q774-MAX(0,Z774))</f>
        <v/>
      </c>
      <c r="AE774" s="4">
        <f>MAX(0,R774-MAX(0,Z774-SUM(Q774:Q774)))</f>
        <v/>
      </c>
      <c r="AF774" s="4">
        <f>MAX(0,S774-MAX(0,Z774-SUM(Q774:R774)))</f>
        <v/>
      </c>
      <c r="AG774" s="4">
        <f>MAX(0,T774-MAX(0,Z774-SUM(Q774:S774)))</f>
        <v/>
      </c>
      <c r="AH774" s="4">
        <f>MAX(0,U774-MAX(0,Z774-SUM(Q774:T774)))</f>
        <v/>
      </c>
      <c r="AI774" s="4">
        <f>MAX(0,V774-MAX(0,Z774-SUM(Q774:U774)))</f>
        <v/>
      </c>
      <c r="AJ774" s="4">
        <f>MAX(0,W774-MAX(0,Z774-SUM(Q774:V774)))</f>
        <v/>
      </c>
      <c r="AK774" s="4">
        <f>MAX(0,X774-MAX(0,Z774-SUM(Q774:W774)))</f>
        <v/>
      </c>
      <c r="AL774" s="4">
        <f>MAX(0,Y774-MAX(0,Z774-SUM(Q774:X774)))</f>
        <v/>
      </c>
    </row>
    <row r="775">
      <c r="A775" s="4" t="inlineStr">
        <is>
          <t>HASLS22260902063</t>
        </is>
      </c>
      <c r="B775" s="4" t="inlineStr">
        <is>
          <t>SWRG</t>
        </is>
      </c>
      <c r="C775" s="4" t="inlineStr">
        <is>
          <t>2609N</t>
        </is>
      </c>
      <c r="D775" s="4" t="inlineStr">
        <is>
          <t>202610131130</t>
        </is>
      </c>
      <c r="E775" s="4" t="inlineStr"/>
      <c r="F775" s="4" t="inlineStr">
        <is>
          <t>THLCH</t>
        </is>
      </c>
      <c r="G775" s="4" t="inlineStr">
        <is>
          <t>JPMOJ</t>
        </is>
      </c>
      <c r="H775" s="4" t="inlineStr">
        <is>
          <t xml:space="preserve">20'x5 </t>
        </is>
      </c>
      <c r="I775" s="4" t="inlineStr">
        <is>
          <t>LCHY5</t>
        </is>
      </c>
      <c r="J775" s="4" t="inlineStr">
        <is>
          <t>PW DEPOT CO., LTD.</t>
        </is>
      </c>
      <c r="K775" s="4" t="inlineStr">
        <is>
          <t>20261002</t>
        </is>
      </c>
      <c r="L775" s="4" t="inlineStr">
        <is>
          <t>SCGJWD LOGISTICS PUBLIC COMPANY LIMITED</t>
        </is>
      </c>
      <c r="M775" s="4" t="inlineStr">
        <is>
          <t>THAI POLYETHYLENE CO., LTD.</t>
        </is>
      </c>
      <c r="N775" s="4" t="inlineStr">
        <is>
          <t>RESIN</t>
        </is>
      </c>
      <c r="O775" s="4" t="inlineStr">
        <is>
          <t>RESIN-PALLET,NO RED WALL CONTAINER,CLEAN CONTAINER NO OIL STAINS , NO RUSTY ,NO CUT OR HOLE</t>
        </is>
      </c>
      <c r="P775" s="4" t="inlineStr">
        <is>
          <t>CY-RTN 02-05/10/26 (  INV  3031061853 ) 
*PLS CHECK OPEN GATE BEFORE RETURN CTNR*</t>
        </is>
      </c>
      <c r="Q775" s="4" t="n">
        <v>5</v>
      </c>
      <c r="R775" s="4" t="n">
        <v>0</v>
      </c>
      <c r="S775" s="4" t="n">
        <v>0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>
        <f>SUM(Q775:Y775)-Z775</f>
        <v/>
      </c>
      <c r="AC775" s="4">
        <f>IF(I775="","",IF(OR(LEFT(I775,3)="BKK",I775="LCH55"),"BKK",IF(LEFT(I775,3)="LCH","LCH","OTHER")))</f>
        <v/>
      </c>
      <c r="AD775" s="4">
        <f>MAX(0,Q775-MAX(0,Z775))</f>
        <v/>
      </c>
      <c r="AE775" s="4">
        <f>MAX(0,R775-MAX(0,Z775-SUM(Q775:Q775)))</f>
        <v/>
      </c>
      <c r="AF775" s="4">
        <f>MAX(0,S775-MAX(0,Z775-SUM(Q775:R775)))</f>
        <v/>
      </c>
      <c r="AG775" s="4">
        <f>MAX(0,T775-MAX(0,Z775-SUM(Q775:S775)))</f>
        <v/>
      </c>
      <c r="AH775" s="4">
        <f>MAX(0,U775-MAX(0,Z775-SUM(Q775:T775)))</f>
        <v/>
      </c>
      <c r="AI775" s="4">
        <f>MAX(0,V775-MAX(0,Z775-SUM(Q775:U775)))</f>
        <v/>
      </c>
      <c r="AJ775" s="4">
        <f>MAX(0,W775-MAX(0,Z775-SUM(Q775:V775)))</f>
        <v/>
      </c>
      <c r="AK775" s="4">
        <f>MAX(0,X775-MAX(0,Z775-SUM(Q775:W775)))</f>
        <v/>
      </c>
      <c r="AL775" s="4">
        <f>MAX(0,Y775-MAX(0,Z775-SUM(Q775:X775)))</f>
        <v/>
      </c>
    </row>
    <row r="776">
      <c r="A776" s="4" t="inlineStr">
        <is>
          <t>HASLS22260902064</t>
        </is>
      </c>
      <c r="B776" s="4" t="inlineStr">
        <is>
          <t>SWIC</t>
        </is>
      </c>
      <c r="C776" s="4" t="inlineStr">
        <is>
          <t>2611N</t>
        </is>
      </c>
      <c r="D776" s="4" t="inlineStr">
        <is>
          <t>202610132300</t>
        </is>
      </c>
      <c r="E776" s="4" t="inlineStr"/>
      <c r="F776" s="4" t="inlineStr">
        <is>
          <t>THLCH</t>
        </is>
      </c>
      <c r="G776" s="4" t="inlineStr">
        <is>
          <t>JPMOJ</t>
        </is>
      </c>
      <c r="H776" s="4" t="inlineStr">
        <is>
          <t xml:space="preserve">20'x5 </t>
        </is>
      </c>
      <c r="I776" s="4" t="inlineStr">
        <is>
          <t>LCHY5</t>
        </is>
      </c>
      <c r="J776" s="4" t="inlineStr">
        <is>
          <t>PW DEPOT CO., LTD.</t>
        </is>
      </c>
      <c r="K776" s="4" t="inlineStr">
        <is>
          <t>20261007</t>
        </is>
      </c>
      <c r="L776" s="4" t="inlineStr">
        <is>
          <t>SCGJWD LOGISTICS PUBLIC COMPANY LIMITED</t>
        </is>
      </c>
      <c r="M776" s="4" t="inlineStr">
        <is>
          <t>THAI POLYETHYLENE CO., LTD.</t>
        </is>
      </c>
      <c r="N776" s="4" t="inlineStr">
        <is>
          <t>RESIN</t>
        </is>
      </c>
      <c r="O776" s="4" t="inlineStr">
        <is>
          <t>RESIN-PALLET,NO RED WALL CONTAINER,CLEAN CONTAINER NO OIL STAINS , NO RUSTY ,NO CUT OR HOLE</t>
        </is>
      </c>
      <c r="P776" s="4" t="inlineStr">
        <is>
          <t>CY-RTN 07-09/10/26 (  INV  3031061854 )</t>
        </is>
      </c>
      <c r="Q776" s="4" t="n">
        <v>5</v>
      </c>
      <c r="R776" s="4" t="n">
        <v>0</v>
      </c>
      <c r="S776" s="4" t="n">
        <v>0</v>
      </c>
      <c r="T776" s="4" t="n">
        <v>0</v>
      </c>
      <c r="U776" s="4" t="n">
        <v>0</v>
      </c>
      <c r="V776" s="4" t="n">
        <v>0</v>
      </c>
      <c r="W776" s="4" t="n">
        <v>0</v>
      </c>
      <c r="X776" s="4" t="n">
        <v>0</v>
      </c>
      <c r="Y776" s="4" t="n">
        <v>0</v>
      </c>
      <c r="Z776" s="4" t="n">
        <v>0</v>
      </c>
      <c r="AA776" s="4" t="n">
        <v>0</v>
      </c>
      <c r="AB776" s="4">
        <f>SUM(Q776:Y776)-Z776</f>
        <v/>
      </c>
      <c r="AC776" s="4">
        <f>IF(I776="","",IF(OR(LEFT(I776,3)="BKK",I776="LCH55"),"BKK",IF(LEFT(I776,3)="LCH","LCH","OTHER")))</f>
        <v/>
      </c>
      <c r="AD776" s="4">
        <f>MAX(0,Q776-MAX(0,Z776))</f>
        <v/>
      </c>
      <c r="AE776" s="4">
        <f>MAX(0,R776-MAX(0,Z776-SUM(Q776:Q776)))</f>
        <v/>
      </c>
      <c r="AF776" s="4">
        <f>MAX(0,S776-MAX(0,Z776-SUM(Q776:R776)))</f>
        <v/>
      </c>
      <c r="AG776" s="4">
        <f>MAX(0,T776-MAX(0,Z776-SUM(Q776:S776)))</f>
        <v/>
      </c>
      <c r="AH776" s="4">
        <f>MAX(0,U776-MAX(0,Z776-SUM(Q776:T776)))</f>
        <v/>
      </c>
      <c r="AI776" s="4">
        <f>MAX(0,V776-MAX(0,Z776-SUM(Q776:U776)))</f>
        <v/>
      </c>
      <c r="AJ776" s="4">
        <f>MAX(0,W776-MAX(0,Z776-SUM(Q776:V776)))</f>
        <v/>
      </c>
      <c r="AK776" s="4">
        <f>MAX(0,X776-MAX(0,Z776-SUM(Q776:W776)))</f>
        <v/>
      </c>
      <c r="AL776" s="4">
        <f>MAX(0,Y776-MAX(0,Z776-SUM(Q776:X776)))</f>
        <v/>
      </c>
    </row>
    <row r="777">
      <c r="A777" s="4" t="inlineStr">
        <is>
          <t>HASLS22260902070</t>
        </is>
      </c>
      <c r="B777" s="4" t="inlineStr">
        <is>
          <t>SWIC</t>
        </is>
      </c>
      <c r="C777" s="4" t="inlineStr">
        <is>
          <t>2611N</t>
        </is>
      </c>
      <c r="D777" s="4" t="inlineStr">
        <is>
          <t>202610132300</t>
        </is>
      </c>
      <c r="E777" s="4" t="inlineStr"/>
      <c r="F777" s="4" t="inlineStr">
        <is>
          <t>THLCH</t>
        </is>
      </c>
      <c r="G777" s="4" t="inlineStr">
        <is>
          <t>KRUSN</t>
        </is>
      </c>
      <c r="H777" s="4" t="inlineStr">
        <is>
          <t xml:space="preserve">20'x1 </t>
        </is>
      </c>
      <c r="I777" s="4" t="inlineStr">
        <is>
          <t>LCHY5</t>
        </is>
      </c>
      <c r="J777" s="4" t="inlineStr">
        <is>
          <t>PW DEPOT CO., LTD.</t>
        </is>
      </c>
      <c r="K777" s="4" t="inlineStr">
        <is>
          <t>20261008</t>
        </is>
      </c>
      <c r="L777" s="4" t="inlineStr">
        <is>
          <t>H &amp; FRIENDS GTL (THAILAND) CO., LTD.</t>
        </is>
      </c>
      <c r="M777" s="4" t="inlineStr">
        <is>
          <t>N.C.R.RUBBER INDUSTRY CO., LTD.</t>
        </is>
      </c>
      <c r="N777" s="4" t="inlineStr">
        <is>
          <t>CO-POLYESTER RESIN</t>
        </is>
      </c>
      <c r="O777" s="4" t="inlineStr">
        <is>
          <t>request container no smel /no damage</t>
        </is>
      </c>
      <c r="P777" s="4" t="inlineStr">
        <is>
          <t>Pickup : 2026-10-08, Return : 2026-10-10</t>
        </is>
      </c>
      <c r="Q777" s="4" t="n">
        <v>1</v>
      </c>
      <c r="R777" s="4" t="n">
        <v>0</v>
      </c>
      <c r="S777" s="4" t="n">
        <v>0</v>
      </c>
      <c r="T777" s="4" t="n">
        <v>0</v>
      </c>
      <c r="U777" s="4" t="n">
        <v>0</v>
      </c>
      <c r="V777" s="4" t="n">
        <v>0</v>
      </c>
      <c r="W777" s="4" t="n">
        <v>0</v>
      </c>
      <c r="X777" s="4" t="n">
        <v>0</v>
      </c>
      <c r="Y777" s="4" t="n">
        <v>0</v>
      </c>
      <c r="Z777" s="4" t="n">
        <v>0</v>
      </c>
      <c r="AA777" s="4" t="n">
        <v>0</v>
      </c>
      <c r="AB777" s="4">
        <f>SUM(Q777:Y777)-Z777</f>
        <v/>
      </c>
      <c r="AC777" s="4">
        <f>IF(I777="","",IF(OR(LEFT(I777,3)="BKK",I777="LCH55"),"BKK",IF(LEFT(I777,3)="LCH","LCH","OTHER")))</f>
        <v/>
      </c>
      <c r="AD777" s="4">
        <f>MAX(0,Q777-MAX(0,Z777))</f>
        <v/>
      </c>
      <c r="AE777" s="4">
        <f>MAX(0,R777-MAX(0,Z777-SUM(Q777:Q777)))</f>
        <v/>
      </c>
      <c r="AF777" s="4">
        <f>MAX(0,S777-MAX(0,Z777-SUM(Q777:R777)))</f>
        <v/>
      </c>
      <c r="AG777" s="4">
        <f>MAX(0,T777-MAX(0,Z777-SUM(Q777:S777)))</f>
        <v/>
      </c>
      <c r="AH777" s="4">
        <f>MAX(0,U777-MAX(0,Z777-SUM(Q777:T777)))</f>
        <v/>
      </c>
      <c r="AI777" s="4">
        <f>MAX(0,V777-MAX(0,Z777-SUM(Q777:U777)))</f>
        <v/>
      </c>
      <c r="AJ777" s="4">
        <f>MAX(0,W777-MAX(0,Z777-SUM(Q777:V777)))</f>
        <v/>
      </c>
      <c r="AK777" s="4">
        <f>MAX(0,X777-MAX(0,Z777-SUM(Q777:W777)))</f>
        <v/>
      </c>
      <c r="AL777" s="4">
        <f>MAX(0,Y777-MAX(0,Z777-SUM(Q777:X777)))</f>
        <v/>
      </c>
    </row>
    <row r="778">
      <c r="A778" s="4" t="inlineStr">
        <is>
          <t>HASLS22260902071</t>
        </is>
      </c>
      <c r="B778" s="4" t="inlineStr">
        <is>
          <t>SWIC</t>
        </is>
      </c>
      <c r="C778" s="4" t="inlineStr">
        <is>
          <t>2611N</t>
        </is>
      </c>
      <c r="D778" s="4" t="inlineStr">
        <is>
          <t>202610132300</t>
        </is>
      </c>
      <c r="E778" s="4" t="inlineStr"/>
      <c r="F778" s="4" t="inlineStr">
        <is>
          <t>THLCH</t>
        </is>
      </c>
      <c r="G778" s="4" t="inlineStr">
        <is>
          <t>VNSGN</t>
        </is>
      </c>
      <c r="H778" s="4" t="inlineStr">
        <is>
          <t xml:space="preserve">40Hx2 </t>
        </is>
      </c>
      <c r="I778" s="4" t="inlineStr">
        <is>
          <t>LCHY5</t>
        </is>
      </c>
      <c r="J778" s="4" t="inlineStr">
        <is>
          <t>PW DEPOT CO., LTD.</t>
        </is>
      </c>
      <c r="K778" s="4" t="inlineStr">
        <is>
          <t>20261005</t>
        </is>
      </c>
      <c r="L778" s="4" t="inlineStr">
        <is>
          <t>IRPC PUBLIC COMPANY LIMITED</t>
        </is>
      </c>
      <c r="M778" s="4" t="inlineStr">
        <is>
          <t>IRPC PUBLIC COMPANY LIMITED</t>
        </is>
      </c>
      <c r="N778" s="4" t="inlineStr">
        <is>
          <t>RESIN</t>
        </is>
      </c>
      <c r="O778" s="4" t="inlineStr">
        <is>
          <t>GOOD AND CLEAN CONTAINER</t>
        </is>
      </c>
      <c r="P778" s="4" t="inlineStr">
        <is>
          <t>CY-RTN : 05-07/10/2026
REF : PI 26070081-1</t>
        </is>
      </c>
      <c r="Q778" s="4" t="n">
        <v>0</v>
      </c>
      <c r="R778" s="4" t="n">
        <v>0</v>
      </c>
      <c r="S778" s="4" t="n">
        <v>2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>
        <f>SUM(Q778:Y778)-Z778</f>
        <v/>
      </c>
      <c r="AC778" s="4">
        <f>IF(I778="","",IF(OR(LEFT(I778,3)="BKK",I778="LCH55"),"BKK",IF(LEFT(I778,3)="LCH","LCH","OTHER")))</f>
        <v/>
      </c>
      <c r="AD778" s="4">
        <f>MAX(0,Q778-MAX(0,Z778))</f>
        <v/>
      </c>
      <c r="AE778" s="4">
        <f>MAX(0,R778-MAX(0,Z778-SUM(Q778:Q778)))</f>
        <v/>
      </c>
      <c r="AF778" s="4">
        <f>MAX(0,S778-MAX(0,Z778-SUM(Q778:R778)))</f>
        <v/>
      </c>
      <c r="AG778" s="4">
        <f>MAX(0,T778-MAX(0,Z778-SUM(Q778:S778)))</f>
        <v/>
      </c>
      <c r="AH778" s="4">
        <f>MAX(0,U778-MAX(0,Z778-SUM(Q778:T778)))</f>
        <v/>
      </c>
      <c r="AI778" s="4">
        <f>MAX(0,V778-MAX(0,Z778-SUM(Q778:U778)))</f>
        <v/>
      </c>
      <c r="AJ778" s="4">
        <f>MAX(0,W778-MAX(0,Z778-SUM(Q778:V778)))</f>
        <v/>
      </c>
      <c r="AK778" s="4">
        <f>MAX(0,X778-MAX(0,Z778-SUM(Q778:W778)))</f>
        <v/>
      </c>
      <c r="AL778" s="4">
        <f>MAX(0,Y778-MAX(0,Z778-SUM(Q778:X778)))</f>
        <v/>
      </c>
    </row>
    <row r="779">
      <c r="A779" s="4" t="inlineStr">
        <is>
          <t>HASLS22260902078</t>
        </is>
      </c>
      <c r="B779" s="4" t="inlineStr">
        <is>
          <t>KMTP</t>
        </is>
      </c>
      <c r="C779" s="4" t="inlineStr">
        <is>
          <t>2612N</t>
        </is>
      </c>
      <c r="D779" s="4" t="inlineStr">
        <is>
          <t>202610122200</t>
        </is>
      </c>
      <c r="E779" s="4" t="inlineStr"/>
      <c r="F779" s="4" t="inlineStr">
        <is>
          <t>THLCH</t>
        </is>
      </c>
      <c r="G779" s="4" t="inlineStr">
        <is>
          <t>HKHKG</t>
        </is>
      </c>
      <c r="H779" s="4" t="inlineStr">
        <is>
          <t xml:space="preserve">20'x1 </t>
        </is>
      </c>
      <c r="I779" s="4" t="inlineStr">
        <is>
          <t>LCHY5</t>
        </is>
      </c>
      <c r="J779" s="4" t="inlineStr">
        <is>
          <t>PW DEPOT CO., LTD.</t>
        </is>
      </c>
      <c r="K779" s="4" t="inlineStr">
        <is>
          <t>20261007</t>
        </is>
      </c>
      <c r="L779" s="4" t="inlineStr">
        <is>
          <t>PACIFIC FORWARDER INTERNATIONAL CO., LTD.</t>
        </is>
      </c>
      <c r="M779" s="4" t="inlineStr">
        <is>
          <t>DELTA DAIKI METAL (THAILAND) CO.,LTD.</t>
        </is>
      </c>
      <c r="N779" s="4" t="inlineStr">
        <is>
          <t>MIXED METAL</t>
        </is>
      </c>
      <c r="O779" s="4" t="inlineStr">
        <is>
          <t>GOOD AND CLEAN CONTAINER</t>
        </is>
      </c>
      <c r="P779" s="4" t="inlineStr">
        <is>
          <t xml:space="preserve">Pickup : 2026-10-07, Return : 2026-10-08 [1ST RTN 08/10/2026 W/O RENT]
** PLEASE CHECK OPEN GATE BEFORE RETURN CONTAINER ** </t>
        </is>
      </c>
      <c r="Q779" s="4" t="n">
        <v>1</v>
      </c>
      <c r="R779" s="4" t="n">
        <v>0</v>
      </c>
      <c r="S779" s="4" t="n">
        <v>0</v>
      </c>
      <c r="T779" s="4" t="n">
        <v>0</v>
      </c>
      <c r="U779" s="4" t="n">
        <v>0</v>
      </c>
      <c r="V779" s="4" t="n">
        <v>0</v>
      </c>
      <c r="W779" s="4" t="n">
        <v>0</v>
      </c>
      <c r="X779" s="4" t="n">
        <v>0</v>
      </c>
      <c r="Y779" s="4" t="n">
        <v>0</v>
      </c>
      <c r="Z779" s="4" t="n">
        <v>0</v>
      </c>
      <c r="AA779" s="4" t="n">
        <v>0</v>
      </c>
      <c r="AB779" s="4">
        <f>SUM(Q779:Y779)-Z779</f>
        <v/>
      </c>
      <c r="AC779" s="4">
        <f>IF(I779="","",IF(OR(LEFT(I779,3)="BKK",I779="LCH55"),"BKK",IF(LEFT(I779,3)="LCH","LCH","OTHER")))</f>
        <v/>
      </c>
      <c r="AD779" s="4">
        <f>MAX(0,Q779-MAX(0,Z779))</f>
        <v/>
      </c>
      <c r="AE779" s="4">
        <f>MAX(0,R779-MAX(0,Z779-SUM(Q779:Q779)))</f>
        <v/>
      </c>
      <c r="AF779" s="4">
        <f>MAX(0,S779-MAX(0,Z779-SUM(Q779:R779)))</f>
        <v/>
      </c>
      <c r="AG779" s="4">
        <f>MAX(0,T779-MAX(0,Z779-SUM(Q779:S779)))</f>
        <v/>
      </c>
      <c r="AH779" s="4">
        <f>MAX(0,U779-MAX(0,Z779-SUM(Q779:T779)))</f>
        <v/>
      </c>
      <c r="AI779" s="4">
        <f>MAX(0,V779-MAX(0,Z779-SUM(Q779:U779)))</f>
        <v/>
      </c>
      <c r="AJ779" s="4">
        <f>MAX(0,W779-MAX(0,Z779-SUM(Q779:V779)))</f>
        <v/>
      </c>
      <c r="AK779" s="4">
        <f>MAX(0,X779-MAX(0,Z779-SUM(Q779:W779)))</f>
        <v/>
      </c>
      <c r="AL779" s="4">
        <f>MAX(0,Y779-MAX(0,Z779-SUM(Q779:X779)))</f>
        <v/>
      </c>
    </row>
    <row r="780">
      <c r="A780" s="4" t="inlineStr">
        <is>
          <t>HASLS22260902087</t>
        </is>
      </c>
      <c r="B780" s="4" t="inlineStr">
        <is>
          <t>SWBT</t>
        </is>
      </c>
      <c r="C780" s="4" t="inlineStr">
        <is>
          <t>2616N</t>
        </is>
      </c>
      <c r="D780" s="4" t="inlineStr">
        <is>
          <t>202610140000</t>
        </is>
      </c>
      <c r="E780" s="4" t="inlineStr"/>
      <c r="F780" s="4" t="inlineStr">
        <is>
          <t>THLCH</t>
        </is>
      </c>
      <c r="G780" s="4" t="inlineStr">
        <is>
          <t>VNSGN</t>
        </is>
      </c>
      <c r="H780" s="4" t="inlineStr">
        <is>
          <t xml:space="preserve">40Hx2 </t>
        </is>
      </c>
      <c r="I780" s="4" t="inlineStr">
        <is>
          <t>LCHY5</t>
        </is>
      </c>
      <c r="J780" s="4" t="inlineStr">
        <is>
          <t>PW DEPOT CO., LTD.</t>
        </is>
      </c>
      <c r="K780" s="4" t="inlineStr">
        <is>
          <t>20261009</t>
        </is>
      </c>
      <c r="L780" s="4" t="inlineStr">
        <is>
          <t>YUSEN LOGISTICS (THAILAND) CO., LTD.</t>
        </is>
      </c>
      <c r="M780" s="4" t="inlineStr">
        <is>
          <t>SENNICS (THAILAND) CO., LTD.</t>
        </is>
      </c>
      <c r="N780" s="4" t="inlineStr">
        <is>
          <t>SIRANTOX 6PPD(4020)</t>
        </is>
      </c>
      <c r="O780" s="4" t="inlineStr">
        <is>
          <t>GOOD DRY AND CLEAN CONTAINER</t>
        </is>
      </c>
      <c r="P780" s="4" t="inlineStr">
        <is>
          <t>Pickup : 2026-10-09, Return : 2026-10-10</t>
        </is>
      </c>
      <c r="Q780" s="4" t="n">
        <v>0</v>
      </c>
      <c r="R780" s="4" t="n">
        <v>0</v>
      </c>
      <c r="S780" s="4" t="n">
        <v>2</v>
      </c>
      <c r="T780" s="4" t="n">
        <v>0</v>
      </c>
      <c r="U780" s="4" t="n">
        <v>0</v>
      </c>
      <c r="V780" s="4" t="n">
        <v>0</v>
      </c>
      <c r="W780" s="4" t="n">
        <v>0</v>
      </c>
      <c r="X780" s="4" t="n">
        <v>0</v>
      </c>
      <c r="Y780" s="4" t="n">
        <v>0</v>
      </c>
      <c r="Z780" s="4" t="n">
        <v>0</v>
      </c>
      <c r="AA780" s="4" t="n">
        <v>0</v>
      </c>
      <c r="AB780" s="4">
        <f>SUM(Q780:Y780)-Z780</f>
        <v/>
      </c>
      <c r="AC780" s="4">
        <f>IF(I780="","",IF(OR(LEFT(I780,3)="BKK",I780="LCH55"),"BKK",IF(LEFT(I780,3)="LCH","LCH","OTHER")))</f>
        <v/>
      </c>
      <c r="AD780" s="4">
        <f>MAX(0,Q780-MAX(0,Z780))</f>
        <v/>
      </c>
      <c r="AE780" s="4">
        <f>MAX(0,R780-MAX(0,Z780-SUM(Q780:Q780)))</f>
        <v/>
      </c>
      <c r="AF780" s="4">
        <f>MAX(0,S780-MAX(0,Z780-SUM(Q780:R780)))</f>
        <v/>
      </c>
      <c r="AG780" s="4">
        <f>MAX(0,T780-MAX(0,Z780-SUM(Q780:S780)))</f>
        <v/>
      </c>
      <c r="AH780" s="4">
        <f>MAX(0,U780-MAX(0,Z780-SUM(Q780:T780)))</f>
        <v/>
      </c>
      <c r="AI780" s="4">
        <f>MAX(0,V780-MAX(0,Z780-SUM(Q780:U780)))</f>
        <v/>
      </c>
      <c r="AJ780" s="4">
        <f>MAX(0,W780-MAX(0,Z780-SUM(Q780:V780)))</f>
        <v/>
      </c>
      <c r="AK780" s="4">
        <f>MAX(0,X780-MAX(0,Z780-SUM(Q780:W780)))</f>
        <v/>
      </c>
      <c r="AL780" s="4">
        <f>MAX(0,Y780-MAX(0,Z780-SUM(Q780:X780)))</f>
        <v/>
      </c>
    </row>
    <row r="781">
      <c r="A781" s="4" t="inlineStr">
        <is>
          <t>HASLS22260902090</t>
        </is>
      </c>
      <c r="B781" s="4" t="inlineStr">
        <is>
          <t>SWAL</t>
        </is>
      </c>
      <c r="C781" s="4" t="inlineStr">
        <is>
          <t>2609N</t>
        </is>
      </c>
      <c r="D781" s="4" t="inlineStr">
        <is>
          <t>202610200800</t>
        </is>
      </c>
      <c r="E781" s="4" t="inlineStr"/>
      <c r="F781" s="4" t="inlineStr">
        <is>
          <t>THLCH</t>
        </is>
      </c>
      <c r="G781" s="4" t="inlineStr">
        <is>
          <t>VNSGN</t>
        </is>
      </c>
      <c r="H781" s="4" t="inlineStr">
        <is>
          <t xml:space="preserve">40Hx1 </t>
        </is>
      </c>
      <c r="I781" s="4" t="inlineStr">
        <is>
          <t>LCHY5</t>
        </is>
      </c>
      <c r="J781" s="4" t="inlineStr">
        <is>
          <t>PW DEPOT CO., LTD.</t>
        </is>
      </c>
      <c r="K781" s="4" t="inlineStr">
        <is>
          <t>20261016</t>
        </is>
      </c>
      <c r="L781" s="4" t="inlineStr">
        <is>
          <t>YUSEN LOGISTICS (THAILAND) CO., LTD.</t>
        </is>
      </c>
      <c r="M781" s="4" t="inlineStr">
        <is>
          <t>SENNICS (THAILAND) CO., LTD.</t>
        </is>
      </c>
      <c r="N781" s="4" t="inlineStr">
        <is>
          <t>SIRANTOX 6PPD(4020)</t>
        </is>
      </c>
      <c r="O781" s="4" t="inlineStr">
        <is>
          <t>GOOD DRY AND CLEAN CONTAINER</t>
        </is>
      </c>
      <c r="P781" s="4" t="inlineStr">
        <is>
          <t>Pickup : 2026-10-16, Return : 2026-10-17</t>
        </is>
      </c>
      <c r="Q781" s="4" t="n">
        <v>0</v>
      </c>
      <c r="R781" s="4" t="n">
        <v>0</v>
      </c>
      <c r="S781" s="4" t="n">
        <v>1</v>
      </c>
      <c r="T781" s="4" t="n">
        <v>0</v>
      </c>
      <c r="U781" s="4" t="n">
        <v>0</v>
      </c>
      <c r="V781" s="4" t="n">
        <v>0</v>
      </c>
      <c r="W781" s="4" t="n">
        <v>0</v>
      </c>
      <c r="X781" s="4" t="n">
        <v>0</v>
      </c>
      <c r="Y781" s="4" t="n">
        <v>0</v>
      </c>
      <c r="Z781" s="4" t="n">
        <v>0</v>
      </c>
      <c r="AA781" s="4" t="n">
        <v>0</v>
      </c>
      <c r="AB781" s="4">
        <f>SUM(Q781:Y781)-Z781</f>
        <v/>
      </c>
      <c r="AC781" s="4">
        <f>IF(I781="","",IF(OR(LEFT(I781,3)="BKK",I781="LCH55"),"BKK",IF(LEFT(I781,3)="LCH","LCH","OTHER")))</f>
        <v/>
      </c>
      <c r="AD781" s="4">
        <f>MAX(0,Q781-MAX(0,Z781))</f>
        <v/>
      </c>
      <c r="AE781" s="4">
        <f>MAX(0,R781-MAX(0,Z781-SUM(Q781:Q781)))</f>
        <v/>
      </c>
      <c r="AF781" s="4">
        <f>MAX(0,S781-MAX(0,Z781-SUM(Q781:R781)))</f>
        <v/>
      </c>
      <c r="AG781" s="4">
        <f>MAX(0,T781-MAX(0,Z781-SUM(Q781:S781)))</f>
        <v/>
      </c>
      <c r="AH781" s="4">
        <f>MAX(0,U781-MAX(0,Z781-SUM(Q781:T781)))</f>
        <v/>
      </c>
      <c r="AI781" s="4">
        <f>MAX(0,V781-MAX(0,Z781-SUM(Q781:U781)))</f>
        <v/>
      </c>
      <c r="AJ781" s="4">
        <f>MAX(0,W781-MAX(0,Z781-SUM(Q781:V781)))</f>
        <v/>
      </c>
      <c r="AK781" s="4">
        <f>MAX(0,X781-MAX(0,Z781-SUM(Q781:W781)))</f>
        <v/>
      </c>
      <c r="AL781" s="4">
        <f>MAX(0,Y781-MAX(0,Z781-SUM(Q781:X781)))</f>
        <v/>
      </c>
    </row>
    <row r="782">
      <c r="A782" s="4" t="inlineStr">
        <is>
          <t>HASLS22260902102</t>
        </is>
      </c>
      <c r="B782" s="4" t="inlineStr">
        <is>
          <t>KJT</t>
        </is>
      </c>
      <c r="C782" s="4" t="inlineStr">
        <is>
          <t>2611N</t>
        </is>
      </c>
      <c r="D782" s="4" t="inlineStr">
        <is>
          <t>202610151100</t>
        </is>
      </c>
      <c r="E782" s="4" t="inlineStr"/>
      <c r="F782" s="4" t="inlineStr">
        <is>
          <t>THLCH</t>
        </is>
      </c>
      <c r="G782" s="4" t="inlineStr">
        <is>
          <t>HKHKG</t>
        </is>
      </c>
      <c r="H782" s="4" t="inlineStr">
        <is>
          <t xml:space="preserve">20'x1 </t>
        </is>
      </c>
      <c r="I782" s="4" t="inlineStr">
        <is>
          <t>LCHY5</t>
        </is>
      </c>
      <c r="J782" s="4" t="inlineStr">
        <is>
          <t>PW DEPOT CO., LTD.</t>
        </is>
      </c>
      <c r="K782" s="4" t="inlineStr">
        <is>
          <t>20261007</t>
        </is>
      </c>
      <c r="L782" s="4" t="inlineStr">
        <is>
          <t>THAI POLYCARBONATE CO., LTD.</t>
        </is>
      </c>
      <c r="M782" s="4" t="inlineStr">
        <is>
          <t>THAI POLYACETAL CO., LTD.</t>
        </is>
      </c>
      <c r="N782" s="4" t="inlineStr">
        <is>
          <t>RESIN</t>
        </is>
      </c>
      <c r="O782" s="4" t="inlineStr">
        <is>
          <t>PLEASE PROVIDE GOOD AND CLEAN CONTAINER, NO RUST, NO HOLE, NO SMELL WITH STRONG FLOORBOARD (LOAD BY FORKLIFT) AND BULLET SEAL TO THIS SHIPMENT</t>
        </is>
      </c>
      <c r="P782" s="4" t="inlineStr">
        <is>
          <t>Pickup : 2026-10-07, Return : 2026-10-09</t>
        </is>
      </c>
      <c r="Q782" s="4" t="n">
        <v>1</v>
      </c>
      <c r="R782" s="4" t="n">
        <v>0</v>
      </c>
      <c r="S782" s="4" t="n">
        <v>0</v>
      </c>
      <c r="T782" s="4" t="n">
        <v>0</v>
      </c>
      <c r="U782" s="4" t="n">
        <v>0</v>
      </c>
      <c r="V782" s="4" t="n">
        <v>0</v>
      </c>
      <c r="W782" s="4" t="n">
        <v>0</v>
      </c>
      <c r="X782" s="4" t="n">
        <v>0</v>
      </c>
      <c r="Y782" s="4" t="n">
        <v>0</v>
      </c>
      <c r="Z782" s="4" t="n">
        <v>0</v>
      </c>
      <c r="AA782" s="4" t="n">
        <v>0</v>
      </c>
      <c r="AB782" s="4">
        <f>SUM(Q782:Y782)-Z782</f>
        <v/>
      </c>
      <c r="AC782" s="4">
        <f>IF(I782="","",IF(OR(LEFT(I782,3)="BKK",I782="LCH55"),"BKK",IF(LEFT(I782,3)="LCH","LCH","OTHER")))</f>
        <v/>
      </c>
      <c r="AD782" s="4">
        <f>MAX(0,Q782-MAX(0,Z782))</f>
        <v/>
      </c>
      <c r="AE782" s="4">
        <f>MAX(0,R782-MAX(0,Z782-SUM(Q782:Q782)))</f>
        <v/>
      </c>
      <c r="AF782" s="4">
        <f>MAX(0,S782-MAX(0,Z782-SUM(Q782:R782)))</f>
        <v/>
      </c>
      <c r="AG782" s="4">
        <f>MAX(0,T782-MAX(0,Z782-SUM(Q782:S782)))</f>
        <v/>
      </c>
      <c r="AH782" s="4">
        <f>MAX(0,U782-MAX(0,Z782-SUM(Q782:T782)))</f>
        <v/>
      </c>
      <c r="AI782" s="4">
        <f>MAX(0,V782-MAX(0,Z782-SUM(Q782:U782)))</f>
        <v/>
      </c>
      <c r="AJ782" s="4">
        <f>MAX(0,W782-MAX(0,Z782-SUM(Q782:V782)))</f>
        <v/>
      </c>
      <c r="AK782" s="4">
        <f>MAX(0,X782-MAX(0,Z782-SUM(Q782:W782)))</f>
        <v/>
      </c>
      <c r="AL782" s="4">
        <f>MAX(0,Y782-MAX(0,Z782-SUM(Q782:X782)))</f>
        <v/>
      </c>
    </row>
    <row r="783">
      <c r="A783" s="4" t="inlineStr">
        <is>
          <t>HASLS22260902110</t>
        </is>
      </c>
      <c r="B783" s="4" t="inlineStr">
        <is>
          <t>SWSP</t>
        </is>
      </c>
      <c r="C783" s="4" t="inlineStr">
        <is>
          <t>2609N</t>
        </is>
      </c>
      <c r="D783" s="4" t="inlineStr">
        <is>
          <t>202610080830</t>
        </is>
      </c>
      <c r="E783" s="4" t="inlineStr"/>
      <c r="F783" s="4" t="inlineStr">
        <is>
          <t>THLCH</t>
        </is>
      </c>
      <c r="G783" s="4" t="inlineStr">
        <is>
          <t>VNSGN</t>
        </is>
      </c>
      <c r="H783" s="4" t="inlineStr">
        <is>
          <t xml:space="preserve">40Hx1 </t>
        </is>
      </c>
      <c r="I783" s="4" t="inlineStr">
        <is>
          <t>LCHY5</t>
        </is>
      </c>
      <c r="J783" s="4" t="inlineStr">
        <is>
          <t>PW DEPOT CO., LTD.</t>
        </is>
      </c>
      <c r="K783" s="4" t="inlineStr">
        <is>
          <t>20260928</t>
        </is>
      </c>
      <c r="L783" s="4" t="inlineStr">
        <is>
          <t>WHA GC LOGISTICS COMPANY LIMITED</t>
        </is>
      </c>
      <c r="M783" s="4" t="inlineStr">
        <is>
          <t>PTT GLOBAL CHEMICAL PUBLIC COMPANY LIMITED</t>
        </is>
      </c>
      <c r="N783" s="4" t="inlineStr">
        <is>
          <t>RESIN</t>
        </is>
      </c>
      <c r="O783" s="4" t="inlineStr">
        <is>
          <t>*** REQ. GOOD &amp; CLEAN  CONT. .( NO SMELL)  ***</t>
        </is>
      </c>
      <c r="P783" s="4" t="inlineStr">
        <is>
          <t>CY 28/09/26 , RTN 29/09/26
*PLS CHECK OPEN GATE BEFORE RETURN CTNR*</t>
        </is>
      </c>
      <c r="Q783" s="4" t="n">
        <v>0</v>
      </c>
      <c r="R783" s="4" t="n">
        <v>0</v>
      </c>
      <c r="S783" s="4" t="n">
        <v>1</v>
      </c>
      <c r="T783" s="4" t="n">
        <v>0</v>
      </c>
      <c r="U783" s="4" t="n">
        <v>0</v>
      </c>
      <c r="V783" s="4" t="n">
        <v>0</v>
      </c>
      <c r="W783" s="4" t="n">
        <v>0</v>
      </c>
      <c r="X783" s="4" t="n">
        <v>0</v>
      </c>
      <c r="Y783" s="4" t="n">
        <v>0</v>
      </c>
      <c r="Z783" s="4" t="n">
        <v>0</v>
      </c>
      <c r="AA783" s="4" t="n">
        <v>0</v>
      </c>
      <c r="AB783" s="4">
        <f>SUM(Q783:Y783)-Z783</f>
        <v/>
      </c>
      <c r="AC783" s="4">
        <f>IF(I783="","",IF(OR(LEFT(I783,3)="BKK",I783="LCH55"),"BKK",IF(LEFT(I783,3)="LCH","LCH","OTHER")))</f>
        <v/>
      </c>
      <c r="AD783" s="4">
        <f>MAX(0,Q783-MAX(0,Z783))</f>
        <v/>
      </c>
      <c r="AE783" s="4">
        <f>MAX(0,R783-MAX(0,Z783-SUM(Q783:Q783)))</f>
        <v/>
      </c>
      <c r="AF783" s="4">
        <f>MAX(0,S783-MAX(0,Z783-SUM(Q783:R783)))</f>
        <v/>
      </c>
      <c r="AG783" s="4">
        <f>MAX(0,T783-MAX(0,Z783-SUM(Q783:S783)))</f>
        <v/>
      </c>
      <c r="AH783" s="4">
        <f>MAX(0,U783-MAX(0,Z783-SUM(Q783:T783)))</f>
        <v/>
      </c>
      <c r="AI783" s="4">
        <f>MAX(0,V783-MAX(0,Z783-SUM(Q783:U783)))</f>
        <v/>
      </c>
      <c r="AJ783" s="4">
        <f>MAX(0,W783-MAX(0,Z783-SUM(Q783:V783)))</f>
        <v/>
      </c>
      <c r="AK783" s="4">
        <f>MAX(0,X783-MAX(0,Z783-SUM(Q783:W783)))</f>
        <v/>
      </c>
      <c r="AL783" s="4">
        <f>MAX(0,Y783-MAX(0,Z783-SUM(Q783:X783)))</f>
        <v/>
      </c>
    </row>
    <row r="784">
      <c r="A784" s="4" t="inlineStr">
        <is>
          <t>HASLS22260902115</t>
        </is>
      </c>
      <c r="B784" s="4" t="inlineStr">
        <is>
          <t>HAHM</t>
        </is>
      </c>
      <c r="C784" s="4" t="inlineStr">
        <is>
          <t>2612N</t>
        </is>
      </c>
      <c r="D784" s="4" t="inlineStr">
        <is>
          <t>202610221000</t>
        </is>
      </c>
      <c r="E784" s="4" t="inlineStr"/>
      <c r="F784" s="4" t="inlineStr">
        <is>
          <t>THLCH</t>
        </is>
      </c>
      <c r="G784" s="4" t="inlineStr">
        <is>
          <t>VNSGN</t>
        </is>
      </c>
      <c r="H784" s="4" t="inlineStr">
        <is>
          <t xml:space="preserve">40Hx20 </t>
        </is>
      </c>
      <c r="I784" s="4" t="inlineStr">
        <is>
          <t>LCHY5</t>
        </is>
      </c>
      <c r="J784" s="4" t="inlineStr">
        <is>
          <t>PW DEPOT CO., LTD.</t>
        </is>
      </c>
      <c r="K784" s="4" t="inlineStr">
        <is>
          <t>20261014</t>
        </is>
      </c>
      <c r="L784" s="4" t="inlineStr">
        <is>
          <t>WHA GC LOGISTICS COMPANY LIMITED</t>
        </is>
      </c>
      <c r="M784" s="4" t="inlineStr">
        <is>
          <t>PTT GLOBAL CHEMICAL PUBLIC COMPANY LIMITED</t>
        </is>
      </c>
      <c r="N784" s="4" t="inlineStr">
        <is>
          <t>RESIN</t>
        </is>
      </c>
      <c r="O784" s="4" t="inlineStr">
        <is>
          <t>GOOD AND CLEAN CTNR</t>
        </is>
      </c>
      <c r="P784" s="4" t="inlineStr">
        <is>
          <t>CY-RTN 14-16/10/26 (PR2610003244)
*PLS CHECK OPEN GATE BEFORE RETURN CTNR*</t>
        </is>
      </c>
      <c r="Q784" s="4" t="n">
        <v>0</v>
      </c>
      <c r="R784" s="4" t="n">
        <v>0</v>
      </c>
      <c r="S784" s="4" t="n">
        <v>20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>
        <f>SUM(Q784:Y784)-Z784</f>
        <v/>
      </c>
      <c r="AC784" s="4">
        <f>IF(I784="","",IF(OR(LEFT(I784,3)="BKK",I784="LCH55"),"BKK",IF(LEFT(I784,3)="LCH","LCH","OTHER")))</f>
        <v/>
      </c>
      <c r="AD784" s="4">
        <f>MAX(0,Q784-MAX(0,Z784))</f>
        <v/>
      </c>
      <c r="AE784" s="4">
        <f>MAX(0,R784-MAX(0,Z784-SUM(Q784:Q784)))</f>
        <v/>
      </c>
      <c r="AF784" s="4">
        <f>MAX(0,S784-MAX(0,Z784-SUM(Q784:R784)))</f>
        <v/>
      </c>
      <c r="AG784" s="4">
        <f>MAX(0,T784-MAX(0,Z784-SUM(Q784:S784)))</f>
        <v/>
      </c>
      <c r="AH784" s="4">
        <f>MAX(0,U784-MAX(0,Z784-SUM(Q784:T784)))</f>
        <v/>
      </c>
      <c r="AI784" s="4">
        <f>MAX(0,V784-MAX(0,Z784-SUM(Q784:U784)))</f>
        <v/>
      </c>
      <c r="AJ784" s="4">
        <f>MAX(0,W784-MAX(0,Z784-SUM(Q784:V784)))</f>
        <v/>
      </c>
      <c r="AK784" s="4">
        <f>MAX(0,X784-MAX(0,Z784-SUM(Q784:W784)))</f>
        <v/>
      </c>
      <c r="AL784" s="4">
        <f>MAX(0,Y784-MAX(0,Z784-SUM(Q784:X784)))</f>
        <v/>
      </c>
    </row>
    <row r="785">
      <c r="A785" s="4" t="inlineStr">
        <is>
          <t>HASLS22260902122</t>
        </is>
      </c>
      <c r="B785" s="4" t="inlineStr">
        <is>
          <t>SWSP</t>
        </is>
      </c>
      <c r="C785" s="4" t="inlineStr">
        <is>
          <t>2609N</t>
        </is>
      </c>
      <c r="D785" s="4" t="inlineStr">
        <is>
          <t>202610080830</t>
        </is>
      </c>
      <c r="E785" s="4" t="inlineStr"/>
      <c r="F785" s="4" t="inlineStr">
        <is>
          <t>THLCH</t>
        </is>
      </c>
      <c r="G785" s="4" t="inlineStr">
        <is>
          <t>VNSGN</t>
        </is>
      </c>
      <c r="H785" s="4" t="inlineStr">
        <is>
          <t xml:space="preserve">20'x2 </t>
        </is>
      </c>
      <c r="I785" s="4" t="inlineStr">
        <is>
          <t>LCHY5</t>
        </is>
      </c>
      <c r="J785" s="4" t="inlineStr">
        <is>
          <t>PW DEPOT CO., LTD.</t>
        </is>
      </c>
      <c r="K785" s="4" t="inlineStr">
        <is>
          <t>20260928</t>
        </is>
      </c>
      <c r="L785" s="4" t="inlineStr">
        <is>
          <t>WHA GC LOGISTICS COMPANY LIMITED</t>
        </is>
      </c>
      <c r="M785" s="4" t="inlineStr">
        <is>
          <t>PTT GLOBAL CHEMICAL PUBLIC COMPANY LIMITED</t>
        </is>
      </c>
      <c r="N785" s="4" t="inlineStr">
        <is>
          <t>RESIN</t>
        </is>
      </c>
      <c r="O785" s="4" t="inlineStr">
        <is>
          <t>*** REQ. GOOD &amp; CLEAN  CONT. .( NO SMELL)  ***</t>
        </is>
      </c>
      <c r="P785" s="4" t="inlineStr">
        <is>
          <t>CY 28/09/26 , RTN 29/09/26 (1ST RETUR DD.30/09/26)
*PLS CHECK OPEN GATE BEFORE RETURN CTNR*</t>
        </is>
      </c>
      <c r="Q785" s="4" t="n">
        <v>2</v>
      </c>
      <c r="R785" s="4" t="n">
        <v>0</v>
      </c>
      <c r="S785" s="4" t="n">
        <v>0</v>
      </c>
      <c r="T785" s="4" t="n">
        <v>0</v>
      </c>
      <c r="U785" s="4" t="n">
        <v>0</v>
      </c>
      <c r="V785" s="4" t="n">
        <v>0</v>
      </c>
      <c r="W785" s="4" t="n">
        <v>0</v>
      </c>
      <c r="X785" s="4" t="n">
        <v>0</v>
      </c>
      <c r="Y785" s="4" t="n">
        <v>0</v>
      </c>
      <c r="Z785" s="4" t="n">
        <v>0</v>
      </c>
      <c r="AA785" s="4" t="n">
        <v>0</v>
      </c>
      <c r="AB785" s="4">
        <f>SUM(Q785:Y785)-Z785</f>
        <v/>
      </c>
      <c r="AC785" s="4">
        <f>IF(I785="","",IF(OR(LEFT(I785,3)="BKK",I785="LCH55"),"BKK",IF(LEFT(I785,3)="LCH","LCH","OTHER")))</f>
        <v/>
      </c>
      <c r="AD785" s="4">
        <f>MAX(0,Q785-MAX(0,Z785))</f>
        <v/>
      </c>
      <c r="AE785" s="4">
        <f>MAX(0,R785-MAX(0,Z785-SUM(Q785:Q785)))</f>
        <v/>
      </c>
      <c r="AF785" s="4">
        <f>MAX(0,S785-MAX(0,Z785-SUM(Q785:R785)))</f>
        <v/>
      </c>
      <c r="AG785" s="4">
        <f>MAX(0,T785-MAX(0,Z785-SUM(Q785:S785)))</f>
        <v/>
      </c>
      <c r="AH785" s="4">
        <f>MAX(0,U785-MAX(0,Z785-SUM(Q785:T785)))</f>
        <v/>
      </c>
      <c r="AI785" s="4">
        <f>MAX(0,V785-MAX(0,Z785-SUM(Q785:U785)))</f>
        <v/>
      </c>
      <c r="AJ785" s="4">
        <f>MAX(0,W785-MAX(0,Z785-SUM(Q785:V785)))</f>
        <v/>
      </c>
      <c r="AK785" s="4">
        <f>MAX(0,X785-MAX(0,Z785-SUM(Q785:W785)))</f>
        <v/>
      </c>
      <c r="AL785" s="4">
        <f>MAX(0,Y785-MAX(0,Z785-SUM(Q785:X785)))</f>
        <v/>
      </c>
    </row>
    <row r="786">
      <c r="A786" s="4" t="inlineStr">
        <is>
          <t>HASLS22260902139</t>
        </is>
      </c>
      <c r="B786" s="4" t="inlineStr">
        <is>
          <t>PCCP</t>
        </is>
      </c>
      <c r="C786" s="4" t="inlineStr">
        <is>
          <t>2610N</t>
        </is>
      </c>
      <c r="D786" s="4" t="inlineStr">
        <is>
          <t>202610120600</t>
        </is>
      </c>
      <c r="E786" s="4" t="inlineStr"/>
      <c r="F786" s="4" t="inlineStr">
        <is>
          <t>THLCH</t>
        </is>
      </c>
      <c r="G786" s="4" t="inlineStr">
        <is>
          <t>KRINC</t>
        </is>
      </c>
      <c r="H786" s="4" t="inlineStr">
        <is>
          <t xml:space="preserve">20'x1 </t>
        </is>
      </c>
      <c r="I786" s="4" t="inlineStr">
        <is>
          <t>LCHY5</t>
        </is>
      </c>
      <c r="J786" s="4" t="inlineStr">
        <is>
          <t>PW DEPOT CO., LTD.</t>
        </is>
      </c>
      <c r="K786" s="4" t="inlineStr">
        <is>
          <t>20260926</t>
        </is>
      </c>
      <c r="L786" s="4" t="inlineStr">
        <is>
          <t>CANVAS GLOBAL LOGISTICS (THAILAND) CO., LTD.</t>
        </is>
      </c>
      <c r="M786" s="4" t="inlineStr">
        <is>
          <t>SRI TRANG GLOVES (THAILAND) PUBLIC COMPANY LIMITED</t>
        </is>
      </c>
      <c r="N786" s="4" t="inlineStr">
        <is>
          <t>LATEX GLOVES</t>
        </is>
      </c>
      <c r="O786" s="4" t="inlineStr">
        <is>
          <t>GOOD AND CLEAN CONTAINER</t>
        </is>
      </c>
      <c r="P786" s="4" t="inlineStr">
        <is>
          <t>Pickup : 2026-09-26, Return : 2026-09-28</t>
        </is>
      </c>
      <c r="Q786" s="4" t="n">
        <v>1</v>
      </c>
      <c r="R786" s="4" t="n">
        <v>0</v>
      </c>
      <c r="S786" s="4" t="n">
        <v>0</v>
      </c>
      <c r="T786" s="4" t="n">
        <v>0</v>
      </c>
      <c r="U786" s="4" t="n">
        <v>0</v>
      </c>
      <c r="V786" s="4" t="n">
        <v>0</v>
      </c>
      <c r="W786" s="4" t="n">
        <v>0</v>
      </c>
      <c r="X786" s="4" t="n">
        <v>0</v>
      </c>
      <c r="Y786" s="4" t="n">
        <v>0</v>
      </c>
      <c r="Z786" s="4" t="n">
        <v>0</v>
      </c>
      <c r="AA786" s="4" t="n">
        <v>0</v>
      </c>
      <c r="AB786" s="4">
        <f>SUM(Q786:Y786)-Z786</f>
        <v/>
      </c>
      <c r="AC786" s="4">
        <f>IF(I786="","",IF(OR(LEFT(I786,3)="BKK",I786="LCH55"),"BKK",IF(LEFT(I786,3)="LCH","LCH","OTHER")))</f>
        <v/>
      </c>
      <c r="AD786" s="4">
        <f>MAX(0,Q786-MAX(0,Z786))</f>
        <v/>
      </c>
      <c r="AE786" s="4">
        <f>MAX(0,R786-MAX(0,Z786-SUM(Q786:Q786)))</f>
        <v/>
      </c>
      <c r="AF786" s="4">
        <f>MAX(0,S786-MAX(0,Z786-SUM(Q786:R786)))</f>
        <v/>
      </c>
      <c r="AG786" s="4">
        <f>MAX(0,T786-MAX(0,Z786-SUM(Q786:S786)))</f>
        <v/>
      </c>
      <c r="AH786" s="4">
        <f>MAX(0,U786-MAX(0,Z786-SUM(Q786:T786)))</f>
        <v/>
      </c>
      <c r="AI786" s="4">
        <f>MAX(0,V786-MAX(0,Z786-SUM(Q786:U786)))</f>
        <v/>
      </c>
      <c r="AJ786" s="4">
        <f>MAX(0,W786-MAX(0,Z786-SUM(Q786:V786)))</f>
        <v/>
      </c>
      <c r="AK786" s="4">
        <f>MAX(0,X786-MAX(0,Z786-SUM(Q786:W786)))</f>
        <v/>
      </c>
      <c r="AL786" s="4">
        <f>MAX(0,Y786-MAX(0,Z786-SUM(Q786:X786)))</f>
        <v/>
      </c>
    </row>
    <row r="787">
      <c r="A787" s="4" t="inlineStr">
        <is>
          <t>HASLS22260902146</t>
        </is>
      </c>
      <c r="B787" s="4" t="inlineStr">
        <is>
          <t>SWVG</t>
        </is>
      </c>
      <c r="C787" s="4" t="inlineStr">
        <is>
          <t>2612N</t>
        </is>
      </c>
      <c r="D787" s="4" t="inlineStr">
        <is>
          <t>202610070330</t>
        </is>
      </c>
      <c r="E787" s="4" t="inlineStr"/>
      <c r="F787" s="4" t="inlineStr">
        <is>
          <t>THLCH</t>
        </is>
      </c>
      <c r="G787" s="4" t="inlineStr">
        <is>
          <t>CNSHA</t>
        </is>
      </c>
      <c r="H787" s="4" t="inlineStr">
        <is>
          <t xml:space="preserve">20'x8 </t>
        </is>
      </c>
      <c r="I787" s="4" t="inlineStr">
        <is>
          <t>LCHY5</t>
        </is>
      </c>
      <c r="J787" s="4" t="inlineStr">
        <is>
          <t>PW DEPOT CO., LTD.</t>
        </is>
      </c>
      <c r="K787" s="4" t="inlineStr">
        <is>
          <t>20260930</t>
        </is>
      </c>
      <c r="L787" s="4" t="inlineStr">
        <is>
          <t>DOUBLE A (1991) PUBLIC COMPANY LIMITED</t>
        </is>
      </c>
      <c r="M787" s="4" t="inlineStr">
        <is>
          <t>DOUBLE A (1991) PUBLIC COMPANY LIMITED</t>
        </is>
      </c>
      <c r="N787" s="4" t="inlineStr">
        <is>
          <t>PAPER</t>
        </is>
      </c>
      <c r="O787" s="4" t="inlineStr">
        <is>
          <t>GOOD AND CLEAN CONTAINER</t>
        </is>
      </c>
      <c r="P787" s="4" t="inlineStr">
        <is>
          <t>CY-RTN : 30-02/10/2026
REF : PI-CN-TH-DA-26100030
FRT 31/20',40'HQ + FREETIME 21DAYS</t>
        </is>
      </c>
      <c r="Q787" s="4" t="n">
        <v>8</v>
      </c>
      <c r="R787" s="4" t="n">
        <v>0</v>
      </c>
      <c r="S787" s="4" t="n">
        <v>0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>
        <f>SUM(Q787:Y787)-Z787</f>
        <v/>
      </c>
      <c r="AC787" s="4">
        <f>IF(I787="","",IF(OR(LEFT(I787,3)="BKK",I787="LCH55"),"BKK",IF(LEFT(I787,3)="LCH","LCH","OTHER")))</f>
        <v/>
      </c>
      <c r="AD787" s="4">
        <f>MAX(0,Q787-MAX(0,Z787))</f>
        <v/>
      </c>
      <c r="AE787" s="4">
        <f>MAX(0,R787-MAX(0,Z787-SUM(Q787:Q787)))</f>
        <v/>
      </c>
      <c r="AF787" s="4">
        <f>MAX(0,S787-MAX(0,Z787-SUM(Q787:R787)))</f>
        <v/>
      </c>
      <c r="AG787" s="4">
        <f>MAX(0,T787-MAX(0,Z787-SUM(Q787:S787)))</f>
        <v/>
      </c>
      <c r="AH787" s="4">
        <f>MAX(0,U787-MAX(0,Z787-SUM(Q787:T787)))</f>
        <v/>
      </c>
      <c r="AI787" s="4">
        <f>MAX(0,V787-MAX(0,Z787-SUM(Q787:U787)))</f>
        <v/>
      </c>
      <c r="AJ787" s="4">
        <f>MAX(0,W787-MAX(0,Z787-SUM(Q787:V787)))</f>
        <v/>
      </c>
      <c r="AK787" s="4">
        <f>MAX(0,X787-MAX(0,Z787-SUM(Q787:W787)))</f>
        <v/>
      </c>
      <c r="AL787" s="4">
        <f>MAX(0,Y787-MAX(0,Z787-SUM(Q787:X787)))</f>
        <v/>
      </c>
    </row>
    <row r="788">
      <c r="A788" s="4" t="inlineStr">
        <is>
          <t>HASLS22260902147</t>
        </is>
      </c>
      <c r="B788" s="4" t="inlineStr">
        <is>
          <t>SWVG</t>
        </is>
      </c>
      <c r="C788" s="4" t="inlineStr">
        <is>
          <t>2612N</t>
        </is>
      </c>
      <c r="D788" s="4" t="inlineStr">
        <is>
          <t>202610070330</t>
        </is>
      </c>
      <c r="E788" s="4" t="inlineStr"/>
      <c r="F788" s="4" t="inlineStr">
        <is>
          <t>THLCH</t>
        </is>
      </c>
      <c r="G788" s="4" t="inlineStr">
        <is>
          <t>CNSHA</t>
        </is>
      </c>
      <c r="H788" s="4" t="inlineStr">
        <is>
          <t xml:space="preserve">40Hx1 20'x2 </t>
        </is>
      </c>
      <c r="I788" s="4" t="inlineStr">
        <is>
          <t>LCHY5</t>
        </is>
      </c>
      <c r="J788" s="4" t="inlineStr">
        <is>
          <t>PW DEPOT CO., LTD.</t>
        </is>
      </c>
      <c r="K788" s="4" t="inlineStr">
        <is>
          <t>20260930</t>
        </is>
      </c>
      <c r="L788" s="4" t="inlineStr">
        <is>
          <t>DOUBLE A (1991) PUBLIC COMPANY LIMITED</t>
        </is>
      </c>
      <c r="M788" s="4" t="inlineStr">
        <is>
          <t>DOUBLE A (1991) PUBLIC COMPANY LIMITED</t>
        </is>
      </c>
      <c r="N788" s="4" t="inlineStr">
        <is>
          <t>PAPER</t>
        </is>
      </c>
      <c r="O788" s="4" t="inlineStr">
        <is>
          <t>GOOD AND CLEAN CONTAINER</t>
        </is>
      </c>
      <c r="P788" s="4" t="inlineStr">
        <is>
          <t>CY-RTN : 30-02/10/2026
REF : PI-CN-TH-DA-26100032. PI-CN-TH-DA-26100033,PI-CN-TH-DA-26100034
FRT 31/20',40'HQ + FREETIME 21DAYS</t>
        </is>
      </c>
      <c r="Q788" s="4" t="n">
        <v>2</v>
      </c>
      <c r="R788" s="4" t="n">
        <v>0</v>
      </c>
      <c r="S788" s="4" t="n">
        <v>1</v>
      </c>
      <c r="T788" s="4" t="n">
        <v>0</v>
      </c>
      <c r="U788" s="4" t="n">
        <v>0</v>
      </c>
      <c r="V788" s="4" t="n">
        <v>0</v>
      </c>
      <c r="W788" s="4" t="n">
        <v>0</v>
      </c>
      <c r="X788" s="4" t="n">
        <v>0</v>
      </c>
      <c r="Y788" s="4" t="n">
        <v>0</v>
      </c>
      <c r="Z788" s="4" t="n">
        <v>0</v>
      </c>
      <c r="AA788" s="4" t="n">
        <v>0</v>
      </c>
      <c r="AB788" s="4">
        <f>SUM(Q788:Y788)-Z788</f>
        <v/>
      </c>
      <c r="AC788" s="4">
        <f>IF(I788="","",IF(OR(LEFT(I788,3)="BKK",I788="LCH55"),"BKK",IF(LEFT(I788,3)="LCH","LCH","OTHER")))</f>
        <v/>
      </c>
      <c r="AD788" s="4">
        <f>MAX(0,Q788-MAX(0,Z788))</f>
        <v/>
      </c>
      <c r="AE788" s="4">
        <f>MAX(0,R788-MAX(0,Z788-SUM(Q788:Q788)))</f>
        <v/>
      </c>
      <c r="AF788" s="4">
        <f>MAX(0,S788-MAX(0,Z788-SUM(Q788:R788)))</f>
        <v/>
      </c>
      <c r="AG788" s="4">
        <f>MAX(0,T788-MAX(0,Z788-SUM(Q788:S788)))</f>
        <v/>
      </c>
      <c r="AH788" s="4">
        <f>MAX(0,U788-MAX(0,Z788-SUM(Q788:T788)))</f>
        <v/>
      </c>
      <c r="AI788" s="4">
        <f>MAX(0,V788-MAX(0,Z788-SUM(Q788:U788)))</f>
        <v/>
      </c>
      <c r="AJ788" s="4">
        <f>MAX(0,W788-MAX(0,Z788-SUM(Q788:V788)))</f>
        <v/>
      </c>
      <c r="AK788" s="4">
        <f>MAX(0,X788-MAX(0,Z788-SUM(Q788:W788)))</f>
        <v/>
      </c>
      <c r="AL788" s="4">
        <f>MAX(0,Y788-MAX(0,Z788-SUM(Q788:X788)))</f>
        <v/>
      </c>
    </row>
    <row r="789">
      <c r="A789" s="4" t="inlineStr">
        <is>
          <t>HASLS22260902149</t>
        </is>
      </c>
      <c r="B789" s="4" t="inlineStr">
        <is>
          <t>SWRG</t>
        </is>
      </c>
      <c r="C789" s="4" t="inlineStr">
        <is>
          <t>2609N</t>
        </is>
      </c>
      <c r="D789" s="4" t="inlineStr">
        <is>
          <t>202610131130</t>
        </is>
      </c>
      <c r="E789" s="4" t="inlineStr"/>
      <c r="F789" s="4" t="inlineStr">
        <is>
          <t>THLCH</t>
        </is>
      </c>
      <c r="G789" s="4" t="inlineStr">
        <is>
          <t>CNSHA</t>
        </is>
      </c>
      <c r="H789" s="4" t="inlineStr">
        <is>
          <t xml:space="preserve">40Hx2 20'x2 </t>
        </is>
      </c>
      <c r="I789" s="4" t="inlineStr">
        <is>
          <t>LCHY5</t>
        </is>
      </c>
      <c r="J789" s="4" t="inlineStr">
        <is>
          <t>PW DEPOT CO., LTD.</t>
        </is>
      </c>
      <c r="K789" s="4" t="inlineStr">
        <is>
          <t>20261003</t>
        </is>
      </c>
      <c r="L789" s="4" t="inlineStr">
        <is>
          <t>DOUBLE A (1991) PUBLIC COMPANY LIMITED</t>
        </is>
      </c>
      <c r="M789" s="4" t="inlineStr">
        <is>
          <t>DOUBLE A (1991) PUBLIC COMPANY LIMITED</t>
        </is>
      </c>
      <c r="N789" s="4" t="inlineStr">
        <is>
          <t>PAPER</t>
        </is>
      </c>
      <c r="O789" s="4" t="inlineStr">
        <is>
          <t>GOOD AND CLEAN CONTAINER</t>
        </is>
      </c>
      <c r="P789" s="4" t="inlineStr">
        <is>
          <t>CY-RTN : 03-05/10/2026
REF : PI-CN-TH-DA-26100038, PI-CN-TH-DA-26100039, PI-CN-TH-DA-26100040,  PI-CN-TH-DA-26100041
FRT 31/20',40'HQ + FREETIME 21DAYS</t>
        </is>
      </c>
      <c r="Q789" s="4" t="n">
        <v>2</v>
      </c>
      <c r="R789" s="4" t="n">
        <v>0</v>
      </c>
      <c r="S789" s="4" t="n">
        <v>2</v>
      </c>
      <c r="T789" s="4" t="n">
        <v>0</v>
      </c>
      <c r="U789" s="4" t="n">
        <v>0</v>
      </c>
      <c r="V789" s="4" t="n">
        <v>0</v>
      </c>
      <c r="W789" s="4" t="n">
        <v>0</v>
      </c>
      <c r="X789" s="4" t="n">
        <v>0</v>
      </c>
      <c r="Y789" s="4" t="n">
        <v>0</v>
      </c>
      <c r="Z789" s="4" t="n">
        <v>0</v>
      </c>
      <c r="AA789" s="4" t="n">
        <v>0</v>
      </c>
      <c r="AB789" s="4">
        <f>SUM(Q789:Y789)-Z789</f>
        <v/>
      </c>
      <c r="AC789" s="4">
        <f>IF(I789="","",IF(OR(LEFT(I789,3)="BKK",I789="LCH55"),"BKK",IF(LEFT(I789,3)="LCH","LCH","OTHER")))</f>
        <v/>
      </c>
      <c r="AD789" s="4">
        <f>MAX(0,Q789-MAX(0,Z789))</f>
        <v/>
      </c>
      <c r="AE789" s="4">
        <f>MAX(0,R789-MAX(0,Z789-SUM(Q789:Q789)))</f>
        <v/>
      </c>
      <c r="AF789" s="4">
        <f>MAX(0,S789-MAX(0,Z789-SUM(Q789:R789)))</f>
        <v/>
      </c>
      <c r="AG789" s="4">
        <f>MAX(0,T789-MAX(0,Z789-SUM(Q789:S789)))</f>
        <v/>
      </c>
      <c r="AH789" s="4">
        <f>MAX(0,U789-MAX(0,Z789-SUM(Q789:T789)))</f>
        <v/>
      </c>
      <c r="AI789" s="4">
        <f>MAX(0,V789-MAX(0,Z789-SUM(Q789:U789)))</f>
        <v/>
      </c>
      <c r="AJ789" s="4">
        <f>MAX(0,W789-MAX(0,Z789-SUM(Q789:V789)))</f>
        <v/>
      </c>
      <c r="AK789" s="4">
        <f>MAX(0,X789-MAX(0,Z789-SUM(Q789:W789)))</f>
        <v/>
      </c>
      <c r="AL789" s="4">
        <f>MAX(0,Y789-MAX(0,Z789-SUM(Q789:X789)))</f>
        <v/>
      </c>
    </row>
    <row r="790">
      <c r="A790" s="4" t="inlineStr">
        <is>
          <t>HASLS22260902150</t>
        </is>
      </c>
      <c r="B790" s="4" t="inlineStr">
        <is>
          <t>SWRG</t>
        </is>
      </c>
      <c r="C790" s="4" t="inlineStr">
        <is>
          <t>2609N</t>
        </is>
      </c>
      <c r="D790" s="4" t="inlineStr">
        <is>
          <t>202610131130</t>
        </is>
      </c>
      <c r="E790" s="4" t="inlineStr"/>
      <c r="F790" s="4" t="inlineStr">
        <is>
          <t>THLCH</t>
        </is>
      </c>
      <c r="G790" s="4" t="inlineStr">
        <is>
          <t>CNSHA</t>
        </is>
      </c>
      <c r="H790" s="4" t="inlineStr">
        <is>
          <t xml:space="preserve">40Hx1 </t>
        </is>
      </c>
      <c r="I790" s="4" t="inlineStr">
        <is>
          <t>LCHY5</t>
        </is>
      </c>
      <c r="J790" s="4" t="inlineStr">
        <is>
          <t>PW DEPOT CO., LTD.</t>
        </is>
      </c>
      <c r="K790" s="4" t="inlineStr">
        <is>
          <t>20261003</t>
        </is>
      </c>
      <c r="L790" s="4" t="inlineStr">
        <is>
          <t>DOUBLE A (1991) PUBLIC COMPANY LIMITED</t>
        </is>
      </c>
      <c r="M790" s="4" t="inlineStr">
        <is>
          <t>DOUBLE A (1991) PUBLIC COMPANY LIMITED</t>
        </is>
      </c>
      <c r="N790" s="4" t="inlineStr">
        <is>
          <t>PAPER</t>
        </is>
      </c>
      <c r="O790" s="4" t="inlineStr">
        <is>
          <t>GOOD AND CLEAN CONTAINER</t>
        </is>
      </c>
      <c r="P790" s="4" t="inlineStr">
        <is>
          <t>CY-RTN : 03-05/10/2026
REF : PI-CN-TH-DA-26100047
FRT 31/20',40'HQ + FREETIME 21DAYS</t>
        </is>
      </c>
      <c r="Q790" s="4" t="n">
        <v>0</v>
      </c>
      <c r="R790" s="4" t="n">
        <v>0</v>
      </c>
      <c r="S790" s="4" t="n">
        <v>1</v>
      </c>
      <c r="T790" s="4" t="n">
        <v>0</v>
      </c>
      <c r="U790" s="4" t="n">
        <v>0</v>
      </c>
      <c r="V790" s="4" t="n">
        <v>0</v>
      </c>
      <c r="W790" s="4" t="n">
        <v>0</v>
      </c>
      <c r="X790" s="4" t="n">
        <v>0</v>
      </c>
      <c r="Y790" s="4" t="n">
        <v>0</v>
      </c>
      <c r="Z790" s="4" t="n">
        <v>0</v>
      </c>
      <c r="AA790" s="4" t="n">
        <v>0</v>
      </c>
      <c r="AB790" s="4">
        <f>SUM(Q790:Y790)-Z790</f>
        <v/>
      </c>
      <c r="AC790" s="4">
        <f>IF(I790="","",IF(OR(LEFT(I790,3)="BKK",I790="LCH55"),"BKK",IF(LEFT(I790,3)="LCH","LCH","OTHER")))</f>
        <v/>
      </c>
      <c r="AD790" s="4">
        <f>MAX(0,Q790-MAX(0,Z790))</f>
        <v/>
      </c>
      <c r="AE790" s="4">
        <f>MAX(0,R790-MAX(0,Z790-SUM(Q790:Q790)))</f>
        <v/>
      </c>
      <c r="AF790" s="4">
        <f>MAX(0,S790-MAX(0,Z790-SUM(Q790:R790)))</f>
        <v/>
      </c>
      <c r="AG790" s="4">
        <f>MAX(0,T790-MAX(0,Z790-SUM(Q790:S790)))</f>
        <v/>
      </c>
      <c r="AH790" s="4">
        <f>MAX(0,U790-MAX(0,Z790-SUM(Q790:T790)))</f>
        <v/>
      </c>
      <c r="AI790" s="4">
        <f>MAX(0,V790-MAX(0,Z790-SUM(Q790:U790)))</f>
        <v/>
      </c>
      <c r="AJ790" s="4">
        <f>MAX(0,W790-MAX(0,Z790-SUM(Q790:V790)))</f>
        <v/>
      </c>
      <c r="AK790" s="4">
        <f>MAX(0,X790-MAX(0,Z790-SUM(Q790:W790)))</f>
        <v/>
      </c>
      <c r="AL790" s="4">
        <f>MAX(0,Y790-MAX(0,Z790-SUM(Q790:X790)))</f>
        <v/>
      </c>
    </row>
    <row r="791">
      <c r="A791" s="4" t="inlineStr">
        <is>
          <t>HASLS22260902153</t>
        </is>
      </c>
      <c r="B791" s="4" t="inlineStr">
        <is>
          <t>TBN</t>
        </is>
      </c>
      <c r="C791" s="4" t="inlineStr">
        <is>
          <t>001</t>
        </is>
      </c>
      <c r="D791" s="4" t="inlineStr"/>
      <c r="E791" s="4" t="inlineStr"/>
      <c r="F791" s="4" t="inlineStr">
        <is>
          <t>THLCH</t>
        </is>
      </c>
      <c r="G791" s="4" t="inlineStr">
        <is>
          <t>JPYKK</t>
        </is>
      </c>
      <c r="H791" s="4" t="inlineStr">
        <is>
          <t xml:space="preserve">20'x10 </t>
        </is>
      </c>
      <c r="I791" s="4" t="inlineStr">
        <is>
          <t>LCHY5</t>
        </is>
      </c>
      <c r="J791" s="4" t="inlineStr">
        <is>
          <t>PW DEPOT CO., LTD.</t>
        </is>
      </c>
      <c r="K791" s="4" t="inlineStr">
        <is>
          <t>20261005</t>
        </is>
      </c>
      <c r="L791" s="4" t="inlineStr">
        <is>
          <t>DOW CHEMICAL THAILAND LTD.</t>
        </is>
      </c>
      <c r="M791" s="4" t="inlineStr">
        <is>
          <t>DOW CHEMICAL THAILAND LTD.</t>
        </is>
      </c>
      <c r="N791" s="4" t="inlineStr">
        <is>
          <t>RESIN</t>
        </is>
      </c>
      <c r="O791" s="4" t="inlineStr">
        <is>
          <t>RQST CNTR SEABULK &amp; GRADE A</t>
        </is>
      </c>
      <c r="P791" s="4" t="inlineStr">
        <is>
          <t>CY CNTR DD.05/10/2026 RQST CNTR SEABULK &amp; GRADE A</t>
        </is>
      </c>
      <c r="Q791" s="4" t="n">
        <v>10</v>
      </c>
      <c r="R791" s="4" t="n">
        <v>0</v>
      </c>
      <c r="S791" s="4" t="n">
        <v>0</v>
      </c>
      <c r="T791" s="4" t="n">
        <v>0</v>
      </c>
      <c r="U791" s="4" t="n">
        <v>0</v>
      </c>
      <c r="V791" s="4" t="n">
        <v>0</v>
      </c>
      <c r="W791" s="4" t="n">
        <v>0</v>
      </c>
      <c r="X791" s="4" t="n">
        <v>0</v>
      </c>
      <c r="Y791" s="4" t="n">
        <v>0</v>
      </c>
      <c r="Z791" s="4" t="n">
        <v>0</v>
      </c>
      <c r="AA791" s="4" t="n">
        <v>0</v>
      </c>
      <c r="AB791" s="4">
        <f>SUM(Q791:Y791)-Z791</f>
        <v/>
      </c>
      <c r="AC791" s="4">
        <f>IF(I791="","",IF(OR(LEFT(I791,3)="BKK",I791="LCH55"),"BKK",IF(LEFT(I791,3)="LCH","LCH","OTHER")))</f>
        <v/>
      </c>
      <c r="AD791" s="4">
        <f>MAX(0,Q791-MAX(0,Z791))</f>
        <v/>
      </c>
      <c r="AE791" s="4">
        <f>MAX(0,R791-MAX(0,Z791-SUM(Q791:Q791)))</f>
        <v/>
      </c>
      <c r="AF791" s="4">
        <f>MAX(0,S791-MAX(0,Z791-SUM(Q791:R791)))</f>
        <v/>
      </c>
      <c r="AG791" s="4">
        <f>MAX(0,T791-MAX(0,Z791-SUM(Q791:S791)))</f>
        <v/>
      </c>
      <c r="AH791" s="4">
        <f>MAX(0,U791-MAX(0,Z791-SUM(Q791:T791)))</f>
        <v/>
      </c>
      <c r="AI791" s="4">
        <f>MAX(0,V791-MAX(0,Z791-SUM(Q791:U791)))</f>
        <v/>
      </c>
      <c r="AJ791" s="4">
        <f>MAX(0,W791-MAX(0,Z791-SUM(Q791:V791)))</f>
        <v/>
      </c>
      <c r="AK791" s="4">
        <f>MAX(0,X791-MAX(0,Z791-SUM(Q791:W791)))</f>
        <v/>
      </c>
      <c r="AL791" s="4">
        <f>MAX(0,Y791-MAX(0,Z791-SUM(Q791:X791)))</f>
        <v/>
      </c>
    </row>
    <row r="792">
      <c r="A792" s="4" t="inlineStr">
        <is>
          <t>HASLS22260902162</t>
        </is>
      </c>
      <c r="B792" s="4" t="inlineStr">
        <is>
          <t>SWMM</t>
        </is>
      </c>
      <c r="C792" s="4" t="inlineStr">
        <is>
          <t>2610N</t>
        </is>
      </c>
      <c r="D792" s="4" t="inlineStr">
        <is>
          <t>202610212100</t>
        </is>
      </c>
      <c r="E792" s="4" t="inlineStr"/>
      <c r="F792" s="4" t="inlineStr">
        <is>
          <t>THLCH</t>
        </is>
      </c>
      <c r="G792" s="4" t="inlineStr">
        <is>
          <t>VNSGN</t>
        </is>
      </c>
      <c r="H792" s="4" t="inlineStr">
        <is>
          <t xml:space="preserve">40Hx3 </t>
        </is>
      </c>
      <c r="I792" s="4" t="inlineStr">
        <is>
          <t>LCHY5</t>
        </is>
      </c>
      <c r="J792" s="4" t="inlineStr">
        <is>
          <t>PW DEPOT CO., LTD.</t>
        </is>
      </c>
      <c r="K792" s="4" t="inlineStr">
        <is>
          <t>20261009</t>
        </is>
      </c>
      <c r="L792" s="4" t="inlineStr">
        <is>
          <t>SCGJWD LOGISTICS PUBLIC COMPANY LIMITED</t>
        </is>
      </c>
      <c r="M792" s="4" t="inlineStr">
        <is>
          <t>THAI POLYETHYLENE CO., LTD.</t>
        </is>
      </c>
      <c r="N792" s="4" t="inlineStr">
        <is>
          <t>RESIN</t>
        </is>
      </c>
      <c r="O792" s="4" t="inlineStr">
        <is>
          <t>REQ. RESIN-PALLET,CLEAN CONTAINER NO OIL STAINS</t>
        </is>
      </c>
      <c r="P792" s="4" t="inlineStr">
        <is>
          <t xml:space="preserve">CY-RTN 09-12/10/26 (ref. 30310623430)1ST RETURN DATE DD.13/10/26
*PLS CHECK OPEN GATE BEFORE RETURN CTNR*
</t>
        </is>
      </c>
      <c r="Q792" s="4" t="n">
        <v>0</v>
      </c>
      <c r="R792" s="4" t="n">
        <v>0</v>
      </c>
      <c r="S792" s="4" t="n">
        <v>3</v>
      </c>
      <c r="T792" s="4" t="n">
        <v>0</v>
      </c>
      <c r="U792" s="4" t="n">
        <v>0</v>
      </c>
      <c r="V792" s="4" t="n">
        <v>0</v>
      </c>
      <c r="W792" s="4" t="n">
        <v>0</v>
      </c>
      <c r="X792" s="4" t="n">
        <v>0</v>
      </c>
      <c r="Y792" s="4" t="n">
        <v>0</v>
      </c>
      <c r="Z792" s="4" t="n">
        <v>0</v>
      </c>
      <c r="AA792" s="4" t="n">
        <v>0</v>
      </c>
      <c r="AB792" s="4">
        <f>SUM(Q792:Y792)-Z792</f>
        <v/>
      </c>
      <c r="AC792" s="4">
        <f>IF(I792="","",IF(OR(LEFT(I792,3)="BKK",I792="LCH55"),"BKK",IF(LEFT(I792,3)="LCH","LCH","OTHER")))</f>
        <v/>
      </c>
      <c r="AD792" s="4">
        <f>MAX(0,Q792-MAX(0,Z792))</f>
        <v/>
      </c>
      <c r="AE792" s="4">
        <f>MAX(0,R792-MAX(0,Z792-SUM(Q792:Q792)))</f>
        <v/>
      </c>
      <c r="AF792" s="4">
        <f>MAX(0,S792-MAX(0,Z792-SUM(Q792:R792)))</f>
        <v/>
      </c>
      <c r="AG792" s="4">
        <f>MAX(0,T792-MAX(0,Z792-SUM(Q792:S792)))</f>
        <v/>
      </c>
      <c r="AH792" s="4">
        <f>MAX(0,U792-MAX(0,Z792-SUM(Q792:T792)))</f>
        <v/>
      </c>
      <c r="AI792" s="4">
        <f>MAX(0,V792-MAX(0,Z792-SUM(Q792:U792)))</f>
        <v/>
      </c>
      <c r="AJ792" s="4">
        <f>MAX(0,W792-MAX(0,Z792-SUM(Q792:V792)))</f>
        <v/>
      </c>
      <c r="AK792" s="4">
        <f>MAX(0,X792-MAX(0,Z792-SUM(Q792:W792)))</f>
        <v/>
      </c>
      <c r="AL792" s="4">
        <f>MAX(0,Y792-MAX(0,Z792-SUM(Q792:X792)))</f>
        <v/>
      </c>
    </row>
    <row r="793">
      <c r="A793" s="4" t="inlineStr">
        <is>
          <t>HASLS22260902169</t>
        </is>
      </c>
      <c r="B793" s="4" t="inlineStr">
        <is>
          <t>PCCP</t>
        </is>
      </c>
      <c r="C793" s="4" t="inlineStr">
        <is>
          <t>2610N</t>
        </is>
      </c>
      <c r="D793" s="4" t="inlineStr">
        <is>
          <t>202610120600</t>
        </is>
      </c>
      <c r="E793" s="4" t="inlineStr"/>
      <c r="F793" s="4" t="inlineStr">
        <is>
          <t>THLCH</t>
        </is>
      </c>
      <c r="G793" s="4" t="inlineStr">
        <is>
          <t>KRINC</t>
        </is>
      </c>
      <c r="H793" s="4" t="inlineStr">
        <is>
          <t xml:space="preserve">40Hx1 </t>
        </is>
      </c>
      <c r="I793" s="4" t="inlineStr">
        <is>
          <t>LCHY5</t>
        </is>
      </c>
      <c r="J793" s="4" t="inlineStr">
        <is>
          <t>PW DEPOT CO., LTD.</t>
        </is>
      </c>
      <c r="K793" s="4" t="inlineStr">
        <is>
          <t>20261008</t>
        </is>
      </c>
      <c r="L793" s="4" t="inlineStr">
        <is>
          <t>H &amp; FRIENDS GTL (THAILAND) CO., LTD.</t>
        </is>
      </c>
      <c r="M793" s="4" t="inlineStr">
        <is>
          <t>AUTOLIV (THAILAND) LIMITED</t>
        </is>
      </c>
      <c r="N793" s="4" t="inlineStr">
        <is>
          <t>SEAT BELT</t>
        </is>
      </c>
      <c r="O793" s="4" t="inlineStr">
        <is>
          <t>REQUEST CONTAINER CLEAN &amp; NO SMEL</t>
        </is>
      </c>
      <c r="P793" s="4" t="inlineStr">
        <is>
          <t>Pickup : 2026-10-08, Return : 2026-10-08 
 ** PLEASE CHECK OPEN GATE BEFORE RETURN CNTR **</t>
        </is>
      </c>
      <c r="Q793" s="4" t="n">
        <v>0</v>
      </c>
      <c r="R793" s="4" t="n">
        <v>0</v>
      </c>
      <c r="S793" s="4" t="n">
        <v>1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>
        <f>SUM(Q793:Y793)-Z793</f>
        <v/>
      </c>
      <c r="AC793" s="4">
        <f>IF(I793="","",IF(OR(LEFT(I793,3)="BKK",I793="LCH55"),"BKK",IF(LEFT(I793,3)="LCH","LCH","OTHER")))</f>
        <v/>
      </c>
      <c r="AD793" s="4">
        <f>MAX(0,Q793-MAX(0,Z793))</f>
        <v/>
      </c>
      <c r="AE793" s="4">
        <f>MAX(0,R793-MAX(0,Z793-SUM(Q793:Q793)))</f>
        <v/>
      </c>
      <c r="AF793" s="4">
        <f>MAX(0,S793-MAX(0,Z793-SUM(Q793:R793)))</f>
        <v/>
      </c>
      <c r="AG793" s="4">
        <f>MAX(0,T793-MAX(0,Z793-SUM(Q793:S793)))</f>
        <v/>
      </c>
      <c r="AH793" s="4">
        <f>MAX(0,U793-MAX(0,Z793-SUM(Q793:T793)))</f>
        <v/>
      </c>
      <c r="AI793" s="4">
        <f>MAX(0,V793-MAX(0,Z793-SUM(Q793:U793)))</f>
        <v/>
      </c>
      <c r="AJ793" s="4">
        <f>MAX(0,W793-MAX(0,Z793-SUM(Q793:V793)))</f>
        <v/>
      </c>
      <c r="AK793" s="4">
        <f>MAX(0,X793-MAX(0,Z793-SUM(Q793:W793)))</f>
        <v/>
      </c>
      <c r="AL793" s="4">
        <f>MAX(0,Y793-MAX(0,Z793-SUM(Q793:X793)))</f>
        <v/>
      </c>
    </row>
    <row r="794">
      <c r="A794" s="4" t="inlineStr">
        <is>
          <t>HASLS22260902206</t>
        </is>
      </c>
      <c r="B794" s="4" t="inlineStr">
        <is>
          <t>PCCP</t>
        </is>
      </c>
      <c r="C794" s="4" t="inlineStr">
        <is>
          <t>2610N</t>
        </is>
      </c>
      <c r="D794" s="4" t="inlineStr">
        <is>
          <t>202610120600</t>
        </is>
      </c>
      <c r="E794" s="4" t="inlineStr"/>
      <c r="F794" s="4" t="inlineStr">
        <is>
          <t>THLCH</t>
        </is>
      </c>
      <c r="G794" s="4" t="inlineStr">
        <is>
          <t>VNSGN</t>
        </is>
      </c>
      <c r="H794" s="4" t="inlineStr">
        <is>
          <t xml:space="preserve">20'x1 </t>
        </is>
      </c>
      <c r="I794" s="4" t="inlineStr">
        <is>
          <t>LCHY5</t>
        </is>
      </c>
      <c r="J794" s="4" t="inlineStr">
        <is>
          <t>PW DEPOT CO., LTD.</t>
        </is>
      </c>
      <c r="K794" s="4" t="inlineStr">
        <is>
          <t>20261002</t>
        </is>
      </c>
      <c r="L794" s="4" t="inlineStr">
        <is>
          <t>WHA GC LOGISTICS COMPANY LIMITED</t>
        </is>
      </c>
      <c r="M794" s="4" t="inlineStr">
        <is>
          <t>PTT GLOBAL CHEMICAL PUBLIC COMPANY LIMITED</t>
        </is>
      </c>
      <c r="N794" s="4" t="inlineStr">
        <is>
          <t xml:space="preserve">TRI ETHANOLAMINE </t>
        </is>
      </c>
      <c r="O794" s="4" t="inlineStr">
        <is>
          <t>GOOD AND CLEAN CONTAINER</t>
        </is>
      </c>
      <c r="P794" s="4" t="inlineStr">
        <is>
          <t xml:space="preserve">CY-RTN : 02-07/10/20206 *1ST RETURN CNTR DD.07/10/2026*
</t>
        </is>
      </c>
      <c r="Q794" s="4" t="n">
        <v>1</v>
      </c>
      <c r="R794" s="4" t="n">
        <v>0</v>
      </c>
      <c r="S794" s="4" t="n">
        <v>0</v>
      </c>
      <c r="T794" s="4" t="n">
        <v>0</v>
      </c>
      <c r="U794" s="4" t="n">
        <v>0</v>
      </c>
      <c r="V794" s="4" t="n">
        <v>0</v>
      </c>
      <c r="W794" s="4" t="n">
        <v>0</v>
      </c>
      <c r="X794" s="4" t="n">
        <v>0</v>
      </c>
      <c r="Y794" s="4" t="n">
        <v>0</v>
      </c>
      <c r="Z794" s="4" t="n">
        <v>0</v>
      </c>
      <c r="AA794" s="4" t="n">
        <v>0</v>
      </c>
      <c r="AB794" s="4">
        <f>SUM(Q794:Y794)-Z794</f>
        <v/>
      </c>
      <c r="AC794" s="4">
        <f>IF(I794="","",IF(OR(LEFT(I794,3)="BKK",I794="LCH55"),"BKK",IF(LEFT(I794,3)="LCH","LCH","OTHER")))</f>
        <v/>
      </c>
      <c r="AD794" s="4">
        <f>MAX(0,Q794-MAX(0,Z794))</f>
        <v/>
      </c>
      <c r="AE794" s="4">
        <f>MAX(0,R794-MAX(0,Z794-SUM(Q794:Q794)))</f>
        <v/>
      </c>
      <c r="AF794" s="4">
        <f>MAX(0,S794-MAX(0,Z794-SUM(Q794:R794)))</f>
        <v/>
      </c>
      <c r="AG794" s="4">
        <f>MAX(0,T794-MAX(0,Z794-SUM(Q794:S794)))</f>
        <v/>
      </c>
      <c r="AH794" s="4">
        <f>MAX(0,U794-MAX(0,Z794-SUM(Q794:T794)))</f>
        <v/>
      </c>
      <c r="AI794" s="4">
        <f>MAX(0,V794-MAX(0,Z794-SUM(Q794:U794)))</f>
        <v/>
      </c>
      <c r="AJ794" s="4">
        <f>MAX(0,W794-MAX(0,Z794-SUM(Q794:V794)))</f>
        <v/>
      </c>
      <c r="AK794" s="4">
        <f>MAX(0,X794-MAX(0,Z794-SUM(Q794:W794)))</f>
        <v/>
      </c>
      <c r="AL794" s="4">
        <f>MAX(0,Y794-MAX(0,Z794-SUM(Q794:X794)))</f>
        <v/>
      </c>
    </row>
    <row r="795">
      <c r="A795" s="4" t="inlineStr">
        <is>
          <t>HASLS22260902208</t>
        </is>
      </c>
      <c r="B795" s="4" t="inlineStr">
        <is>
          <t>SWBT</t>
        </is>
      </c>
      <c r="C795" s="4" t="inlineStr">
        <is>
          <t>2616N</t>
        </is>
      </c>
      <c r="D795" s="4" t="inlineStr">
        <is>
          <t>202610140000</t>
        </is>
      </c>
      <c r="E795" s="4" t="inlineStr"/>
      <c r="F795" s="4" t="inlineStr">
        <is>
          <t>THLCH</t>
        </is>
      </c>
      <c r="G795" s="4" t="inlineStr">
        <is>
          <t>JPTOS</t>
        </is>
      </c>
      <c r="H795" s="4" t="inlineStr">
        <is>
          <t xml:space="preserve">20'x1 </t>
        </is>
      </c>
      <c r="I795" s="4" t="inlineStr">
        <is>
          <t>LCHY5</t>
        </is>
      </c>
      <c r="J795" s="4" t="inlineStr">
        <is>
          <t>PW DEPOT CO., LTD.</t>
        </is>
      </c>
      <c r="K795" s="4" t="inlineStr">
        <is>
          <t>20261006</t>
        </is>
      </c>
      <c r="L795" s="4" t="inlineStr">
        <is>
          <t>DOW CHEMICAL THAILAND LTD.</t>
        </is>
      </c>
      <c r="M795" s="4" t="inlineStr">
        <is>
          <t>SIAM POLYETHYLENE CO., LTD.</t>
        </is>
      </c>
      <c r="N795" s="4" t="inlineStr">
        <is>
          <t>RESIN</t>
        </is>
      </c>
      <c r="O795" s="4" t="inlineStr">
        <is>
          <t>GOOD AND CLEAN CONTAINER</t>
        </is>
      </c>
      <c r="P795" s="4" t="inlineStr">
        <is>
          <t xml:space="preserve">Pickup : 2026-10-06, Return : 2026-10-10 
** PLEASE CHECK OPEN GATE BEFORE RETURN CONTAINER ** </t>
        </is>
      </c>
      <c r="Q795" s="4" t="n">
        <v>1</v>
      </c>
      <c r="R795" s="4" t="n">
        <v>0</v>
      </c>
      <c r="S795" s="4" t="n">
        <v>0</v>
      </c>
      <c r="T795" s="4" t="n">
        <v>0</v>
      </c>
      <c r="U795" s="4" t="n">
        <v>0</v>
      </c>
      <c r="V795" s="4" t="n">
        <v>0</v>
      </c>
      <c r="W795" s="4" t="n">
        <v>0</v>
      </c>
      <c r="X795" s="4" t="n">
        <v>0</v>
      </c>
      <c r="Y795" s="4" t="n">
        <v>0</v>
      </c>
      <c r="Z795" s="4" t="n">
        <v>0</v>
      </c>
      <c r="AA795" s="4" t="n">
        <v>0</v>
      </c>
      <c r="AB795" s="4">
        <f>SUM(Q795:Y795)-Z795</f>
        <v/>
      </c>
      <c r="AC795" s="4">
        <f>IF(I795="","",IF(OR(LEFT(I795,3)="BKK",I795="LCH55"),"BKK",IF(LEFT(I795,3)="LCH","LCH","OTHER")))</f>
        <v/>
      </c>
      <c r="AD795" s="4">
        <f>MAX(0,Q795-MAX(0,Z795))</f>
        <v/>
      </c>
      <c r="AE795" s="4">
        <f>MAX(0,R795-MAX(0,Z795-SUM(Q795:Q795)))</f>
        <v/>
      </c>
      <c r="AF795" s="4">
        <f>MAX(0,S795-MAX(0,Z795-SUM(Q795:R795)))</f>
        <v/>
      </c>
      <c r="AG795" s="4">
        <f>MAX(0,T795-MAX(0,Z795-SUM(Q795:S795)))</f>
        <v/>
      </c>
      <c r="AH795" s="4">
        <f>MAX(0,U795-MAX(0,Z795-SUM(Q795:T795)))</f>
        <v/>
      </c>
      <c r="AI795" s="4">
        <f>MAX(0,V795-MAX(0,Z795-SUM(Q795:U795)))</f>
        <v/>
      </c>
      <c r="AJ795" s="4">
        <f>MAX(0,W795-MAX(0,Z795-SUM(Q795:V795)))</f>
        <v/>
      </c>
      <c r="AK795" s="4">
        <f>MAX(0,X795-MAX(0,Z795-SUM(Q795:W795)))</f>
        <v/>
      </c>
      <c r="AL795" s="4">
        <f>MAX(0,Y795-MAX(0,Z795-SUM(Q795:X795)))</f>
        <v/>
      </c>
    </row>
    <row r="796">
      <c r="A796" s="4" t="inlineStr">
        <is>
          <t>HASLS22260902217</t>
        </is>
      </c>
      <c r="B796" s="4" t="inlineStr">
        <is>
          <t>SWVG</t>
        </is>
      </c>
      <c r="C796" s="4" t="inlineStr">
        <is>
          <t>2612N</t>
        </is>
      </c>
      <c r="D796" s="4" t="inlineStr">
        <is>
          <t>202610070330</t>
        </is>
      </c>
      <c r="E796" s="4" t="inlineStr"/>
      <c r="F796" s="4" t="inlineStr">
        <is>
          <t>THLCH</t>
        </is>
      </c>
      <c r="G796" s="4" t="inlineStr">
        <is>
          <t>CNSHA</t>
        </is>
      </c>
      <c r="H796" s="4" t="inlineStr">
        <is>
          <t xml:space="preserve">20'x2 </t>
        </is>
      </c>
      <c r="I796" s="4" t="inlineStr">
        <is>
          <t>LCHY5</t>
        </is>
      </c>
      <c r="J796" s="4" t="inlineStr">
        <is>
          <t>PW DEPOT CO., LTD.</t>
        </is>
      </c>
      <c r="K796" s="4" t="inlineStr">
        <is>
          <t>20261005</t>
        </is>
      </c>
      <c r="L796" s="4" t="inlineStr">
        <is>
          <t>MITSUBISHI LOGISTICS (THAILAND) CO., LTD.</t>
        </is>
      </c>
      <c r="M796" s="4" t="inlineStr">
        <is>
          <t>SHIN-ETSU SILICONES (THAILAND) LTD.</t>
        </is>
      </c>
      <c r="N796" s="4" t="inlineStr">
        <is>
          <t>SILICONE</t>
        </is>
      </c>
      <c r="O796" s="4" t="inlineStr">
        <is>
          <t>Good , Clean, No smell container</t>
        </is>
      </c>
      <c r="P796" s="4" t="inlineStr">
        <is>
          <t xml:space="preserve">Pickup : 2026-10-05, Return : 2026-10-05 // EXTEND CLS TIME 06/10 @18.00 FIRST. 
 ** PLEASE CHECK OPEN GATE BEFORE RETURN CNTR **
</t>
        </is>
      </c>
      <c r="Q796" s="4" t="n">
        <v>2</v>
      </c>
      <c r="R796" s="4" t="n">
        <v>0</v>
      </c>
      <c r="S796" s="4" t="n">
        <v>0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>
        <f>SUM(Q796:Y796)-Z796</f>
        <v/>
      </c>
      <c r="AC796" s="4">
        <f>IF(I796="","",IF(OR(LEFT(I796,3)="BKK",I796="LCH55"),"BKK",IF(LEFT(I796,3)="LCH","LCH","OTHER")))</f>
        <v/>
      </c>
      <c r="AD796" s="4">
        <f>MAX(0,Q796-MAX(0,Z796))</f>
        <v/>
      </c>
      <c r="AE796" s="4">
        <f>MAX(0,R796-MAX(0,Z796-SUM(Q796:Q796)))</f>
        <v/>
      </c>
      <c r="AF796" s="4">
        <f>MAX(0,S796-MAX(0,Z796-SUM(Q796:R796)))</f>
        <v/>
      </c>
      <c r="AG796" s="4">
        <f>MAX(0,T796-MAX(0,Z796-SUM(Q796:S796)))</f>
        <v/>
      </c>
      <c r="AH796" s="4">
        <f>MAX(0,U796-MAX(0,Z796-SUM(Q796:T796)))</f>
        <v/>
      </c>
      <c r="AI796" s="4">
        <f>MAX(0,V796-MAX(0,Z796-SUM(Q796:U796)))</f>
        <v/>
      </c>
      <c r="AJ796" s="4">
        <f>MAX(0,W796-MAX(0,Z796-SUM(Q796:V796)))</f>
        <v/>
      </c>
      <c r="AK796" s="4">
        <f>MAX(0,X796-MAX(0,Z796-SUM(Q796:W796)))</f>
        <v/>
      </c>
      <c r="AL796" s="4">
        <f>MAX(0,Y796-MAX(0,Z796-SUM(Q796:X796)))</f>
        <v/>
      </c>
    </row>
    <row r="797">
      <c r="A797" s="4" t="inlineStr">
        <is>
          <t>HASLS22260902220</t>
        </is>
      </c>
      <c r="B797" s="4" t="inlineStr">
        <is>
          <t>KMTP</t>
        </is>
      </c>
      <c r="C797" s="4" t="inlineStr">
        <is>
          <t>2612N</t>
        </is>
      </c>
      <c r="D797" s="4" t="inlineStr">
        <is>
          <t>202610122200</t>
        </is>
      </c>
      <c r="E797" s="4" t="inlineStr"/>
      <c r="F797" s="4" t="inlineStr">
        <is>
          <t>THLCH</t>
        </is>
      </c>
      <c r="G797" s="4" t="inlineStr">
        <is>
          <t>HKHKG</t>
        </is>
      </c>
      <c r="H797" s="4" t="inlineStr">
        <is>
          <t xml:space="preserve">20'x1 </t>
        </is>
      </c>
      <c r="I797" s="4" t="inlineStr">
        <is>
          <t>LCHY5</t>
        </is>
      </c>
      <c r="J797" s="4" t="inlineStr">
        <is>
          <t>PW DEPOT CO., LTD.</t>
        </is>
      </c>
      <c r="K797" s="4" t="inlineStr">
        <is>
          <t>20261003</t>
        </is>
      </c>
      <c r="L797" s="4" t="inlineStr">
        <is>
          <t>PACIFIC FORWARDER INTERNATIONAL CO., LTD.</t>
        </is>
      </c>
      <c r="M797" s="4" t="inlineStr">
        <is>
          <t>DELTA DAIKI METAL (THAILAND) CO.,LTD.</t>
        </is>
      </c>
      <c r="N797" s="4" t="inlineStr">
        <is>
          <t>MIXED METAL</t>
        </is>
      </c>
      <c r="O797" s="4" t="inlineStr">
        <is>
          <t>RQST UPGRADE CNTR 30 TONS</t>
        </is>
      </c>
      <c r="P797" s="4" t="inlineStr">
        <is>
          <t xml:space="preserve">Pickup : 2026-10-03, Return : 2026-10-05 [1ST RTN 08/10/2026 W/O RENT]
** PLEASE CHECK OPEN GATE BEFORE RETURN CONTAINER ** </t>
        </is>
      </c>
      <c r="Q797" s="4" t="n">
        <v>1</v>
      </c>
      <c r="R797" s="4" t="n">
        <v>0</v>
      </c>
      <c r="S797" s="4" t="n">
        <v>0</v>
      </c>
      <c r="T797" s="4" t="n">
        <v>0</v>
      </c>
      <c r="U797" s="4" t="n">
        <v>0</v>
      </c>
      <c r="V797" s="4" t="n">
        <v>0</v>
      </c>
      <c r="W797" s="4" t="n">
        <v>0</v>
      </c>
      <c r="X797" s="4" t="n">
        <v>0</v>
      </c>
      <c r="Y797" s="4" t="n">
        <v>0</v>
      </c>
      <c r="Z797" s="4" t="n">
        <v>0</v>
      </c>
      <c r="AA797" s="4" t="n">
        <v>0</v>
      </c>
      <c r="AB797" s="4">
        <f>SUM(Q797:Y797)-Z797</f>
        <v/>
      </c>
      <c r="AC797" s="4">
        <f>IF(I797="","",IF(OR(LEFT(I797,3)="BKK",I797="LCH55"),"BKK",IF(LEFT(I797,3)="LCH","LCH","OTHER")))</f>
        <v/>
      </c>
      <c r="AD797" s="4">
        <f>MAX(0,Q797-MAX(0,Z797))</f>
        <v/>
      </c>
      <c r="AE797" s="4">
        <f>MAX(0,R797-MAX(0,Z797-SUM(Q797:Q797)))</f>
        <v/>
      </c>
      <c r="AF797" s="4">
        <f>MAX(0,S797-MAX(0,Z797-SUM(Q797:R797)))</f>
        <v/>
      </c>
      <c r="AG797" s="4">
        <f>MAX(0,T797-MAX(0,Z797-SUM(Q797:S797)))</f>
        <v/>
      </c>
      <c r="AH797" s="4">
        <f>MAX(0,U797-MAX(0,Z797-SUM(Q797:T797)))</f>
        <v/>
      </c>
      <c r="AI797" s="4">
        <f>MAX(0,V797-MAX(0,Z797-SUM(Q797:U797)))</f>
        <v/>
      </c>
      <c r="AJ797" s="4">
        <f>MAX(0,W797-MAX(0,Z797-SUM(Q797:V797)))</f>
        <v/>
      </c>
      <c r="AK797" s="4">
        <f>MAX(0,X797-MAX(0,Z797-SUM(Q797:W797)))</f>
        <v/>
      </c>
      <c r="AL797" s="4">
        <f>MAX(0,Y797-MAX(0,Z797-SUM(Q797:X797)))</f>
        <v/>
      </c>
    </row>
    <row r="798">
      <c r="A798" s="4" t="inlineStr">
        <is>
          <t>HASLS22260902225</t>
        </is>
      </c>
      <c r="B798" s="4" t="inlineStr">
        <is>
          <t>SWMM</t>
        </is>
      </c>
      <c r="C798" s="4" t="inlineStr">
        <is>
          <t>2610N</t>
        </is>
      </c>
      <c r="D798" s="4" t="inlineStr">
        <is>
          <t>202610212100</t>
        </is>
      </c>
      <c r="E798" s="4" t="inlineStr"/>
      <c r="F798" s="4" t="inlineStr">
        <is>
          <t>THLCH</t>
        </is>
      </c>
      <c r="G798" s="4" t="inlineStr">
        <is>
          <t>KRPTK</t>
        </is>
      </c>
      <c r="H798" s="4" t="inlineStr">
        <is>
          <t xml:space="preserve">40Hx3 </t>
        </is>
      </c>
      <c r="I798" s="4" t="inlineStr">
        <is>
          <t>LCHY5</t>
        </is>
      </c>
      <c r="J798" s="4" t="inlineStr">
        <is>
          <t>PW DEPOT CO., LTD.</t>
        </is>
      </c>
      <c r="K798" s="4" t="inlineStr">
        <is>
          <t>20261012</t>
        </is>
      </c>
      <c r="L798" s="4" t="inlineStr">
        <is>
          <t>SDS-ACUTECH CO., LTD.</t>
        </is>
      </c>
      <c r="M798" s="4" t="inlineStr">
        <is>
          <t>TPV TECHNOLOGY (THAILAND) CO., LTD.</t>
        </is>
      </c>
      <c r="N798" s="4" t="inlineStr">
        <is>
          <t>MONITOR SCREEN</t>
        </is>
      </c>
      <c r="O798" s="4" t="inlineStr">
        <is>
          <t>GOOD AND CLEAN CONTAINER</t>
        </is>
      </c>
      <c r="P798" s="4" t="inlineStr">
        <is>
          <t xml:space="preserve">Pickup : 2026-10-12, Return : 2026-10-13
** PLEASE CHECK OPEN GATE BEFORE RETURN CONTAINER ** </t>
        </is>
      </c>
      <c r="Q798" s="4" t="n">
        <v>0</v>
      </c>
      <c r="R798" s="4" t="n">
        <v>0</v>
      </c>
      <c r="S798" s="4" t="n">
        <v>3</v>
      </c>
      <c r="T798" s="4" t="n">
        <v>0</v>
      </c>
      <c r="U798" s="4" t="n">
        <v>0</v>
      </c>
      <c r="V798" s="4" t="n">
        <v>0</v>
      </c>
      <c r="W798" s="4" t="n">
        <v>0</v>
      </c>
      <c r="X798" s="4" t="n">
        <v>0</v>
      </c>
      <c r="Y798" s="4" t="n">
        <v>0</v>
      </c>
      <c r="Z798" s="4" t="n">
        <v>0</v>
      </c>
      <c r="AA798" s="4" t="n">
        <v>0</v>
      </c>
      <c r="AB798" s="4">
        <f>SUM(Q798:Y798)-Z798</f>
        <v/>
      </c>
      <c r="AC798" s="4">
        <f>IF(I798="","",IF(OR(LEFT(I798,3)="BKK",I798="LCH55"),"BKK",IF(LEFT(I798,3)="LCH","LCH","OTHER")))</f>
        <v/>
      </c>
      <c r="AD798" s="4">
        <f>MAX(0,Q798-MAX(0,Z798))</f>
        <v/>
      </c>
      <c r="AE798" s="4">
        <f>MAX(0,R798-MAX(0,Z798-SUM(Q798:Q798)))</f>
        <v/>
      </c>
      <c r="AF798" s="4">
        <f>MAX(0,S798-MAX(0,Z798-SUM(Q798:R798)))</f>
        <v/>
      </c>
      <c r="AG798" s="4">
        <f>MAX(0,T798-MAX(0,Z798-SUM(Q798:S798)))</f>
        <v/>
      </c>
      <c r="AH798" s="4">
        <f>MAX(0,U798-MAX(0,Z798-SUM(Q798:T798)))</f>
        <v/>
      </c>
      <c r="AI798" s="4">
        <f>MAX(0,V798-MAX(0,Z798-SUM(Q798:U798)))</f>
        <v/>
      </c>
      <c r="AJ798" s="4">
        <f>MAX(0,W798-MAX(0,Z798-SUM(Q798:V798)))</f>
        <v/>
      </c>
      <c r="AK798" s="4">
        <f>MAX(0,X798-MAX(0,Z798-SUM(Q798:W798)))</f>
        <v/>
      </c>
      <c r="AL798" s="4">
        <f>MAX(0,Y798-MAX(0,Z798-SUM(Q798:X798)))</f>
        <v/>
      </c>
    </row>
    <row r="799">
      <c r="A799" s="4" t="inlineStr">
        <is>
          <t>HASLS22260902226</t>
        </is>
      </c>
      <c r="B799" s="4" t="inlineStr">
        <is>
          <t>PCCP</t>
        </is>
      </c>
      <c r="C799" s="4" t="inlineStr">
        <is>
          <t>2610N</t>
        </is>
      </c>
      <c r="D799" s="4" t="inlineStr">
        <is>
          <t>202610120600</t>
        </is>
      </c>
      <c r="E799" s="4" t="inlineStr"/>
      <c r="F799" s="4" t="inlineStr">
        <is>
          <t>THLCH</t>
        </is>
      </c>
      <c r="G799" s="4" t="inlineStr">
        <is>
          <t>VNSGN</t>
        </is>
      </c>
      <c r="H799" s="4" t="inlineStr">
        <is>
          <t xml:space="preserve">40Hx1 </t>
        </is>
      </c>
      <c r="I799" s="4" t="inlineStr">
        <is>
          <t>LCHY5</t>
        </is>
      </c>
      <c r="J799" s="4" t="inlineStr">
        <is>
          <t>PW DEPOT CO., LTD.</t>
        </is>
      </c>
      <c r="K799" s="4" t="inlineStr">
        <is>
          <t>20261007</t>
        </is>
      </c>
      <c r="L799" s="4" t="inlineStr">
        <is>
          <t>STAR CONCORD (THAILAND) CO., LTD.</t>
        </is>
      </c>
      <c r="M799" s="4" t="inlineStr">
        <is>
          <t>SIAM COATED ABRASIVE CO., LTD.</t>
        </is>
      </c>
      <c r="N799" s="4" t="inlineStr">
        <is>
          <t>ABRASIVE CLOTH ROLL</t>
        </is>
      </c>
      <c r="O799" s="4" t="inlineStr">
        <is>
          <t>REQ GOOD, CLEAN, NO SMELL, NO RUST CONTAINER</t>
        </is>
      </c>
      <c r="P799" s="4" t="inlineStr">
        <is>
          <t xml:space="preserve">Pickup : 2026-10-07, Return : 2026-10-08 
 ** PLEASE CHECK OPEN GATE BEFORE RETURN CNTR **
</t>
        </is>
      </c>
      <c r="Q799" s="4" t="n">
        <v>0</v>
      </c>
      <c r="R799" s="4" t="n">
        <v>0</v>
      </c>
      <c r="S799" s="4" t="n">
        <v>1</v>
      </c>
      <c r="T799" s="4" t="n">
        <v>0</v>
      </c>
      <c r="U799" s="4" t="n">
        <v>0</v>
      </c>
      <c r="V799" s="4" t="n">
        <v>0</v>
      </c>
      <c r="W799" s="4" t="n">
        <v>0</v>
      </c>
      <c r="X799" s="4" t="n">
        <v>0</v>
      </c>
      <c r="Y799" s="4" t="n">
        <v>0</v>
      </c>
      <c r="Z799" s="4" t="n">
        <v>0</v>
      </c>
      <c r="AA799" s="4" t="n">
        <v>0</v>
      </c>
      <c r="AB799" s="4">
        <f>SUM(Q799:Y799)-Z799</f>
        <v/>
      </c>
      <c r="AC799" s="4">
        <f>IF(I799="","",IF(OR(LEFT(I799,3)="BKK",I799="LCH55"),"BKK",IF(LEFT(I799,3)="LCH","LCH","OTHER")))</f>
        <v/>
      </c>
      <c r="AD799" s="4">
        <f>MAX(0,Q799-MAX(0,Z799))</f>
        <v/>
      </c>
      <c r="AE799" s="4">
        <f>MAX(0,R799-MAX(0,Z799-SUM(Q799:Q799)))</f>
        <v/>
      </c>
      <c r="AF799" s="4">
        <f>MAX(0,S799-MAX(0,Z799-SUM(Q799:R799)))</f>
        <v/>
      </c>
      <c r="AG799" s="4">
        <f>MAX(0,T799-MAX(0,Z799-SUM(Q799:S799)))</f>
        <v/>
      </c>
      <c r="AH799" s="4">
        <f>MAX(0,U799-MAX(0,Z799-SUM(Q799:T799)))</f>
        <v/>
      </c>
      <c r="AI799" s="4">
        <f>MAX(0,V799-MAX(0,Z799-SUM(Q799:U799)))</f>
        <v/>
      </c>
      <c r="AJ799" s="4">
        <f>MAX(0,W799-MAX(0,Z799-SUM(Q799:V799)))</f>
        <v/>
      </c>
      <c r="AK799" s="4">
        <f>MAX(0,X799-MAX(0,Z799-SUM(Q799:W799)))</f>
        <v/>
      </c>
      <c r="AL799" s="4">
        <f>MAX(0,Y799-MAX(0,Z799-SUM(Q799:X799)))</f>
        <v/>
      </c>
    </row>
    <row r="800">
      <c r="A800" s="4" t="inlineStr">
        <is>
          <t>HASLS22260902231</t>
        </is>
      </c>
      <c r="B800" s="4" t="inlineStr">
        <is>
          <t>PCCP</t>
        </is>
      </c>
      <c r="C800" s="4" t="inlineStr">
        <is>
          <t>2610N</t>
        </is>
      </c>
      <c r="D800" s="4" t="inlineStr">
        <is>
          <t>202610120600</t>
        </is>
      </c>
      <c r="E800" s="4" t="inlineStr"/>
      <c r="F800" s="4" t="inlineStr">
        <is>
          <t>THLCH</t>
        </is>
      </c>
      <c r="G800" s="4" t="inlineStr">
        <is>
          <t>VNSGN</t>
        </is>
      </c>
      <c r="H800" s="4" t="inlineStr">
        <is>
          <t xml:space="preserve">40Hx2 </t>
        </is>
      </c>
      <c r="I800" s="4" t="inlineStr">
        <is>
          <t>LCHY5</t>
        </is>
      </c>
      <c r="J800" s="4" t="inlineStr">
        <is>
          <t>PW DEPOT CO., LTD.</t>
        </is>
      </c>
      <c r="K800" s="4" t="inlineStr">
        <is>
          <t>20261006</t>
        </is>
      </c>
      <c r="L800" s="4" t="inlineStr">
        <is>
          <t>EAST-LINK CORPORATION CO., LTD.</t>
        </is>
      </c>
      <c r="M800" s="4" t="inlineStr">
        <is>
          <t>TRI-WALL PACKAGING (THAI) LTD.</t>
        </is>
      </c>
      <c r="N800" s="4" t="inlineStr">
        <is>
          <t>CORRUGATED PAPER BOARD</t>
        </is>
      </c>
      <c r="O800" s="4" t="inlineStr">
        <is>
          <t>RQS CLEAN &amp; GOOD CONTAINER CONDITION.</t>
        </is>
      </c>
      <c r="P800" s="4" t="inlineStr">
        <is>
          <t xml:space="preserve">Pickup : 2026-10-06, Return : 2026-10-07 // FM DJCF 0152N BY HAL DD.25/09
** PLEASE CHECK OPEN GATE BEFORE RETURN CONTAINER ** </t>
        </is>
      </c>
      <c r="Q800" s="4" t="n">
        <v>0</v>
      </c>
      <c r="R800" s="4" t="n">
        <v>0</v>
      </c>
      <c r="S800" s="4" t="n">
        <v>2</v>
      </c>
      <c r="T800" s="4" t="n">
        <v>0</v>
      </c>
      <c r="U800" s="4" t="n">
        <v>0</v>
      </c>
      <c r="V800" s="4" t="n">
        <v>0</v>
      </c>
      <c r="W800" s="4" t="n">
        <v>0</v>
      </c>
      <c r="X800" s="4" t="n">
        <v>0</v>
      </c>
      <c r="Y800" s="4" t="n">
        <v>0</v>
      </c>
      <c r="Z800" s="4" t="n">
        <v>0</v>
      </c>
      <c r="AA800" s="4" t="n">
        <v>0</v>
      </c>
      <c r="AB800" s="4">
        <f>SUM(Q800:Y800)-Z800</f>
        <v/>
      </c>
      <c r="AC800" s="4">
        <f>IF(I800="","",IF(OR(LEFT(I800,3)="BKK",I800="LCH55"),"BKK",IF(LEFT(I800,3)="LCH","LCH","OTHER")))</f>
        <v/>
      </c>
      <c r="AD800" s="4">
        <f>MAX(0,Q800-MAX(0,Z800))</f>
        <v/>
      </c>
      <c r="AE800" s="4">
        <f>MAX(0,R800-MAX(0,Z800-SUM(Q800:Q800)))</f>
        <v/>
      </c>
      <c r="AF800" s="4">
        <f>MAX(0,S800-MAX(0,Z800-SUM(Q800:R800)))</f>
        <v/>
      </c>
      <c r="AG800" s="4">
        <f>MAX(0,T800-MAX(0,Z800-SUM(Q800:S800)))</f>
        <v/>
      </c>
      <c r="AH800" s="4">
        <f>MAX(0,U800-MAX(0,Z800-SUM(Q800:T800)))</f>
        <v/>
      </c>
      <c r="AI800" s="4">
        <f>MAX(0,V800-MAX(0,Z800-SUM(Q800:U800)))</f>
        <v/>
      </c>
      <c r="AJ800" s="4">
        <f>MAX(0,W800-MAX(0,Z800-SUM(Q800:V800)))</f>
        <v/>
      </c>
      <c r="AK800" s="4">
        <f>MAX(0,X800-MAX(0,Z800-SUM(Q800:W800)))</f>
        <v/>
      </c>
      <c r="AL800" s="4">
        <f>MAX(0,Y800-MAX(0,Z800-SUM(Q800:X800)))</f>
        <v/>
      </c>
    </row>
    <row r="801">
      <c r="A801" s="4" t="inlineStr">
        <is>
          <t>HASLS22260902232</t>
        </is>
      </c>
      <c r="B801" s="4" t="inlineStr">
        <is>
          <t>SWIC</t>
        </is>
      </c>
      <c r="C801" s="4" t="inlineStr">
        <is>
          <t>2611N</t>
        </is>
      </c>
      <c r="D801" s="4" t="inlineStr">
        <is>
          <t>202610132300</t>
        </is>
      </c>
      <c r="E801" s="4" t="inlineStr"/>
      <c r="F801" s="4" t="inlineStr">
        <is>
          <t>THLCH</t>
        </is>
      </c>
      <c r="G801" s="4" t="inlineStr">
        <is>
          <t>JPNAH</t>
        </is>
      </c>
      <c r="H801" s="4" t="inlineStr">
        <is>
          <t xml:space="preserve">20'x2 </t>
        </is>
      </c>
      <c r="I801" s="4" t="inlineStr">
        <is>
          <t>LCHY5</t>
        </is>
      </c>
      <c r="J801" s="4" t="inlineStr">
        <is>
          <t>PW DEPOT CO., LTD.</t>
        </is>
      </c>
      <c r="K801" s="4" t="inlineStr">
        <is>
          <t>20261006</t>
        </is>
      </c>
      <c r="L801" s="4" t="inlineStr">
        <is>
          <t>SCGJWD LOGISTICS PUBLIC COMPANY LIMITED</t>
        </is>
      </c>
      <c r="M801" s="4" t="inlineStr">
        <is>
          <t>THAI POLYETHYLENE CO., LTD.</t>
        </is>
      </c>
      <c r="N801" s="4" t="inlineStr">
        <is>
          <t>RESIN</t>
        </is>
      </c>
      <c r="O801" s="4" t="inlineStr">
        <is>
          <t>RESIN-PALLET,NO RED WALL CONTAINER,CLEAN CONTAINER NO OIL STAINS , NO RUSTY ,NO CUT OR HOLE</t>
        </is>
      </c>
      <c r="P801" s="4" t="inlineStr">
        <is>
          <t>CY-RTN 06-08/10/26 (  INV  3031062369 )
*PLS CHECK OPEN GATE BEFORE RETURN CTNR*</t>
        </is>
      </c>
      <c r="Q801" s="4" t="n">
        <v>2</v>
      </c>
      <c r="R801" s="4" t="n">
        <v>0</v>
      </c>
      <c r="S801" s="4" t="n">
        <v>0</v>
      </c>
      <c r="T801" s="4" t="n">
        <v>0</v>
      </c>
      <c r="U801" s="4" t="n">
        <v>0</v>
      </c>
      <c r="V801" s="4" t="n">
        <v>0</v>
      </c>
      <c r="W801" s="4" t="n">
        <v>0</v>
      </c>
      <c r="X801" s="4" t="n">
        <v>0</v>
      </c>
      <c r="Y801" s="4" t="n">
        <v>0</v>
      </c>
      <c r="Z801" s="4" t="n">
        <v>0</v>
      </c>
      <c r="AA801" s="4" t="n">
        <v>0</v>
      </c>
      <c r="AB801" s="4">
        <f>SUM(Q801:Y801)-Z801</f>
        <v/>
      </c>
      <c r="AC801" s="4">
        <f>IF(I801="","",IF(OR(LEFT(I801,3)="BKK",I801="LCH55"),"BKK",IF(LEFT(I801,3)="LCH","LCH","OTHER")))</f>
        <v/>
      </c>
      <c r="AD801" s="4">
        <f>MAX(0,Q801-MAX(0,Z801))</f>
        <v/>
      </c>
      <c r="AE801" s="4">
        <f>MAX(0,R801-MAX(0,Z801-SUM(Q801:Q801)))</f>
        <v/>
      </c>
      <c r="AF801" s="4">
        <f>MAX(0,S801-MAX(0,Z801-SUM(Q801:R801)))</f>
        <v/>
      </c>
      <c r="AG801" s="4">
        <f>MAX(0,T801-MAX(0,Z801-SUM(Q801:S801)))</f>
        <v/>
      </c>
      <c r="AH801" s="4">
        <f>MAX(0,U801-MAX(0,Z801-SUM(Q801:T801)))</f>
        <v/>
      </c>
      <c r="AI801" s="4">
        <f>MAX(0,V801-MAX(0,Z801-SUM(Q801:U801)))</f>
        <v/>
      </c>
      <c r="AJ801" s="4">
        <f>MAX(0,W801-MAX(0,Z801-SUM(Q801:V801)))</f>
        <v/>
      </c>
      <c r="AK801" s="4">
        <f>MAX(0,X801-MAX(0,Z801-SUM(Q801:W801)))</f>
        <v/>
      </c>
      <c r="AL801" s="4">
        <f>MAX(0,Y801-MAX(0,Z801-SUM(Q801:X801)))</f>
        <v/>
      </c>
    </row>
    <row r="802">
      <c r="A802" s="4" t="inlineStr">
        <is>
          <t>HASLS22260902234</t>
        </is>
      </c>
      <c r="B802" s="4" t="inlineStr">
        <is>
          <t>KUS</t>
        </is>
      </c>
      <c r="C802" s="4" t="inlineStr">
        <is>
          <t>2616N</t>
        </is>
      </c>
      <c r="D802" s="4" t="inlineStr">
        <is>
          <t>202610150400</t>
        </is>
      </c>
      <c r="E802" s="4" t="inlineStr"/>
      <c r="F802" s="4" t="inlineStr">
        <is>
          <t>THLCH</t>
        </is>
      </c>
      <c r="G802" s="4" t="inlineStr">
        <is>
          <t>JPNAH</t>
        </is>
      </c>
      <c r="H802" s="4" t="inlineStr">
        <is>
          <t xml:space="preserve">20'x2 </t>
        </is>
      </c>
      <c r="I802" s="4" t="inlineStr">
        <is>
          <t>LCHY5</t>
        </is>
      </c>
      <c r="J802" s="4" t="inlineStr">
        <is>
          <t>PW DEPOT CO., LTD.</t>
        </is>
      </c>
      <c r="K802" s="4" t="inlineStr">
        <is>
          <t>20261007</t>
        </is>
      </c>
      <c r="L802" s="4" t="inlineStr">
        <is>
          <t>SCGJWD LOGISTICS PUBLIC COMPANY LIMITED</t>
        </is>
      </c>
      <c r="M802" s="4" t="inlineStr">
        <is>
          <t>THAI POLYETHYLENE CO., LTD.</t>
        </is>
      </c>
      <c r="N802" s="4" t="inlineStr">
        <is>
          <t>RESIN</t>
        </is>
      </c>
      <c r="O802" s="4" t="inlineStr">
        <is>
          <t>RESIN-PALLET,NO RED WALL CONTAINER,CLEAN CONTAINER NO OIL STAINS , NO RUSTY ,NO CUT OR HOLE</t>
        </is>
      </c>
      <c r="P802" s="4" t="inlineStr">
        <is>
          <t>CY-RTN 07-09/10/26 (  INV  3031062193 ) 
*PLS CHECK OPEN GATE BEFORE RETURN CTNR*</t>
        </is>
      </c>
      <c r="Q802" s="4" t="n">
        <v>2</v>
      </c>
      <c r="R802" s="4" t="n">
        <v>0</v>
      </c>
      <c r="S802" s="4" t="n">
        <v>0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>
        <f>SUM(Q802:Y802)-Z802</f>
        <v/>
      </c>
      <c r="AC802" s="4">
        <f>IF(I802="","",IF(OR(LEFT(I802,3)="BKK",I802="LCH55"),"BKK",IF(LEFT(I802,3)="LCH","LCH","OTHER")))</f>
        <v/>
      </c>
      <c r="AD802" s="4">
        <f>MAX(0,Q802-MAX(0,Z802))</f>
        <v/>
      </c>
      <c r="AE802" s="4">
        <f>MAX(0,R802-MAX(0,Z802-SUM(Q802:Q802)))</f>
        <v/>
      </c>
      <c r="AF802" s="4">
        <f>MAX(0,S802-MAX(0,Z802-SUM(Q802:R802)))</f>
        <v/>
      </c>
      <c r="AG802" s="4">
        <f>MAX(0,T802-MAX(0,Z802-SUM(Q802:S802)))</f>
        <v/>
      </c>
      <c r="AH802" s="4">
        <f>MAX(0,U802-MAX(0,Z802-SUM(Q802:T802)))</f>
        <v/>
      </c>
      <c r="AI802" s="4">
        <f>MAX(0,V802-MAX(0,Z802-SUM(Q802:U802)))</f>
        <v/>
      </c>
      <c r="AJ802" s="4">
        <f>MAX(0,W802-MAX(0,Z802-SUM(Q802:V802)))</f>
        <v/>
      </c>
      <c r="AK802" s="4">
        <f>MAX(0,X802-MAX(0,Z802-SUM(Q802:W802)))</f>
        <v/>
      </c>
      <c r="AL802" s="4">
        <f>MAX(0,Y802-MAX(0,Z802-SUM(Q802:X802)))</f>
        <v/>
      </c>
    </row>
    <row r="803">
      <c r="A803" s="4" t="inlineStr">
        <is>
          <t>HASLS22260902236</t>
        </is>
      </c>
      <c r="B803" s="4" t="inlineStr">
        <is>
          <t>HMVY</t>
        </is>
      </c>
      <c r="C803" s="4" t="inlineStr">
        <is>
          <t>2609N</t>
        </is>
      </c>
      <c r="D803" s="4" t="inlineStr">
        <is>
          <t>202610200330</t>
        </is>
      </c>
      <c r="E803" s="4" t="inlineStr"/>
      <c r="F803" s="4" t="inlineStr">
        <is>
          <t>THLCH</t>
        </is>
      </c>
      <c r="G803" s="4" t="inlineStr">
        <is>
          <t>KRPUS</t>
        </is>
      </c>
      <c r="H803" s="4" t="inlineStr">
        <is>
          <t xml:space="preserve">20'x1 </t>
        </is>
      </c>
      <c r="I803" s="4" t="inlineStr">
        <is>
          <t>LCHY5</t>
        </is>
      </c>
      <c r="J803" s="4" t="inlineStr">
        <is>
          <t>PW DEPOT CO., LTD.</t>
        </is>
      </c>
      <c r="K803" s="4" t="inlineStr">
        <is>
          <t>20261010</t>
        </is>
      </c>
      <c r="L803" s="4" t="inlineStr">
        <is>
          <t>UBE CHEMICALS (ASIA) PUBLIC COMPANY LIMITED</t>
        </is>
      </c>
      <c r="M803" s="4" t="inlineStr">
        <is>
          <t>UBE CHEMICALS (ASIA) PUBLIC COMPANY LIMITED</t>
        </is>
      </c>
      <c r="N803" s="4" t="inlineStr">
        <is>
          <t>POLYAMIDE RESIN</t>
        </is>
      </c>
      <c r="O803" s="4" t="inlineStr">
        <is>
          <t>Sound and Clean</t>
        </is>
      </c>
      <c r="P803" s="4" t="inlineStr">
        <is>
          <t>CY-RTN 10-12/10/26 (2002054624)
*PLD CHECK OPEN GATE BEFORE ERTURN CTNR*</t>
        </is>
      </c>
      <c r="Q803" s="4" t="n">
        <v>1</v>
      </c>
      <c r="R803" s="4" t="n">
        <v>0</v>
      </c>
      <c r="S803" s="4" t="n">
        <v>0</v>
      </c>
      <c r="T803" s="4" t="n">
        <v>0</v>
      </c>
      <c r="U803" s="4" t="n">
        <v>0</v>
      </c>
      <c r="V803" s="4" t="n">
        <v>0</v>
      </c>
      <c r="W803" s="4" t="n">
        <v>0</v>
      </c>
      <c r="X803" s="4" t="n">
        <v>0</v>
      </c>
      <c r="Y803" s="4" t="n">
        <v>0</v>
      </c>
      <c r="Z803" s="4" t="n">
        <v>0</v>
      </c>
      <c r="AA803" s="4" t="n">
        <v>0</v>
      </c>
      <c r="AB803" s="4">
        <f>SUM(Q803:Y803)-Z803</f>
        <v/>
      </c>
      <c r="AC803" s="4">
        <f>IF(I803="","",IF(OR(LEFT(I803,3)="BKK",I803="LCH55"),"BKK",IF(LEFT(I803,3)="LCH","LCH","OTHER")))</f>
        <v/>
      </c>
      <c r="AD803" s="4">
        <f>MAX(0,Q803-MAX(0,Z803))</f>
        <v/>
      </c>
      <c r="AE803" s="4">
        <f>MAX(0,R803-MAX(0,Z803-SUM(Q803:Q803)))</f>
        <v/>
      </c>
      <c r="AF803" s="4">
        <f>MAX(0,S803-MAX(0,Z803-SUM(Q803:R803)))</f>
        <v/>
      </c>
      <c r="AG803" s="4">
        <f>MAX(0,T803-MAX(0,Z803-SUM(Q803:S803)))</f>
        <v/>
      </c>
      <c r="AH803" s="4">
        <f>MAX(0,U803-MAX(0,Z803-SUM(Q803:T803)))</f>
        <v/>
      </c>
      <c r="AI803" s="4">
        <f>MAX(0,V803-MAX(0,Z803-SUM(Q803:U803)))</f>
        <v/>
      </c>
      <c r="AJ803" s="4">
        <f>MAX(0,W803-MAX(0,Z803-SUM(Q803:V803)))</f>
        <v/>
      </c>
      <c r="AK803" s="4">
        <f>MAX(0,X803-MAX(0,Z803-SUM(Q803:W803)))</f>
        <v/>
      </c>
      <c r="AL803" s="4">
        <f>MAX(0,Y803-MAX(0,Z803-SUM(Q803:X803)))</f>
        <v/>
      </c>
    </row>
    <row r="804">
      <c r="A804" s="4" t="inlineStr">
        <is>
          <t>HASLS22260902238</t>
        </is>
      </c>
      <c r="B804" s="4" t="inlineStr">
        <is>
          <t>HMVY</t>
        </is>
      </c>
      <c r="C804" s="4" t="inlineStr">
        <is>
          <t>2609N</t>
        </is>
      </c>
      <c r="D804" s="4" t="inlineStr">
        <is>
          <t>202610200330</t>
        </is>
      </c>
      <c r="E804" s="4" t="inlineStr"/>
      <c r="F804" s="4" t="inlineStr">
        <is>
          <t>THLCH</t>
        </is>
      </c>
      <c r="G804" s="4" t="inlineStr">
        <is>
          <t>KRPUS</t>
        </is>
      </c>
      <c r="H804" s="4" t="inlineStr">
        <is>
          <t xml:space="preserve">20'x1 </t>
        </is>
      </c>
      <c r="I804" s="4" t="inlineStr">
        <is>
          <t>LCHY5</t>
        </is>
      </c>
      <c r="J804" s="4" t="inlineStr">
        <is>
          <t>PW DEPOT CO., LTD.</t>
        </is>
      </c>
      <c r="K804" s="4" t="inlineStr">
        <is>
          <t>20261010</t>
        </is>
      </c>
      <c r="L804" s="4" t="inlineStr">
        <is>
          <t>UBE CHEMICALS (ASIA) PUBLIC COMPANY LIMITED</t>
        </is>
      </c>
      <c r="M804" s="4" t="inlineStr">
        <is>
          <t>UBE CHEMICALS (ASIA) PUBLIC COMPANY LIMITED</t>
        </is>
      </c>
      <c r="N804" s="4" t="inlineStr">
        <is>
          <t>POLYAMIDE RESIN</t>
        </is>
      </c>
      <c r="O804" s="4" t="inlineStr">
        <is>
          <t>Sound and Clean</t>
        </is>
      </c>
      <c r="P804" s="4" t="inlineStr">
        <is>
          <t>CY-RTN 10-12/10/26 (2002054623)
*PLD CHECK OPEN GATE BEFORE ERTURN CTNR*</t>
        </is>
      </c>
      <c r="Q804" s="4" t="n">
        <v>1</v>
      </c>
      <c r="R804" s="4" t="n">
        <v>0</v>
      </c>
      <c r="S804" s="4" t="n">
        <v>0</v>
      </c>
      <c r="T804" s="4" t="n">
        <v>0</v>
      </c>
      <c r="U804" s="4" t="n">
        <v>0</v>
      </c>
      <c r="V804" s="4" t="n">
        <v>0</v>
      </c>
      <c r="W804" s="4" t="n">
        <v>0</v>
      </c>
      <c r="X804" s="4" t="n">
        <v>0</v>
      </c>
      <c r="Y804" s="4" t="n">
        <v>0</v>
      </c>
      <c r="Z804" s="4" t="n">
        <v>0</v>
      </c>
      <c r="AA804" s="4" t="n">
        <v>0</v>
      </c>
      <c r="AB804" s="4">
        <f>SUM(Q804:Y804)-Z804</f>
        <v/>
      </c>
      <c r="AC804" s="4">
        <f>IF(I804="","",IF(OR(LEFT(I804,3)="BKK",I804="LCH55"),"BKK",IF(LEFT(I804,3)="LCH","LCH","OTHER")))</f>
        <v/>
      </c>
      <c r="AD804" s="4">
        <f>MAX(0,Q804-MAX(0,Z804))</f>
        <v/>
      </c>
      <c r="AE804" s="4">
        <f>MAX(0,R804-MAX(0,Z804-SUM(Q804:Q804)))</f>
        <v/>
      </c>
      <c r="AF804" s="4">
        <f>MAX(0,S804-MAX(0,Z804-SUM(Q804:R804)))</f>
        <v/>
      </c>
      <c r="AG804" s="4">
        <f>MAX(0,T804-MAX(0,Z804-SUM(Q804:S804)))</f>
        <v/>
      </c>
      <c r="AH804" s="4">
        <f>MAX(0,U804-MAX(0,Z804-SUM(Q804:T804)))</f>
        <v/>
      </c>
      <c r="AI804" s="4">
        <f>MAX(0,V804-MAX(0,Z804-SUM(Q804:U804)))</f>
        <v/>
      </c>
      <c r="AJ804" s="4">
        <f>MAX(0,W804-MAX(0,Z804-SUM(Q804:V804)))</f>
        <v/>
      </c>
      <c r="AK804" s="4">
        <f>MAX(0,X804-MAX(0,Z804-SUM(Q804:W804)))</f>
        <v/>
      </c>
      <c r="AL804" s="4">
        <f>MAX(0,Y804-MAX(0,Z804-SUM(Q804:X804)))</f>
        <v/>
      </c>
    </row>
    <row r="805">
      <c r="A805" s="4" t="inlineStr">
        <is>
          <t>HASLS22260902243</t>
        </is>
      </c>
      <c r="B805" s="4" t="inlineStr">
        <is>
          <t>SWVG</t>
        </is>
      </c>
      <c r="C805" s="4" t="inlineStr">
        <is>
          <t>2612N</t>
        </is>
      </c>
      <c r="D805" s="4" t="inlineStr">
        <is>
          <t>202610070330</t>
        </is>
      </c>
      <c r="E805" s="4" t="inlineStr"/>
      <c r="F805" s="4" t="inlineStr">
        <is>
          <t>THLCH</t>
        </is>
      </c>
      <c r="G805" s="4" t="inlineStr">
        <is>
          <t>CNSHA</t>
        </is>
      </c>
      <c r="H805" s="4" t="inlineStr">
        <is>
          <t xml:space="preserve">20'x1 </t>
        </is>
      </c>
      <c r="I805" s="4" t="inlineStr">
        <is>
          <t>LCHY5</t>
        </is>
      </c>
      <c r="J805" s="4" t="inlineStr">
        <is>
          <t>PW DEPOT CO., LTD.</t>
        </is>
      </c>
      <c r="K805" s="4" t="inlineStr">
        <is>
          <t>20261003</t>
        </is>
      </c>
      <c r="L805" s="4" t="inlineStr">
        <is>
          <t>MAJESTIC INTERNATIONAL LOGISTICS CO., LTD.</t>
        </is>
      </c>
      <c r="M805" s="4" t="inlineStr">
        <is>
          <t>MITSUBISHI ELECTRIC SIAM COMPRESSOR INDUSTRY CO., LTD.</t>
        </is>
      </c>
      <c r="N805" s="4" t="inlineStr">
        <is>
          <t>SCROLL COMPRESSOR FOR AIR CONDITIONER</t>
        </is>
      </c>
      <c r="O805" s="4" t="inlineStr">
        <is>
          <t>GOOD AND CLEAN CONTAINER</t>
        </is>
      </c>
      <c r="P805" s="4" t="inlineStr">
        <is>
          <t>Pickup : 2026-10-03, Return : 2026-10-05 
 ** PLEASE CHECK OPEN GATE BEFORE RETURN CNTR **</t>
        </is>
      </c>
      <c r="Q805" s="4" t="n">
        <v>1</v>
      </c>
      <c r="R805" s="4" t="n">
        <v>0</v>
      </c>
      <c r="S805" s="4" t="n">
        <v>0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>
        <f>SUM(Q805:Y805)-Z805</f>
        <v/>
      </c>
      <c r="AC805" s="4">
        <f>IF(I805="","",IF(OR(LEFT(I805,3)="BKK",I805="LCH55"),"BKK",IF(LEFT(I805,3)="LCH","LCH","OTHER")))</f>
        <v/>
      </c>
      <c r="AD805" s="4">
        <f>MAX(0,Q805-MAX(0,Z805))</f>
        <v/>
      </c>
      <c r="AE805" s="4">
        <f>MAX(0,R805-MAX(0,Z805-SUM(Q805:Q805)))</f>
        <v/>
      </c>
      <c r="AF805" s="4">
        <f>MAX(0,S805-MAX(0,Z805-SUM(Q805:R805)))</f>
        <v/>
      </c>
      <c r="AG805" s="4">
        <f>MAX(0,T805-MAX(0,Z805-SUM(Q805:S805)))</f>
        <v/>
      </c>
      <c r="AH805" s="4">
        <f>MAX(0,U805-MAX(0,Z805-SUM(Q805:T805)))</f>
        <v/>
      </c>
      <c r="AI805" s="4">
        <f>MAX(0,V805-MAX(0,Z805-SUM(Q805:U805)))</f>
        <v/>
      </c>
      <c r="AJ805" s="4">
        <f>MAX(0,W805-MAX(0,Z805-SUM(Q805:V805)))</f>
        <v/>
      </c>
      <c r="AK805" s="4">
        <f>MAX(0,X805-MAX(0,Z805-SUM(Q805:W805)))</f>
        <v/>
      </c>
      <c r="AL805" s="4">
        <f>MAX(0,Y805-MAX(0,Z805-SUM(Q805:X805)))</f>
        <v/>
      </c>
    </row>
    <row r="806">
      <c r="A806" s="4" t="inlineStr">
        <is>
          <t>HASLS22260902245</t>
        </is>
      </c>
      <c r="B806" s="4" t="inlineStr">
        <is>
          <t>SWRG</t>
        </is>
      </c>
      <c r="C806" s="4" t="inlineStr">
        <is>
          <t>2609N</t>
        </is>
      </c>
      <c r="D806" s="4" t="inlineStr">
        <is>
          <t>202610131130</t>
        </is>
      </c>
      <c r="E806" s="4" t="inlineStr"/>
      <c r="F806" s="4" t="inlineStr">
        <is>
          <t>THLCH</t>
        </is>
      </c>
      <c r="G806" s="4" t="inlineStr">
        <is>
          <t>JPKIJ</t>
        </is>
      </c>
      <c r="H806" s="4" t="inlineStr">
        <is>
          <t xml:space="preserve">40Hx1 </t>
        </is>
      </c>
      <c r="I806" s="4" t="inlineStr">
        <is>
          <t>LCHY5</t>
        </is>
      </c>
      <c r="J806" s="4" t="inlineStr">
        <is>
          <t>PW DEPOT CO., LTD.</t>
        </is>
      </c>
      <c r="K806" s="4" t="inlineStr">
        <is>
          <t>20260924</t>
        </is>
      </c>
      <c r="L806" s="4" t="inlineStr">
        <is>
          <t>WHA GC LOGISTICS COMPANY LIMITED</t>
        </is>
      </c>
      <c r="M806" s="4" t="inlineStr">
        <is>
          <t>PTT GLOBAL CHEMICAL PUBLIC COMPANY LIMITED</t>
        </is>
      </c>
      <c r="N806" s="4" t="inlineStr">
        <is>
          <t>RESIN</t>
        </is>
      </c>
      <c r="O806" s="4" t="inlineStr">
        <is>
          <t>GOOD AND CLEAN CTNR</t>
        </is>
      </c>
      <c r="P806" s="4" t="inlineStr">
        <is>
          <t>CY-RTN 24-27/09/26 (1ST RETURN DATE DD.04/10/26)
*PLS CHECK OPEN GATE BEFORE RETURN CTNR*</t>
        </is>
      </c>
      <c r="Q806" s="4" t="n">
        <v>0</v>
      </c>
      <c r="R806" s="4" t="n">
        <v>0</v>
      </c>
      <c r="S806" s="4" t="n">
        <v>1</v>
      </c>
      <c r="T806" s="4" t="n">
        <v>0</v>
      </c>
      <c r="U806" s="4" t="n">
        <v>0</v>
      </c>
      <c r="V806" s="4" t="n">
        <v>0</v>
      </c>
      <c r="W806" s="4" t="n">
        <v>0</v>
      </c>
      <c r="X806" s="4" t="n">
        <v>0</v>
      </c>
      <c r="Y806" s="4" t="n">
        <v>0</v>
      </c>
      <c r="Z806" s="4" t="n">
        <v>0</v>
      </c>
      <c r="AA806" s="4" t="n">
        <v>0</v>
      </c>
      <c r="AB806" s="4">
        <f>SUM(Q806:Y806)-Z806</f>
        <v/>
      </c>
      <c r="AC806" s="4">
        <f>IF(I806="","",IF(OR(LEFT(I806,3)="BKK",I806="LCH55"),"BKK",IF(LEFT(I806,3)="LCH","LCH","OTHER")))</f>
        <v/>
      </c>
      <c r="AD806" s="4">
        <f>MAX(0,Q806-MAX(0,Z806))</f>
        <v/>
      </c>
      <c r="AE806" s="4">
        <f>MAX(0,R806-MAX(0,Z806-SUM(Q806:Q806)))</f>
        <v/>
      </c>
      <c r="AF806" s="4">
        <f>MAX(0,S806-MAX(0,Z806-SUM(Q806:R806)))</f>
        <v/>
      </c>
      <c r="AG806" s="4">
        <f>MAX(0,T806-MAX(0,Z806-SUM(Q806:S806)))</f>
        <v/>
      </c>
      <c r="AH806" s="4">
        <f>MAX(0,U806-MAX(0,Z806-SUM(Q806:T806)))</f>
        <v/>
      </c>
      <c r="AI806" s="4">
        <f>MAX(0,V806-MAX(0,Z806-SUM(Q806:U806)))</f>
        <v/>
      </c>
      <c r="AJ806" s="4">
        <f>MAX(0,W806-MAX(0,Z806-SUM(Q806:V806)))</f>
        <v/>
      </c>
      <c r="AK806" s="4">
        <f>MAX(0,X806-MAX(0,Z806-SUM(Q806:W806)))</f>
        <v/>
      </c>
      <c r="AL806" s="4">
        <f>MAX(0,Y806-MAX(0,Z806-SUM(Q806:X806)))</f>
        <v/>
      </c>
    </row>
    <row r="807">
      <c r="A807" s="4" t="inlineStr">
        <is>
          <t>HASLS22260902252</t>
        </is>
      </c>
      <c r="B807" s="4" t="inlineStr">
        <is>
          <t>KMBK</t>
        </is>
      </c>
      <c r="C807" s="4" t="inlineStr">
        <is>
          <t>2612N</t>
        </is>
      </c>
      <c r="D807" s="4" t="inlineStr">
        <is>
          <t>202610241800</t>
        </is>
      </c>
      <c r="E807" s="4" t="inlineStr"/>
      <c r="F807" s="4" t="inlineStr">
        <is>
          <t>THLCH</t>
        </is>
      </c>
      <c r="G807" s="4" t="inlineStr">
        <is>
          <t>VNSGN</t>
        </is>
      </c>
      <c r="H807" s="4" t="inlineStr">
        <is>
          <t xml:space="preserve">20'x12 </t>
        </is>
      </c>
      <c r="I807" s="4" t="inlineStr">
        <is>
          <t>LCHY5</t>
        </is>
      </c>
      <c r="J807" s="4" t="inlineStr">
        <is>
          <t>PW DEPOT CO., LTD.</t>
        </is>
      </c>
      <c r="K807" s="4" t="inlineStr">
        <is>
          <t>20261016</t>
        </is>
      </c>
      <c r="L807" s="4" t="inlineStr">
        <is>
          <t>WHA GC LOGISTICS COMPANY LIMITED</t>
        </is>
      </c>
      <c r="M807" s="4" t="inlineStr">
        <is>
          <t>PTT GLOBAL CHEMICAL PUBLIC COMPANY LIMITED</t>
        </is>
      </c>
      <c r="N807" s="4" t="inlineStr">
        <is>
          <t>RESIN</t>
        </is>
      </c>
      <c r="O807" s="4" t="inlineStr">
        <is>
          <t>*** REQ. GOOD &amp; CLEAN  CONT. .( NO SMELL)  ***</t>
        </is>
      </c>
      <c r="P807" s="4" t="inlineStr">
        <is>
          <t>CY-RTN 16-18/10/26
PLS CHECK OPEN GATE BEFORE RETURN CTNR*</t>
        </is>
      </c>
      <c r="Q807" s="4" t="n">
        <v>12</v>
      </c>
      <c r="R807" s="4" t="n">
        <v>0</v>
      </c>
      <c r="S807" s="4" t="n">
        <v>0</v>
      </c>
      <c r="T807" s="4" t="n">
        <v>0</v>
      </c>
      <c r="U807" s="4" t="n">
        <v>0</v>
      </c>
      <c r="V807" s="4" t="n">
        <v>0</v>
      </c>
      <c r="W807" s="4" t="n">
        <v>0</v>
      </c>
      <c r="X807" s="4" t="n">
        <v>0</v>
      </c>
      <c r="Y807" s="4" t="n">
        <v>0</v>
      </c>
      <c r="Z807" s="4" t="n">
        <v>0</v>
      </c>
      <c r="AA807" s="4" t="n">
        <v>0</v>
      </c>
      <c r="AB807" s="4">
        <f>SUM(Q807:Y807)-Z807</f>
        <v/>
      </c>
      <c r="AC807" s="4">
        <f>IF(I807="","",IF(OR(LEFT(I807,3)="BKK",I807="LCH55"),"BKK",IF(LEFT(I807,3)="LCH","LCH","OTHER")))</f>
        <v/>
      </c>
      <c r="AD807" s="4">
        <f>MAX(0,Q807-MAX(0,Z807))</f>
        <v/>
      </c>
      <c r="AE807" s="4">
        <f>MAX(0,R807-MAX(0,Z807-SUM(Q807:Q807)))</f>
        <v/>
      </c>
      <c r="AF807" s="4">
        <f>MAX(0,S807-MAX(0,Z807-SUM(Q807:R807)))</f>
        <v/>
      </c>
      <c r="AG807" s="4">
        <f>MAX(0,T807-MAX(0,Z807-SUM(Q807:S807)))</f>
        <v/>
      </c>
      <c r="AH807" s="4">
        <f>MAX(0,U807-MAX(0,Z807-SUM(Q807:T807)))</f>
        <v/>
      </c>
      <c r="AI807" s="4">
        <f>MAX(0,V807-MAX(0,Z807-SUM(Q807:U807)))</f>
        <v/>
      </c>
      <c r="AJ807" s="4">
        <f>MAX(0,W807-MAX(0,Z807-SUM(Q807:V807)))</f>
        <v/>
      </c>
      <c r="AK807" s="4">
        <f>MAX(0,X807-MAX(0,Z807-SUM(Q807:W807)))</f>
        <v/>
      </c>
      <c r="AL807" s="4">
        <f>MAX(0,Y807-MAX(0,Z807-SUM(Q807:X807)))</f>
        <v/>
      </c>
    </row>
    <row r="808">
      <c r="A808" s="4" t="inlineStr">
        <is>
          <t>HASLS22260902255</t>
        </is>
      </c>
      <c r="B808" s="4" t="inlineStr">
        <is>
          <t>SWSP</t>
        </is>
      </c>
      <c r="C808" s="4" t="inlineStr">
        <is>
          <t>2609N</t>
        </is>
      </c>
      <c r="D808" s="4" t="inlineStr">
        <is>
          <t>202610080830</t>
        </is>
      </c>
      <c r="E808" s="4" t="inlineStr"/>
      <c r="F808" s="4" t="inlineStr">
        <is>
          <t>THLCH</t>
        </is>
      </c>
      <c r="G808" s="4" t="inlineStr">
        <is>
          <t>VNSGN</t>
        </is>
      </c>
      <c r="H808" s="4" t="inlineStr">
        <is>
          <t xml:space="preserve">40Hx5 </t>
        </is>
      </c>
      <c r="I808" s="4" t="inlineStr">
        <is>
          <t>LCHY5</t>
        </is>
      </c>
      <c r="J808" s="4" t="inlineStr">
        <is>
          <t>PW DEPOT CO., LTD.</t>
        </is>
      </c>
      <c r="K808" s="4" t="inlineStr">
        <is>
          <t>20261001</t>
        </is>
      </c>
      <c r="L808" s="4" t="inlineStr">
        <is>
          <t>ACCORD PILOT LOGISTICS (THAILAND) CO., LTD.</t>
        </is>
      </c>
      <c r="M808" s="4" t="inlineStr">
        <is>
          <t>HMC POLYMERS CO., LTD.</t>
        </is>
      </c>
      <c r="N808" s="4" t="inlineStr">
        <is>
          <t>POLYPROPYLENE</t>
        </is>
      </c>
      <c r="O808" s="4" t="inlineStr">
        <is>
          <t>GOOD AND CLEAN CONTAINER</t>
        </is>
      </c>
      <c r="P808" s="4" t="inlineStr">
        <is>
          <t>Pickup : 2026-10-01, Return : 2026-10-02</t>
        </is>
      </c>
      <c r="Q808" s="4" t="n">
        <v>0</v>
      </c>
      <c r="R808" s="4" t="n">
        <v>0</v>
      </c>
      <c r="S808" s="4" t="n">
        <v>5</v>
      </c>
      <c r="T808" s="4" t="n">
        <v>0</v>
      </c>
      <c r="U808" s="4" t="n">
        <v>0</v>
      </c>
      <c r="V808" s="4" t="n">
        <v>0</v>
      </c>
      <c r="W808" s="4" t="n">
        <v>0</v>
      </c>
      <c r="X808" s="4" t="n">
        <v>0</v>
      </c>
      <c r="Y808" s="4" t="n">
        <v>0</v>
      </c>
      <c r="Z808" s="4" t="n">
        <v>0</v>
      </c>
      <c r="AA808" s="4" t="n">
        <v>0</v>
      </c>
      <c r="AB808" s="4">
        <f>SUM(Q808:Y808)-Z808</f>
        <v/>
      </c>
      <c r="AC808" s="4">
        <f>IF(I808="","",IF(OR(LEFT(I808,3)="BKK",I808="LCH55"),"BKK",IF(LEFT(I808,3)="LCH","LCH","OTHER")))</f>
        <v/>
      </c>
      <c r="AD808" s="4">
        <f>MAX(0,Q808-MAX(0,Z808))</f>
        <v/>
      </c>
      <c r="AE808" s="4">
        <f>MAX(0,R808-MAX(0,Z808-SUM(Q808:Q808)))</f>
        <v/>
      </c>
      <c r="AF808" s="4">
        <f>MAX(0,S808-MAX(0,Z808-SUM(Q808:R808)))</f>
        <v/>
      </c>
      <c r="AG808" s="4">
        <f>MAX(0,T808-MAX(0,Z808-SUM(Q808:S808)))</f>
        <v/>
      </c>
      <c r="AH808" s="4">
        <f>MAX(0,U808-MAX(0,Z808-SUM(Q808:T808)))</f>
        <v/>
      </c>
      <c r="AI808" s="4">
        <f>MAX(0,V808-MAX(0,Z808-SUM(Q808:U808)))</f>
        <v/>
      </c>
      <c r="AJ808" s="4">
        <f>MAX(0,W808-MAX(0,Z808-SUM(Q808:V808)))</f>
        <v/>
      </c>
      <c r="AK808" s="4">
        <f>MAX(0,X808-MAX(0,Z808-SUM(Q808:W808)))</f>
        <v/>
      </c>
      <c r="AL808" s="4">
        <f>MAX(0,Y808-MAX(0,Z808-SUM(Q808:X808)))</f>
        <v/>
      </c>
    </row>
    <row r="809">
      <c r="A809" s="4" t="inlineStr">
        <is>
          <t>HASLS22260902269</t>
        </is>
      </c>
      <c r="B809" s="4" t="inlineStr">
        <is>
          <t>SWDN</t>
        </is>
      </c>
      <c r="C809" s="4" t="inlineStr">
        <is>
          <t>2610N</t>
        </is>
      </c>
      <c r="D809" s="4" t="inlineStr">
        <is>
          <t>202610070300</t>
        </is>
      </c>
      <c r="E809" s="4" t="inlineStr"/>
      <c r="F809" s="4" t="inlineStr">
        <is>
          <t>THLCH</t>
        </is>
      </c>
      <c r="G809" s="4" t="inlineStr">
        <is>
          <t>CNXMN</t>
        </is>
      </c>
      <c r="H809" s="4" t="inlineStr">
        <is>
          <t xml:space="preserve">40Hx1 </t>
        </is>
      </c>
      <c r="I809" s="4" t="inlineStr">
        <is>
          <t>LCHY5</t>
        </is>
      </c>
      <c r="J809" s="4" t="inlineStr">
        <is>
          <t>PW DEPOT CO., LTD.</t>
        </is>
      </c>
      <c r="K809" s="4" t="inlineStr">
        <is>
          <t>20260929</t>
        </is>
      </c>
      <c r="L809" s="4" t="inlineStr">
        <is>
          <t>COMPREHENSIVE CARGO MANAGEMENT LTD.</t>
        </is>
      </c>
      <c r="M809" s="4" t="inlineStr">
        <is>
          <t>CHAIYA SUWANNABHUM CO.,LTD.</t>
        </is>
      </c>
      <c r="N809" s="4" t="inlineStr">
        <is>
          <t>WOOD POWDER FOR MAKING INCENSE STICK</t>
        </is>
      </c>
      <c r="O809" s="4" t="inlineStr">
        <is>
          <t>GOOD AND CLEAN CONTAINER</t>
        </is>
      </c>
      <c r="P809" s="4" t="inlineStr">
        <is>
          <t xml:space="preserve">Pickup : 2026-09-29, Return : 2026-09-30 
 ** PLEASE CHECK OPEN GATE BEFORE RETURN CNTR **
</t>
        </is>
      </c>
      <c r="Q809" s="4" t="n">
        <v>0</v>
      </c>
      <c r="R809" s="4" t="n">
        <v>0</v>
      </c>
      <c r="S809" s="4" t="n">
        <v>1</v>
      </c>
      <c r="T809" s="4" t="n">
        <v>0</v>
      </c>
      <c r="U809" s="4" t="n">
        <v>0</v>
      </c>
      <c r="V809" s="4" t="n">
        <v>0</v>
      </c>
      <c r="W809" s="4" t="n">
        <v>0</v>
      </c>
      <c r="X809" s="4" t="n">
        <v>0</v>
      </c>
      <c r="Y809" s="4" t="n">
        <v>0</v>
      </c>
      <c r="Z809" s="4" t="n">
        <v>0</v>
      </c>
      <c r="AA809" s="4" t="n">
        <v>0</v>
      </c>
      <c r="AB809" s="4">
        <f>SUM(Q809:Y809)-Z809</f>
        <v/>
      </c>
      <c r="AC809" s="4">
        <f>IF(I809="","",IF(OR(LEFT(I809,3)="BKK",I809="LCH55"),"BKK",IF(LEFT(I809,3)="LCH","LCH","OTHER")))</f>
        <v/>
      </c>
      <c r="AD809" s="4">
        <f>MAX(0,Q809-MAX(0,Z809))</f>
        <v/>
      </c>
      <c r="AE809" s="4">
        <f>MAX(0,R809-MAX(0,Z809-SUM(Q809:Q809)))</f>
        <v/>
      </c>
      <c r="AF809" s="4">
        <f>MAX(0,S809-MAX(0,Z809-SUM(Q809:R809)))</f>
        <v/>
      </c>
      <c r="AG809" s="4">
        <f>MAX(0,T809-MAX(0,Z809-SUM(Q809:S809)))</f>
        <v/>
      </c>
      <c r="AH809" s="4">
        <f>MAX(0,U809-MAX(0,Z809-SUM(Q809:T809)))</f>
        <v/>
      </c>
      <c r="AI809" s="4">
        <f>MAX(0,V809-MAX(0,Z809-SUM(Q809:U809)))</f>
        <v/>
      </c>
      <c r="AJ809" s="4">
        <f>MAX(0,W809-MAX(0,Z809-SUM(Q809:V809)))</f>
        <v/>
      </c>
      <c r="AK809" s="4">
        <f>MAX(0,X809-MAX(0,Z809-SUM(Q809:W809)))</f>
        <v/>
      </c>
      <c r="AL809" s="4">
        <f>MAX(0,Y809-MAX(0,Z809-SUM(Q809:X809)))</f>
        <v/>
      </c>
    </row>
    <row r="810">
      <c r="A810" s="4" t="inlineStr">
        <is>
          <t>HASLS22260902292</t>
        </is>
      </c>
      <c r="B810" s="4" t="inlineStr">
        <is>
          <t>SWDN</t>
        </is>
      </c>
      <c r="C810" s="4" t="inlineStr">
        <is>
          <t>2610N</t>
        </is>
      </c>
      <c r="D810" s="4" t="inlineStr">
        <is>
          <t>202610070300</t>
        </is>
      </c>
      <c r="E810" s="4" t="inlineStr"/>
      <c r="F810" s="4" t="inlineStr">
        <is>
          <t>THLCH</t>
        </is>
      </c>
      <c r="G810" s="4" t="inlineStr">
        <is>
          <t>CNXMN</t>
        </is>
      </c>
      <c r="H810" s="4" t="inlineStr">
        <is>
          <t xml:space="preserve">40Hx3 </t>
        </is>
      </c>
      <c r="I810" s="4" t="inlineStr">
        <is>
          <t>LCHY5</t>
        </is>
      </c>
      <c r="J810" s="4" t="inlineStr">
        <is>
          <t>PW DEPOT CO., LTD.</t>
        </is>
      </c>
      <c r="K810" s="4" t="inlineStr">
        <is>
          <t>20260930</t>
        </is>
      </c>
      <c r="L810" s="4" t="inlineStr">
        <is>
          <t>MASTERICH COMPANY LIMITED.</t>
        </is>
      </c>
      <c r="M810" s="4" t="inlineStr">
        <is>
          <t>NATURAL RUBBER THREAD CO., LTD.</t>
        </is>
      </c>
      <c r="N810" s="4" t="inlineStr">
        <is>
          <t>RUBBER THREAD</t>
        </is>
      </c>
      <c r="O810" s="4" t="inlineStr">
        <is>
          <t>RQST CONTAINER 32.5 TONS. // GOOD CLEAN NO SMELL CONTAINER</t>
        </is>
      </c>
      <c r="P810" s="4" t="inlineStr">
        <is>
          <t xml:space="preserve">Pickup : 2026-09-30, Return : 2026-10-02 // EXTEND CLS TIME 02/10 @12.00 
 ** PLEASE CHECK OPEN GATE BEFORE RETURN CNTR **
 </t>
        </is>
      </c>
      <c r="Q810" s="4" t="n">
        <v>0</v>
      </c>
      <c r="R810" s="4" t="n">
        <v>0</v>
      </c>
      <c r="S810" s="4" t="n">
        <v>3</v>
      </c>
      <c r="T810" s="4" t="n">
        <v>0</v>
      </c>
      <c r="U810" s="4" t="n">
        <v>0</v>
      </c>
      <c r="V810" s="4" t="n">
        <v>0</v>
      </c>
      <c r="W810" s="4" t="n">
        <v>0</v>
      </c>
      <c r="X810" s="4" t="n">
        <v>0</v>
      </c>
      <c r="Y810" s="4" t="n">
        <v>0</v>
      </c>
      <c r="Z810" s="4" t="n">
        <v>0</v>
      </c>
      <c r="AA810" s="4" t="n">
        <v>0</v>
      </c>
      <c r="AB810" s="4">
        <f>SUM(Q810:Y810)-Z810</f>
        <v/>
      </c>
      <c r="AC810" s="4">
        <f>IF(I810="","",IF(OR(LEFT(I810,3)="BKK",I810="LCH55"),"BKK",IF(LEFT(I810,3)="LCH","LCH","OTHER")))</f>
        <v/>
      </c>
      <c r="AD810" s="4">
        <f>MAX(0,Q810-MAX(0,Z810))</f>
        <v/>
      </c>
      <c r="AE810" s="4">
        <f>MAX(0,R810-MAX(0,Z810-SUM(Q810:Q810)))</f>
        <v/>
      </c>
      <c r="AF810" s="4">
        <f>MAX(0,S810-MAX(0,Z810-SUM(Q810:R810)))</f>
        <v/>
      </c>
      <c r="AG810" s="4">
        <f>MAX(0,T810-MAX(0,Z810-SUM(Q810:S810)))</f>
        <v/>
      </c>
      <c r="AH810" s="4">
        <f>MAX(0,U810-MAX(0,Z810-SUM(Q810:T810)))</f>
        <v/>
      </c>
      <c r="AI810" s="4">
        <f>MAX(0,V810-MAX(0,Z810-SUM(Q810:U810)))</f>
        <v/>
      </c>
      <c r="AJ810" s="4">
        <f>MAX(0,W810-MAX(0,Z810-SUM(Q810:V810)))</f>
        <v/>
      </c>
      <c r="AK810" s="4">
        <f>MAX(0,X810-MAX(0,Z810-SUM(Q810:W810)))</f>
        <v/>
      </c>
      <c r="AL810" s="4">
        <f>MAX(0,Y810-MAX(0,Z810-SUM(Q810:X810)))</f>
        <v/>
      </c>
    </row>
    <row r="811">
      <c r="A811" s="4" t="inlineStr">
        <is>
          <t>HASLS22260902295</t>
        </is>
      </c>
      <c r="B811" s="4" t="inlineStr">
        <is>
          <t>HMVY</t>
        </is>
      </c>
      <c r="C811" s="4" t="inlineStr">
        <is>
          <t>2609N</t>
        </is>
      </c>
      <c r="D811" s="4" t="inlineStr">
        <is>
          <t>202610200330</t>
        </is>
      </c>
      <c r="E811" s="4" t="inlineStr"/>
      <c r="F811" s="4" t="inlineStr">
        <is>
          <t>THLCH</t>
        </is>
      </c>
      <c r="G811" s="4" t="inlineStr">
        <is>
          <t>CNSHA</t>
        </is>
      </c>
      <c r="H811" s="4" t="inlineStr">
        <is>
          <t xml:space="preserve">20'x1 </t>
        </is>
      </c>
      <c r="I811" s="4" t="inlineStr">
        <is>
          <t>LCHY5</t>
        </is>
      </c>
      <c r="J811" s="4" t="inlineStr">
        <is>
          <t>PW DEPOT CO., LTD.</t>
        </is>
      </c>
      <c r="K811" s="4" t="inlineStr">
        <is>
          <t>20261002</t>
        </is>
      </c>
      <c r="L811" s="4" t="inlineStr">
        <is>
          <t>CS FREIGHT &amp; SERVICE  CO.,LTD.</t>
        </is>
      </c>
      <c r="M811" s="4" t="inlineStr">
        <is>
          <t>EURO-ORIENTAL TRADING CO., LTD.</t>
        </is>
      </c>
      <c r="N811" s="4" t="inlineStr">
        <is>
          <t>HEVEAGRAFT 5050 LATEX</t>
        </is>
      </c>
      <c r="O811" s="4" t="inlineStr">
        <is>
          <t>** APPROVED BY KIM JAE-HYUNG DD.24/09/2026 ** *FLEXIBAG ONDECK*
Survey : 2026-10-02</t>
        </is>
      </c>
      <c r="P811" s="4" t="inlineStr">
        <is>
          <t>** APPROVED BY KIM JAE-HYUNG DD.24/09/2026 ** *FLEXIBAG ONDECK*
Survey + Pickup : 2026-10-02, Return : 2026-10-15</t>
        </is>
      </c>
      <c r="Q811" s="4" t="n">
        <v>1</v>
      </c>
      <c r="R811" s="4" t="n">
        <v>0</v>
      </c>
      <c r="S811" s="4" t="n">
        <v>0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>
        <f>SUM(Q811:Y811)-Z811</f>
        <v/>
      </c>
      <c r="AC811" s="4">
        <f>IF(I811="","",IF(OR(LEFT(I811,3)="BKK",I811="LCH55"),"BKK",IF(LEFT(I811,3)="LCH","LCH","OTHER")))</f>
        <v/>
      </c>
      <c r="AD811" s="4">
        <f>MAX(0,Q811-MAX(0,Z811))</f>
        <v/>
      </c>
      <c r="AE811" s="4">
        <f>MAX(0,R811-MAX(0,Z811-SUM(Q811:Q811)))</f>
        <v/>
      </c>
      <c r="AF811" s="4">
        <f>MAX(0,S811-MAX(0,Z811-SUM(Q811:R811)))</f>
        <v/>
      </c>
      <c r="AG811" s="4">
        <f>MAX(0,T811-MAX(0,Z811-SUM(Q811:S811)))</f>
        <v/>
      </c>
      <c r="AH811" s="4">
        <f>MAX(0,U811-MAX(0,Z811-SUM(Q811:T811)))</f>
        <v/>
      </c>
      <c r="AI811" s="4">
        <f>MAX(0,V811-MAX(0,Z811-SUM(Q811:U811)))</f>
        <v/>
      </c>
      <c r="AJ811" s="4">
        <f>MAX(0,W811-MAX(0,Z811-SUM(Q811:V811)))</f>
        <v/>
      </c>
      <c r="AK811" s="4">
        <f>MAX(0,X811-MAX(0,Z811-SUM(Q811:W811)))</f>
        <v/>
      </c>
      <c r="AL811" s="4">
        <f>MAX(0,Y811-MAX(0,Z811-SUM(Q811:X811)))</f>
        <v/>
      </c>
    </row>
    <row r="812">
      <c r="A812" s="4" t="inlineStr">
        <is>
          <t>HASLS22260902297</t>
        </is>
      </c>
      <c r="B812" s="4" t="inlineStr">
        <is>
          <t>KUS</t>
        </is>
      </c>
      <c r="C812" s="4" t="inlineStr">
        <is>
          <t>2616N</t>
        </is>
      </c>
      <c r="D812" s="4" t="inlineStr">
        <is>
          <t>202610150400</t>
        </is>
      </c>
      <c r="E812" s="4" t="inlineStr"/>
      <c r="F812" s="4" t="inlineStr">
        <is>
          <t>THLCH</t>
        </is>
      </c>
      <c r="G812" s="4" t="inlineStr">
        <is>
          <t>VNSGN</t>
        </is>
      </c>
      <c r="H812" s="4" t="inlineStr">
        <is>
          <t xml:space="preserve">20'x14 </t>
        </is>
      </c>
      <c r="I812" s="4" t="inlineStr">
        <is>
          <t>LCHY5</t>
        </is>
      </c>
      <c r="J812" s="4" t="inlineStr">
        <is>
          <t>PW DEPOT CO., LTD.</t>
        </is>
      </c>
      <c r="K812" s="4" t="inlineStr">
        <is>
          <t>20261002</t>
        </is>
      </c>
      <c r="L812" s="4" t="inlineStr">
        <is>
          <t>WHA GC LOGISTICS COMPANY LIMITED</t>
        </is>
      </c>
      <c r="M812" s="4" t="inlineStr">
        <is>
          <t>PTT GLOBAL CHEMICAL PUBLIC COMPANY LIMITED</t>
        </is>
      </c>
      <c r="N812" s="4" t="inlineStr">
        <is>
          <t>RESIN</t>
        </is>
      </c>
      <c r="O812" s="4" t="inlineStr">
        <is>
          <t>*** REQ. GOOD &amp; CLEAN  CONT. .( NO SMELL)  ***</t>
        </is>
      </c>
      <c r="P812" s="4" t="inlineStr">
        <is>
          <t>CY-RTN : 02-09/10/2026</t>
        </is>
      </c>
      <c r="Q812" s="4" t="n">
        <v>14</v>
      </c>
      <c r="R812" s="4" t="n">
        <v>0</v>
      </c>
      <c r="S812" s="4" t="n">
        <v>0</v>
      </c>
      <c r="T812" s="4" t="n">
        <v>0</v>
      </c>
      <c r="U812" s="4" t="n">
        <v>0</v>
      </c>
      <c r="V812" s="4" t="n">
        <v>0</v>
      </c>
      <c r="W812" s="4" t="n">
        <v>0</v>
      </c>
      <c r="X812" s="4" t="n">
        <v>0</v>
      </c>
      <c r="Y812" s="4" t="n">
        <v>0</v>
      </c>
      <c r="Z812" s="4" t="n">
        <v>0</v>
      </c>
      <c r="AA812" s="4" t="n">
        <v>0</v>
      </c>
      <c r="AB812" s="4">
        <f>SUM(Q812:Y812)-Z812</f>
        <v/>
      </c>
      <c r="AC812" s="4">
        <f>IF(I812="","",IF(OR(LEFT(I812,3)="BKK",I812="LCH55"),"BKK",IF(LEFT(I812,3)="LCH","LCH","OTHER")))</f>
        <v/>
      </c>
      <c r="AD812" s="4">
        <f>MAX(0,Q812-MAX(0,Z812))</f>
        <v/>
      </c>
      <c r="AE812" s="4">
        <f>MAX(0,R812-MAX(0,Z812-SUM(Q812:Q812)))</f>
        <v/>
      </c>
      <c r="AF812" s="4">
        <f>MAX(0,S812-MAX(0,Z812-SUM(Q812:R812)))</f>
        <v/>
      </c>
      <c r="AG812" s="4">
        <f>MAX(0,T812-MAX(0,Z812-SUM(Q812:S812)))</f>
        <v/>
      </c>
      <c r="AH812" s="4">
        <f>MAX(0,U812-MAX(0,Z812-SUM(Q812:T812)))</f>
        <v/>
      </c>
      <c r="AI812" s="4">
        <f>MAX(0,V812-MAX(0,Z812-SUM(Q812:U812)))</f>
        <v/>
      </c>
      <c r="AJ812" s="4">
        <f>MAX(0,W812-MAX(0,Z812-SUM(Q812:V812)))</f>
        <v/>
      </c>
      <c r="AK812" s="4">
        <f>MAX(0,X812-MAX(0,Z812-SUM(Q812:W812)))</f>
        <v/>
      </c>
      <c r="AL812" s="4">
        <f>MAX(0,Y812-MAX(0,Z812-SUM(Q812:X812)))</f>
        <v/>
      </c>
    </row>
    <row r="813">
      <c r="A813" s="4" t="inlineStr">
        <is>
          <t>HASLS22260902298</t>
        </is>
      </c>
      <c r="B813" s="4" t="inlineStr">
        <is>
          <t>KUS</t>
        </is>
      </c>
      <c r="C813" s="4" t="inlineStr">
        <is>
          <t>2616N</t>
        </is>
      </c>
      <c r="D813" s="4" t="inlineStr">
        <is>
          <t>202610150400</t>
        </is>
      </c>
      <c r="E813" s="4" t="inlineStr"/>
      <c r="F813" s="4" t="inlineStr">
        <is>
          <t>THLCH</t>
        </is>
      </c>
      <c r="G813" s="4" t="inlineStr">
        <is>
          <t>VNSGN</t>
        </is>
      </c>
      <c r="H813" s="4" t="inlineStr">
        <is>
          <t xml:space="preserve">40Hx4 </t>
        </is>
      </c>
      <c r="I813" s="4" t="inlineStr">
        <is>
          <t>LCHY5</t>
        </is>
      </c>
      <c r="J813" s="4" t="inlineStr">
        <is>
          <t>PW DEPOT CO., LTD.</t>
        </is>
      </c>
      <c r="K813" s="4" t="inlineStr">
        <is>
          <t>20261002</t>
        </is>
      </c>
      <c r="L813" s="4" t="inlineStr">
        <is>
          <t>WHA GC LOGISTICS COMPANY LIMITED</t>
        </is>
      </c>
      <c r="M813" s="4" t="inlineStr">
        <is>
          <t>PTT GLOBAL CHEMICAL PUBLIC COMPANY LIMITED</t>
        </is>
      </c>
      <c r="N813" s="4" t="inlineStr">
        <is>
          <t>RESIN</t>
        </is>
      </c>
      <c r="O813" s="4" t="inlineStr">
        <is>
          <t>*** REQ. GOOD &amp; CLEAN  CONT. .( NO SMELL)  ***</t>
        </is>
      </c>
      <c r="P813" s="4" t="inlineStr">
        <is>
          <t>CY-RTN : 02-09/10/2026</t>
        </is>
      </c>
      <c r="Q813" s="4" t="n">
        <v>0</v>
      </c>
      <c r="R813" s="4" t="n">
        <v>0</v>
      </c>
      <c r="S813" s="4" t="n">
        <v>4</v>
      </c>
      <c r="T813" s="4" t="n">
        <v>0</v>
      </c>
      <c r="U813" s="4" t="n">
        <v>0</v>
      </c>
      <c r="V813" s="4" t="n">
        <v>0</v>
      </c>
      <c r="W813" s="4" t="n">
        <v>0</v>
      </c>
      <c r="X813" s="4" t="n">
        <v>0</v>
      </c>
      <c r="Y813" s="4" t="n">
        <v>0</v>
      </c>
      <c r="Z813" s="4" t="n">
        <v>0</v>
      </c>
      <c r="AA813" s="4" t="n">
        <v>0</v>
      </c>
      <c r="AB813" s="4">
        <f>SUM(Q813:Y813)-Z813</f>
        <v/>
      </c>
      <c r="AC813" s="4">
        <f>IF(I813="","",IF(OR(LEFT(I813,3)="BKK",I813="LCH55"),"BKK",IF(LEFT(I813,3)="LCH","LCH","OTHER")))</f>
        <v/>
      </c>
      <c r="AD813" s="4">
        <f>MAX(0,Q813-MAX(0,Z813))</f>
        <v/>
      </c>
      <c r="AE813" s="4">
        <f>MAX(0,R813-MAX(0,Z813-SUM(Q813:Q813)))</f>
        <v/>
      </c>
      <c r="AF813" s="4">
        <f>MAX(0,S813-MAX(0,Z813-SUM(Q813:R813)))</f>
        <v/>
      </c>
      <c r="AG813" s="4">
        <f>MAX(0,T813-MAX(0,Z813-SUM(Q813:S813)))</f>
        <v/>
      </c>
      <c r="AH813" s="4">
        <f>MAX(0,U813-MAX(0,Z813-SUM(Q813:T813)))</f>
        <v/>
      </c>
      <c r="AI813" s="4">
        <f>MAX(0,V813-MAX(0,Z813-SUM(Q813:U813)))</f>
        <v/>
      </c>
      <c r="AJ813" s="4">
        <f>MAX(0,W813-MAX(0,Z813-SUM(Q813:V813)))</f>
        <v/>
      </c>
      <c r="AK813" s="4">
        <f>MAX(0,X813-MAX(0,Z813-SUM(Q813:W813)))</f>
        <v/>
      </c>
      <c r="AL813" s="4">
        <f>MAX(0,Y813-MAX(0,Z813-SUM(Q813:X813)))</f>
        <v/>
      </c>
    </row>
    <row r="814">
      <c r="A814" s="4" t="inlineStr">
        <is>
          <t>HASLS22260902300</t>
        </is>
      </c>
      <c r="B814" s="4" t="inlineStr">
        <is>
          <t>SWMM</t>
        </is>
      </c>
      <c r="C814" s="4" t="inlineStr">
        <is>
          <t>2610N</t>
        </is>
      </c>
      <c r="D814" s="4" t="inlineStr">
        <is>
          <t>202610212100</t>
        </is>
      </c>
      <c r="E814" s="4" t="inlineStr"/>
      <c r="F814" s="4" t="inlineStr">
        <is>
          <t>THLCH</t>
        </is>
      </c>
      <c r="G814" s="4" t="inlineStr">
        <is>
          <t>JPMIZ</t>
        </is>
      </c>
      <c r="H814" s="4" t="inlineStr">
        <is>
          <t xml:space="preserve">20'x5 </t>
        </is>
      </c>
      <c r="I814" s="4" t="inlineStr">
        <is>
          <t>LCHY5</t>
        </is>
      </c>
      <c r="J814" s="4" t="inlineStr">
        <is>
          <t>PW DEPOT CO., LTD.</t>
        </is>
      </c>
      <c r="K814" s="4" t="inlineStr">
        <is>
          <t>20261014</t>
        </is>
      </c>
      <c r="L814" s="4" t="inlineStr">
        <is>
          <t>META GLOBAL MARITIME (THAILAND) CO., LTD.</t>
        </is>
      </c>
      <c r="M814" s="4" t="inlineStr">
        <is>
          <t>THAI PET RESIN CO., LTD.</t>
        </is>
      </c>
      <c r="N814" s="4" t="inlineStr">
        <is>
          <t>RESIN</t>
        </is>
      </c>
      <c r="O814" s="4" t="inlineStr">
        <is>
          <t>CONTAINER GOOD GRADE</t>
        </is>
      </c>
      <c r="P814" s="4" t="inlineStr">
        <is>
          <t xml:space="preserve">Pickup : 2026-10-14, Return : 2026-10-15  
** PLEASE CHECK OPEN GATE BEFORE RETURN CONTAINER ** </t>
        </is>
      </c>
      <c r="Q814" s="4" t="n">
        <v>5</v>
      </c>
      <c r="R814" s="4" t="n">
        <v>0</v>
      </c>
      <c r="S814" s="4" t="n">
        <v>0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>
        <f>SUM(Q814:Y814)-Z814</f>
        <v/>
      </c>
      <c r="AC814" s="4">
        <f>IF(I814="","",IF(OR(LEFT(I814,3)="BKK",I814="LCH55"),"BKK",IF(LEFT(I814,3)="LCH","LCH","OTHER")))</f>
        <v/>
      </c>
      <c r="AD814" s="4">
        <f>MAX(0,Q814-MAX(0,Z814))</f>
        <v/>
      </c>
      <c r="AE814" s="4">
        <f>MAX(0,R814-MAX(0,Z814-SUM(Q814:Q814)))</f>
        <v/>
      </c>
      <c r="AF814" s="4">
        <f>MAX(0,S814-MAX(0,Z814-SUM(Q814:R814)))</f>
        <v/>
      </c>
      <c r="AG814" s="4">
        <f>MAX(0,T814-MAX(0,Z814-SUM(Q814:S814)))</f>
        <v/>
      </c>
      <c r="AH814" s="4">
        <f>MAX(0,U814-MAX(0,Z814-SUM(Q814:T814)))</f>
        <v/>
      </c>
      <c r="AI814" s="4">
        <f>MAX(0,V814-MAX(0,Z814-SUM(Q814:U814)))</f>
        <v/>
      </c>
      <c r="AJ814" s="4">
        <f>MAX(0,W814-MAX(0,Z814-SUM(Q814:V814)))</f>
        <v/>
      </c>
      <c r="AK814" s="4">
        <f>MAX(0,X814-MAX(0,Z814-SUM(Q814:W814)))</f>
        <v/>
      </c>
      <c r="AL814" s="4">
        <f>MAX(0,Y814-MAX(0,Z814-SUM(Q814:X814)))</f>
        <v/>
      </c>
    </row>
    <row r="815">
      <c r="A815" s="4" t="inlineStr">
        <is>
          <t>HASLS22260902301</t>
        </is>
      </c>
      <c r="B815" s="4" t="inlineStr">
        <is>
          <t>SWMM</t>
        </is>
      </c>
      <c r="C815" s="4" t="inlineStr">
        <is>
          <t>2610N</t>
        </is>
      </c>
      <c r="D815" s="4" t="inlineStr">
        <is>
          <t>202610212100</t>
        </is>
      </c>
      <c r="E815" s="4" t="inlineStr"/>
      <c r="F815" s="4" t="inlineStr">
        <is>
          <t>THLCH</t>
        </is>
      </c>
      <c r="G815" s="4" t="inlineStr">
        <is>
          <t>VNSGN</t>
        </is>
      </c>
      <c r="H815" s="4" t="inlineStr">
        <is>
          <t xml:space="preserve">40Hx2 </t>
        </is>
      </c>
      <c r="I815" s="4" t="inlineStr">
        <is>
          <t>LCHY5</t>
        </is>
      </c>
      <c r="J815" s="4" t="inlineStr">
        <is>
          <t>PW DEPOT CO., LTD.</t>
        </is>
      </c>
      <c r="K815" s="4" t="inlineStr">
        <is>
          <t>20261009</t>
        </is>
      </c>
      <c r="L815" s="4" t="inlineStr">
        <is>
          <t>SCGJWD LOGISTICS PUBLIC COMPANY LIMITED</t>
        </is>
      </c>
      <c r="M815" s="4" t="inlineStr">
        <is>
          <t>THAI POLYETHYLENE CO., LTD.</t>
        </is>
      </c>
      <c r="N815" s="4" t="inlineStr">
        <is>
          <t>RESIN</t>
        </is>
      </c>
      <c r="O815" s="4" t="inlineStr">
        <is>
          <t>GOOD AND CLEAN CONTAINER</t>
        </is>
      </c>
      <c r="P815" s="4" t="inlineStr">
        <is>
          <t>CY-RTN : 09-12/10/2026 *1ST RETURN CNTR DD.13/10/2026*
REF : 3031062409</t>
        </is>
      </c>
      <c r="Q815" s="4" t="n">
        <v>0</v>
      </c>
      <c r="R815" s="4" t="n">
        <v>0</v>
      </c>
      <c r="S815" s="4" t="n">
        <v>2</v>
      </c>
      <c r="T815" s="4" t="n">
        <v>0</v>
      </c>
      <c r="U815" s="4" t="n">
        <v>0</v>
      </c>
      <c r="V815" s="4" t="n">
        <v>0</v>
      </c>
      <c r="W815" s="4" t="n">
        <v>0</v>
      </c>
      <c r="X815" s="4" t="n">
        <v>0</v>
      </c>
      <c r="Y815" s="4" t="n">
        <v>0</v>
      </c>
      <c r="Z815" s="4" t="n">
        <v>0</v>
      </c>
      <c r="AA815" s="4" t="n">
        <v>0</v>
      </c>
      <c r="AB815" s="4">
        <f>SUM(Q815:Y815)-Z815</f>
        <v/>
      </c>
      <c r="AC815" s="4">
        <f>IF(I815="","",IF(OR(LEFT(I815,3)="BKK",I815="LCH55"),"BKK",IF(LEFT(I815,3)="LCH","LCH","OTHER")))</f>
        <v/>
      </c>
      <c r="AD815" s="4">
        <f>MAX(0,Q815-MAX(0,Z815))</f>
        <v/>
      </c>
      <c r="AE815" s="4">
        <f>MAX(0,R815-MAX(0,Z815-SUM(Q815:Q815)))</f>
        <v/>
      </c>
      <c r="AF815" s="4">
        <f>MAX(0,S815-MAX(0,Z815-SUM(Q815:R815)))</f>
        <v/>
      </c>
      <c r="AG815" s="4">
        <f>MAX(0,T815-MAX(0,Z815-SUM(Q815:S815)))</f>
        <v/>
      </c>
      <c r="AH815" s="4">
        <f>MAX(0,U815-MAX(0,Z815-SUM(Q815:T815)))</f>
        <v/>
      </c>
      <c r="AI815" s="4">
        <f>MAX(0,V815-MAX(0,Z815-SUM(Q815:U815)))</f>
        <v/>
      </c>
      <c r="AJ815" s="4">
        <f>MAX(0,W815-MAX(0,Z815-SUM(Q815:V815)))</f>
        <v/>
      </c>
      <c r="AK815" s="4">
        <f>MAX(0,X815-MAX(0,Z815-SUM(Q815:W815)))</f>
        <v/>
      </c>
      <c r="AL815" s="4">
        <f>MAX(0,Y815-MAX(0,Z815-SUM(Q815:X815)))</f>
        <v/>
      </c>
    </row>
    <row r="816">
      <c r="A816" s="4" t="inlineStr">
        <is>
          <t>HASLS22260902302</t>
        </is>
      </c>
      <c r="B816" s="4" t="inlineStr">
        <is>
          <t>SWIC</t>
        </is>
      </c>
      <c r="C816" s="4" t="inlineStr">
        <is>
          <t>2611N</t>
        </is>
      </c>
      <c r="D816" s="4" t="inlineStr">
        <is>
          <t>202610132300</t>
        </is>
      </c>
      <c r="E816" s="4" t="inlineStr"/>
      <c r="F816" s="4" t="inlineStr">
        <is>
          <t>THLCH</t>
        </is>
      </c>
      <c r="G816" s="4" t="inlineStr">
        <is>
          <t>VNSGN</t>
        </is>
      </c>
      <c r="H816" s="4" t="inlineStr">
        <is>
          <t xml:space="preserve">20'x3 </t>
        </is>
      </c>
      <c r="I816" s="4" t="inlineStr">
        <is>
          <t>LCHY5</t>
        </is>
      </c>
      <c r="J816" s="4" t="inlineStr">
        <is>
          <t>PW DEPOT CO., LTD.</t>
        </is>
      </c>
      <c r="K816" s="4" t="inlineStr">
        <is>
          <t>20261002</t>
        </is>
      </c>
      <c r="L816" s="4" t="inlineStr">
        <is>
          <t>WHA GC LOGISTICS COMPANY LIMITED</t>
        </is>
      </c>
      <c r="M816" s="4" t="inlineStr">
        <is>
          <t>PTT GLOBAL CHEMICAL PUBLIC COMPANY LIMITED</t>
        </is>
      </c>
      <c r="N816" s="4" t="inlineStr">
        <is>
          <t>RESIN</t>
        </is>
      </c>
      <c r="O816" s="4" t="inlineStr">
        <is>
          <t>*** REQ. GOOD &amp; CLEAN  CONT. .( NO SMELL)  ***</t>
        </is>
      </c>
      <c r="P816" s="4" t="inlineStr">
        <is>
          <t xml:space="preserve">CY : 02/10/26 , RTN : 04/10/26 [1ST RTN 09/10/2026 W/O RENT]
** PLEASE CHECK OPEN GATE BEFORE RETURN CONTAINER ** 
</t>
        </is>
      </c>
      <c r="Q816" s="4" t="n">
        <v>3</v>
      </c>
      <c r="R816" s="4" t="n">
        <v>0</v>
      </c>
      <c r="S816" s="4" t="n">
        <v>0</v>
      </c>
      <c r="T816" s="4" t="n">
        <v>0</v>
      </c>
      <c r="U816" s="4" t="n">
        <v>0</v>
      </c>
      <c r="V816" s="4" t="n">
        <v>0</v>
      </c>
      <c r="W816" s="4" t="n">
        <v>0</v>
      </c>
      <c r="X816" s="4" t="n">
        <v>0</v>
      </c>
      <c r="Y816" s="4" t="n">
        <v>0</v>
      </c>
      <c r="Z816" s="4" t="n">
        <v>0</v>
      </c>
      <c r="AA816" s="4" t="n">
        <v>0</v>
      </c>
      <c r="AB816" s="4">
        <f>SUM(Q816:Y816)-Z816</f>
        <v/>
      </c>
      <c r="AC816" s="4">
        <f>IF(I816="","",IF(OR(LEFT(I816,3)="BKK",I816="LCH55"),"BKK",IF(LEFT(I816,3)="LCH","LCH","OTHER")))</f>
        <v/>
      </c>
      <c r="AD816" s="4">
        <f>MAX(0,Q816-MAX(0,Z816))</f>
        <v/>
      </c>
      <c r="AE816" s="4">
        <f>MAX(0,R816-MAX(0,Z816-SUM(Q816:Q816)))</f>
        <v/>
      </c>
      <c r="AF816" s="4">
        <f>MAX(0,S816-MAX(0,Z816-SUM(Q816:R816)))</f>
        <v/>
      </c>
      <c r="AG816" s="4">
        <f>MAX(0,T816-MAX(0,Z816-SUM(Q816:S816)))</f>
        <v/>
      </c>
      <c r="AH816" s="4">
        <f>MAX(0,U816-MAX(0,Z816-SUM(Q816:T816)))</f>
        <v/>
      </c>
      <c r="AI816" s="4">
        <f>MAX(0,V816-MAX(0,Z816-SUM(Q816:U816)))</f>
        <v/>
      </c>
      <c r="AJ816" s="4">
        <f>MAX(0,W816-MAX(0,Z816-SUM(Q816:V816)))</f>
        <v/>
      </c>
      <c r="AK816" s="4">
        <f>MAX(0,X816-MAX(0,Z816-SUM(Q816:W816)))</f>
        <v/>
      </c>
      <c r="AL816" s="4">
        <f>MAX(0,Y816-MAX(0,Z816-SUM(Q816:X816)))</f>
        <v/>
      </c>
    </row>
    <row r="817">
      <c r="A817" s="4" t="inlineStr">
        <is>
          <t>HASLS22260902303</t>
        </is>
      </c>
      <c r="B817" s="4" t="inlineStr">
        <is>
          <t>SWIC</t>
        </is>
      </c>
      <c r="C817" s="4" t="inlineStr">
        <is>
          <t>2611N</t>
        </is>
      </c>
      <c r="D817" s="4" t="inlineStr">
        <is>
          <t>202610132300</t>
        </is>
      </c>
      <c r="E817" s="4" t="inlineStr"/>
      <c r="F817" s="4" t="inlineStr">
        <is>
          <t>THLCH</t>
        </is>
      </c>
      <c r="G817" s="4" t="inlineStr">
        <is>
          <t>VNSGN</t>
        </is>
      </c>
      <c r="H817" s="4" t="inlineStr">
        <is>
          <t xml:space="preserve">20'x3 </t>
        </is>
      </c>
      <c r="I817" s="4" t="inlineStr">
        <is>
          <t>LCHY5</t>
        </is>
      </c>
      <c r="J817" s="4" t="inlineStr">
        <is>
          <t>PW DEPOT CO., LTD.</t>
        </is>
      </c>
      <c r="K817" s="4" t="inlineStr">
        <is>
          <t>20261002</t>
        </is>
      </c>
      <c r="L817" s="4" t="inlineStr">
        <is>
          <t>WHA GC LOGISTICS COMPANY LIMITED</t>
        </is>
      </c>
      <c r="M817" s="4" t="inlineStr">
        <is>
          <t>PTT GLOBAL CHEMICAL PUBLIC COMPANY LIMITED</t>
        </is>
      </c>
      <c r="N817" s="4" t="inlineStr">
        <is>
          <t>RESIN</t>
        </is>
      </c>
      <c r="O817" s="4" t="inlineStr">
        <is>
          <t>*** REQ. GOOD &amp; CLEAN  CONT. .( NO SMELL)  ***</t>
        </is>
      </c>
      <c r="P817" s="4" t="inlineStr">
        <is>
          <t xml:space="preserve">CY : 02/10/26 , RTN : 04/10/26 [1ST RTN 09/10/2026 W/O RENT]
** PLEASE CHECK OPEN GATE BEFORE RETURN CONTAINER ** 
</t>
        </is>
      </c>
      <c r="Q817" s="4" t="n">
        <v>3</v>
      </c>
      <c r="R817" s="4" t="n">
        <v>0</v>
      </c>
      <c r="S817" s="4" t="n">
        <v>0</v>
      </c>
      <c r="T817" s="4" t="n">
        <v>0</v>
      </c>
      <c r="U817" s="4" t="n">
        <v>0</v>
      </c>
      <c r="V817" s="4" t="n">
        <v>0</v>
      </c>
      <c r="W817" s="4" t="n">
        <v>0</v>
      </c>
      <c r="X817" s="4" t="n">
        <v>0</v>
      </c>
      <c r="Y817" s="4" t="n">
        <v>0</v>
      </c>
      <c r="Z817" s="4" t="n">
        <v>0</v>
      </c>
      <c r="AA817" s="4" t="n">
        <v>0</v>
      </c>
      <c r="AB817" s="4">
        <f>SUM(Q817:Y817)-Z817</f>
        <v/>
      </c>
      <c r="AC817" s="4">
        <f>IF(I817="","",IF(OR(LEFT(I817,3)="BKK",I817="LCH55"),"BKK",IF(LEFT(I817,3)="LCH","LCH","OTHER")))</f>
        <v/>
      </c>
      <c r="AD817" s="4">
        <f>MAX(0,Q817-MAX(0,Z817))</f>
        <v/>
      </c>
      <c r="AE817" s="4">
        <f>MAX(0,R817-MAX(0,Z817-SUM(Q817:Q817)))</f>
        <v/>
      </c>
      <c r="AF817" s="4">
        <f>MAX(0,S817-MAX(0,Z817-SUM(Q817:R817)))</f>
        <v/>
      </c>
      <c r="AG817" s="4">
        <f>MAX(0,T817-MAX(0,Z817-SUM(Q817:S817)))</f>
        <v/>
      </c>
      <c r="AH817" s="4">
        <f>MAX(0,U817-MAX(0,Z817-SUM(Q817:T817)))</f>
        <v/>
      </c>
      <c r="AI817" s="4">
        <f>MAX(0,V817-MAX(0,Z817-SUM(Q817:U817)))</f>
        <v/>
      </c>
      <c r="AJ817" s="4">
        <f>MAX(0,W817-MAX(0,Z817-SUM(Q817:V817)))</f>
        <v/>
      </c>
      <c r="AK817" s="4">
        <f>MAX(0,X817-MAX(0,Z817-SUM(Q817:W817)))</f>
        <v/>
      </c>
      <c r="AL817" s="4">
        <f>MAX(0,Y817-MAX(0,Z817-SUM(Q817:X817)))</f>
        <v/>
      </c>
    </row>
    <row r="818">
      <c r="A818" s="4" t="inlineStr">
        <is>
          <t>HASLS22260902304</t>
        </is>
      </c>
      <c r="B818" s="4" t="inlineStr">
        <is>
          <t>SWIC</t>
        </is>
      </c>
      <c r="C818" s="4" t="inlineStr">
        <is>
          <t>2611N</t>
        </is>
      </c>
      <c r="D818" s="4" t="inlineStr">
        <is>
          <t>202610132300</t>
        </is>
      </c>
      <c r="E818" s="4" t="inlineStr"/>
      <c r="F818" s="4" t="inlineStr">
        <is>
          <t>THLCH</t>
        </is>
      </c>
      <c r="G818" s="4" t="inlineStr">
        <is>
          <t>VNSGN</t>
        </is>
      </c>
      <c r="H818" s="4" t="inlineStr">
        <is>
          <t xml:space="preserve">20'x1 </t>
        </is>
      </c>
      <c r="I818" s="4" t="inlineStr">
        <is>
          <t>LCHY5</t>
        </is>
      </c>
      <c r="J818" s="4" t="inlineStr">
        <is>
          <t>PW DEPOT CO., LTD.</t>
        </is>
      </c>
      <c r="K818" s="4" t="inlineStr">
        <is>
          <t>20261002</t>
        </is>
      </c>
      <c r="L818" s="4" t="inlineStr">
        <is>
          <t>WHA GC LOGISTICS COMPANY LIMITED</t>
        </is>
      </c>
      <c r="M818" s="4" t="inlineStr">
        <is>
          <t>PTT GLOBAL CHEMICAL PUBLIC COMPANY LIMITED</t>
        </is>
      </c>
      <c r="N818" s="4" t="inlineStr">
        <is>
          <t>RESIN</t>
        </is>
      </c>
      <c r="O818" s="4" t="inlineStr">
        <is>
          <t>*** REQ. GOOD &amp; CLEAN  CONT. .( NO SMELL)  ***</t>
        </is>
      </c>
      <c r="P818" s="4" t="inlineStr">
        <is>
          <t xml:space="preserve">CY : 02/10/26 , RTN : 04/10/26 [1ST RTN 09/10/2026 W/O RENT]
** PLEASE CHECK OPEN GATE BEFORE RETURN CONTAINER ** 
</t>
        </is>
      </c>
      <c r="Q818" s="4" t="n">
        <v>1</v>
      </c>
      <c r="R818" s="4" t="n">
        <v>0</v>
      </c>
      <c r="S818" s="4" t="n">
        <v>0</v>
      </c>
      <c r="T818" s="4" t="n">
        <v>0</v>
      </c>
      <c r="U818" s="4" t="n">
        <v>0</v>
      </c>
      <c r="V818" s="4" t="n">
        <v>0</v>
      </c>
      <c r="W818" s="4" t="n">
        <v>0</v>
      </c>
      <c r="X818" s="4" t="n">
        <v>0</v>
      </c>
      <c r="Y818" s="4" t="n">
        <v>0</v>
      </c>
      <c r="Z818" s="4" t="n">
        <v>0</v>
      </c>
      <c r="AA818" s="4" t="n">
        <v>0</v>
      </c>
      <c r="AB818" s="4">
        <f>SUM(Q818:Y818)-Z818</f>
        <v/>
      </c>
      <c r="AC818" s="4">
        <f>IF(I818="","",IF(OR(LEFT(I818,3)="BKK",I818="LCH55"),"BKK",IF(LEFT(I818,3)="LCH","LCH","OTHER")))</f>
        <v/>
      </c>
      <c r="AD818" s="4">
        <f>MAX(0,Q818-MAX(0,Z818))</f>
        <v/>
      </c>
      <c r="AE818" s="4">
        <f>MAX(0,R818-MAX(0,Z818-SUM(Q818:Q818)))</f>
        <v/>
      </c>
      <c r="AF818" s="4">
        <f>MAX(0,S818-MAX(0,Z818-SUM(Q818:R818)))</f>
        <v/>
      </c>
      <c r="AG818" s="4">
        <f>MAX(0,T818-MAX(0,Z818-SUM(Q818:S818)))</f>
        <v/>
      </c>
      <c r="AH818" s="4">
        <f>MAX(0,U818-MAX(0,Z818-SUM(Q818:T818)))</f>
        <v/>
      </c>
      <c r="AI818" s="4">
        <f>MAX(0,V818-MAX(0,Z818-SUM(Q818:U818)))</f>
        <v/>
      </c>
      <c r="AJ818" s="4">
        <f>MAX(0,W818-MAX(0,Z818-SUM(Q818:V818)))</f>
        <v/>
      </c>
      <c r="AK818" s="4">
        <f>MAX(0,X818-MAX(0,Z818-SUM(Q818:W818)))</f>
        <v/>
      </c>
      <c r="AL818" s="4">
        <f>MAX(0,Y818-MAX(0,Z818-SUM(Q818:X818)))</f>
        <v/>
      </c>
    </row>
    <row r="819">
      <c r="A819" s="4" t="inlineStr">
        <is>
          <t>HASLS22260902323</t>
        </is>
      </c>
      <c r="B819" s="4" t="inlineStr">
        <is>
          <t>HMVY</t>
        </is>
      </c>
      <c r="C819" s="4" t="inlineStr">
        <is>
          <t>2609N</t>
        </is>
      </c>
      <c r="D819" s="4" t="inlineStr">
        <is>
          <t>202610200330</t>
        </is>
      </c>
      <c r="E819" s="4" t="inlineStr"/>
      <c r="F819" s="4" t="inlineStr">
        <is>
          <t>THLCH</t>
        </is>
      </c>
      <c r="G819" s="4" t="inlineStr">
        <is>
          <t>CNSHA</t>
        </is>
      </c>
      <c r="H819" s="4" t="inlineStr">
        <is>
          <t xml:space="preserve">40Hx1 </t>
        </is>
      </c>
      <c r="I819" s="4" t="inlineStr">
        <is>
          <t>LCHY5</t>
        </is>
      </c>
      <c r="J819" s="4" t="inlineStr">
        <is>
          <t>PW DEPOT CO., LTD.</t>
        </is>
      </c>
      <c r="K819" s="4" t="inlineStr">
        <is>
          <t>20261012</t>
        </is>
      </c>
      <c r="L819" s="4" t="inlineStr">
        <is>
          <t>RHENUS LOGISTICS CO., LTD.</t>
        </is>
      </c>
      <c r="M819" s="4" t="inlineStr">
        <is>
          <t>GROHE SIAM LIMITED</t>
        </is>
      </c>
      <c r="N819" s="4" t="inlineStr">
        <is>
          <t>SANITARY WARE</t>
        </is>
      </c>
      <c r="O819" s="4" t="inlineStr">
        <is>
          <t>Request dry, Strong floor and good container condition</t>
        </is>
      </c>
      <c r="P819" s="4" t="inlineStr">
        <is>
          <t xml:space="preserve">Pickup : 2026-10-12, Return : 2026-10-16 
 ** PLEASE CHECK OPEN GATE BEFORE RETURN CNTR **
</t>
        </is>
      </c>
      <c r="Q819" s="4" t="n">
        <v>0</v>
      </c>
      <c r="R819" s="4" t="n">
        <v>0</v>
      </c>
      <c r="S819" s="4" t="n">
        <v>1</v>
      </c>
      <c r="T819" s="4" t="n">
        <v>0</v>
      </c>
      <c r="U819" s="4" t="n">
        <v>0</v>
      </c>
      <c r="V819" s="4" t="n">
        <v>0</v>
      </c>
      <c r="W819" s="4" t="n">
        <v>0</v>
      </c>
      <c r="X819" s="4" t="n">
        <v>0</v>
      </c>
      <c r="Y819" s="4" t="n">
        <v>0</v>
      </c>
      <c r="Z819" s="4" t="n">
        <v>0</v>
      </c>
      <c r="AA819" s="4" t="n">
        <v>0</v>
      </c>
      <c r="AB819" s="4">
        <f>SUM(Q819:Y819)-Z819</f>
        <v/>
      </c>
      <c r="AC819" s="4">
        <f>IF(I819="","",IF(OR(LEFT(I819,3)="BKK",I819="LCH55"),"BKK",IF(LEFT(I819,3)="LCH","LCH","OTHER")))</f>
        <v/>
      </c>
      <c r="AD819" s="4">
        <f>MAX(0,Q819-MAX(0,Z819))</f>
        <v/>
      </c>
      <c r="AE819" s="4">
        <f>MAX(0,R819-MAX(0,Z819-SUM(Q819:Q819)))</f>
        <v/>
      </c>
      <c r="AF819" s="4">
        <f>MAX(0,S819-MAX(0,Z819-SUM(Q819:R819)))</f>
        <v/>
      </c>
      <c r="AG819" s="4">
        <f>MAX(0,T819-MAX(0,Z819-SUM(Q819:S819)))</f>
        <v/>
      </c>
      <c r="AH819" s="4">
        <f>MAX(0,U819-MAX(0,Z819-SUM(Q819:T819)))</f>
        <v/>
      </c>
      <c r="AI819" s="4">
        <f>MAX(0,V819-MAX(0,Z819-SUM(Q819:U819)))</f>
        <v/>
      </c>
      <c r="AJ819" s="4">
        <f>MAX(0,W819-MAX(0,Z819-SUM(Q819:V819)))</f>
        <v/>
      </c>
      <c r="AK819" s="4">
        <f>MAX(0,X819-MAX(0,Z819-SUM(Q819:W819)))</f>
        <v/>
      </c>
      <c r="AL819" s="4">
        <f>MAX(0,Y819-MAX(0,Z819-SUM(Q819:X819)))</f>
        <v/>
      </c>
    </row>
    <row r="820">
      <c r="A820" s="4" t="inlineStr">
        <is>
          <t>HASLS22260902328</t>
        </is>
      </c>
      <c r="B820" s="4" t="inlineStr">
        <is>
          <t>TBN</t>
        </is>
      </c>
      <c r="C820" s="4" t="inlineStr">
        <is>
          <t>001</t>
        </is>
      </c>
      <c r="D820" s="4" t="inlineStr"/>
      <c r="E820" s="4" t="inlineStr"/>
      <c r="F820" s="4" t="inlineStr">
        <is>
          <t>THLCH</t>
        </is>
      </c>
      <c r="G820" s="4" t="inlineStr">
        <is>
          <t>JPYKK</t>
        </is>
      </c>
      <c r="H820" s="4" t="inlineStr">
        <is>
          <t xml:space="preserve">20'x5 </t>
        </is>
      </c>
      <c r="I820" s="4" t="inlineStr">
        <is>
          <t>LCHY5</t>
        </is>
      </c>
      <c r="J820" s="4" t="inlineStr">
        <is>
          <t>PW DEPOT CO., LTD.</t>
        </is>
      </c>
      <c r="K820" s="4" t="inlineStr">
        <is>
          <t>20261003</t>
        </is>
      </c>
      <c r="L820" s="4" t="inlineStr">
        <is>
          <t>DOW CHEMICAL THAILAND LTD.</t>
        </is>
      </c>
      <c r="M820" s="4" t="inlineStr">
        <is>
          <t>DOW CHEMICAL THAILAND LTD.</t>
        </is>
      </c>
      <c r="N820" s="4" t="inlineStr">
        <is>
          <t>RESIN</t>
        </is>
      </c>
      <c r="O820" s="4" t="inlineStr">
        <is>
          <t>RQST CNTR SEABULK &amp; GRADE A</t>
        </is>
      </c>
      <c r="P820" s="4" t="inlineStr">
        <is>
          <t>CY CNTR DD.03/10/2026 RQST CNTR SEABULK &amp; GRADE A</t>
        </is>
      </c>
      <c r="Q820" s="4" t="n">
        <v>5</v>
      </c>
      <c r="R820" s="4" t="n">
        <v>0</v>
      </c>
      <c r="S820" s="4" t="n">
        <v>0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>
        <f>SUM(Q820:Y820)-Z820</f>
        <v/>
      </c>
      <c r="AC820" s="4">
        <f>IF(I820="","",IF(OR(LEFT(I820,3)="BKK",I820="LCH55"),"BKK",IF(LEFT(I820,3)="LCH","LCH","OTHER")))</f>
        <v/>
      </c>
      <c r="AD820" s="4">
        <f>MAX(0,Q820-MAX(0,Z820))</f>
        <v/>
      </c>
      <c r="AE820" s="4">
        <f>MAX(0,R820-MAX(0,Z820-SUM(Q820:Q820)))</f>
        <v/>
      </c>
      <c r="AF820" s="4">
        <f>MAX(0,S820-MAX(0,Z820-SUM(Q820:R820)))</f>
        <v/>
      </c>
      <c r="AG820" s="4">
        <f>MAX(0,T820-MAX(0,Z820-SUM(Q820:S820)))</f>
        <v/>
      </c>
      <c r="AH820" s="4">
        <f>MAX(0,U820-MAX(0,Z820-SUM(Q820:T820)))</f>
        <v/>
      </c>
      <c r="AI820" s="4">
        <f>MAX(0,V820-MAX(0,Z820-SUM(Q820:U820)))</f>
        <v/>
      </c>
      <c r="AJ820" s="4">
        <f>MAX(0,W820-MAX(0,Z820-SUM(Q820:V820)))</f>
        <v/>
      </c>
      <c r="AK820" s="4">
        <f>MAX(0,X820-MAX(0,Z820-SUM(Q820:W820)))</f>
        <v/>
      </c>
      <c r="AL820" s="4">
        <f>MAX(0,Y820-MAX(0,Z820-SUM(Q820:X820)))</f>
        <v/>
      </c>
    </row>
    <row r="821">
      <c r="A821" s="4" t="inlineStr">
        <is>
          <t>HASLS22260902333</t>
        </is>
      </c>
      <c r="B821" s="4" t="inlineStr">
        <is>
          <t>PCCP</t>
        </is>
      </c>
      <c r="C821" s="4" t="inlineStr">
        <is>
          <t>2610N</t>
        </is>
      </c>
      <c r="D821" s="4" t="inlineStr">
        <is>
          <t>202610120600</t>
        </is>
      </c>
      <c r="E821" s="4" t="inlineStr"/>
      <c r="F821" s="4" t="inlineStr">
        <is>
          <t>THLCH</t>
        </is>
      </c>
      <c r="G821" s="4" t="inlineStr">
        <is>
          <t>VNSGN</t>
        </is>
      </c>
      <c r="H821" s="4" t="inlineStr">
        <is>
          <t xml:space="preserve">20'x1 </t>
        </is>
      </c>
      <c r="I821" s="4" t="inlineStr">
        <is>
          <t>LCHY5</t>
        </is>
      </c>
      <c r="J821" s="4" t="inlineStr">
        <is>
          <t>PW DEPOT CO., LTD.</t>
        </is>
      </c>
      <c r="K821" s="4" t="inlineStr">
        <is>
          <t>20261006</t>
        </is>
      </c>
      <c r="L821" s="4" t="inlineStr">
        <is>
          <t>MILLENNIUM AIR-SEA SERVICE CO., LTD.</t>
        </is>
      </c>
      <c r="M821" s="4" t="inlineStr">
        <is>
          <t>TIETEX ASIA LIMITED</t>
        </is>
      </c>
      <c r="N821" s="4" t="inlineStr">
        <is>
          <t>POLYESTER</t>
        </is>
      </c>
      <c r="O821" s="4" t="inlineStr">
        <is>
          <t>GOOD AND CLEAN CONTAINER</t>
        </is>
      </c>
      <c r="P821" s="4" t="inlineStr">
        <is>
          <t>Pickup : 2026-10-06, Return : 2026-10-07
**CHECK OPENGATE BEFORE RETURN CNTR**</t>
        </is>
      </c>
      <c r="Q821" s="4" t="n">
        <v>1</v>
      </c>
      <c r="R821" s="4" t="n">
        <v>0</v>
      </c>
      <c r="S821" s="4" t="n">
        <v>0</v>
      </c>
      <c r="T821" s="4" t="n">
        <v>0</v>
      </c>
      <c r="U821" s="4" t="n">
        <v>0</v>
      </c>
      <c r="V821" s="4" t="n">
        <v>0</v>
      </c>
      <c r="W821" s="4" t="n">
        <v>0</v>
      </c>
      <c r="X821" s="4" t="n">
        <v>0</v>
      </c>
      <c r="Y821" s="4" t="n">
        <v>0</v>
      </c>
      <c r="Z821" s="4" t="n">
        <v>0</v>
      </c>
      <c r="AA821" s="4" t="n">
        <v>0</v>
      </c>
      <c r="AB821" s="4">
        <f>SUM(Q821:Y821)-Z821</f>
        <v/>
      </c>
      <c r="AC821" s="4">
        <f>IF(I821="","",IF(OR(LEFT(I821,3)="BKK",I821="LCH55"),"BKK",IF(LEFT(I821,3)="LCH","LCH","OTHER")))</f>
        <v/>
      </c>
      <c r="AD821" s="4">
        <f>MAX(0,Q821-MAX(0,Z821))</f>
        <v/>
      </c>
      <c r="AE821" s="4">
        <f>MAX(0,R821-MAX(0,Z821-SUM(Q821:Q821)))</f>
        <v/>
      </c>
      <c r="AF821" s="4">
        <f>MAX(0,S821-MAX(0,Z821-SUM(Q821:R821)))</f>
        <v/>
      </c>
      <c r="AG821" s="4">
        <f>MAX(0,T821-MAX(0,Z821-SUM(Q821:S821)))</f>
        <v/>
      </c>
      <c r="AH821" s="4">
        <f>MAX(0,U821-MAX(0,Z821-SUM(Q821:T821)))</f>
        <v/>
      </c>
      <c r="AI821" s="4">
        <f>MAX(0,V821-MAX(0,Z821-SUM(Q821:U821)))</f>
        <v/>
      </c>
      <c r="AJ821" s="4">
        <f>MAX(0,W821-MAX(0,Z821-SUM(Q821:V821)))</f>
        <v/>
      </c>
      <c r="AK821" s="4">
        <f>MAX(0,X821-MAX(0,Z821-SUM(Q821:W821)))</f>
        <v/>
      </c>
      <c r="AL821" s="4">
        <f>MAX(0,Y821-MAX(0,Z821-SUM(Q821:X821)))</f>
        <v/>
      </c>
    </row>
    <row r="822">
      <c r="A822" s="4" t="inlineStr">
        <is>
          <t>HASLS22260902351</t>
        </is>
      </c>
      <c r="B822" s="4" t="inlineStr">
        <is>
          <t>SWVG</t>
        </is>
      </c>
      <c r="C822" s="4" t="inlineStr">
        <is>
          <t>2612N</t>
        </is>
      </c>
      <c r="D822" s="4" t="inlineStr">
        <is>
          <t>202610070330</t>
        </is>
      </c>
      <c r="E822" s="4" t="inlineStr"/>
      <c r="F822" s="4" t="inlineStr">
        <is>
          <t>THLCH</t>
        </is>
      </c>
      <c r="G822" s="4" t="inlineStr">
        <is>
          <t>RUVVO</t>
        </is>
      </c>
      <c r="H822" s="4" t="inlineStr">
        <is>
          <t xml:space="preserve">40Hx1 </t>
        </is>
      </c>
      <c r="I822" s="4" t="inlineStr">
        <is>
          <t>LCHY5</t>
        </is>
      </c>
      <c r="J822" s="4" t="inlineStr">
        <is>
          <t>PW DEPOT CO., LTD.</t>
        </is>
      </c>
      <c r="K822" s="4" t="inlineStr">
        <is>
          <t>20261003</t>
        </is>
      </c>
      <c r="L822" s="4" t="inlineStr">
        <is>
          <t>SRITHAI TOYO LOGISTICS CO., LTD.</t>
        </is>
      </c>
      <c r="M822" s="4" t="inlineStr">
        <is>
          <t>YOKOHAMA TIRE MANUFACTURING (THAILAND) CO., LTD.</t>
        </is>
      </c>
      <c r="N822" s="4" t="inlineStr">
        <is>
          <t>NEW TIRE</t>
        </is>
      </c>
      <c r="O822" s="4" t="inlineStr">
        <is>
          <t>RQST CNTR GRADE A</t>
        </is>
      </c>
      <c r="P822" s="4" t="inlineStr">
        <is>
          <t xml:space="preserve">CY-RTN : 03-05/10/2026 *1ST RETURN CNTR DD.04/10/2026*
RQST CNTR GRADE A
REF : WK41
</t>
        </is>
      </c>
      <c r="Q822" s="4" t="n">
        <v>0</v>
      </c>
      <c r="R822" s="4" t="n">
        <v>0</v>
      </c>
      <c r="S822" s="4" t="n">
        <v>1</v>
      </c>
      <c r="T822" s="4" t="n">
        <v>0</v>
      </c>
      <c r="U822" s="4" t="n">
        <v>0</v>
      </c>
      <c r="V822" s="4" t="n">
        <v>0</v>
      </c>
      <c r="W822" s="4" t="n">
        <v>0</v>
      </c>
      <c r="X822" s="4" t="n">
        <v>0</v>
      </c>
      <c r="Y822" s="4" t="n">
        <v>0</v>
      </c>
      <c r="Z822" s="4" t="n">
        <v>0</v>
      </c>
      <c r="AA822" s="4" t="n">
        <v>0</v>
      </c>
      <c r="AB822" s="4">
        <f>SUM(Q822:Y822)-Z822</f>
        <v/>
      </c>
      <c r="AC822" s="4">
        <f>IF(I822="","",IF(OR(LEFT(I822,3)="BKK",I822="LCH55"),"BKK",IF(LEFT(I822,3)="LCH","LCH","OTHER")))</f>
        <v/>
      </c>
      <c r="AD822" s="4">
        <f>MAX(0,Q822-MAX(0,Z822))</f>
        <v/>
      </c>
      <c r="AE822" s="4">
        <f>MAX(0,R822-MAX(0,Z822-SUM(Q822:Q822)))</f>
        <v/>
      </c>
      <c r="AF822" s="4">
        <f>MAX(0,S822-MAX(0,Z822-SUM(Q822:R822)))</f>
        <v/>
      </c>
      <c r="AG822" s="4">
        <f>MAX(0,T822-MAX(0,Z822-SUM(Q822:S822)))</f>
        <v/>
      </c>
      <c r="AH822" s="4">
        <f>MAX(0,U822-MAX(0,Z822-SUM(Q822:T822)))</f>
        <v/>
      </c>
      <c r="AI822" s="4">
        <f>MAX(0,V822-MAX(0,Z822-SUM(Q822:U822)))</f>
        <v/>
      </c>
      <c r="AJ822" s="4">
        <f>MAX(0,W822-MAX(0,Z822-SUM(Q822:V822)))</f>
        <v/>
      </c>
      <c r="AK822" s="4">
        <f>MAX(0,X822-MAX(0,Z822-SUM(Q822:W822)))</f>
        <v/>
      </c>
      <c r="AL822" s="4">
        <f>MAX(0,Y822-MAX(0,Z822-SUM(Q822:X822)))</f>
        <v/>
      </c>
    </row>
    <row r="823">
      <c r="A823" s="4" t="inlineStr">
        <is>
          <t>HASLS22260902352</t>
        </is>
      </c>
      <c r="B823" s="4" t="inlineStr">
        <is>
          <t>HMVY</t>
        </is>
      </c>
      <c r="C823" s="4" t="inlineStr">
        <is>
          <t>2609N</t>
        </is>
      </c>
      <c r="D823" s="4" t="inlineStr">
        <is>
          <t>202610200330</t>
        </is>
      </c>
      <c r="E823" s="4" t="inlineStr"/>
      <c r="F823" s="4" t="inlineStr">
        <is>
          <t>THLCH</t>
        </is>
      </c>
      <c r="G823" s="4" t="inlineStr">
        <is>
          <t>RUVVO</t>
        </is>
      </c>
      <c r="H823" s="4" t="inlineStr">
        <is>
          <t xml:space="preserve">40Hx1 </t>
        </is>
      </c>
      <c r="I823" s="4" t="inlineStr">
        <is>
          <t>LCHY5</t>
        </is>
      </c>
      <c r="J823" s="4" t="inlineStr">
        <is>
          <t>PW DEPOT CO., LTD.</t>
        </is>
      </c>
      <c r="K823" s="4" t="inlineStr">
        <is>
          <t>20261010</t>
        </is>
      </c>
      <c r="L823" s="4" t="inlineStr">
        <is>
          <t>SRITHAI TOYO LOGISTICS CO., LTD.</t>
        </is>
      </c>
      <c r="M823" s="4" t="inlineStr">
        <is>
          <t>INTERNATIONAL CURITY FOOTWEAR CO., LTD.</t>
        </is>
      </c>
      <c r="N823" s="4" t="inlineStr">
        <is>
          <t>NEW TIRE</t>
        </is>
      </c>
      <c r="O823" s="4" t="inlineStr">
        <is>
          <t>RQST CNTR GRADE A</t>
        </is>
      </c>
      <c r="P823" s="4" t="inlineStr">
        <is>
          <t>CY-RTN : 10-12/10/2026 *1ST RETURN CNTR DD.14/10/2026*
RQST CNTR GRADE A
REF : WK42</t>
        </is>
      </c>
      <c r="Q823" s="4" t="n">
        <v>0</v>
      </c>
      <c r="R823" s="4" t="n">
        <v>0</v>
      </c>
      <c r="S823" s="4" t="n">
        <v>1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>
        <f>SUM(Q823:Y823)-Z823</f>
        <v/>
      </c>
      <c r="AC823" s="4">
        <f>IF(I823="","",IF(OR(LEFT(I823,3)="BKK",I823="LCH55"),"BKK",IF(LEFT(I823,3)="LCH","LCH","OTHER")))</f>
        <v/>
      </c>
      <c r="AD823" s="4">
        <f>MAX(0,Q823-MAX(0,Z823))</f>
        <v/>
      </c>
      <c r="AE823" s="4">
        <f>MAX(0,R823-MAX(0,Z823-SUM(Q823:Q823)))</f>
        <v/>
      </c>
      <c r="AF823" s="4">
        <f>MAX(0,S823-MAX(0,Z823-SUM(Q823:R823)))</f>
        <v/>
      </c>
      <c r="AG823" s="4">
        <f>MAX(0,T823-MAX(0,Z823-SUM(Q823:S823)))</f>
        <v/>
      </c>
      <c r="AH823" s="4">
        <f>MAX(0,U823-MAX(0,Z823-SUM(Q823:T823)))</f>
        <v/>
      </c>
      <c r="AI823" s="4">
        <f>MAX(0,V823-MAX(0,Z823-SUM(Q823:U823)))</f>
        <v/>
      </c>
      <c r="AJ823" s="4">
        <f>MAX(0,W823-MAX(0,Z823-SUM(Q823:V823)))</f>
        <v/>
      </c>
      <c r="AK823" s="4">
        <f>MAX(0,X823-MAX(0,Z823-SUM(Q823:W823)))</f>
        <v/>
      </c>
      <c r="AL823" s="4">
        <f>MAX(0,Y823-MAX(0,Z823-SUM(Q823:X823)))</f>
        <v/>
      </c>
    </row>
    <row r="824">
      <c r="A824" s="4" t="inlineStr">
        <is>
          <t>HASLS22260902353</t>
        </is>
      </c>
      <c r="B824" s="4" t="inlineStr">
        <is>
          <t>KMBK</t>
        </is>
      </c>
      <c r="C824" s="4" t="inlineStr">
        <is>
          <t>2612N</t>
        </is>
      </c>
      <c r="D824" s="4" t="inlineStr">
        <is>
          <t>202610241800</t>
        </is>
      </c>
      <c r="E824" s="4" t="inlineStr"/>
      <c r="F824" s="4" t="inlineStr">
        <is>
          <t>THLCH</t>
        </is>
      </c>
      <c r="G824" s="4" t="inlineStr">
        <is>
          <t>RUVVO</t>
        </is>
      </c>
      <c r="H824" s="4" t="inlineStr">
        <is>
          <t xml:space="preserve">40Hx1 </t>
        </is>
      </c>
      <c r="I824" s="4" t="inlineStr">
        <is>
          <t>LCHY5</t>
        </is>
      </c>
      <c r="J824" s="4" t="inlineStr">
        <is>
          <t>PW DEPOT CO., LTD.</t>
        </is>
      </c>
      <c r="K824" s="4" t="inlineStr">
        <is>
          <t>20261017</t>
        </is>
      </c>
      <c r="L824" s="4" t="inlineStr">
        <is>
          <t>SRITHAI TOYO LOGISTICS CO., LTD.</t>
        </is>
      </c>
      <c r="M824" s="4" t="inlineStr">
        <is>
          <t>YOKOHAMA TIRE MANUFACTURING (THAILAND) CO., LTD.</t>
        </is>
      </c>
      <c r="N824" s="4" t="inlineStr">
        <is>
          <t>NEW TIRE</t>
        </is>
      </c>
      <c r="O824" s="4" t="inlineStr">
        <is>
          <t>GOOD AND CLEAN CONTAINER</t>
        </is>
      </c>
      <c r="P824" s="4" t="inlineStr">
        <is>
          <t>CY-RTN : 17-19/10/2026 *1ST RETURN CNTR DD.20/10/2026*
RQST CNTR GRADE A
REF : WK43</t>
        </is>
      </c>
      <c r="Q824" s="4" t="n">
        <v>0</v>
      </c>
      <c r="R824" s="4" t="n">
        <v>0</v>
      </c>
      <c r="S824" s="4" t="n">
        <v>1</v>
      </c>
      <c r="T824" s="4" t="n">
        <v>0</v>
      </c>
      <c r="U824" s="4" t="n">
        <v>0</v>
      </c>
      <c r="V824" s="4" t="n">
        <v>0</v>
      </c>
      <c r="W824" s="4" t="n">
        <v>0</v>
      </c>
      <c r="X824" s="4" t="n">
        <v>0</v>
      </c>
      <c r="Y824" s="4" t="n">
        <v>0</v>
      </c>
      <c r="Z824" s="4" t="n">
        <v>0</v>
      </c>
      <c r="AA824" s="4" t="n">
        <v>0</v>
      </c>
      <c r="AB824" s="4">
        <f>SUM(Q824:Y824)-Z824</f>
        <v/>
      </c>
      <c r="AC824" s="4">
        <f>IF(I824="","",IF(OR(LEFT(I824,3)="BKK",I824="LCH55"),"BKK",IF(LEFT(I824,3)="LCH","LCH","OTHER")))</f>
        <v/>
      </c>
      <c r="AD824" s="4">
        <f>MAX(0,Q824-MAX(0,Z824))</f>
        <v/>
      </c>
      <c r="AE824" s="4">
        <f>MAX(0,R824-MAX(0,Z824-SUM(Q824:Q824)))</f>
        <v/>
      </c>
      <c r="AF824" s="4">
        <f>MAX(0,S824-MAX(0,Z824-SUM(Q824:R824)))</f>
        <v/>
      </c>
      <c r="AG824" s="4">
        <f>MAX(0,T824-MAX(0,Z824-SUM(Q824:S824)))</f>
        <v/>
      </c>
      <c r="AH824" s="4">
        <f>MAX(0,U824-MAX(0,Z824-SUM(Q824:T824)))</f>
        <v/>
      </c>
      <c r="AI824" s="4">
        <f>MAX(0,V824-MAX(0,Z824-SUM(Q824:U824)))</f>
        <v/>
      </c>
      <c r="AJ824" s="4">
        <f>MAX(0,W824-MAX(0,Z824-SUM(Q824:V824)))</f>
        <v/>
      </c>
      <c r="AK824" s="4">
        <f>MAX(0,X824-MAX(0,Z824-SUM(Q824:W824)))</f>
        <v/>
      </c>
      <c r="AL824" s="4">
        <f>MAX(0,Y824-MAX(0,Z824-SUM(Q824:X824)))</f>
        <v/>
      </c>
    </row>
    <row r="825">
      <c r="A825" s="4" t="inlineStr">
        <is>
          <t>HASLS22260902358</t>
        </is>
      </c>
      <c r="B825" s="4" t="inlineStr">
        <is>
          <t>SWRG</t>
        </is>
      </c>
      <c r="C825" s="4" t="inlineStr">
        <is>
          <t>2609N</t>
        </is>
      </c>
      <c r="D825" s="4" t="inlineStr">
        <is>
          <t>202610131130</t>
        </is>
      </c>
      <c r="E825" s="4" t="inlineStr"/>
      <c r="F825" s="4" t="inlineStr">
        <is>
          <t>THLCH</t>
        </is>
      </c>
      <c r="G825" s="4" t="inlineStr">
        <is>
          <t>CNSHA</t>
        </is>
      </c>
      <c r="H825" s="4" t="inlineStr">
        <is>
          <t xml:space="preserve">40Hx8 </t>
        </is>
      </c>
      <c r="I825" s="4" t="inlineStr">
        <is>
          <t>LCHY5</t>
        </is>
      </c>
      <c r="J825" s="4" t="inlineStr">
        <is>
          <t>PW DEPOT CO., LTD.</t>
        </is>
      </c>
      <c r="K825" s="4" t="inlineStr">
        <is>
          <t>20261002</t>
        </is>
      </c>
      <c r="L825" s="4" t="inlineStr">
        <is>
          <t>WHA GC LOGISTICS COMPANY LIMITED</t>
        </is>
      </c>
      <c r="M825" s="4" t="inlineStr">
        <is>
          <t>PTT GLOBAL CHEMICAL PUBLIC COMPANY LIMITED</t>
        </is>
      </c>
      <c r="N825" s="4" t="inlineStr">
        <is>
          <t>RESIN</t>
        </is>
      </c>
      <c r="O825" s="4" t="inlineStr">
        <is>
          <t>GOOD AND CLEAN CONTAINER</t>
        </is>
      </c>
      <c r="P825" s="4" t="inlineStr">
        <is>
          <t xml:space="preserve">CY-RTN : 02-05/10/2026
 </t>
        </is>
      </c>
      <c r="Q825" s="4" t="n">
        <v>0</v>
      </c>
      <c r="R825" s="4" t="n">
        <v>0</v>
      </c>
      <c r="S825" s="4" t="n">
        <v>8</v>
      </c>
      <c r="T825" s="4" t="n">
        <v>0</v>
      </c>
      <c r="U825" s="4" t="n">
        <v>0</v>
      </c>
      <c r="V825" s="4" t="n">
        <v>0</v>
      </c>
      <c r="W825" s="4" t="n">
        <v>0</v>
      </c>
      <c r="X825" s="4" t="n">
        <v>0</v>
      </c>
      <c r="Y825" s="4" t="n">
        <v>0</v>
      </c>
      <c r="Z825" s="4" t="n">
        <v>0</v>
      </c>
      <c r="AA825" s="4" t="n">
        <v>0</v>
      </c>
      <c r="AB825" s="4">
        <f>SUM(Q825:Y825)-Z825</f>
        <v/>
      </c>
      <c r="AC825" s="4">
        <f>IF(I825="","",IF(OR(LEFT(I825,3)="BKK",I825="LCH55"),"BKK",IF(LEFT(I825,3)="LCH","LCH","OTHER")))</f>
        <v/>
      </c>
      <c r="AD825" s="4">
        <f>MAX(0,Q825-MAX(0,Z825))</f>
        <v/>
      </c>
      <c r="AE825" s="4">
        <f>MAX(0,R825-MAX(0,Z825-SUM(Q825:Q825)))</f>
        <v/>
      </c>
      <c r="AF825" s="4">
        <f>MAX(0,S825-MAX(0,Z825-SUM(Q825:R825)))</f>
        <v/>
      </c>
      <c r="AG825" s="4">
        <f>MAX(0,T825-MAX(0,Z825-SUM(Q825:S825)))</f>
        <v/>
      </c>
      <c r="AH825" s="4">
        <f>MAX(0,U825-MAX(0,Z825-SUM(Q825:T825)))</f>
        <v/>
      </c>
      <c r="AI825" s="4">
        <f>MAX(0,V825-MAX(0,Z825-SUM(Q825:U825)))</f>
        <v/>
      </c>
      <c r="AJ825" s="4">
        <f>MAX(0,W825-MAX(0,Z825-SUM(Q825:V825)))</f>
        <v/>
      </c>
      <c r="AK825" s="4">
        <f>MAX(0,X825-MAX(0,Z825-SUM(Q825:W825)))</f>
        <v/>
      </c>
      <c r="AL825" s="4">
        <f>MAX(0,Y825-MAX(0,Z825-SUM(Q825:X825)))</f>
        <v/>
      </c>
    </row>
    <row r="826">
      <c r="A826" s="4" t="inlineStr">
        <is>
          <t>HASLS22260902359</t>
        </is>
      </c>
      <c r="B826" s="4" t="inlineStr">
        <is>
          <t>SWMM</t>
        </is>
      </c>
      <c r="C826" s="4" t="inlineStr">
        <is>
          <t>2610N</t>
        </is>
      </c>
      <c r="D826" s="4" t="inlineStr">
        <is>
          <t>202610212100</t>
        </is>
      </c>
      <c r="E826" s="4" t="inlineStr"/>
      <c r="F826" s="4" t="inlineStr">
        <is>
          <t>THLCH</t>
        </is>
      </c>
      <c r="G826" s="4" t="inlineStr">
        <is>
          <t>VNSGN</t>
        </is>
      </c>
      <c r="H826" s="4" t="inlineStr">
        <is>
          <t xml:space="preserve">40Hx1 </t>
        </is>
      </c>
      <c r="I826" s="4" t="inlineStr">
        <is>
          <t>LCHY5</t>
        </is>
      </c>
      <c r="J826" s="4" t="inlineStr">
        <is>
          <t>PW DEPOT CO., LTD.</t>
        </is>
      </c>
      <c r="K826" s="4" t="inlineStr">
        <is>
          <t>20261015</t>
        </is>
      </c>
      <c r="L826" s="4" t="inlineStr">
        <is>
          <t>YUSEN LOGISTICS (THAILAND) CO., LTD.</t>
        </is>
      </c>
      <c r="M826" s="4" t="inlineStr">
        <is>
          <t>SENNICS (THAILAND) CO., LTD.</t>
        </is>
      </c>
      <c r="N826" s="4" t="inlineStr">
        <is>
          <t>SIRANTOX 6PPD(4020)</t>
        </is>
      </c>
      <c r="O826" s="4" t="inlineStr">
        <is>
          <t>GOOD DRY AND CLEAN CONTAINER</t>
        </is>
      </c>
      <c r="P826" s="4" t="inlineStr">
        <is>
          <t xml:space="preserve">Pickup : 2026-10-15, Return : 2026-10-16
** PLEASE CHECK OPEN GATE BEFORE RETURN CONTAINER ** </t>
        </is>
      </c>
      <c r="Q826" s="4" t="n">
        <v>0</v>
      </c>
      <c r="R826" s="4" t="n">
        <v>0</v>
      </c>
      <c r="S826" s="4" t="n">
        <v>1</v>
      </c>
      <c r="T826" s="4" t="n">
        <v>0</v>
      </c>
      <c r="U826" s="4" t="n">
        <v>0</v>
      </c>
      <c r="V826" s="4" t="n">
        <v>0</v>
      </c>
      <c r="W826" s="4" t="n">
        <v>0</v>
      </c>
      <c r="X826" s="4" t="n">
        <v>0</v>
      </c>
      <c r="Y826" s="4" t="n">
        <v>0</v>
      </c>
      <c r="Z826" s="4" t="n">
        <v>0</v>
      </c>
      <c r="AA826" s="4" t="n">
        <v>0</v>
      </c>
      <c r="AB826" s="4">
        <f>SUM(Q826:Y826)-Z826</f>
        <v/>
      </c>
      <c r="AC826" s="4">
        <f>IF(I826="","",IF(OR(LEFT(I826,3)="BKK",I826="LCH55"),"BKK",IF(LEFT(I826,3)="LCH","LCH","OTHER")))</f>
        <v/>
      </c>
      <c r="AD826" s="4">
        <f>MAX(0,Q826-MAX(0,Z826))</f>
        <v/>
      </c>
      <c r="AE826" s="4">
        <f>MAX(0,R826-MAX(0,Z826-SUM(Q826:Q826)))</f>
        <v/>
      </c>
      <c r="AF826" s="4">
        <f>MAX(0,S826-MAX(0,Z826-SUM(Q826:R826)))</f>
        <v/>
      </c>
      <c r="AG826" s="4">
        <f>MAX(0,T826-MAX(0,Z826-SUM(Q826:S826)))</f>
        <v/>
      </c>
      <c r="AH826" s="4">
        <f>MAX(0,U826-MAX(0,Z826-SUM(Q826:T826)))</f>
        <v/>
      </c>
      <c r="AI826" s="4">
        <f>MAX(0,V826-MAX(0,Z826-SUM(Q826:U826)))</f>
        <v/>
      </c>
      <c r="AJ826" s="4">
        <f>MAX(0,W826-MAX(0,Z826-SUM(Q826:V826)))</f>
        <v/>
      </c>
      <c r="AK826" s="4">
        <f>MAX(0,X826-MAX(0,Z826-SUM(Q826:W826)))</f>
        <v/>
      </c>
      <c r="AL826" s="4">
        <f>MAX(0,Y826-MAX(0,Z826-SUM(Q826:X826)))</f>
        <v/>
      </c>
    </row>
    <row r="827">
      <c r="A827" s="4" t="inlineStr">
        <is>
          <t>HASLS22260902361</t>
        </is>
      </c>
      <c r="B827" s="4" t="inlineStr">
        <is>
          <t>SWRG</t>
        </is>
      </c>
      <c r="C827" s="4" t="inlineStr">
        <is>
          <t>2609N</t>
        </is>
      </c>
      <c r="D827" s="4" t="inlineStr">
        <is>
          <t>202610131130</t>
        </is>
      </c>
      <c r="E827" s="4" t="inlineStr"/>
      <c r="F827" s="4" t="inlineStr">
        <is>
          <t>THLCH</t>
        </is>
      </c>
      <c r="G827" s="4" t="inlineStr">
        <is>
          <t>CNSHA</t>
        </is>
      </c>
      <c r="H827" s="4" t="inlineStr">
        <is>
          <t xml:space="preserve">40Hx1 </t>
        </is>
      </c>
      <c r="I827" s="4" t="inlineStr">
        <is>
          <t>LCHY5</t>
        </is>
      </c>
      <c r="J827" s="4" t="inlineStr">
        <is>
          <t>PW DEPOT CO., LTD.</t>
        </is>
      </c>
      <c r="K827" s="4" t="inlineStr">
        <is>
          <t>20261006</t>
        </is>
      </c>
      <c r="L827" s="4" t="inlineStr">
        <is>
          <t>AGC VINYTHAI PUBLIC COMPANY LIMITED</t>
        </is>
      </c>
      <c r="M827" s="4" t="inlineStr">
        <is>
          <t>AGC VINYTHAI PUBLIC COMPANY LIMITED</t>
        </is>
      </c>
      <c r="N827" s="4" t="inlineStr">
        <is>
          <t>PVC RESIN</t>
        </is>
      </c>
      <c r="O827" s="4" t="inlineStr">
        <is>
          <t>new cntr, grade A</t>
        </is>
      </c>
      <c r="P827" s="4" t="inlineStr">
        <is>
          <t>Pickup : 2026-10-06, Return : 2026-10-07</t>
        </is>
      </c>
      <c r="Q827" s="4" t="n">
        <v>0</v>
      </c>
      <c r="R827" s="4" t="n">
        <v>0</v>
      </c>
      <c r="S827" s="4" t="n">
        <v>1</v>
      </c>
      <c r="T827" s="4" t="n">
        <v>0</v>
      </c>
      <c r="U827" s="4" t="n">
        <v>0</v>
      </c>
      <c r="V827" s="4" t="n">
        <v>0</v>
      </c>
      <c r="W827" s="4" t="n">
        <v>0</v>
      </c>
      <c r="X827" s="4" t="n">
        <v>0</v>
      </c>
      <c r="Y827" s="4" t="n">
        <v>0</v>
      </c>
      <c r="Z827" s="4" t="n">
        <v>0</v>
      </c>
      <c r="AA827" s="4" t="n">
        <v>0</v>
      </c>
      <c r="AB827" s="4">
        <f>SUM(Q827:Y827)-Z827</f>
        <v/>
      </c>
      <c r="AC827" s="4">
        <f>IF(I827="","",IF(OR(LEFT(I827,3)="BKK",I827="LCH55"),"BKK",IF(LEFT(I827,3)="LCH","LCH","OTHER")))</f>
        <v/>
      </c>
      <c r="AD827" s="4">
        <f>MAX(0,Q827-MAX(0,Z827))</f>
        <v/>
      </c>
      <c r="AE827" s="4">
        <f>MAX(0,R827-MAX(0,Z827-SUM(Q827:Q827)))</f>
        <v/>
      </c>
      <c r="AF827" s="4">
        <f>MAX(0,S827-MAX(0,Z827-SUM(Q827:R827)))</f>
        <v/>
      </c>
      <c r="AG827" s="4">
        <f>MAX(0,T827-MAX(0,Z827-SUM(Q827:S827)))</f>
        <v/>
      </c>
      <c r="AH827" s="4">
        <f>MAX(0,U827-MAX(0,Z827-SUM(Q827:T827)))</f>
        <v/>
      </c>
      <c r="AI827" s="4">
        <f>MAX(0,V827-MAX(0,Z827-SUM(Q827:U827)))</f>
        <v/>
      </c>
      <c r="AJ827" s="4">
        <f>MAX(0,W827-MAX(0,Z827-SUM(Q827:V827)))</f>
        <v/>
      </c>
      <c r="AK827" s="4">
        <f>MAX(0,X827-MAX(0,Z827-SUM(Q827:W827)))</f>
        <v/>
      </c>
      <c r="AL827" s="4">
        <f>MAX(0,Y827-MAX(0,Z827-SUM(Q827:X827)))</f>
        <v/>
      </c>
    </row>
    <row r="828">
      <c r="A828" s="4" t="inlineStr">
        <is>
          <t>HASLS22260902362</t>
        </is>
      </c>
      <c r="B828" s="4" t="inlineStr">
        <is>
          <t>HMVY</t>
        </is>
      </c>
      <c r="C828" s="4" t="inlineStr">
        <is>
          <t>2609N</t>
        </is>
      </c>
      <c r="D828" s="4" t="inlineStr">
        <is>
          <t>202610200330</t>
        </is>
      </c>
      <c r="E828" s="4" t="inlineStr"/>
      <c r="F828" s="4" t="inlineStr">
        <is>
          <t>THLCH</t>
        </is>
      </c>
      <c r="G828" s="4" t="inlineStr">
        <is>
          <t>CNSHA</t>
        </is>
      </c>
      <c r="H828" s="4" t="inlineStr">
        <is>
          <t xml:space="preserve">40Hx1 </t>
        </is>
      </c>
      <c r="I828" s="4" t="inlineStr">
        <is>
          <t>LCHY5</t>
        </is>
      </c>
      <c r="J828" s="4" t="inlineStr">
        <is>
          <t>PW DEPOT CO., LTD.</t>
        </is>
      </c>
      <c r="K828" s="4" t="inlineStr">
        <is>
          <t>20261014</t>
        </is>
      </c>
      <c r="L828" s="4" t="inlineStr">
        <is>
          <t>AGC VINYTHAI PUBLIC COMPANY LIMITED</t>
        </is>
      </c>
      <c r="M828" s="4" t="inlineStr">
        <is>
          <t>AGC VINYTHAI PUBLIC COMPANY LIMITED</t>
        </is>
      </c>
      <c r="N828" s="4" t="inlineStr">
        <is>
          <t>PVC RESIN</t>
        </is>
      </c>
      <c r="O828" s="4" t="inlineStr">
        <is>
          <t>NEW CNTR, GRADE A</t>
        </is>
      </c>
      <c r="P828" s="4" t="inlineStr">
        <is>
          <t>Pickup : 2026-10-14, Return : 2026-10-15</t>
        </is>
      </c>
      <c r="Q828" s="4" t="n">
        <v>0</v>
      </c>
      <c r="R828" s="4" t="n">
        <v>0</v>
      </c>
      <c r="S828" s="4" t="n">
        <v>1</v>
      </c>
      <c r="T828" s="4" t="n">
        <v>0</v>
      </c>
      <c r="U828" s="4" t="n">
        <v>0</v>
      </c>
      <c r="V828" s="4" t="n">
        <v>0</v>
      </c>
      <c r="W828" s="4" t="n">
        <v>0</v>
      </c>
      <c r="X828" s="4" t="n">
        <v>0</v>
      </c>
      <c r="Y828" s="4" t="n">
        <v>0</v>
      </c>
      <c r="Z828" s="4" t="n">
        <v>0</v>
      </c>
      <c r="AA828" s="4" t="n">
        <v>0</v>
      </c>
      <c r="AB828" s="4">
        <f>SUM(Q828:Y828)-Z828</f>
        <v/>
      </c>
      <c r="AC828" s="4">
        <f>IF(I828="","",IF(OR(LEFT(I828,3)="BKK",I828="LCH55"),"BKK",IF(LEFT(I828,3)="LCH","LCH","OTHER")))</f>
        <v/>
      </c>
      <c r="AD828" s="4">
        <f>MAX(0,Q828-MAX(0,Z828))</f>
        <v/>
      </c>
      <c r="AE828" s="4">
        <f>MAX(0,R828-MAX(0,Z828-SUM(Q828:Q828)))</f>
        <v/>
      </c>
      <c r="AF828" s="4">
        <f>MAX(0,S828-MAX(0,Z828-SUM(Q828:R828)))</f>
        <v/>
      </c>
      <c r="AG828" s="4">
        <f>MAX(0,T828-MAX(0,Z828-SUM(Q828:S828)))</f>
        <v/>
      </c>
      <c r="AH828" s="4">
        <f>MAX(0,U828-MAX(0,Z828-SUM(Q828:T828)))</f>
        <v/>
      </c>
      <c r="AI828" s="4">
        <f>MAX(0,V828-MAX(0,Z828-SUM(Q828:U828)))</f>
        <v/>
      </c>
      <c r="AJ828" s="4">
        <f>MAX(0,W828-MAX(0,Z828-SUM(Q828:V828)))</f>
        <v/>
      </c>
      <c r="AK828" s="4">
        <f>MAX(0,X828-MAX(0,Z828-SUM(Q828:W828)))</f>
        <v/>
      </c>
      <c r="AL828" s="4">
        <f>MAX(0,Y828-MAX(0,Z828-SUM(Q828:X828)))</f>
        <v/>
      </c>
    </row>
    <row r="829">
      <c r="A829" s="4" t="inlineStr">
        <is>
          <t>HASLS22260902366</t>
        </is>
      </c>
      <c r="B829" s="4" t="inlineStr">
        <is>
          <t>KMGY</t>
        </is>
      </c>
      <c r="C829" s="4" t="inlineStr">
        <is>
          <t>2611N</t>
        </is>
      </c>
      <c r="D829" s="4" t="inlineStr">
        <is>
          <t>202610210400</t>
        </is>
      </c>
      <c r="E829" s="4" t="inlineStr"/>
      <c r="F829" s="4" t="inlineStr">
        <is>
          <t>THLCH</t>
        </is>
      </c>
      <c r="G829" s="4" t="inlineStr">
        <is>
          <t>HKHKG</t>
        </is>
      </c>
      <c r="H829" s="4" t="inlineStr">
        <is>
          <t xml:space="preserve">20'x7 </t>
        </is>
      </c>
      <c r="I829" s="4" t="inlineStr">
        <is>
          <t>LCHY5</t>
        </is>
      </c>
      <c r="J829" s="4" t="inlineStr">
        <is>
          <t>PW DEPOT CO., LTD.</t>
        </is>
      </c>
      <c r="K829" s="4" t="inlineStr">
        <is>
          <t>20261012</t>
        </is>
      </c>
      <c r="L829" s="4" t="inlineStr">
        <is>
          <t>WHA GC LOGISTICS COMPANY LIMITED</t>
        </is>
      </c>
      <c r="M829" s="4" t="inlineStr">
        <is>
          <t>PTT GLOBAL CHEMICAL PUBLIC COMPANY LIMITED</t>
        </is>
      </c>
      <c r="N829" s="4" t="inlineStr">
        <is>
          <t>RESIN</t>
        </is>
      </c>
      <c r="O829" s="4" t="inlineStr">
        <is>
          <t>GOOD AND CLEAN CTNR</t>
        </is>
      </c>
      <c r="P829" s="4" t="inlineStr">
        <is>
          <t>CY-RTN 12-14/10/26 
*PLS CHECK OPEN GATE BEFORE RETURN CTNR*</t>
        </is>
      </c>
      <c r="Q829" s="4" t="n">
        <v>7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>
        <f>SUM(Q829:Y829)-Z829</f>
        <v/>
      </c>
      <c r="AC829" s="4">
        <f>IF(I829="","",IF(OR(LEFT(I829,3)="BKK",I829="LCH55"),"BKK",IF(LEFT(I829,3)="LCH","LCH","OTHER")))</f>
        <v/>
      </c>
      <c r="AD829" s="4">
        <f>MAX(0,Q829-MAX(0,Z829))</f>
        <v/>
      </c>
      <c r="AE829" s="4">
        <f>MAX(0,R829-MAX(0,Z829-SUM(Q829:Q829)))</f>
        <v/>
      </c>
      <c r="AF829" s="4">
        <f>MAX(0,S829-MAX(0,Z829-SUM(Q829:R829)))</f>
        <v/>
      </c>
      <c r="AG829" s="4">
        <f>MAX(0,T829-MAX(0,Z829-SUM(Q829:S829)))</f>
        <v/>
      </c>
      <c r="AH829" s="4">
        <f>MAX(0,U829-MAX(0,Z829-SUM(Q829:T829)))</f>
        <v/>
      </c>
      <c r="AI829" s="4">
        <f>MAX(0,V829-MAX(0,Z829-SUM(Q829:U829)))</f>
        <v/>
      </c>
      <c r="AJ829" s="4">
        <f>MAX(0,W829-MAX(0,Z829-SUM(Q829:V829)))</f>
        <v/>
      </c>
      <c r="AK829" s="4">
        <f>MAX(0,X829-MAX(0,Z829-SUM(Q829:W829)))</f>
        <v/>
      </c>
      <c r="AL829" s="4">
        <f>MAX(0,Y829-MAX(0,Z829-SUM(Q829:X829)))</f>
        <v/>
      </c>
    </row>
    <row r="830">
      <c r="A830" s="4" t="inlineStr">
        <is>
          <t>HASLS22260902370</t>
        </is>
      </c>
      <c r="B830" s="4" t="inlineStr">
        <is>
          <t>SWSR</t>
        </is>
      </c>
      <c r="C830" s="4" t="inlineStr">
        <is>
          <t>2611N</t>
        </is>
      </c>
      <c r="D830" s="4" t="inlineStr">
        <is>
          <t>202610112000</t>
        </is>
      </c>
      <c r="E830" s="4" t="inlineStr"/>
      <c r="F830" s="4" t="inlineStr">
        <is>
          <t>THLCH</t>
        </is>
      </c>
      <c r="G830" s="4" t="inlineStr">
        <is>
          <t>HKHKG</t>
        </is>
      </c>
      <c r="H830" s="4" t="inlineStr">
        <is>
          <t xml:space="preserve">20'x2 </t>
        </is>
      </c>
      <c r="I830" s="4" t="inlineStr">
        <is>
          <t>LCHY5</t>
        </is>
      </c>
      <c r="J830" s="4" t="inlineStr">
        <is>
          <t>PW DEPOT CO., LTD.</t>
        </is>
      </c>
      <c r="K830" s="4" t="inlineStr">
        <is>
          <t>20261003</t>
        </is>
      </c>
      <c r="L830" s="4" t="inlineStr">
        <is>
          <t>DOUBLE A (1991) PUBLIC COMPANY LIMITED</t>
        </is>
      </c>
      <c r="M830" s="4" t="inlineStr">
        <is>
          <t>DOUBLE A (1991) PUBLIC COMPANY LIMITED</t>
        </is>
      </c>
      <c r="N830" s="4" t="inlineStr">
        <is>
          <t>PAPER</t>
        </is>
      </c>
      <c r="O830" s="4" t="inlineStr">
        <is>
          <t>GOOD AND CLEAN CONTAINER</t>
        </is>
      </c>
      <c r="P830" s="4" t="inlineStr">
        <is>
          <t>CY-RTN : 03-06/10/2026
REF : PI-HK-TH-DA-26100003
FRT $35, FREE TIME 14/14, DTHC(HKD)2000</t>
        </is>
      </c>
      <c r="Q830" s="4" t="n">
        <v>2</v>
      </c>
      <c r="R830" s="4" t="n">
        <v>0</v>
      </c>
      <c r="S830" s="4" t="n">
        <v>0</v>
      </c>
      <c r="T830" s="4" t="n">
        <v>0</v>
      </c>
      <c r="U830" s="4" t="n">
        <v>0</v>
      </c>
      <c r="V830" s="4" t="n">
        <v>0</v>
      </c>
      <c r="W830" s="4" t="n">
        <v>0</v>
      </c>
      <c r="X830" s="4" t="n">
        <v>0</v>
      </c>
      <c r="Y830" s="4" t="n">
        <v>0</v>
      </c>
      <c r="Z830" s="4" t="n">
        <v>0</v>
      </c>
      <c r="AA830" s="4" t="n">
        <v>0</v>
      </c>
      <c r="AB830" s="4">
        <f>SUM(Q830:Y830)-Z830</f>
        <v/>
      </c>
      <c r="AC830" s="4">
        <f>IF(I830="","",IF(OR(LEFT(I830,3)="BKK",I830="LCH55"),"BKK",IF(LEFT(I830,3)="LCH","LCH","OTHER")))</f>
        <v/>
      </c>
      <c r="AD830" s="4">
        <f>MAX(0,Q830-MAX(0,Z830))</f>
        <v/>
      </c>
      <c r="AE830" s="4">
        <f>MAX(0,R830-MAX(0,Z830-SUM(Q830:Q830)))</f>
        <v/>
      </c>
      <c r="AF830" s="4">
        <f>MAX(0,S830-MAX(0,Z830-SUM(Q830:R830)))</f>
        <v/>
      </c>
      <c r="AG830" s="4">
        <f>MAX(0,T830-MAX(0,Z830-SUM(Q830:S830)))</f>
        <v/>
      </c>
      <c r="AH830" s="4">
        <f>MAX(0,U830-MAX(0,Z830-SUM(Q830:T830)))</f>
        <v/>
      </c>
      <c r="AI830" s="4">
        <f>MAX(0,V830-MAX(0,Z830-SUM(Q830:U830)))</f>
        <v/>
      </c>
      <c r="AJ830" s="4">
        <f>MAX(0,W830-MAX(0,Z830-SUM(Q830:V830)))</f>
        <v/>
      </c>
      <c r="AK830" s="4">
        <f>MAX(0,X830-MAX(0,Z830-SUM(Q830:W830)))</f>
        <v/>
      </c>
      <c r="AL830" s="4">
        <f>MAX(0,Y830-MAX(0,Z830-SUM(Q830:X830)))</f>
        <v/>
      </c>
    </row>
    <row r="831">
      <c r="A831" s="4" t="inlineStr">
        <is>
          <t>HASLS22260902371</t>
        </is>
      </c>
      <c r="B831" s="4" t="inlineStr">
        <is>
          <t>KMTP</t>
        </is>
      </c>
      <c r="C831" s="4" t="inlineStr">
        <is>
          <t>2612N</t>
        </is>
      </c>
      <c r="D831" s="4" t="inlineStr">
        <is>
          <t>202610122200</t>
        </is>
      </c>
      <c r="E831" s="4" t="inlineStr"/>
      <c r="F831" s="4" t="inlineStr">
        <is>
          <t>THLCH</t>
        </is>
      </c>
      <c r="G831" s="4" t="inlineStr">
        <is>
          <t>HKHKG</t>
        </is>
      </c>
      <c r="H831" s="4" t="inlineStr">
        <is>
          <t xml:space="preserve">20'x1 </t>
        </is>
      </c>
      <c r="I831" s="4" t="inlineStr">
        <is>
          <t>LCHY5</t>
        </is>
      </c>
      <c r="J831" s="4" t="inlineStr">
        <is>
          <t>PW DEPOT CO., LTD.</t>
        </is>
      </c>
      <c r="K831" s="4" t="inlineStr">
        <is>
          <t>20261006</t>
        </is>
      </c>
      <c r="L831" s="4" t="inlineStr">
        <is>
          <t>DOUBLE A (1991) PUBLIC COMPANY LIMITED</t>
        </is>
      </c>
      <c r="M831" s="4" t="inlineStr">
        <is>
          <t>DOUBLE A (1991) PUBLIC COMPANY LIMITED</t>
        </is>
      </c>
      <c r="N831" s="4" t="inlineStr">
        <is>
          <t>PAPER</t>
        </is>
      </c>
      <c r="O831" s="4" t="inlineStr">
        <is>
          <t>GOOD AND CLEAN CONTAINER</t>
        </is>
      </c>
      <c r="P831" s="4" t="inlineStr">
        <is>
          <t>CY-RTN : 06-08/10/2026
REF : PI-HK-TH-DA-26100008
FRT $35, FREE TIME 14/14, DTHC(HKD)2000</t>
        </is>
      </c>
      <c r="Q831" s="4" t="n">
        <v>1</v>
      </c>
      <c r="R831" s="4" t="n">
        <v>0</v>
      </c>
      <c r="S831" s="4" t="n">
        <v>0</v>
      </c>
      <c r="T831" s="4" t="n">
        <v>0</v>
      </c>
      <c r="U831" s="4" t="n">
        <v>0</v>
      </c>
      <c r="V831" s="4" t="n">
        <v>0</v>
      </c>
      <c r="W831" s="4" t="n">
        <v>0</v>
      </c>
      <c r="X831" s="4" t="n">
        <v>0</v>
      </c>
      <c r="Y831" s="4" t="n">
        <v>0</v>
      </c>
      <c r="Z831" s="4" t="n">
        <v>0</v>
      </c>
      <c r="AA831" s="4" t="n">
        <v>0</v>
      </c>
      <c r="AB831" s="4">
        <f>SUM(Q831:Y831)-Z831</f>
        <v/>
      </c>
      <c r="AC831" s="4">
        <f>IF(I831="","",IF(OR(LEFT(I831,3)="BKK",I831="LCH55"),"BKK",IF(LEFT(I831,3)="LCH","LCH","OTHER")))</f>
        <v/>
      </c>
      <c r="AD831" s="4">
        <f>MAX(0,Q831-MAX(0,Z831))</f>
        <v/>
      </c>
      <c r="AE831" s="4">
        <f>MAX(0,R831-MAX(0,Z831-SUM(Q831:Q831)))</f>
        <v/>
      </c>
      <c r="AF831" s="4">
        <f>MAX(0,S831-MAX(0,Z831-SUM(Q831:R831)))</f>
        <v/>
      </c>
      <c r="AG831" s="4">
        <f>MAX(0,T831-MAX(0,Z831-SUM(Q831:S831)))</f>
        <v/>
      </c>
      <c r="AH831" s="4">
        <f>MAX(0,U831-MAX(0,Z831-SUM(Q831:T831)))</f>
        <v/>
      </c>
      <c r="AI831" s="4">
        <f>MAX(0,V831-MAX(0,Z831-SUM(Q831:U831)))</f>
        <v/>
      </c>
      <c r="AJ831" s="4">
        <f>MAX(0,W831-MAX(0,Z831-SUM(Q831:V831)))</f>
        <v/>
      </c>
      <c r="AK831" s="4">
        <f>MAX(0,X831-MAX(0,Z831-SUM(Q831:W831)))</f>
        <v/>
      </c>
      <c r="AL831" s="4">
        <f>MAX(0,Y831-MAX(0,Z831-SUM(Q831:X831)))</f>
        <v/>
      </c>
    </row>
    <row r="832">
      <c r="A832" s="4" t="inlineStr">
        <is>
          <t>HASLS22260902372</t>
        </is>
      </c>
      <c r="B832" s="4" t="inlineStr">
        <is>
          <t>KJT</t>
        </is>
      </c>
      <c r="C832" s="4" t="inlineStr">
        <is>
          <t>2611N</t>
        </is>
      </c>
      <c r="D832" s="4" t="inlineStr">
        <is>
          <t>202610151100</t>
        </is>
      </c>
      <c r="E832" s="4" t="inlineStr"/>
      <c r="F832" s="4" t="inlineStr">
        <is>
          <t>THLCH</t>
        </is>
      </c>
      <c r="G832" s="4" t="inlineStr">
        <is>
          <t>HKHKG</t>
        </is>
      </c>
      <c r="H832" s="4" t="inlineStr">
        <is>
          <t xml:space="preserve">20'x1 </t>
        </is>
      </c>
      <c r="I832" s="4" t="inlineStr">
        <is>
          <t>LCHY5</t>
        </is>
      </c>
      <c r="J832" s="4" t="inlineStr">
        <is>
          <t>PW DEPOT CO., LTD.</t>
        </is>
      </c>
      <c r="K832" s="4" t="inlineStr">
        <is>
          <t>20261009</t>
        </is>
      </c>
      <c r="L832" s="4" t="inlineStr">
        <is>
          <t>DOUBLE A (1991) PUBLIC COMPANY LIMITED</t>
        </is>
      </c>
      <c r="M832" s="4" t="inlineStr">
        <is>
          <t>DOUBLE A (1991) PUBLIC COMPANY LIMITED</t>
        </is>
      </c>
      <c r="N832" s="4" t="inlineStr">
        <is>
          <t>PAPER</t>
        </is>
      </c>
      <c r="O832" s="4" t="inlineStr">
        <is>
          <t>GOOD AND CLEAN CONTAINER</t>
        </is>
      </c>
      <c r="P832" s="4" t="inlineStr">
        <is>
          <t>CY-RTN : 09-11/10/2026
REF : PI-HK-TH-DA-26100001
FRT $35, FREE TIME 14/14, DTHC(HKD)2000</t>
        </is>
      </c>
      <c r="Q832" s="4" t="n">
        <v>1</v>
      </c>
      <c r="R832" s="4" t="n">
        <v>0</v>
      </c>
      <c r="S832" s="4" t="n">
        <v>0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>
        <f>SUM(Q832:Y832)-Z832</f>
        <v/>
      </c>
      <c r="AC832" s="4">
        <f>IF(I832="","",IF(OR(LEFT(I832,3)="BKK",I832="LCH55"),"BKK",IF(LEFT(I832,3)="LCH","LCH","OTHER")))</f>
        <v/>
      </c>
      <c r="AD832" s="4">
        <f>MAX(0,Q832-MAX(0,Z832))</f>
        <v/>
      </c>
      <c r="AE832" s="4">
        <f>MAX(0,R832-MAX(0,Z832-SUM(Q832:Q832)))</f>
        <v/>
      </c>
      <c r="AF832" s="4">
        <f>MAX(0,S832-MAX(0,Z832-SUM(Q832:R832)))</f>
        <v/>
      </c>
      <c r="AG832" s="4">
        <f>MAX(0,T832-MAX(0,Z832-SUM(Q832:S832)))</f>
        <v/>
      </c>
      <c r="AH832" s="4">
        <f>MAX(0,U832-MAX(0,Z832-SUM(Q832:T832)))</f>
        <v/>
      </c>
      <c r="AI832" s="4">
        <f>MAX(0,V832-MAX(0,Z832-SUM(Q832:U832)))</f>
        <v/>
      </c>
      <c r="AJ832" s="4">
        <f>MAX(0,W832-MAX(0,Z832-SUM(Q832:V832)))</f>
        <v/>
      </c>
      <c r="AK832" s="4">
        <f>MAX(0,X832-MAX(0,Z832-SUM(Q832:W832)))</f>
        <v/>
      </c>
      <c r="AL832" s="4">
        <f>MAX(0,Y832-MAX(0,Z832-SUM(Q832:X832)))</f>
        <v/>
      </c>
    </row>
    <row r="833">
      <c r="A833" s="4" t="inlineStr">
        <is>
          <t>HASLS22260902373</t>
        </is>
      </c>
      <c r="B833" s="4" t="inlineStr">
        <is>
          <t>KJT</t>
        </is>
      </c>
      <c r="C833" s="4" t="inlineStr">
        <is>
          <t>2611N</t>
        </is>
      </c>
      <c r="D833" s="4" t="inlineStr">
        <is>
          <t>202610151100</t>
        </is>
      </c>
      <c r="E833" s="4" t="inlineStr"/>
      <c r="F833" s="4" t="inlineStr">
        <is>
          <t>THLCH</t>
        </is>
      </c>
      <c r="G833" s="4" t="inlineStr">
        <is>
          <t>HKHKG</t>
        </is>
      </c>
      <c r="H833" s="4" t="inlineStr">
        <is>
          <t xml:space="preserve">20'x2 </t>
        </is>
      </c>
      <c r="I833" s="4" t="inlineStr">
        <is>
          <t>LCHY5</t>
        </is>
      </c>
      <c r="J833" s="4" t="inlineStr">
        <is>
          <t>PW DEPOT CO., LTD.</t>
        </is>
      </c>
      <c r="K833" s="4" t="inlineStr">
        <is>
          <t>20261009</t>
        </is>
      </c>
      <c r="L833" s="4" t="inlineStr">
        <is>
          <t>DOUBLE A (1991) PUBLIC COMPANY LIMITED</t>
        </is>
      </c>
      <c r="M833" s="4" t="inlineStr">
        <is>
          <t>DOUBLE A (1991) PUBLIC COMPANY LIMITED</t>
        </is>
      </c>
      <c r="N833" s="4" t="inlineStr">
        <is>
          <t>PAPER</t>
        </is>
      </c>
      <c r="O833" s="4" t="inlineStr">
        <is>
          <t>GOOD AND CLEAN CONTAINER</t>
        </is>
      </c>
      <c r="P833" s="4" t="inlineStr">
        <is>
          <t>CY-RTN : 09-11/10/2026
REF : PI-HK-TH-DA-26100005
FRT $35, FREE TIME 14/14, DTHC(HKD)2000</t>
        </is>
      </c>
      <c r="Q833" s="4" t="n">
        <v>2</v>
      </c>
      <c r="R833" s="4" t="n">
        <v>0</v>
      </c>
      <c r="S833" s="4" t="n">
        <v>0</v>
      </c>
      <c r="T833" s="4" t="n">
        <v>0</v>
      </c>
      <c r="U833" s="4" t="n">
        <v>0</v>
      </c>
      <c r="V833" s="4" t="n">
        <v>0</v>
      </c>
      <c r="W833" s="4" t="n">
        <v>0</v>
      </c>
      <c r="X833" s="4" t="n">
        <v>0</v>
      </c>
      <c r="Y833" s="4" t="n">
        <v>0</v>
      </c>
      <c r="Z833" s="4" t="n">
        <v>0</v>
      </c>
      <c r="AA833" s="4" t="n">
        <v>0</v>
      </c>
      <c r="AB833" s="4">
        <f>SUM(Q833:Y833)-Z833</f>
        <v/>
      </c>
      <c r="AC833" s="4">
        <f>IF(I833="","",IF(OR(LEFT(I833,3)="BKK",I833="LCH55"),"BKK",IF(LEFT(I833,3)="LCH","LCH","OTHER")))</f>
        <v/>
      </c>
      <c r="AD833" s="4">
        <f>MAX(0,Q833-MAX(0,Z833))</f>
        <v/>
      </c>
      <c r="AE833" s="4">
        <f>MAX(0,R833-MAX(0,Z833-SUM(Q833:Q833)))</f>
        <v/>
      </c>
      <c r="AF833" s="4">
        <f>MAX(0,S833-MAX(0,Z833-SUM(Q833:R833)))</f>
        <v/>
      </c>
      <c r="AG833" s="4">
        <f>MAX(0,T833-MAX(0,Z833-SUM(Q833:S833)))</f>
        <v/>
      </c>
      <c r="AH833" s="4">
        <f>MAX(0,U833-MAX(0,Z833-SUM(Q833:T833)))</f>
        <v/>
      </c>
      <c r="AI833" s="4">
        <f>MAX(0,V833-MAX(0,Z833-SUM(Q833:U833)))</f>
        <v/>
      </c>
      <c r="AJ833" s="4">
        <f>MAX(0,W833-MAX(0,Z833-SUM(Q833:V833)))</f>
        <v/>
      </c>
      <c r="AK833" s="4">
        <f>MAX(0,X833-MAX(0,Z833-SUM(Q833:W833)))</f>
        <v/>
      </c>
      <c r="AL833" s="4">
        <f>MAX(0,Y833-MAX(0,Z833-SUM(Q833:X833)))</f>
        <v/>
      </c>
    </row>
    <row r="834">
      <c r="A834" s="4" t="inlineStr">
        <is>
          <t>HASLS22260902374</t>
        </is>
      </c>
      <c r="B834" s="4" t="inlineStr">
        <is>
          <t>SKOR</t>
        </is>
      </c>
      <c r="C834" s="4" t="inlineStr">
        <is>
          <t>2612N</t>
        </is>
      </c>
      <c r="D834" s="4" t="inlineStr">
        <is>
          <t>202610190700</t>
        </is>
      </c>
      <c r="E834" s="4" t="inlineStr"/>
      <c r="F834" s="4" t="inlineStr">
        <is>
          <t>THLCH</t>
        </is>
      </c>
      <c r="G834" s="4" t="inlineStr">
        <is>
          <t>HKHKG</t>
        </is>
      </c>
      <c r="H834" s="4" t="inlineStr">
        <is>
          <t xml:space="preserve">20'x2 </t>
        </is>
      </c>
      <c r="I834" s="4" t="inlineStr">
        <is>
          <t>LCHY5</t>
        </is>
      </c>
      <c r="J834" s="4" t="inlineStr">
        <is>
          <t>PW DEPOT CO., LTD.</t>
        </is>
      </c>
      <c r="K834" s="4" t="inlineStr">
        <is>
          <t>20261010</t>
        </is>
      </c>
      <c r="L834" s="4" t="inlineStr">
        <is>
          <t>DOUBLE A (1991) PUBLIC COMPANY LIMITED</t>
        </is>
      </c>
      <c r="M834" s="4" t="inlineStr">
        <is>
          <t>DOUBLE A (1991) PUBLIC COMPANY LIMITED</t>
        </is>
      </c>
      <c r="N834" s="4" t="inlineStr">
        <is>
          <t>PAPER</t>
        </is>
      </c>
      <c r="O834" s="4" t="inlineStr">
        <is>
          <t>GOOD AND CLEAN CONTAINER</t>
        </is>
      </c>
      <c r="P834" s="4" t="inlineStr">
        <is>
          <t>CY-RTN : 10-13/10/2026
REF : PI-HK-TH-DA-26100006
FRT $35, FREE TIME 14/14, DTHC(HKD)2000</t>
        </is>
      </c>
      <c r="Q834" s="4" t="n">
        <v>2</v>
      </c>
      <c r="R834" s="4" t="n">
        <v>0</v>
      </c>
      <c r="S834" s="4" t="n">
        <v>0</v>
      </c>
      <c r="T834" s="4" t="n">
        <v>0</v>
      </c>
      <c r="U834" s="4" t="n">
        <v>0</v>
      </c>
      <c r="V834" s="4" t="n">
        <v>0</v>
      </c>
      <c r="W834" s="4" t="n">
        <v>0</v>
      </c>
      <c r="X834" s="4" t="n">
        <v>0</v>
      </c>
      <c r="Y834" s="4" t="n">
        <v>0</v>
      </c>
      <c r="Z834" s="4" t="n">
        <v>0</v>
      </c>
      <c r="AA834" s="4" t="n">
        <v>0</v>
      </c>
      <c r="AB834" s="4">
        <f>SUM(Q834:Y834)-Z834</f>
        <v/>
      </c>
      <c r="AC834" s="4">
        <f>IF(I834="","",IF(OR(LEFT(I834,3)="BKK",I834="LCH55"),"BKK",IF(LEFT(I834,3)="LCH","LCH","OTHER")))</f>
        <v/>
      </c>
      <c r="AD834" s="4">
        <f>MAX(0,Q834-MAX(0,Z834))</f>
        <v/>
      </c>
      <c r="AE834" s="4">
        <f>MAX(0,R834-MAX(0,Z834-SUM(Q834:Q834)))</f>
        <v/>
      </c>
      <c r="AF834" s="4">
        <f>MAX(0,S834-MAX(0,Z834-SUM(Q834:R834)))</f>
        <v/>
      </c>
      <c r="AG834" s="4">
        <f>MAX(0,T834-MAX(0,Z834-SUM(Q834:S834)))</f>
        <v/>
      </c>
      <c r="AH834" s="4">
        <f>MAX(0,U834-MAX(0,Z834-SUM(Q834:T834)))</f>
        <v/>
      </c>
      <c r="AI834" s="4">
        <f>MAX(0,V834-MAX(0,Z834-SUM(Q834:U834)))</f>
        <v/>
      </c>
      <c r="AJ834" s="4">
        <f>MAX(0,W834-MAX(0,Z834-SUM(Q834:V834)))</f>
        <v/>
      </c>
      <c r="AK834" s="4">
        <f>MAX(0,X834-MAX(0,Z834-SUM(Q834:W834)))</f>
        <v/>
      </c>
      <c r="AL834" s="4">
        <f>MAX(0,Y834-MAX(0,Z834-SUM(Q834:X834)))</f>
        <v/>
      </c>
    </row>
    <row r="835">
      <c r="A835" s="4" t="inlineStr">
        <is>
          <t>HASLS22260902375</t>
        </is>
      </c>
      <c r="B835" s="4" t="inlineStr">
        <is>
          <t>CMA</t>
        </is>
      </c>
      <c r="C835" s="4" t="inlineStr">
        <is>
          <t>2615N</t>
        </is>
      </c>
      <c r="D835" s="4" t="inlineStr">
        <is>
          <t>202610181600</t>
        </is>
      </c>
      <c r="E835" s="4" t="inlineStr"/>
      <c r="F835" s="4" t="inlineStr">
        <is>
          <t>THLCH</t>
        </is>
      </c>
      <c r="G835" s="4" t="inlineStr">
        <is>
          <t>HKHKG</t>
        </is>
      </c>
      <c r="H835" s="4" t="inlineStr">
        <is>
          <t xml:space="preserve">20'x1 </t>
        </is>
      </c>
      <c r="I835" s="4" t="inlineStr">
        <is>
          <t>LCHY5</t>
        </is>
      </c>
      <c r="J835" s="4" t="inlineStr">
        <is>
          <t>PW DEPOT CO., LTD.</t>
        </is>
      </c>
      <c r="K835" s="4" t="inlineStr">
        <is>
          <t>20261012</t>
        </is>
      </c>
      <c r="L835" s="4" t="inlineStr">
        <is>
          <t>DOUBLE A (1991) PUBLIC COMPANY LIMITED</t>
        </is>
      </c>
      <c r="M835" s="4" t="inlineStr">
        <is>
          <t>DOUBLE A (1991) PUBLIC COMPANY LIMITED</t>
        </is>
      </c>
      <c r="N835" s="4" t="inlineStr">
        <is>
          <t>PAPER</t>
        </is>
      </c>
      <c r="O835" s="4" t="inlineStr">
        <is>
          <t>GOOD AND CLEAN CONTAINER</t>
        </is>
      </c>
      <c r="P835" s="4" t="inlineStr">
        <is>
          <t>CY-RTN : 12-14/10/2026
REF : PI-HK-TH-DA-26100009
FRT $35, FREE TIME 14/14, DTHC(HKD)2000</t>
        </is>
      </c>
      <c r="Q835" s="4" t="n">
        <v>1</v>
      </c>
      <c r="R835" s="4" t="n">
        <v>0</v>
      </c>
      <c r="S835" s="4" t="n">
        <v>0</v>
      </c>
      <c r="T835" s="4" t="n">
        <v>0</v>
      </c>
      <c r="U835" s="4" t="n">
        <v>0</v>
      </c>
      <c r="V835" s="4" t="n">
        <v>0</v>
      </c>
      <c r="W835" s="4" t="n">
        <v>0</v>
      </c>
      <c r="X835" s="4" t="n">
        <v>0</v>
      </c>
      <c r="Y835" s="4" t="n">
        <v>0</v>
      </c>
      <c r="Z835" s="4" t="n">
        <v>0</v>
      </c>
      <c r="AA835" s="4" t="n">
        <v>0</v>
      </c>
      <c r="AB835" s="4">
        <f>SUM(Q835:Y835)-Z835</f>
        <v/>
      </c>
      <c r="AC835" s="4">
        <f>IF(I835="","",IF(OR(LEFT(I835,3)="BKK",I835="LCH55"),"BKK",IF(LEFT(I835,3)="LCH","LCH","OTHER")))</f>
        <v/>
      </c>
      <c r="AD835" s="4">
        <f>MAX(0,Q835-MAX(0,Z835))</f>
        <v/>
      </c>
      <c r="AE835" s="4">
        <f>MAX(0,R835-MAX(0,Z835-SUM(Q835:Q835)))</f>
        <v/>
      </c>
      <c r="AF835" s="4">
        <f>MAX(0,S835-MAX(0,Z835-SUM(Q835:R835)))</f>
        <v/>
      </c>
      <c r="AG835" s="4">
        <f>MAX(0,T835-MAX(0,Z835-SUM(Q835:S835)))</f>
        <v/>
      </c>
      <c r="AH835" s="4">
        <f>MAX(0,U835-MAX(0,Z835-SUM(Q835:T835)))</f>
        <v/>
      </c>
      <c r="AI835" s="4">
        <f>MAX(0,V835-MAX(0,Z835-SUM(Q835:U835)))</f>
        <v/>
      </c>
      <c r="AJ835" s="4">
        <f>MAX(0,W835-MAX(0,Z835-SUM(Q835:V835)))</f>
        <v/>
      </c>
      <c r="AK835" s="4">
        <f>MAX(0,X835-MAX(0,Z835-SUM(Q835:W835)))</f>
        <v/>
      </c>
      <c r="AL835" s="4">
        <f>MAX(0,Y835-MAX(0,Z835-SUM(Q835:X835)))</f>
        <v/>
      </c>
    </row>
    <row r="836">
      <c r="A836" s="4" t="inlineStr">
        <is>
          <t>HASLS22260902377</t>
        </is>
      </c>
      <c r="B836" s="4" t="inlineStr">
        <is>
          <t>SWRG</t>
        </is>
      </c>
      <c r="C836" s="4" t="inlineStr">
        <is>
          <t>2609N</t>
        </is>
      </c>
      <c r="D836" s="4" t="inlineStr">
        <is>
          <t>202610131130</t>
        </is>
      </c>
      <c r="E836" s="4" t="inlineStr"/>
      <c r="F836" s="4" t="inlineStr">
        <is>
          <t>THLCH</t>
        </is>
      </c>
      <c r="G836" s="4" t="inlineStr">
        <is>
          <t>CNSHA</t>
        </is>
      </c>
      <c r="H836" s="4" t="inlineStr">
        <is>
          <t xml:space="preserve">20'x1 </t>
        </is>
      </c>
      <c r="I836" s="4" t="inlineStr">
        <is>
          <t>LCHY5</t>
        </is>
      </c>
      <c r="J836" s="4" t="inlineStr">
        <is>
          <t>PW DEPOT CO., LTD.</t>
        </is>
      </c>
      <c r="K836" s="4" t="inlineStr">
        <is>
          <t>20261008</t>
        </is>
      </c>
      <c r="L836" s="4" t="inlineStr">
        <is>
          <t>RHENUS LOGISTICS CO., LTD.</t>
        </is>
      </c>
      <c r="M836" s="4" t="inlineStr">
        <is>
          <t>DYNAMIC TECHNOLOGY MANUFACTURING (THAILAND) CO.,LTD.</t>
        </is>
      </c>
      <c r="N836" s="4" t="inlineStr">
        <is>
          <t>PRINTED CIRCUIT BOARD</t>
        </is>
      </c>
      <c r="O836" s="4" t="inlineStr">
        <is>
          <t>Request dry, good and clean container condition (Container grade A)</t>
        </is>
      </c>
      <c r="P836" s="4" t="inlineStr">
        <is>
          <t>Pickup : 2026-10-08, Return : 2026-10-09</t>
        </is>
      </c>
      <c r="Q836" s="4" t="n">
        <v>1</v>
      </c>
      <c r="R836" s="4" t="n">
        <v>0</v>
      </c>
      <c r="S836" s="4" t="n">
        <v>0</v>
      </c>
      <c r="T836" s="4" t="n">
        <v>0</v>
      </c>
      <c r="U836" s="4" t="n">
        <v>0</v>
      </c>
      <c r="V836" s="4" t="n">
        <v>0</v>
      </c>
      <c r="W836" s="4" t="n">
        <v>0</v>
      </c>
      <c r="X836" s="4" t="n">
        <v>0</v>
      </c>
      <c r="Y836" s="4" t="n">
        <v>0</v>
      </c>
      <c r="Z836" s="4" t="n">
        <v>0</v>
      </c>
      <c r="AA836" s="4" t="n">
        <v>0</v>
      </c>
      <c r="AB836" s="4">
        <f>SUM(Q836:Y836)-Z836</f>
        <v/>
      </c>
      <c r="AC836" s="4">
        <f>IF(I836="","",IF(OR(LEFT(I836,3)="BKK",I836="LCH55"),"BKK",IF(LEFT(I836,3)="LCH","LCH","OTHER")))</f>
        <v/>
      </c>
      <c r="AD836" s="4">
        <f>MAX(0,Q836-MAX(0,Z836))</f>
        <v/>
      </c>
      <c r="AE836" s="4">
        <f>MAX(0,R836-MAX(0,Z836-SUM(Q836:Q836)))</f>
        <v/>
      </c>
      <c r="AF836" s="4">
        <f>MAX(0,S836-MAX(0,Z836-SUM(Q836:R836)))</f>
        <v/>
      </c>
      <c r="AG836" s="4">
        <f>MAX(0,T836-MAX(0,Z836-SUM(Q836:S836)))</f>
        <v/>
      </c>
      <c r="AH836" s="4">
        <f>MAX(0,U836-MAX(0,Z836-SUM(Q836:T836)))</f>
        <v/>
      </c>
      <c r="AI836" s="4">
        <f>MAX(0,V836-MAX(0,Z836-SUM(Q836:U836)))</f>
        <v/>
      </c>
      <c r="AJ836" s="4">
        <f>MAX(0,W836-MAX(0,Z836-SUM(Q836:V836)))</f>
        <v/>
      </c>
      <c r="AK836" s="4">
        <f>MAX(0,X836-MAX(0,Z836-SUM(Q836:W836)))</f>
        <v/>
      </c>
      <c r="AL836" s="4">
        <f>MAX(0,Y836-MAX(0,Z836-SUM(Q836:X836)))</f>
        <v/>
      </c>
    </row>
    <row r="837">
      <c r="A837" s="4" t="inlineStr">
        <is>
          <t>HASLS22260902380</t>
        </is>
      </c>
      <c r="B837" s="4" t="inlineStr">
        <is>
          <t>KMBK</t>
        </is>
      </c>
      <c r="C837" s="4" t="inlineStr">
        <is>
          <t>2611N</t>
        </is>
      </c>
      <c r="D837" s="4" t="inlineStr">
        <is>
          <t>202610040100</t>
        </is>
      </c>
      <c r="E837" s="4" t="inlineStr"/>
      <c r="F837" s="4" t="inlineStr">
        <is>
          <t>THLCH</t>
        </is>
      </c>
      <c r="G837" s="4" t="inlineStr">
        <is>
          <t>VNSGN</t>
        </is>
      </c>
      <c r="H837" s="4" t="inlineStr">
        <is>
          <t xml:space="preserve">20'x1 </t>
        </is>
      </c>
      <c r="I837" s="4" t="inlineStr">
        <is>
          <t>LCHY5</t>
        </is>
      </c>
      <c r="J837" s="4" t="inlineStr">
        <is>
          <t>PW DEPOT CO., LTD.</t>
        </is>
      </c>
      <c r="K837" s="4" t="inlineStr">
        <is>
          <t>20260929</t>
        </is>
      </c>
      <c r="L837" s="4" t="inlineStr">
        <is>
          <t>UNITED MARINE LOGISTIC CO., LTD.</t>
        </is>
      </c>
      <c r="M837" s="4" t="inlineStr">
        <is>
          <t>WELLGROW GLASS INDUSTRY CO., LTD.</t>
        </is>
      </c>
      <c r="N837" s="4" t="inlineStr">
        <is>
          <t xml:space="preserve">GLASS BOTTLE </t>
        </is>
      </c>
      <c r="O837" s="4" t="inlineStr">
        <is>
          <t>GOOD AND CLEAN CONTAINER</t>
        </is>
      </c>
      <c r="P837" s="4" t="inlineStr">
        <is>
          <t>Pickup : 2026-09-29, Return : 2026-09-30</t>
        </is>
      </c>
      <c r="Q837" s="4" t="n">
        <v>1</v>
      </c>
      <c r="R837" s="4" t="n">
        <v>0</v>
      </c>
      <c r="S837" s="4" t="n">
        <v>0</v>
      </c>
      <c r="T837" s="4" t="n">
        <v>0</v>
      </c>
      <c r="U837" s="4" t="n">
        <v>0</v>
      </c>
      <c r="V837" s="4" t="n">
        <v>0</v>
      </c>
      <c r="W837" s="4" t="n">
        <v>0</v>
      </c>
      <c r="X837" s="4" t="n">
        <v>0</v>
      </c>
      <c r="Y837" s="4" t="n">
        <v>0</v>
      </c>
      <c r="Z837" s="4" t="n">
        <v>0</v>
      </c>
      <c r="AA837" s="4" t="n">
        <v>0</v>
      </c>
      <c r="AB837" s="4">
        <f>SUM(Q837:Y837)-Z837</f>
        <v/>
      </c>
      <c r="AC837" s="4">
        <f>IF(I837="","",IF(OR(LEFT(I837,3)="BKK",I837="LCH55"),"BKK",IF(LEFT(I837,3)="LCH","LCH","OTHER")))</f>
        <v/>
      </c>
      <c r="AD837" s="4">
        <f>MAX(0,Q837-MAX(0,Z837))</f>
        <v/>
      </c>
      <c r="AE837" s="4">
        <f>MAX(0,R837-MAX(0,Z837-SUM(Q837:Q837)))</f>
        <v/>
      </c>
      <c r="AF837" s="4">
        <f>MAX(0,S837-MAX(0,Z837-SUM(Q837:R837)))</f>
        <v/>
      </c>
      <c r="AG837" s="4">
        <f>MAX(0,T837-MAX(0,Z837-SUM(Q837:S837)))</f>
        <v/>
      </c>
      <c r="AH837" s="4">
        <f>MAX(0,U837-MAX(0,Z837-SUM(Q837:T837)))</f>
        <v/>
      </c>
      <c r="AI837" s="4">
        <f>MAX(0,V837-MAX(0,Z837-SUM(Q837:U837)))</f>
        <v/>
      </c>
      <c r="AJ837" s="4">
        <f>MAX(0,W837-MAX(0,Z837-SUM(Q837:V837)))</f>
        <v/>
      </c>
      <c r="AK837" s="4">
        <f>MAX(0,X837-MAX(0,Z837-SUM(Q837:W837)))</f>
        <v/>
      </c>
      <c r="AL837" s="4">
        <f>MAX(0,Y837-MAX(0,Z837-SUM(Q837:X837)))</f>
        <v/>
      </c>
    </row>
    <row r="838">
      <c r="A838" s="4" t="inlineStr">
        <is>
          <t>HASLS22260902384</t>
        </is>
      </c>
      <c r="B838" s="4" t="inlineStr">
        <is>
          <t>SWSR</t>
        </is>
      </c>
      <c r="C838" s="4" t="inlineStr">
        <is>
          <t>2611N</t>
        </is>
      </c>
      <c r="D838" s="4" t="inlineStr">
        <is>
          <t>202610112000</t>
        </is>
      </c>
      <c r="E838" s="4" t="inlineStr"/>
      <c r="F838" s="4" t="inlineStr">
        <is>
          <t>THLCH</t>
        </is>
      </c>
      <c r="G838" s="4" t="inlineStr">
        <is>
          <t>CNXMN</t>
        </is>
      </c>
      <c r="H838" s="4" t="inlineStr">
        <is>
          <t xml:space="preserve">20'x1 </t>
        </is>
      </c>
      <c r="I838" s="4" t="inlineStr">
        <is>
          <t>LCHY5</t>
        </is>
      </c>
      <c r="J838" s="4" t="inlineStr">
        <is>
          <t>PW DEPOT CO., LTD.</t>
        </is>
      </c>
      <c r="K838" s="4" t="inlineStr">
        <is>
          <t>20261008</t>
        </is>
      </c>
      <c r="L838" s="4" t="inlineStr">
        <is>
          <t>SEABRA TRANS INTERNATIONAL CO., LTD.</t>
        </is>
      </c>
      <c r="M838" s="4" t="inlineStr">
        <is>
          <t>JFE FERRITE (THAILAND) CO., LTD.</t>
        </is>
      </c>
      <c r="N838" s="4" t="inlineStr">
        <is>
          <t>ELECTRONICS PART</t>
        </is>
      </c>
      <c r="O838" s="4" t="inlineStr">
        <is>
          <t>REQUEST CLEAN AND GOOD CONTAINER</t>
        </is>
      </c>
      <c r="P838" s="4" t="inlineStr">
        <is>
          <t>Pickup : 2026-10-08, Return : 2026-10-08 
* * PLEASE CHECK OPEN GATE BEFORE RETURN CONTAINER **</t>
        </is>
      </c>
      <c r="Q838" s="4" t="n">
        <v>1</v>
      </c>
      <c r="R838" s="4" t="n">
        <v>0</v>
      </c>
      <c r="S838" s="4" t="n">
        <v>0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>
        <f>SUM(Q838:Y838)-Z838</f>
        <v/>
      </c>
      <c r="AC838" s="4">
        <f>IF(I838="","",IF(OR(LEFT(I838,3)="BKK",I838="LCH55"),"BKK",IF(LEFT(I838,3)="LCH","LCH","OTHER")))</f>
        <v/>
      </c>
      <c r="AD838" s="4">
        <f>MAX(0,Q838-MAX(0,Z838))</f>
        <v/>
      </c>
      <c r="AE838" s="4">
        <f>MAX(0,R838-MAX(0,Z838-SUM(Q838:Q838)))</f>
        <v/>
      </c>
      <c r="AF838" s="4">
        <f>MAX(0,S838-MAX(0,Z838-SUM(Q838:R838)))</f>
        <v/>
      </c>
      <c r="AG838" s="4">
        <f>MAX(0,T838-MAX(0,Z838-SUM(Q838:S838)))</f>
        <v/>
      </c>
      <c r="AH838" s="4">
        <f>MAX(0,U838-MAX(0,Z838-SUM(Q838:T838)))</f>
        <v/>
      </c>
      <c r="AI838" s="4">
        <f>MAX(0,V838-MAX(0,Z838-SUM(Q838:U838)))</f>
        <v/>
      </c>
      <c r="AJ838" s="4">
        <f>MAX(0,W838-MAX(0,Z838-SUM(Q838:V838)))</f>
        <v/>
      </c>
      <c r="AK838" s="4">
        <f>MAX(0,X838-MAX(0,Z838-SUM(Q838:W838)))</f>
        <v/>
      </c>
      <c r="AL838" s="4">
        <f>MAX(0,Y838-MAX(0,Z838-SUM(Q838:X838)))</f>
        <v/>
      </c>
    </row>
    <row r="839">
      <c r="A839" s="4" t="inlineStr">
        <is>
          <t>HASLS22260902385</t>
        </is>
      </c>
      <c r="B839" s="4" t="inlineStr">
        <is>
          <t>PGPO</t>
        </is>
      </c>
      <c r="C839" s="4" t="inlineStr">
        <is>
          <t>2612N</t>
        </is>
      </c>
      <c r="D839" s="4" t="inlineStr">
        <is>
          <t>202610151200</t>
        </is>
      </c>
      <c r="E839" s="4" t="inlineStr"/>
      <c r="F839" s="4" t="inlineStr">
        <is>
          <t>THLCH</t>
        </is>
      </c>
      <c r="G839" s="4" t="inlineStr">
        <is>
          <t>VNSGN</t>
        </is>
      </c>
      <c r="H839" s="4" t="inlineStr">
        <is>
          <t xml:space="preserve">40Hx5 </t>
        </is>
      </c>
      <c r="I839" s="4" t="inlineStr">
        <is>
          <t>LCHY5</t>
        </is>
      </c>
      <c r="J839" s="4" t="inlineStr">
        <is>
          <t>PW DEPOT CO., LTD.</t>
        </is>
      </c>
      <c r="K839" s="4" t="inlineStr">
        <is>
          <t>20261007</t>
        </is>
      </c>
      <c r="L839" s="4" t="inlineStr">
        <is>
          <t>GGS LINES (THAILAND) CO., LTD.</t>
        </is>
      </c>
      <c r="M839" s="4" t="inlineStr">
        <is>
          <t>BERLI JUCKER CELLOX LIMITED</t>
        </is>
      </c>
      <c r="N839" s="4" t="inlineStr">
        <is>
          <t>TISSUE</t>
        </is>
      </c>
      <c r="O839" s="4" t="inlineStr">
        <is>
          <t>REQUEST GOOD GRADE CONTAINER</t>
        </is>
      </c>
      <c r="P839" s="4" t="inlineStr">
        <is>
          <t>Pickup : 2026-10-07, Return : 2026-10-08 (1ST RTN DD: 10/10/26 WO/RENT)
**CHECK OPENGATE BEFORE RETURN CNTR**</t>
        </is>
      </c>
      <c r="Q839" s="4" t="n">
        <v>0</v>
      </c>
      <c r="R839" s="4" t="n">
        <v>0</v>
      </c>
      <c r="S839" s="4" t="n">
        <v>5</v>
      </c>
      <c r="T839" s="4" t="n">
        <v>0</v>
      </c>
      <c r="U839" s="4" t="n">
        <v>0</v>
      </c>
      <c r="V839" s="4" t="n">
        <v>0</v>
      </c>
      <c r="W839" s="4" t="n">
        <v>0</v>
      </c>
      <c r="X839" s="4" t="n">
        <v>0</v>
      </c>
      <c r="Y839" s="4" t="n">
        <v>0</v>
      </c>
      <c r="Z839" s="4" t="n">
        <v>0</v>
      </c>
      <c r="AA839" s="4" t="n">
        <v>0</v>
      </c>
      <c r="AB839" s="4">
        <f>SUM(Q839:Y839)-Z839</f>
        <v/>
      </c>
      <c r="AC839" s="4">
        <f>IF(I839="","",IF(OR(LEFT(I839,3)="BKK",I839="LCH55"),"BKK",IF(LEFT(I839,3)="LCH","LCH","OTHER")))</f>
        <v/>
      </c>
      <c r="AD839" s="4">
        <f>MAX(0,Q839-MAX(0,Z839))</f>
        <v/>
      </c>
      <c r="AE839" s="4">
        <f>MAX(0,R839-MAX(0,Z839-SUM(Q839:Q839)))</f>
        <v/>
      </c>
      <c r="AF839" s="4">
        <f>MAX(0,S839-MAX(0,Z839-SUM(Q839:R839)))</f>
        <v/>
      </c>
      <c r="AG839" s="4">
        <f>MAX(0,T839-MAX(0,Z839-SUM(Q839:S839)))</f>
        <v/>
      </c>
      <c r="AH839" s="4">
        <f>MAX(0,U839-MAX(0,Z839-SUM(Q839:T839)))</f>
        <v/>
      </c>
      <c r="AI839" s="4">
        <f>MAX(0,V839-MAX(0,Z839-SUM(Q839:U839)))</f>
        <v/>
      </c>
      <c r="AJ839" s="4">
        <f>MAX(0,W839-MAX(0,Z839-SUM(Q839:V839)))</f>
        <v/>
      </c>
      <c r="AK839" s="4">
        <f>MAX(0,X839-MAX(0,Z839-SUM(Q839:W839)))</f>
        <v/>
      </c>
      <c r="AL839" s="4">
        <f>MAX(0,Y839-MAX(0,Z839-SUM(Q839:X839)))</f>
        <v/>
      </c>
    </row>
    <row r="840">
      <c r="A840" s="4" t="inlineStr">
        <is>
          <t>HASLS22260902386</t>
        </is>
      </c>
      <c r="B840" s="4" t="inlineStr">
        <is>
          <t>PCCP</t>
        </is>
      </c>
      <c r="C840" s="4" t="inlineStr">
        <is>
          <t>2610N</t>
        </is>
      </c>
      <c r="D840" s="4" t="inlineStr">
        <is>
          <t>202610120600</t>
        </is>
      </c>
      <c r="E840" s="4" t="inlineStr"/>
      <c r="F840" s="4" t="inlineStr">
        <is>
          <t>THLCH</t>
        </is>
      </c>
      <c r="G840" s="4" t="inlineStr">
        <is>
          <t>VNSGN</t>
        </is>
      </c>
      <c r="H840" s="4" t="inlineStr">
        <is>
          <t xml:space="preserve">20'x1 </t>
        </is>
      </c>
      <c r="I840" s="4" t="inlineStr">
        <is>
          <t>LCHY5</t>
        </is>
      </c>
      <c r="J840" s="4" t="inlineStr">
        <is>
          <t>PW DEPOT CO., LTD.</t>
        </is>
      </c>
      <c r="K840" s="4" t="inlineStr">
        <is>
          <t>20261007</t>
        </is>
      </c>
      <c r="L840" s="4" t="inlineStr">
        <is>
          <t>YAMATO UNYU (THAILAND) CO., LTD.</t>
        </is>
      </c>
      <c r="M840" s="4" t="inlineStr">
        <is>
          <t>TSUKATANI (THAILAND) CO.,LTD.</t>
        </is>
      </c>
      <c r="N840" s="4" t="inlineStr">
        <is>
          <t>STEEL CUTTING RULE</t>
        </is>
      </c>
      <c r="O840" s="4" t="inlineStr">
        <is>
          <t>Request good and clean container , not damage , none any hole , smooth floor , ceiling &amp; wall not deformed.</t>
        </is>
      </c>
      <c r="P840" s="4" t="inlineStr">
        <is>
          <t xml:space="preserve">Pickup : 2026-10-07, Return : 2026-10-07 
** PLEASE CHECK OPEN GATE BEFORE RETURN CONTAINER ** </t>
        </is>
      </c>
      <c r="Q840" s="4" t="n">
        <v>1</v>
      </c>
      <c r="R840" s="4" t="n">
        <v>0</v>
      </c>
      <c r="S840" s="4" t="n">
        <v>0</v>
      </c>
      <c r="T840" s="4" t="n">
        <v>0</v>
      </c>
      <c r="U840" s="4" t="n">
        <v>0</v>
      </c>
      <c r="V840" s="4" t="n">
        <v>0</v>
      </c>
      <c r="W840" s="4" t="n">
        <v>0</v>
      </c>
      <c r="X840" s="4" t="n">
        <v>0</v>
      </c>
      <c r="Y840" s="4" t="n">
        <v>0</v>
      </c>
      <c r="Z840" s="4" t="n">
        <v>0</v>
      </c>
      <c r="AA840" s="4" t="n">
        <v>0</v>
      </c>
      <c r="AB840" s="4">
        <f>SUM(Q840:Y840)-Z840</f>
        <v/>
      </c>
      <c r="AC840" s="4">
        <f>IF(I840="","",IF(OR(LEFT(I840,3)="BKK",I840="LCH55"),"BKK",IF(LEFT(I840,3)="LCH","LCH","OTHER")))</f>
        <v/>
      </c>
      <c r="AD840" s="4">
        <f>MAX(0,Q840-MAX(0,Z840))</f>
        <v/>
      </c>
      <c r="AE840" s="4">
        <f>MAX(0,R840-MAX(0,Z840-SUM(Q840:Q840)))</f>
        <v/>
      </c>
      <c r="AF840" s="4">
        <f>MAX(0,S840-MAX(0,Z840-SUM(Q840:R840)))</f>
        <v/>
      </c>
      <c r="AG840" s="4">
        <f>MAX(0,T840-MAX(0,Z840-SUM(Q840:S840)))</f>
        <v/>
      </c>
      <c r="AH840" s="4">
        <f>MAX(0,U840-MAX(0,Z840-SUM(Q840:T840)))</f>
        <v/>
      </c>
      <c r="AI840" s="4">
        <f>MAX(0,V840-MAX(0,Z840-SUM(Q840:U840)))</f>
        <v/>
      </c>
      <c r="AJ840" s="4">
        <f>MAX(0,W840-MAX(0,Z840-SUM(Q840:V840)))</f>
        <v/>
      </c>
      <c r="AK840" s="4">
        <f>MAX(0,X840-MAX(0,Z840-SUM(Q840:W840)))</f>
        <v/>
      </c>
      <c r="AL840" s="4">
        <f>MAX(0,Y840-MAX(0,Z840-SUM(Q840:X840)))</f>
        <v/>
      </c>
    </row>
    <row r="841">
      <c r="A841" s="4" t="inlineStr">
        <is>
          <t>HASLS22260902390</t>
        </is>
      </c>
      <c r="B841" s="4" t="inlineStr">
        <is>
          <t>SWRG</t>
        </is>
      </c>
      <c r="C841" s="4" t="inlineStr">
        <is>
          <t>2609N</t>
        </is>
      </c>
      <c r="D841" s="4" t="inlineStr">
        <is>
          <t>202610131130</t>
        </is>
      </c>
      <c r="E841" s="4" t="inlineStr"/>
      <c r="F841" s="4" t="inlineStr">
        <is>
          <t>THLCH</t>
        </is>
      </c>
      <c r="G841" s="4" t="inlineStr">
        <is>
          <t>JPKIJ</t>
        </is>
      </c>
      <c r="H841" s="4" t="inlineStr">
        <is>
          <t xml:space="preserve">20'x2 </t>
        </is>
      </c>
      <c r="I841" s="4" t="inlineStr">
        <is>
          <t>LCHY5</t>
        </is>
      </c>
      <c r="J841" s="4" t="inlineStr">
        <is>
          <t>PW DEPOT CO., LTD.</t>
        </is>
      </c>
      <c r="K841" s="4" t="inlineStr">
        <is>
          <t>20261005</t>
        </is>
      </c>
      <c r="L841" s="4" t="inlineStr">
        <is>
          <t>IRPC PUBLIC COMPANY LIMITED</t>
        </is>
      </c>
      <c r="M841" s="4" t="inlineStr">
        <is>
          <t>IRPC PUBLIC COMPANY LIMITED</t>
        </is>
      </c>
      <c r="N841" s="4" t="inlineStr">
        <is>
          <t>RESIN</t>
        </is>
      </c>
      <c r="O841" s="4" t="inlineStr">
        <is>
          <t>GOOD AND CLEAN CTNR</t>
        </is>
      </c>
      <c r="P841" s="4" t="inlineStr">
        <is>
          <t>CY-RTN 05-07/10/26 (PI26090085-1)</t>
        </is>
      </c>
      <c r="Q841" s="4" t="n">
        <v>2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>
        <f>SUM(Q841:Y841)-Z841</f>
        <v/>
      </c>
      <c r="AC841" s="4">
        <f>IF(I841="","",IF(OR(LEFT(I841,3)="BKK",I841="LCH55"),"BKK",IF(LEFT(I841,3)="LCH","LCH","OTHER")))</f>
        <v/>
      </c>
      <c r="AD841" s="4">
        <f>MAX(0,Q841-MAX(0,Z841))</f>
        <v/>
      </c>
      <c r="AE841" s="4">
        <f>MAX(0,R841-MAX(0,Z841-SUM(Q841:Q841)))</f>
        <v/>
      </c>
      <c r="AF841" s="4">
        <f>MAX(0,S841-MAX(0,Z841-SUM(Q841:R841)))</f>
        <v/>
      </c>
      <c r="AG841" s="4">
        <f>MAX(0,T841-MAX(0,Z841-SUM(Q841:S841)))</f>
        <v/>
      </c>
      <c r="AH841" s="4">
        <f>MAX(0,U841-MAX(0,Z841-SUM(Q841:T841)))</f>
        <v/>
      </c>
      <c r="AI841" s="4">
        <f>MAX(0,V841-MAX(0,Z841-SUM(Q841:U841)))</f>
        <v/>
      </c>
      <c r="AJ841" s="4">
        <f>MAX(0,W841-MAX(0,Z841-SUM(Q841:V841)))</f>
        <v/>
      </c>
      <c r="AK841" s="4">
        <f>MAX(0,X841-MAX(0,Z841-SUM(Q841:W841)))</f>
        <v/>
      </c>
      <c r="AL841" s="4">
        <f>MAX(0,Y841-MAX(0,Z841-SUM(Q841:X841)))</f>
        <v/>
      </c>
    </row>
    <row r="842">
      <c r="A842" s="4" t="inlineStr">
        <is>
          <t>HASLS22260902394</t>
        </is>
      </c>
      <c r="B842" s="4" t="inlineStr">
        <is>
          <t>SWSP</t>
        </is>
      </c>
      <c r="C842" s="4" t="inlineStr">
        <is>
          <t>2609N</t>
        </is>
      </c>
      <c r="D842" s="4" t="inlineStr">
        <is>
          <t>202610080830</t>
        </is>
      </c>
      <c r="E842" s="4" t="inlineStr"/>
      <c r="F842" s="4" t="inlineStr">
        <is>
          <t>THLCH</t>
        </is>
      </c>
      <c r="G842" s="4" t="inlineStr">
        <is>
          <t>VNSGN</t>
        </is>
      </c>
      <c r="H842" s="4" t="inlineStr">
        <is>
          <t xml:space="preserve">20'x3 </t>
        </is>
      </c>
      <c r="I842" s="4" t="inlineStr">
        <is>
          <t>LCHY5</t>
        </is>
      </c>
      <c r="J842" s="4" t="inlineStr">
        <is>
          <t>PW DEPOT CO., LTD.</t>
        </is>
      </c>
      <c r="K842" s="4" t="inlineStr">
        <is>
          <t>20260928</t>
        </is>
      </c>
      <c r="L842" s="4" t="inlineStr">
        <is>
          <t>WHA GC LOGISTICS COMPANY LIMITED</t>
        </is>
      </c>
      <c r="M842" s="4" t="inlineStr">
        <is>
          <t>PTT GLOBAL CHEMICAL PUBLIC COMPANY LIMITED</t>
        </is>
      </c>
      <c r="N842" s="4" t="inlineStr">
        <is>
          <t>RESIN</t>
        </is>
      </c>
      <c r="O842" s="4" t="inlineStr">
        <is>
          <t>*** REQ. GOOD &amp; CLEAN  CONT. .( NO SMELL)  ***</t>
        </is>
      </c>
      <c r="P842" s="4" t="inlineStr">
        <is>
          <t>CY 28/09/26 , RTN 29/09/26 (1ST RETUR DD.30/09/26)
*PLS CHECK OPEN GATE BEFORE RETURN CTNR*</t>
        </is>
      </c>
      <c r="Q842" s="4" t="n">
        <v>3</v>
      </c>
      <c r="R842" s="4" t="n">
        <v>0</v>
      </c>
      <c r="S842" s="4" t="n">
        <v>0</v>
      </c>
      <c r="T842" s="4" t="n">
        <v>0</v>
      </c>
      <c r="U842" s="4" t="n">
        <v>0</v>
      </c>
      <c r="V842" s="4" t="n">
        <v>0</v>
      </c>
      <c r="W842" s="4" t="n">
        <v>0</v>
      </c>
      <c r="X842" s="4" t="n">
        <v>0</v>
      </c>
      <c r="Y842" s="4" t="n">
        <v>0</v>
      </c>
      <c r="Z842" s="4" t="n">
        <v>0</v>
      </c>
      <c r="AA842" s="4" t="n">
        <v>0</v>
      </c>
      <c r="AB842" s="4">
        <f>SUM(Q842:Y842)-Z842</f>
        <v/>
      </c>
      <c r="AC842" s="4">
        <f>IF(I842="","",IF(OR(LEFT(I842,3)="BKK",I842="LCH55"),"BKK",IF(LEFT(I842,3)="LCH","LCH","OTHER")))</f>
        <v/>
      </c>
      <c r="AD842" s="4">
        <f>MAX(0,Q842-MAX(0,Z842))</f>
        <v/>
      </c>
      <c r="AE842" s="4">
        <f>MAX(0,R842-MAX(0,Z842-SUM(Q842:Q842)))</f>
        <v/>
      </c>
      <c r="AF842" s="4">
        <f>MAX(0,S842-MAX(0,Z842-SUM(Q842:R842)))</f>
        <v/>
      </c>
      <c r="AG842" s="4">
        <f>MAX(0,T842-MAX(0,Z842-SUM(Q842:S842)))</f>
        <v/>
      </c>
      <c r="AH842" s="4">
        <f>MAX(0,U842-MAX(0,Z842-SUM(Q842:T842)))</f>
        <v/>
      </c>
      <c r="AI842" s="4">
        <f>MAX(0,V842-MAX(0,Z842-SUM(Q842:U842)))</f>
        <v/>
      </c>
      <c r="AJ842" s="4">
        <f>MAX(0,W842-MAX(0,Z842-SUM(Q842:V842)))</f>
        <v/>
      </c>
      <c r="AK842" s="4">
        <f>MAX(0,X842-MAX(0,Z842-SUM(Q842:W842)))</f>
        <v/>
      </c>
      <c r="AL842" s="4">
        <f>MAX(0,Y842-MAX(0,Z842-SUM(Q842:X842)))</f>
        <v/>
      </c>
    </row>
    <row r="843">
      <c r="A843" s="4" t="inlineStr">
        <is>
          <t>HASLS22260902425</t>
        </is>
      </c>
      <c r="B843" s="4" t="inlineStr">
        <is>
          <t>SWDN</t>
        </is>
      </c>
      <c r="C843" s="4" t="inlineStr">
        <is>
          <t>2611N</t>
        </is>
      </c>
      <c r="D843" s="4" t="inlineStr">
        <is>
          <t>202610280300</t>
        </is>
      </c>
      <c r="E843" s="4" t="inlineStr"/>
      <c r="F843" s="4" t="inlineStr">
        <is>
          <t>THLCH</t>
        </is>
      </c>
      <c r="G843" s="4" t="inlineStr">
        <is>
          <t>CNXMN</t>
        </is>
      </c>
      <c r="H843" s="4" t="inlineStr">
        <is>
          <t xml:space="preserve">20'x2 </t>
        </is>
      </c>
      <c r="I843" s="4" t="inlineStr">
        <is>
          <t>LCHY5</t>
        </is>
      </c>
      <c r="J843" s="4" t="inlineStr">
        <is>
          <t>PW DEPOT CO., LTD.</t>
        </is>
      </c>
      <c r="K843" s="4" t="inlineStr">
        <is>
          <t>20261017</t>
        </is>
      </c>
      <c r="L843" s="4" t="inlineStr">
        <is>
          <t>DOUBLE A (1991) PUBLIC COMPANY LIMITED</t>
        </is>
      </c>
      <c r="M843" s="4" t="inlineStr">
        <is>
          <t>DOUBLE A (1991) PUBLIC COMPANY LIMITED</t>
        </is>
      </c>
      <c r="N843" s="4" t="inlineStr">
        <is>
          <t>PAPER</t>
        </is>
      </c>
      <c r="O843" s="4" t="inlineStr">
        <is>
          <t>GOOD AND CLEAN CONTAINER</t>
        </is>
      </c>
      <c r="P843" s="4" t="inlineStr">
        <is>
          <t>CY-RTN : 17-20/10/2026
REF : PI-CN-TH-DA-26100084,PI-CN-TH-DA-26100085
FRT 35/20', FREE TIME 21</t>
        </is>
      </c>
      <c r="Q843" s="4" t="n">
        <v>2</v>
      </c>
      <c r="R843" s="4" t="n">
        <v>0</v>
      </c>
      <c r="S843" s="4" t="n">
        <v>0</v>
      </c>
      <c r="T843" s="4" t="n">
        <v>0</v>
      </c>
      <c r="U843" s="4" t="n">
        <v>0</v>
      </c>
      <c r="V843" s="4" t="n">
        <v>0</v>
      </c>
      <c r="W843" s="4" t="n">
        <v>0</v>
      </c>
      <c r="X843" s="4" t="n">
        <v>0</v>
      </c>
      <c r="Y843" s="4" t="n">
        <v>0</v>
      </c>
      <c r="Z843" s="4" t="n">
        <v>0</v>
      </c>
      <c r="AA843" s="4" t="n">
        <v>0</v>
      </c>
      <c r="AB843" s="4">
        <f>SUM(Q843:Y843)-Z843</f>
        <v/>
      </c>
      <c r="AC843" s="4">
        <f>IF(I843="","",IF(OR(LEFT(I843,3)="BKK",I843="LCH55"),"BKK",IF(LEFT(I843,3)="LCH","LCH","OTHER")))</f>
        <v/>
      </c>
      <c r="AD843" s="4">
        <f>MAX(0,Q843-MAX(0,Z843))</f>
        <v/>
      </c>
      <c r="AE843" s="4">
        <f>MAX(0,R843-MAX(0,Z843-SUM(Q843:Q843)))</f>
        <v/>
      </c>
      <c r="AF843" s="4">
        <f>MAX(0,S843-MAX(0,Z843-SUM(Q843:R843)))</f>
        <v/>
      </c>
      <c r="AG843" s="4">
        <f>MAX(0,T843-MAX(0,Z843-SUM(Q843:S843)))</f>
        <v/>
      </c>
      <c r="AH843" s="4">
        <f>MAX(0,U843-MAX(0,Z843-SUM(Q843:T843)))</f>
        <v/>
      </c>
      <c r="AI843" s="4">
        <f>MAX(0,V843-MAX(0,Z843-SUM(Q843:U843)))</f>
        <v/>
      </c>
      <c r="AJ843" s="4">
        <f>MAX(0,W843-MAX(0,Z843-SUM(Q843:V843)))</f>
        <v/>
      </c>
      <c r="AK843" s="4">
        <f>MAX(0,X843-MAX(0,Z843-SUM(Q843:W843)))</f>
        <v/>
      </c>
      <c r="AL843" s="4">
        <f>MAX(0,Y843-MAX(0,Z843-SUM(Q843:X843)))</f>
        <v/>
      </c>
    </row>
    <row r="844">
      <c r="A844" s="4" t="inlineStr">
        <is>
          <t>HASLS22260902432</t>
        </is>
      </c>
      <c r="B844" s="4" t="inlineStr">
        <is>
          <t>KXM</t>
        </is>
      </c>
      <c r="C844" s="4" t="inlineStr">
        <is>
          <t>2608S</t>
        </is>
      </c>
      <c r="D844" s="4" t="inlineStr">
        <is>
          <t>202610100500</t>
        </is>
      </c>
      <c r="E844" s="4" t="inlineStr"/>
      <c r="F844" s="4" t="inlineStr">
        <is>
          <t>THLCH</t>
        </is>
      </c>
      <c r="G844" s="4" t="inlineStr">
        <is>
          <t>IDJKT</t>
        </is>
      </c>
      <c r="H844" s="4" t="inlineStr">
        <is>
          <t xml:space="preserve">20'x1 </t>
        </is>
      </c>
      <c r="I844" s="4" t="inlineStr">
        <is>
          <t>LCHY5</t>
        </is>
      </c>
      <c r="J844" s="4" t="inlineStr">
        <is>
          <t>PW DEPOT CO., LTD.</t>
        </is>
      </c>
      <c r="K844" s="4" t="inlineStr">
        <is>
          <t>20261002</t>
        </is>
      </c>
      <c r="L844" s="4" t="inlineStr">
        <is>
          <t>UBE CHEMICALS (ASIA) PUBLIC COMPANY LIMITED</t>
        </is>
      </c>
      <c r="M844" s="4" t="inlineStr">
        <is>
          <t>UBE CHEMICALS (ASIA) PUBLIC COMPANY LIMITED</t>
        </is>
      </c>
      <c r="N844" s="4" t="inlineStr">
        <is>
          <t xml:space="preserve">POLYAMIDE RESIN </t>
        </is>
      </c>
      <c r="O844" s="4" t="inlineStr">
        <is>
          <t>Sound and Clean</t>
        </is>
      </c>
      <c r="P844" s="4" t="inlineStr">
        <is>
          <t>CY -RTN : 02-05/10/2026 (2002054616)</t>
        </is>
      </c>
      <c r="Q844" s="4" t="n">
        <v>1</v>
      </c>
      <c r="R844" s="4" t="n">
        <v>0</v>
      </c>
      <c r="S844" s="4" t="n">
        <v>0</v>
      </c>
      <c r="T844" s="4" t="n">
        <v>0</v>
      </c>
      <c r="U844" s="4" t="n">
        <v>0</v>
      </c>
      <c r="V844" s="4" t="n">
        <v>0</v>
      </c>
      <c r="W844" s="4" t="n">
        <v>0</v>
      </c>
      <c r="X844" s="4" t="n">
        <v>0</v>
      </c>
      <c r="Y844" s="4" t="n">
        <v>0</v>
      </c>
      <c r="Z844" s="4" t="n">
        <v>0</v>
      </c>
      <c r="AA844" s="4" t="n">
        <v>0</v>
      </c>
      <c r="AB844" s="4">
        <f>SUM(Q844:Y844)-Z844</f>
        <v/>
      </c>
      <c r="AC844" s="4">
        <f>IF(I844="","",IF(OR(LEFT(I844,3)="BKK",I844="LCH55"),"BKK",IF(LEFT(I844,3)="LCH","LCH","OTHER")))</f>
        <v/>
      </c>
      <c r="AD844" s="4">
        <f>MAX(0,Q844-MAX(0,Z844))</f>
        <v/>
      </c>
      <c r="AE844" s="4">
        <f>MAX(0,R844-MAX(0,Z844-SUM(Q844:Q844)))</f>
        <v/>
      </c>
      <c r="AF844" s="4">
        <f>MAX(0,S844-MAX(0,Z844-SUM(Q844:R844)))</f>
        <v/>
      </c>
      <c r="AG844" s="4">
        <f>MAX(0,T844-MAX(0,Z844-SUM(Q844:S844)))</f>
        <v/>
      </c>
      <c r="AH844" s="4">
        <f>MAX(0,U844-MAX(0,Z844-SUM(Q844:T844)))</f>
        <v/>
      </c>
      <c r="AI844" s="4">
        <f>MAX(0,V844-MAX(0,Z844-SUM(Q844:U844)))</f>
        <v/>
      </c>
      <c r="AJ844" s="4">
        <f>MAX(0,W844-MAX(0,Z844-SUM(Q844:V844)))</f>
        <v/>
      </c>
      <c r="AK844" s="4">
        <f>MAX(0,X844-MAX(0,Z844-SUM(Q844:W844)))</f>
        <v/>
      </c>
      <c r="AL844" s="4">
        <f>MAX(0,Y844-MAX(0,Z844-SUM(Q844:X844)))</f>
        <v/>
      </c>
    </row>
    <row r="845">
      <c r="A845" s="4" t="inlineStr">
        <is>
          <t>HASLS22260902435</t>
        </is>
      </c>
      <c r="B845" s="4" t="inlineStr">
        <is>
          <t>NSSJ</t>
        </is>
      </c>
      <c r="C845" s="4" t="inlineStr">
        <is>
          <t>2608S</t>
        </is>
      </c>
      <c r="D845" s="4" t="inlineStr">
        <is>
          <t>202610201630</t>
        </is>
      </c>
      <c r="E845" s="4" t="inlineStr"/>
      <c r="F845" s="4" t="inlineStr">
        <is>
          <t>THLCH</t>
        </is>
      </c>
      <c r="G845" s="4" t="inlineStr">
        <is>
          <t>IDJKT</t>
        </is>
      </c>
      <c r="H845" s="4" t="inlineStr">
        <is>
          <t xml:space="preserve">20'x1 </t>
        </is>
      </c>
      <c r="I845" s="4" t="inlineStr">
        <is>
          <t>LCHY5</t>
        </is>
      </c>
      <c r="J845" s="4" t="inlineStr">
        <is>
          <t>PW DEPOT CO., LTD.</t>
        </is>
      </c>
      <c r="K845" s="4" t="inlineStr">
        <is>
          <t>20261014</t>
        </is>
      </c>
      <c r="L845" s="4" t="inlineStr">
        <is>
          <t>UBE CHEMICALS (ASIA) PUBLIC COMPANY LIMITED</t>
        </is>
      </c>
      <c r="M845" s="4" t="inlineStr">
        <is>
          <t>UBE CHEMICALS (ASIA) PUBLIC COMPANY LIMITED</t>
        </is>
      </c>
      <c r="N845" s="4" t="inlineStr">
        <is>
          <t xml:space="preserve">POLYAMIDE RESIN </t>
        </is>
      </c>
      <c r="O845" s="4" t="inlineStr">
        <is>
          <t>Sound and Clean</t>
        </is>
      </c>
      <c r="P845" s="4" t="inlineStr">
        <is>
          <t>CY -RTN : 14-15/10/2026 (2002054617)</t>
        </is>
      </c>
      <c r="Q845" s="4" t="n">
        <v>1</v>
      </c>
      <c r="R845" s="4" t="n">
        <v>0</v>
      </c>
      <c r="S845" s="4" t="n">
        <v>0</v>
      </c>
      <c r="T845" s="4" t="n">
        <v>0</v>
      </c>
      <c r="U845" s="4" t="n">
        <v>0</v>
      </c>
      <c r="V845" s="4" t="n">
        <v>0</v>
      </c>
      <c r="W845" s="4" t="n">
        <v>0</v>
      </c>
      <c r="X845" s="4" t="n">
        <v>0</v>
      </c>
      <c r="Y845" s="4" t="n">
        <v>0</v>
      </c>
      <c r="Z845" s="4" t="n">
        <v>0</v>
      </c>
      <c r="AA845" s="4" t="n">
        <v>0</v>
      </c>
      <c r="AB845" s="4">
        <f>SUM(Q845:Y845)-Z845</f>
        <v/>
      </c>
      <c r="AC845" s="4">
        <f>IF(I845="","",IF(OR(LEFT(I845,3)="BKK",I845="LCH55"),"BKK",IF(LEFT(I845,3)="LCH","LCH","OTHER")))</f>
        <v/>
      </c>
      <c r="AD845" s="4">
        <f>MAX(0,Q845-MAX(0,Z845))</f>
        <v/>
      </c>
      <c r="AE845" s="4">
        <f>MAX(0,R845-MAX(0,Z845-SUM(Q845:Q845)))</f>
        <v/>
      </c>
      <c r="AF845" s="4">
        <f>MAX(0,S845-MAX(0,Z845-SUM(Q845:R845)))</f>
        <v/>
      </c>
      <c r="AG845" s="4">
        <f>MAX(0,T845-MAX(0,Z845-SUM(Q845:S845)))</f>
        <v/>
      </c>
      <c r="AH845" s="4">
        <f>MAX(0,U845-MAX(0,Z845-SUM(Q845:T845)))</f>
        <v/>
      </c>
      <c r="AI845" s="4">
        <f>MAX(0,V845-MAX(0,Z845-SUM(Q845:U845)))</f>
        <v/>
      </c>
      <c r="AJ845" s="4">
        <f>MAX(0,W845-MAX(0,Z845-SUM(Q845:V845)))</f>
        <v/>
      </c>
      <c r="AK845" s="4">
        <f>MAX(0,X845-MAX(0,Z845-SUM(Q845:W845)))</f>
        <v/>
      </c>
      <c r="AL845" s="4">
        <f>MAX(0,Y845-MAX(0,Z845-SUM(Q845:X845)))</f>
        <v/>
      </c>
    </row>
    <row r="846">
      <c r="A846" s="4" t="inlineStr">
        <is>
          <t>HASLS22260902438</t>
        </is>
      </c>
      <c r="B846" s="4" t="inlineStr">
        <is>
          <t>SWVG</t>
        </is>
      </c>
      <c r="C846" s="4" t="inlineStr">
        <is>
          <t>2612N</t>
        </is>
      </c>
      <c r="D846" s="4" t="inlineStr">
        <is>
          <t>202610070330</t>
        </is>
      </c>
      <c r="E846" s="4" t="inlineStr"/>
      <c r="F846" s="4" t="inlineStr">
        <is>
          <t>THLCH</t>
        </is>
      </c>
      <c r="G846" s="4" t="inlineStr">
        <is>
          <t>JPTOS</t>
        </is>
      </c>
      <c r="H846" s="4" t="inlineStr">
        <is>
          <t xml:space="preserve">20'x6 </t>
        </is>
      </c>
      <c r="I846" s="4" t="inlineStr">
        <is>
          <t>LCHY5</t>
        </is>
      </c>
      <c r="J846" s="4" t="inlineStr">
        <is>
          <t>PW DEPOT CO., LTD.</t>
        </is>
      </c>
      <c r="K846" s="4" t="inlineStr">
        <is>
          <t>20261005</t>
        </is>
      </c>
      <c r="L846" s="4" t="inlineStr">
        <is>
          <t>AWOT GLOBAL LOGISTICS (THAILAND) CO., LTD.</t>
        </is>
      </c>
      <c r="M846" s="4" t="inlineStr">
        <is>
          <t>DELTA DAIKI METAL (THAILAND) CO.,LTD.</t>
        </is>
      </c>
      <c r="N846" s="4" t="inlineStr">
        <is>
          <t>ALUMINUM</t>
        </is>
      </c>
      <c r="O846" s="4" t="inlineStr">
        <is>
          <t>GOOD AND CLEAN CONTAINER</t>
        </is>
      </c>
      <c r="P846" s="4" t="inlineStr">
        <is>
          <t xml:space="preserve">Pickup : 2026-10-05, Return : 2026-10-05
GOOD AND CLEAN CONTAINER 
</t>
        </is>
      </c>
      <c r="Q846" s="4" t="n">
        <v>6</v>
      </c>
      <c r="R846" s="4" t="n">
        <v>0</v>
      </c>
      <c r="S846" s="4" t="n">
        <v>0</v>
      </c>
      <c r="T846" s="4" t="n">
        <v>0</v>
      </c>
      <c r="U846" s="4" t="n">
        <v>0</v>
      </c>
      <c r="V846" s="4" t="n">
        <v>0</v>
      </c>
      <c r="W846" s="4" t="n">
        <v>0</v>
      </c>
      <c r="X846" s="4" t="n">
        <v>0</v>
      </c>
      <c r="Y846" s="4" t="n">
        <v>0</v>
      </c>
      <c r="Z846" s="4" t="n">
        <v>0</v>
      </c>
      <c r="AA846" s="4" t="n">
        <v>0</v>
      </c>
      <c r="AB846" s="4">
        <f>SUM(Q846:Y846)-Z846</f>
        <v/>
      </c>
      <c r="AC846" s="4">
        <f>IF(I846="","",IF(OR(LEFT(I846,3)="BKK",I846="LCH55"),"BKK",IF(LEFT(I846,3)="LCH","LCH","OTHER")))</f>
        <v/>
      </c>
      <c r="AD846" s="4">
        <f>MAX(0,Q846-MAX(0,Z846))</f>
        <v/>
      </c>
      <c r="AE846" s="4">
        <f>MAX(0,R846-MAX(0,Z846-SUM(Q846:Q846)))</f>
        <v/>
      </c>
      <c r="AF846" s="4">
        <f>MAX(0,S846-MAX(0,Z846-SUM(Q846:R846)))</f>
        <v/>
      </c>
      <c r="AG846" s="4">
        <f>MAX(0,T846-MAX(0,Z846-SUM(Q846:S846)))</f>
        <v/>
      </c>
      <c r="AH846" s="4">
        <f>MAX(0,U846-MAX(0,Z846-SUM(Q846:T846)))</f>
        <v/>
      </c>
      <c r="AI846" s="4">
        <f>MAX(0,V846-MAX(0,Z846-SUM(Q846:U846)))</f>
        <v/>
      </c>
      <c r="AJ846" s="4">
        <f>MAX(0,W846-MAX(0,Z846-SUM(Q846:V846)))</f>
        <v/>
      </c>
      <c r="AK846" s="4">
        <f>MAX(0,X846-MAX(0,Z846-SUM(Q846:W846)))</f>
        <v/>
      </c>
      <c r="AL846" s="4">
        <f>MAX(0,Y846-MAX(0,Z846-SUM(Q846:X846)))</f>
        <v/>
      </c>
    </row>
    <row r="847">
      <c r="A847" s="4" t="inlineStr">
        <is>
          <t>HASLS22260902440</t>
        </is>
      </c>
      <c r="B847" s="4" t="inlineStr">
        <is>
          <t>KXM</t>
        </is>
      </c>
      <c r="C847" s="4" t="inlineStr">
        <is>
          <t>2608S</t>
        </is>
      </c>
      <c r="D847" s="4" t="inlineStr">
        <is>
          <t>202610100500</t>
        </is>
      </c>
      <c r="E847" s="4" t="inlineStr"/>
      <c r="F847" s="4" t="inlineStr">
        <is>
          <t>THLCH</t>
        </is>
      </c>
      <c r="G847" s="4" t="inlineStr">
        <is>
          <t>IDJKT</t>
        </is>
      </c>
      <c r="H847" s="4" t="inlineStr">
        <is>
          <t xml:space="preserve">20'x1 </t>
        </is>
      </c>
      <c r="I847" s="4" t="inlineStr">
        <is>
          <t>LCHY5</t>
        </is>
      </c>
      <c r="J847" s="4" t="inlineStr">
        <is>
          <t>PW DEPOT CO., LTD.</t>
        </is>
      </c>
      <c r="K847" s="4" t="inlineStr">
        <is>
          <t>20261002</t>
        </is>
      </c>
      <c r="L847" s="4" t="inlineStr">
        <is>
          <t>UBE CHEMICALS (ASIA) PUBLIC COMPANY LIMITED</t>
        </is>
      </c>
      <c r="M847" s="4" t="inlineStr">
        <is>
          <t>UBE CHEMICALS (ASIA) PUBLIC COMPANY LIMITED</t>
        </is>
      </c>
      <c r="N847" s="4" t="inlineStr">
        <is>
          <t xml:space="preserve">POLYAMIDE RESIN </t>
        </is>
      </c>
      <c r="O847" s="4" t="inlineStr">
        <is>
          <t>Sound and Clean</t>
        </is>
      </c>
      <c r="P847" s="4" t="inlineStr">
        <is>
          <t>CY -RTN : 02-05/10/2026 (2002054572)</t>
        </is>
      </c>
      <c r="Q847" s="4" t="n">
        <v>1</v>
      </c>
      <c r="R847" s="4" t="n">
        <v>0</v>
      </c>
      <c r="S847" s="4" t="n">
        <v>0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>
        <f>SUM(Q847:Y847)-Z847</f>
        <v/>
      </c>
      <c r="AC847" s="4">
        <f>IF(I847="","",IF(OR(LEFT(I847,3)="BKK",I847="LCH55"),"BKK",IF(LEFT(I847,3)="LCH","LCH","OTHER")))</f>
        <v/>
      </c>
      <c r="AD847" s="4">
        <f>MAX(0,Q847-MAX(0,Z847))</f>
        <v/>
      </c>
      <c r="AE847" s="4">
        <f>MAX(0,R847-MAX(0,Z847-SUM(Q847:Q847)))</f>
        <v/>
      </c>
      <c r="AF847" s="4">
        <f>MAX(0,S847-MAX(0,Z847-SUM(Q847:R847)))</f>
        <v/>
      </c>
      <c r="AG847" s="4">
        <f>MAX(0,T847-MAX(0,Z847-SUM(Q847:S847)))</f>
        <v/>
      </c>
      <c r="AH847" s="4">
        <f>MAX(0,U847-MAX(0,Z847-SUM(Q847:T847)))</f>
        <v/>
      </c>
      <c r="AI847" s="4">
        <f>MAX(0,V847-MAX(0,Z847-SUM(Q847:U847)))</f>
        <v/>
      </c>
      <c r="AJ847" s="4">
        <f>MAX(0,W847-MAX(0,Z847-SUM(Q847:V847)))</f>
        <v/>
      </c>
      <c r="AK847" s="4">
        <f>MAX(0,X847-MAX(0,Z847-SUM(Q847:W847)))</f>
        <v/>
      </c>
      <c r="AL847" s="4">
        <f>MAX(0,Y847-MAX(0,Z847-SUM(Q847:X847)))</f>
        <v/>
      </c>
    </row>
    <row r="848">
      <c r="A848" s="4" t="inlineStr">
        <is>
          <t>HASLS22260902445</t>
        </is>
      </c>
      <c r="B848" s="4" t="inlineStr">
        <is>
          <t>KXM</t>
        </is>
      </c>
      <c r="C848" s="4" t="inlineStr">
        <is>
          <t>2608S</t>
        </is>
      </c>
      <c r="D848" s="4" t="inlineStr">
        <is>
          <t>202610100500</t>
        </is>
      </c>
      <c r="E848" s="4" t="inlineStr"/>
      <c r="F848" s="4" t="inlineStr">
        <is>
          <t>THLCH</t>
        </is>
      </c>
      <c r="G848" s="4" t="inlineStr">
        <is>
          <t>IDJKT</t>
        </is>
      </c>
      <c r="H848" s="4" t="inlineStr">
        <is>
          <t xml:space="preserve">20'x1 </t>
        </is>
      </c>
      <c r="I848" s="4" t="inlineStr">
        <is>
          <t>LCHY5</t>
        </is>
      </c>
      <c r="J848" s="4" t="inlineStr">
        <is>
          <t>PW DEPOT CO., LTD.</t>
        </is>
      </c>
      <c r="K848" s="4" t="inlineStr">
        <is>
          <t>20261005</t>
        </is>
      </c>
      <c r="L848" s="4" t="inlineStr">
        <is>
          <t>UBE CHEMICALS (ASIA) PUBLIC COMPANY LIMITED</t>
        </is>
      </c>
      <c r="M848" s="4" t="inlineStr">
        <is>
          <t>UBE CHEMICALS (ASIA) PUBLIC COMPANY LIMITED</t>
        </is>
      </c>
      <c r="N848" s="4" t="inlineStr">
        <is>
          <t xml:space="preserve">POLYAMIDE RESIN </t>
        </is>
      </c>
      <c r="O848" s="4" t="inlineStr">
        <is>
          <t>Sound and Clean</t>
        </is>
      </c>
      <c r="P848" s="4" t="inlineStr">
        <is>
          <t>CY -RTN : 05-06/10/2026 (2002054256)</t>
        </is>
      </c>
      <c r="Q848" s="4" t="n">
        <v>1</v>
      </c>
      <c r="R848" s="4" t="n">
        <v>0</v>
      </c>
      <c r="S848" s="4" t="n">
        <v>0</v>
      </c>
      <c r="T848" s="4" t="n">
        <v>0</v>
      </c>
      <c r="U848" s="4" t="n">
        <v>0</v>
      </c>
      <c r="V848" s="4" t="n">
        <v>0</v>
      </c>
      <c r="W848" s="4" t="n">
        <v>0</v>
      </c>
      <c r="X848" s="4" t="n">
        <v>0</v>
      </c>
      <c r="Y848" s="4" t="n">
        <v>0</v>
      </c>
      <c r="Z848" s="4" t="n">
        <v>0</v>
      </c>
      <c r="AA848" s="4" t="n">
        <v>0</v>
      </c>
      <c r="AB848" s="4">
        <f>SUM(Q848:Y848)-Z848</f>
        <v/>
      </c>
      <c r="AC848" s="4">
        <f>IF(I848="","",IF(OR(LEFT(I848,3)="BKK",I848="LCH55"),"BKK",IF(LEFT(I848,3)="LCH","LCH","OTHER")))</f>
        <v/>
      </c>
      <c r="AD848" s="4">
        <f>MAX(0,Q848-MAX(0,Z848))</f>
        <v/>
      </c>
      <c r="AE848" s="4">
        <f>MAX(0,R848-MAX(0,Z848-SUM(Q848:Q848)))</f>
        <v/>
      </c>
      <c r="AF848" s="4">
        <f>MAX(0,S848-MAX(0,Z848-SUM(Q848:R848)))</f>
        <v/>
      </c>
      <c r="AG848" s="4">
        <f>MAX(0,T848-MAX(0,Z848-SUM(Q848:S848)))</f>
        <v/>
      </c>
      <c r="AH848" s="4">
        <f>MAX(0,U848-MAX(0,Z848-SUM(Q848:T848)))</f>
        <v/>
      </c>
      <c r="AI848" s="4">
        <f>MAX(0,V848-MAX(0,Z848-SUM(Q848:U848)))</f>
        <v/>
      </c>
      <c r="AJ848" s="4">
        <f>MAX(0,W848-MAX(0,Z848-SUM(Q848:V848)))</f>
        <v/>
      </c>
      <c r="AK848" s="4">
        <f>MAX(0,X848-MAX(0,Z848-SUM(Q848:W848)))</f>
        <v/>
      </c>
      <c r="AL848" s="4">
        <f>MAX(0,Y848-MAX(0,Z848-SUM(Q848:X848)))</f>
        <v/>
      </c>
    </row>
    <row r="849">
      <c r="A849" s="4" t="inlineStr">
        <is>
          <t>HASLS22260902446</t>
        </is>
      </c>
      <c r="B849" s="4" t="inlineStr">
        <is>
          <t>KXM</t>
        </is>
      </c>
      <c r="C849" s="4" t="inlineStr">
        <is>
          <t>2608S</t>
        </is>
      </c>
      <c r="D849" s="4" t="inlineStr">
        <is>
          <t>202610100500</t>
        </is>
      </c>
      <c r="E849" s="4" t="inlineStr"/>
      <c r="F849" s="4" t="inlineStr">
        <is>
          <t>THLCH</t>
        </is>
      </c>
      <c r="G849" s="4" t="inlineStr">
        <is>
          <t>IDJKT</t>
        </is>
      </c>
      <c r="H849" s="4" t="inlineStr">
        <is>
          <t xml:space="preserve">20'x1 </t>
        </is>
      </c>
      <c r="I849" s="4" t="inlineStr">
        <is>
          <t>LCHY5</t>
        </is>
      </c>
      <c r="J849" s="4" t="inlineStr">
        <is>
          <t>PW DEPOT CO., LTD.</t>
        </is>
      </c>
      <c r="K849" s="4" t="inlineStr">
        <is>
          <t>20261005</t>
        </is>
      </c>
      <c r="L849" s="4" t="inlineStr">
        <is>
          <t>UBE CHEMICALS (ASIA) PUBLIC COMPANY LIMITED</t>
        </is>
      </c>
      <c r="M849" s="4" t="inlineStr">
        <is>
          <t>UBE CHEMICALS (ASIA) PUBLIC COMPANY LIMITED</t>
        </is>
      </c>
      <c r="N849" s="4" t="inlineStr">
        <is>
          <t xml:space="preserve">POLYAMIDE RESIN </t>
        </is>
      </c>
      <c r="O849" s="4" t="inlineStr">
        <is>
          <t>Sound and Clean</t>
        </is>
      </c>
      <c r="P849" s="4" t="inlineStr">
        <is>
          <t>CY -RTN : 05-06/10/2026 (2002054254)</t>
        </is>
      </c>
      <c r="Q849" s="4" t="n">
        <v>1</v>
      </c>
      <c r="R849" s="4" t="n">
        <v>0</v>
      </c>
      <c r="S849" s="4" t="n">
        <v>0</v>
      </c>
      <c r="T849" s="4" t="n">
        <v>0</v>
      </c>
      <c r="U849" s="4" t="n">
        <v>0</v>
      </c>
      <c r="V849" s="4" t="n">
        <v>0</v>
      </c>
      <c r="W849" s="4" t="n">
        <v>0</v>
      </c>
      <c r="X849" s="4" t="n">
        <v>0</v>
      </c>
      <c r="Y849" s="4" t="n">
        <v>0</v>
      </c>
      <c r="Z849" s="4" t="n">
        <v>0</v>
      </c>
      <c r="AA849" s="4" t="n">
        <v>0</v>
      </c>
      <c r="AB849" s="4">
        <f>SUM(Q849:Y849)-Z849</f>
        <v/>
      </c>
      <c r="AC849" s="4">
        <f>IF(I849="","",IF(OR(LEFT(I849,3)="BKK",I849="LCH55"),"BKK",IF(LEFT(I849,3)="LCH","LCH","OTHER")))</f>
        <v/>
      </c>
      <c r="AD849" s="4">
        <f>MAX(0,Q849-MAX(0,Z849))</f>
        <v/>
      </c>
      <c r="AE849" s="4">
        <f>MAX(0,R849-MAX(0,Z849-SUM(Q849:Q849)))</f>
        <v/>
      </c>
      <c r="AF849" s="4">
        <f>MAX(0,S849-MAX(0,Z849-SUM(Q849:R849)))</f>
        <v/>
      </c>
      <c r="AG849" s="4">
        <f>MAX(0,T849-MAX(0,Z849-SUM(Q849:S849)))</f>
        <v/>
      </c>
      <c r="AH849" s="4">
        <f>MAX(0,U849-MAX(0,Z849-SUM(Q849:T849)))</f>
        <v/>
      </c>
      <c r="AI849" s="4">
        <f>MAX(0,V849-MAX(0,Z849-SUM(Q849:U849)))</f>
        <v/>
      </c>
      <c r="AJ849" s="4">
        <f>MAX(0,W849-MAX(0,Z849-SUM(Q849:V849)))</f>
        <v/>
      </c>
      <c r="AK849" s="4">
        <f>MAX(0,X849-MAX(0,Z849-SUM(Q849:W849)))</f>
        <v/>
      </c>
      <c r="AL849" s="4">
        <f>MAX(0,Y849-MAX(0,Z849-SUM(Q849:X849)))</f>
        <v/>
      </c>
    </row>
    <row r="850">
      <c r="A850" s="4" t="inlineStr">
        <is>
          <t>HASLS22260902450</t>
        </is>
      </c>
      <c r="B850" s="4" t="inlineStr">
        <is>
          <t>KXM</t>
        </is>
      </c>
      <c r="C850" s="4" t="inlineStr">
        <is>
          <t>2608S</t>
        </is>
      </c>
      <c r="D850" s="4" t="inlineStr">
        <is>
          <t>202610100500</t>
        </is>
      </c>
      <c r="E850" s="4" t="inlineStr"/>
      <c r="F850" s="4" t="inlineStr">
        <is>
          <t>THLCH</t>
        </is>
      </c>
      <c r="G850" s="4" t="inlineStr">
        <is>
          <t>IDJKT</t>
        </is>
      </c>
      <c r="H850" s="4" t="inlineStr">
        <is>
          <t xml:space="preserve">20'x2 </t>
        </is>
      </c>
      <c r="I850" s="4" t="inlineStr">
        <is>
          <t>LCHY5</t>
        </is>
      </c>
      <c r="J850" s="4" t="inlineStr">
        <is>
          <t>PW DEPOT CO., LTD.</t>
        </is>
      </c>
      <c r="K850" s="4" t="inlineStr">
        <is>
          <t>20261005</t>
        </is>
      </c>
      <c r="L850" s="4" t="inlineStr">
        <is>
          <t>UBE CHEMICALS (ASIA) PUBLIC COMPANY LIMITED</t>
        </is>
      </c>
      <c r="M850" s="4" t="inlineStr">
        <is>
          <t>UBE CHEMICALS (ASIA) PUBLIC COMPANY LIMITED</t>
        </is>
      </c>
      <c r="N850" s="4" t="inlineStr">
        <is>
          <t xml:space="preserve">POLYAMIDE RESIN </t>
        </is>
      </c>
      <c r="O850" s="4" t="inlineStr">
        <is>
          <t>Sound and Clean</t>
        </is>
      </c>
      <c r="P850" s="4" t="inlineStr">
        <is>
          <t>CY -RTN : 05-06/10/2026 (2002054253)</t>
        </is>
      </c>
      <c r="Q850" s="4" t="n">
        <v>2</v>
      </c>
      <c r="R850" s="4" t="n">
        <v>0</v>
      </c>
      <c r="S850" s="4" t="n">
        <v>0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>
        <f>SUM(Q850:Y850)-Z850</f>
        <v/>
      </c>
      <c r="AC850" s="4">
        <f>IF(I850="","",IF(OR(LEFT(I850,3)="BKK",I850="LCH55"),"BKK",IF(LEFT(I850,3)="LCH","LCH","OTHER")))</f>
        <v/>
      </c>
      <c r="AD850" s="4">
        <f>MAX(0,Q850-MAX(0,Z850))</f>
        <v/>
      </c>
      <c r="AE850" s="4">
        <f>MAX(0,R850-MAX(0,Z850-SUM(Q850:Q850)))</f>
        <v/>
      </c>
      <c r="AF850" s="4">
        <f>MAX(0,S850-MAX(0,Z850-SUM(Q850:R850)))</f>
        <v/>
      </c>
      <c r="AG850" s="4">
        <f>MAX(0,T850-MAX(0,Z850-SUM(Q850:S850)))</f>
        <v/>
      </c>
      <c r="AH850" s="4">
        <f>MAX(0,U850-MAX(0,Z850-SUM(Q850:T850)))</f>
        <v/>
      </c>
      <c r="AI850" s="4">
        <f>MAX(0,V850-MAX(0,Z850-SUM(Q850:U850)))</f>
        <v/>
      </c>
      <c r="AJ850" s="4">
        <f>MAX(0,W850-MAX(0,Z850-SUM(Q850:V850)))</f>
        <v/>
      </c>
      <c r="AK850" s="4">
        <f>MAX(0,X850-MAX(0,Z850-SUM(Q850:W850)))</f>
        <v/>
      </c>
      <c r="AL850" s="4">
        <f>MAX(0,Y850-MAX(0,Z850-SUM(Q850:X850)))</f>
        <v/>
      </c>
    </row>
    <row r="851">
      <c r="A851" s="4" t="inlineStr">
        <is>
          <t>HASLS22260902451</t>
        </is>
      </c>
      <c r="B851" s="4" t="inlineStr">
        <is>
          <t>NSSJ</t>
        </is>
      </c>
      <c r="C851" s="4" t="inlineStr">
        <is>
          <t>2608S</t>
        </is>
      </c>
      <c r="D851" s="4" t="inlineStr">
        <is>
          <t>202610201630</t>
        </is>
      </c>
      <c r="E851" s="4" t="inlineStr"/>
      <c r="F851" s="4" t="inlineStr">
        <is>
          <t>THLCH</t>
        </is>
      </c>
      <c r="G851" s="4" t="inlineStr">
        <is>
          <t>IDJKT</t>
        </is>
      </c>
      <c r="H851" s="4" t="inlineStr">
        <is>
          <t xml:space="preserve">20'x1 </t>
        </is>
      </c>
      <c r="I851" s="4" t="inlineStr">
        <is>
          <t>LCHY5</t>
        </is>
      </c>
      <c r="J851" s="4" t="inlineStr">
        <is>
          <t>PW DEPOT CO., LTD.</t>
        </is>
      </c>
      <c r="K851" s="4" t="inlineStr">
        <is>
          <t>20261013</t>
        </is>
      </c>
      <c r="L851" s="4" t="inlineStr">
        <is>
          <t>UBE CHEMICALS (ASIA) PUBLIC COMPANY LIMITED</t>
        </is>
      </c>
      <c r="M851" s="4" t="inlineStr">
        <is>
          <t>UBE CHEMICALS (ASIA) PUBLIC COMPANY LIMITED</t>
        </is>
      </c>
      <c r="N851" s="4" t="inlineStr">
        <is>
          <t xml:space="preserve">POLYAMIDE RESIN </t>
        </is>
      </c>
      <c r="O851" s="4" t="inlineStr">
        <is>
          <t>Sound and Clean</t>
        </is>
      </c>
      <c r="P851" s="4" t="inlineStr">
        <is>
          <t>CY -RTN : 13-14/10/2026 (2002054242)</t>
        </is>
      </c>
      <c r="Q851" s="4" t="n">
        <v>1</v>
      </c>
      <c r="R851" s="4" t="n">
        <v>0</v>
      </c>
      <c r="S851" s="4" t="n">
        <v>0</v>
      </c>
      <c r="T851" s="4" t="n">
        <v>0</v>
      </c>
      <c r="U851" s="4" t="n">
        <v>0</v>
      </c>
      <c r="V851" s="4" t="n">
        <v>0</v>
      </c>
      <c r="W851" s="4" t="n">
        <v>0</v>
      </c>
      <c r="X851" s="4" t="n">
        <v>0</v>
      </c>
      <c r="Y851" s="4" t="n">
        <v>0</v>
      </c>
      <c r="Z851" s="4" t="n">
        <v>0</v>
      </c>
      <c r="AA851" s="4" t="n">
        <v>0</v>
      </c>
      <c r="AB851" s="4">
        <f>SUM(Q851:Y851)-Z851</f>
        <v/>
      </c>
      <c r="AC851" s="4">
        <f>IF(I851="","",IF(OR(LEFT(I851,3)="BKK",I851="LCH55"),"BKK",IF(LEFT(I851,3)="LCH","LCH","OTHER")))</f>
        <v/>
      </c>
      <c r="AD851" s="4">
        <f>MAX(0,Q851-MAX(0,Z851))</f>
        <v/>
      </c>
      <c r="AE851" s="4">
        <f>MAX(0,R851-MAX(0,Z851-SUM(Q851:Q851)))</f>
        <v/>
      </c>
      <c r="AF851" s="4">
        <f>MAX(0,S851-MAX(0,Z851-SUM(Q851:R851)))</f>
        <v/>
      </c>
      <c r="AG851" s="4">
        <f>MAX(0,T851-MAX(0,Z851-SUM(Q851:S851)))</f>
        <v/>
      </c>
      <c r="AH851" s="4">
        <f>MAX(0,U851-MAX(0,Z851-SUM(Q851:T851)))</f>
        <v/>
      </c>
      <c r="AI851" s="4">
        <f>MAX(0,V851-MAX(0,Z851-SUM(Q851:U851)))</f>
        <v/>
      </c>
      <c r="AJ851" s="4">
        <f>MAX(0,W851-MAX(0,Z851-SUM(Q851:V851)))</f>
        <v/>
      </c>
      <c r="AK851" s="4">
        <f>MAX(0,X851-MAX(0,Z851-SUM(Q851:W851)))</f>
        <v/>
      </c>
      <c r="AL851" s="4">
        <f>MAX(0,Y851-MAX(0,Z851-SUM(Q851:X851)))</f>
        <v/>
      </c>
    </row>
    <row r="852">
      <c r="A852" s="4" t="inlineStr">
        <is>
          <t>HASLS22260902464</t>
        </is>
      </c>
      <c r="B852" s="4" t="inlineStr">
        <is>
          <t>PCCP</t>
        </is>
      </c>
      <c r="C852" s="4" t="inlineStr">
        <is>
          <t>2610N</t>
        </is>
      </c>
      <c r="D852" s="4" t="inlineStr">
        <is>
          <t>202610120600</t>
        </is>
      </c>
      <c r="E852" s="4" t="inlineStr"/>
      <c r="F852" s="4" t="inlineStr">
        <is>
          <t>THLCH</t>
        </is>
      </c>
      <c r="G852" s="4" t="inlineStr">
        <is>
          <t>JPIYM</t>
        </is>
      </c>
      <c r="H852" s="4" t="inlineStr">
        <is>
          <t xml:space="preserve">20'x5 </t>
        </is>
      </c>
      <c r="I852" s="4" t="inlineStr">
        <is>
          <t>LCHY5</t>
        </is>
      </c>
      <c r="J852" s="4" t="inlineStr">
        <is>
          <t>PW DEPOT CO., LTD.</t>
        </is>
      </c>
      <c r="K852" s="4" t="inlineStr">
        <is>
          <t>20261001</t>
        </is>
      </c>
      <c r="L852" s="4" t="inlineStr">
        <is>
          <t>WHA GC LOGISTICS COMPANY LIMITED</t>
        </is>
      </c>
      <c r="M852" s="4" t="inlineStr">
        <is>
          <t>PTT GLOBAL CHEMICAL PUBLIC COMPANY LIMITED</t>
        </is>
      </c>
      <c r="N852" s="4" t="inlineStr">
        <is>
          <t>RESIN</t>
        </is>
      </c>
      <c r="O852" s="4" t="inlineStr">
        <is>
          <t>GOOD AND CLEAN CONTAINERS</t>
        </is>
      </c>
      <c r="P852" s="4" t="inlineStr">
        <is>
          <t>CY-RTN : 01-04/10/2026 *1ST RETURN CNTR DD.07/10/2026*
GOOD AND CLEAN CONTAINERS</t>
        </is>
      </c>
      <c r="Q852" s="4" t="n">
        <v>5</v>
      </c>
      <c r="R852" s="4" t="n">
        <v>0</v>
      </c>
      <c r="S852" s="4" t="n">
        <v>0</v>
      </c>
      <c r="T852" s="4" t="n">
        <v>0</v>
      </c>
      <c r="U852" s="4" t="n">
        <v>0</v>
      </c>
      <c r="V852" s="4" t="n">
        <v>0</v>
      </c>
      <c r="W852" s="4" t="n">
        <v>0</v>
      </c>
      <c r="X852" s="4" t="n">
        <v>0</v>
      </c>
      <c r="Y852" s="4" t="n">
        <v>0</v>
      </c>
      <c r="Z852" s="4" t="n">
        <v>0</v>
      </c>
      <c r="AA852" s="4" t="n">
        <v>0</v>
      </c>
      <c r="AB852" s="4">
        <f>SUM(Q852:Y852)-Z852</f>
        <v/>
      </c>
      <c r="AC852" s="4">
        <f>IF(I852="","",IF(OR(LEFT(I852,3)="BKK",I852="LCH55"),"BKK",IF(LEFT(I852,3)="LCH","LCH","OTHER")))</f>
        <v/>
      </c>
      <c r="AD852" s="4">
        <f>MAX(0,Q852-MAX(0,Z852))</f>
        <v/>
      </c>
      <c r="AE852" s="4">
        <f>MAX(0,R852-MAX(0,Z852-SUM(Q852:Q852)))</f>
        <v/>
      </c>
      <c r="AF852" s="4">
        <f>MAX(0,S852-MAX(0,Z852-SUM(Q852:R852)))</f>
        <v/>
      </c>
      <c r="AG852" s="4">
        <f>MAX(0,T852-MAX(0,Z852-SUM(Q852:S852)))</f>
        <v/>
      </c>
      <c r="AH852" s="4">
        <f>MAX(0,U852-MAX(0,Z852-SUM(Q852:T852)))</f>
        <v/>
      </c>
      <c r="AI852" s="4">
        <f>MAX(0,V852-MAX(0,Z852-SUM(Q852:U852)))</f>
        <v/>
      </c>
      <c r="AJ852" s="4">
        <f>MAX(0,W852-MAX(0,Z852-SUM(Q852:V852)))</f>
        <v/>
      </c>
      <c r="AK852" s="4">
        <f>MAX(0,X852-MAX(0,Z852-SUM(Q852:W852)))</f>
        <v/>
      </c>
      <c r="AL852" s="4">
        <f>MAX(0,Y852-MAX(0,Z852-SUM(Q852:X852)))</f>
        <v/>
      </c>
    </row>
    <row r="853">
      <c r="A853" s="4" t="inlineStr">
        <is>
          <t>HASLS22260902465</t>
        </is>
      </c>
      <c r="B853" s="4" t="inlineStr">
        <is>
          <t>PCCP</t>
        </is>
      </c>
      <c r="C853" s="4" t="inlineStr">
        <is>
          <t>2610N</t>
        </is>
      </c>
      <c r="D853" s="4" t="inlineStr">
        <is>
          <t>202610120600</t>
        </is>
      </c>
      <c r="E853" s="4" t="inlineStr"/>
      <c r="F853" s="4" t="inlineStr">
        <is>
          <t>THLCH</t>
        </is>
      </c>
      <c r="G853" s="4" t="inlineStr">
        <is>
          <t>JPHKT</t>
        </is>
      </c>
      <c r="H853" s="4" t="inlineStr">
        <is>
          <t xml:space="preserve">40Hx1 </t>
        </is>
      </c>
      <c r="I853" s="4" t="inlineStr">
        <is>
          <t>LCHY5</t>
        </is>
      </c>
      <c r="J853" s="4" t="inlineStr">
        <is>
          <t>PW DEPOT CO., LTD.</t>
        </is>
      </c>
      <c r="K853" s="4" t="inlineStr">
        <is>
          <t>20261001</t>
        </is>
      </c>
      <c r="L853" s="4" t="inlineStr">
        <is>
          <t>WHA GC LOGISTICS COMPANY LIMITED</t>
        </is>
      </c>
      <c r="M853" s="4" t="inlineStr">
        <is>
          <t>PTT GLOBAL CHEMICAL PUBLIC COMPANY LIMITED</t>
        </is>
      </c>
      <c r="N853" s="4" t="inlineStr">
        <is>
          <t>RESIN</t>
        </is>
      </c>
      <c r="O853" s="4" t="inlineStr">
        <is>
          <t>GOOD AND CLEAN CONTAINERS</t>
        </is>
      </c>
      <c r="P853" s="4" t="inlineStr">
        <is>
          <t>CY-RTN : 01-04/10/2026 *1ST RETURN CNTR DD.07/10/2026*
GOOD AND CLEAN CONTAINERS</t>
        </is>
      </c>
      <c r="Q853" s="4" t="n">
        <v>0</v>
      </c>
      <c r="R853" s="4" t="n">
        <v>0</v>
      </c>
      <c r="S853" s="4" t="n">
        <v>1</v>
      </c>
      <c r="T853" s="4" t="n">
        <v>0</v>
      </c>
      <c r="U853" s="4" t="n">
        <v>0</v>
      </c>
      <c r="V853" s="4" t="n">
        <v>0</v>
      </c>
      <c r="W853" s="4" t="n">
        <v>0</v>
      </c>
      <c r="X853" s="4" t="n">
        <v>0</v>
      </c>
      <c r="Y853" s="4" t="n">
        <v>0</v>
      </c>
      <c r="Z853" s="4" t="n">
        <v>0</v>
      </c>
      <c r="AA853" s="4" t="n">
        <v>0</v>
      </c>
      <c r="AB853" s="4">
        <f>SUM(Q853:Y853)-Z853</f>
        <v/>
      </c>
      <c r="AC853" s="4">
        <f>IF(I853="","",IF(OR(LEFT(I853,3)="BKK",I853="LCH55"),"BKK",IF(LEFT(I853,3)="LCH","LCH","OTHER")))</f>
        <v/>
      </c>
      <c r="AD853" s="4">
        <f>MAX(0,Q853-MAX(0,Z853))</f>
        <v/>
      </c>
      <c r="AE853" s="4">
        <f>MAX(0,R853-MAX(0,Z853-SUM(Q853:Q853)))</f>
        <v/>
      </c>
      <c r="AF853" s="4">
        <f>MAX(0,S853-MAX(0,Z853-SUM(Q853:R853)))</f>
        <v/>
      </c>
      <c r="AG853" s="4">
        <f>MAX(0,T853-MAX(0,Z853-SUM(Q853:S853)))</f>
        <v/>
      </c>
      <c r="AH853" s="4">
        <f>MAX(0,U853-MAX(0,Z853-SUM(Q853:T853)))</f>
        <v/>
      </c>
      <c r="AI853" s="4">
        <f>MAX(0,V853-MAX(0,Z853-SUM(Q853:U853)))</f>
        <v/>
      </c>
      <c r="AJ853" s="4">
        <f>MAX(0,W853-MAX(0,Z853-SUM(Q853:V853)))</f>
        <v/>
      </c>
      <c r="AK853" s="4">
        <f>MAX(0,X853-MAX(0,Z853-SUM(Q853:W853)))</f>
        <v/>
      </c>
      <c r="AL853" s="4">
        <f>MAX(0,Y853-MAX(0,Z853-SUM(Q853:X853)))</f>
        <v/>
      </c>
    </row>
    <row r="854">
      <c r="A854" s="4" t="inlineStr">
        <is>
          <t>HASLS22260902487</t>
        </is>
      </c>
      <c r="B854" s="4" t="inlineStr">
        <is>
          <t>HAB</t>
        </is>
      </c>
      <c r="C854" s="4" t="inlineStr">
        <is>
          <t>2612N</t>
        </is>
      </c>
      <c r="D854" s="4" t="inlineStr">
        <is>
          <t>202610251800</t>
        </is>
      </c>
      <c r="E854" s="4" t="inlineStr"/>
      <c r="F854" s="4" t="inlineStr">
        <is>
          <t>THLCH</t>
        </is>
      </c>
      <c r="G854" s="4" t="inlineStr">
        <is>
          <t>CNSHA</t>
        </is>
      </c>
      <c r="H854" s="4" t="inlineStr">
        <is>
          <t xml:space="preserve">40Hx2 </t>
        </is>
      </c>
      <c r="I854" s="4" t="inlineStr">
        <is>
          <t>LCHY5</t>
        </is>
      </c>
      <c r="J854" s="4" t="inlineStr">
        <is>
          <t>PW DEPOT CO., LTD.</t>
        </is>
      </c>
      <c r="K854" s="4" t="inlineStr">
        <is>
          <t>20261016</t>
        </is>
      </c>
      <c r="L854" s="4" t="inlineStr">
        <is>
          <t>SCGJWD LOGISTICS PUBLIC COMPANY LIMITED</t>
        </is>
      </c>
      <c r="M854" s="4" t="inlineStr">
        <is>
          <t>THAI POLYETHYLENE CO., LTD.</t>
        </is>
      </c>
      <c r="N854" s="4" t="inlineStr">
        <is>
          <t>RESIN</t>
        </is>
      </c>
      <c r="O854" s="4" t="inlineStr">
        <is>
          <t>REQ GOOD AND CLEAN CONT., NO OIL, NO RUSTY</t>
        </is>
      </c>
      <c r="P854" s="4" t="inlineStr">
        <is>
          <t>CY-RTN: 16-20/10/2026 
INV.3031062313 
REQ GOOD AND CLEAN CONT., NO OIL, NO RUSTY</t>
        </is>
      </c>
      <c r="Q854" s="4" t="n">
        <v>0</v>
      </c>
      <c r="R854" s="4" t="n">
        <v>0</v>
      </c>
      <c r="S854" s="4" t="n">
        <v>2</v>
      </c>
      <c r="T854" s="4" t="n">
        <v>0</v>
      </c>
      <c r="U854" s="4" t="n">
        <v>0</v>
      </c>
      <c r="V854" s="4" t="n">
        <v>0</v>
      </c>
      <c r="W854" s="4" t="n">
        <v>0</v>
      </c>
      <c r="X854" s="4" t="n">
        <v>0</v>
      </c>
      <c r="Y854" s="4" t="n">
        <v>0</v>
      </c>
      <c r="Z854" s="4" t="n">
        <v>0</v>
      </c>
      <c r="AA854" s="4" t="n">
        <v>0</v>
      </c>
      <c r="AB854" s="4">
        <f>SUM(Q854:Y854)-Z854</f>
        <v/>
      </c>
      <c r="AC854" s="4">
        <f>IF(I854="","",IF(OR(LEFT(I854,3)="BKK",I854="LCH55"),"BKK",IF(LEFT(I854,3)="LCH","LCH","OTHER")))</f>
        <v/>
      </c>
      <c r="AD854" s="4">
        <f>MAX(0,Q854-MAX(0,Z854))</f>
        <v/>
      </c>
      <c r="AE854" s="4">
        <f>MAX(0,R854-MAX(0,Z854-SUM(Q854:Q854)))</f>
        <v/>
      </c>
      <c r="AF854" s="4">
        <f>MAX(0,S854-MAX(0,Z854-SUM(Q854:R854)))</f>
        <v/>
      </c>
      <c r="AG854" s="4">
        <f>MAX(0,T854-MAX(0,Z854-SUM(Q854:S854)))</f>
        <v/>
      </c>
      <c r="AH854" s="4">
        <f>MAX(0,U854-MAX(0,Z854-SUM(Q854:T854)))</f>
        <v/>
      </c>
      <c r="AI854" s="4">
        <f>MAX(0,V854-MAX(0,Z854-SUM(Q854:U854)))</f>
        <v/>
      </c>
      <c r="AJ854" s="4">
        <f>MAX(0,W854-MAX(0,Z854-SUM(Q854:V854)))</f>
        <v/>
      </c>
      <c r="AK854" s="4">
        <f>MAX(0,X854-MAX(0,Z854-SUM(Q854:W854)))</f>
        <v/>
      </c>
      <c r="AL854" s="4">
        <f>MAX(0,Y854-MAX(0,Z854-SUM(Q854:X854)))</f>
        <v/>
      </c>
    </row>
    <row r="855">
      <c r="A855" s="4" t="inlineStr">
        <is>
          <t>HASLS22260902488</t>
        </is>
      </c>
      <c r="B855" s="4" t="inlineStr">
        <is>
          <t>HAB</t>
        </is>
      </c>
      <c r="C855" s="4" t="inlineStr">
        <is>
          <t>2612N</t>
        </is>
      </c>
      <c r="D855" s="4" t="inlineStr">
        <is>
          <t>202610251800</t>
        </is>
      </c>
      <c r="E855" s="4" t="inlineStr"/>
      <c r="F855" s="4" t="inlineStr">
        <is>
          <t>THLCH</t>
        </is>
      </c>
      <c r="G855" s="4" t="inlineStr">
        <is>
          <t>CNSHA</t>
        </is>
      </c>
      <c r="H855" s="4" t="inlineStr">
        <is>
          <t xml:space="preserve">40Hx5 </t>
        </is>
      </c>
      <c r="I855" s="4" t="inlineStr">
        <is>
          <t>LCHY5</t>
        </is>
      </c>
      <c r="J855" s="4" t="inlineStr">
        <is>
          <t>PW DEPOT CO., LTD.</t>
        </is>
      </c>
      <c r="K855" s="4" t="inlineStr">
        <is>
          <t>20261016</t>
        </is>
      </c>
      <c r="L855" s="4" t="inlineStr">
        <is>
          <t>SCGJWD LOGISTICS PUBLIC COMPANY LIMITED</t>
        </is>
      </c>
      <c r="M855" s="4" t="inlineStr">
        <is>
          <t>THAI POLYETHYLENE CO., LTD.</t>
        </is>
      </c>
      <c r="N855" s="4" t="inlineStr">
        <is>
          <t>RESIN</t>
        </is>
      </c>
      <c r="O855" s="4" t="inlineStr">
        <is>
          <t>REQ GOOD AND CLEAN CONT., NO OIL, NO RUSTY</t>
        </is>
      </c>
      <c r="P855" s="4" t="inlineStr">
        <is>
          <t>CY-RTN: 16-20/10/2026 
INV.3031062366 
REQ GOOD AND CLEAN CONT., NO OIL, NO RUSTY</t>
        </is>
      </c>
      <c r="Q855" s="4" t="n">
        <v>0</v>
      </c>
      <c r="R855" s="4" t="n">
        <v>0</v>
      </c>
      <c r="S855" s="4" t="n">
        <v>5</v>
      </c>
      <c r="T855" s="4" t="n">
        <v>0</v>
      </c>
      <c r="U855" s="4" t="n">
        <v>0</v>
      </c>
      <c r="V855" s="4" t="n">
        <v>0</v>
      </c>
      <c r="W855" s="4" t="n">
        <v>0</v>
      </c>
      <c r="X855" s="4" t="n">
        <v>0</v>
      </c>
      <c r="Y855" s="4" t="n">
        <v>0</v>
      </c>
      <c r="Z855" s="4" t="n">
        <v>0</v>
      </c>
      <c r="AA855" s="4" t="n">
        <v>0</v>
      </c>
      <c r="AB855" s="4">
        <f>SUM(Q855:Y855)-Z855</f>
        <v/>
      </c>
      <c r="AC855" s="4">
        <f>IF(I855="","",IF(OR(LEFT(I855,3)="BKK",I855="LCH55"),"BKK",IF(LEFT(I855,3)="LCH","LCH","OTHER")))</f>
        <v/>
      </c>
      <c r="AD855" s="4">
        <f>MAX(0,Q855-MAX(0,Z855))</f>
        <v/>
      </c>
      <c r="AE855" s="4">
        <f>MAX(0,R855-MAX(0,Z855-SUM(Q855:Q855)))</f>
        <v/>
      </c>
      <c r="AF855" s="4">
        <f>MAX(0,S855-MAX(0,Z855-SUM(Q855:R855)))</f>
        <v/>
      </c>
      <c r="AG855" s="4">
        <f>MAX(0,T855-MAX(0,Z855-SUM(Q855:S855)))</f>
        <v/>
      </c>
      <c r="AH855" s="4">
        <f>MAX(0,U855-MAX(0,Z855-SUM(Q855:T855)))</f>
        <v/>
      </c>
      <c r="AI855" s="4">
        <f>MAX(0,V855-MAX(0,Z855-SUM(Q855:U855)))</f>
        <v/>
      </c>
      <c r="AJ855" s="4">
        <f>MAX(0,W855-MAX(0,Z855-SUM(Q855:V855)))</f>
        <v/>
      </c>
      <c r="AK855" s="4">
        <f>MAX(0,X855-MAX(0,Z855-SUM(Q855:W855)))</f>
        <v/>
      </c>
      <c r="AL855" s="4">
        <f>MAX(0,Y855-MAX(0,Z855-SUM(Q855:X855)))</f>
        <v/>
      </c>
    </row>
    <row r="856">
      <c r="A856" s="4" t="inlineStr">
        <is>
          <t>HASLS22260902492</t>
        </is>
      </c>
      <c r="B856" s="4" t="inlineStr">
        <is>
          <t>HMVY</t>
        </is>
      </c>
      <c r="C856" s="4" t="inlineStr">
        <is>
          <t>2609N</t>
        </is>
      </c>
      <c r="D856" s="4" t="inlineStr">
        <is>
          <t>202610200330</t>
        </is>
      </c>
      <c r="E856" s="4" t="inlineStr"/>
      <c r="F856" s="4" t="inlineStr">
        <is>
          <t>THLCH</t>
        </is>
      </c>
      <c r="G856" s="4" t="inlineStr">
        <is>
          <t>CNSHA</t>
        </is>
      </c>
      <c r="H856" s="4" t="inlineStr">
        <is>
          <t xml:space="preserve">20'x6 </t>
        </is>
      </c>
      <c r="I856" s="4" t="inlineStr">
        <is>
          <t>LCHY5</t>
        </is>
      </c>
      <c r="J856" s="4" t="inlineStr">
        <is>
          <t>PW DEPOT CO., LTD.</t>
        </is>
      </c>
      <c r="K856" s="4" t="inlineStr">
        <is>
          <t>20261009</t>
        </is>
      </c>
      <c r="L856" s="4" t="inlineStr">
        <is>
          <t>SCGJWD LOGISTICS PUBLIC COMPANY LIMITED</t>
        </is>
      </c>
      <c r="M856" s="4" t="inlineStr">
        <is>
          <t>THAI POLYETHYLENE CO., LTD.</t>
        </is>
      </c>
      <c r="N856" s="4" t="inlineStr">
        <is>
          <t>RESIN</t>
        </is>
      </c>
      <c r="O856" s="4" t="inlineStr">
        <is>
          <t>REQ GOOD AND CLEAN CONT., NO OIL, NO RUSTY</t>
        </is>
      </c>
      <c r="P856" s="4" t="inlineStr">
        <is>
          <t xml:space="preserve">CY-RTN 09-12/10/26 (INV. 3031062392)
SHANGHAI-DTHC, SIG SHIPMENT, 21 DAYS FREE TIME 
CALLING TERMINAL WAI GAO QIAO 
DTHC PREPAID BY SHIPPER
</t>
        </is>
      </c>
      <c r="Q856" s="4" t="n">
        <v>6</v>
      </c>
      <c r="R856" s="4" t="n">
        <v>0</v>
      </c>
      <c r="S856" s="4" t="n">
        <v>0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>
        <f>SUM(Q856:Y856)-Z856</f>
        <v/>
      </c>
      <c r="AC856" s="4">
        <f>IF(I856="","",IF(OR(LEFT(I856,3)="BKK",I856="LCH55"),"BKK",IF(LEFT(I856,3)="LCH","LCH","OTHER")))</f>
        <v/>
      </c>
      <c r="AD856" s="4">
        <f>MAX(0,Q856-MAX(0,Z856))</f>
        <v/>
      </c>
      <c r="AE856" s="4">
        <f>MAX(0,R856-MAX(0,Z856-SUM(Q856:Q856)))</f>
        <v/>
      </c>
      <c r="AF856" s="4">
        <f>MAX(0,S856-MAX(0,Z856-SUM(Q856:R856)))</f>
        <v/>
      </c>
      <c r="AG856" s="4">
        <f>MAX(0,T856-MAX(0,Z856-SUM(Q856:S856)))</f>
        <v/>
      </c>
      <c r="AH856" s="4">
        <f>MAX(0,U856-MAX(0,Z856-SUM(Q856:T856)))</f>
        <v/>
      </c>
      <c r="AI856" s="4">
        <f>MAX(0,V856-MAX(0,Z856-SUM(Q856:U856)))</f>
        <v/>
      </c>
      <c r="AJ856" s="4">
        <f>MAX(0,W856-MAX(0,Z856-SUM(Q856:V856)))</f>
        <v/>
      </c>
      <c r="AK856" s="4">
        <f>MAX(0,X856-MAX(0,Z856-SUM(Q856:W856)))</f>
        <v/>
      </c>
      <c r="AL856" s="4">
        <f>MAX(0,Y856-MAX(0,Z856-SUM(Q856:X856)))</f>
        <v/>
      </c>
    </row>
    <row r="857">
      <c r="A857" s="4" t="inlineStr">
        <is>
          <t>HASLS22260902494</t>
        </is>
      </c>
      <c r="B857" s="4" t="inlineStr">
        <is>
          <t>SWVG</t>
        </is>
      </c>
      <c r="C857" s="4" t="inlineStr">
        <is>
          <t>2612N</t>
        </is>
      </c>
      <c r="D857" s="4" t="inlineStr">
        <is>
          <t>202610070330</t>
        </is>
      </c>
      <c r="E857" s="4" t="inlineStr"/>
      <c r="F857" s="4" t="inlineStr">
        <is>
          <t>THLCH</t>
        </is>
      </c>
      <c r="G857" s="4" t="inlineStr">
        <is>
          <t>CNSHA</t>
        </is>
      </c>
      <c r="H857" s="4" t="inlineStr">
        <is>
          <t xml:space="preserve">40Hx4 </t>
        </is>
      </c>
      <c r="I857" s="4" t="inlineStr">
        <is>
          <t>LCHY5</t>
        </is>
      </c>
      <c r="J857" s="4" t="inlineStr">
        <is>
          <t>PW DEPOT CO., LTD.</t>
        </is>
      </c>
      <c r="K857" s="4" t="inlineStr">
        <is>
          <t>20260930</t>
        </is>
      </c>
      <c r="L857" s="4" t="inlineStr">
        <is>
          <t>SCGJWD LOGISTICS PUBLIC COMPANY LIMITED</t>
        </is>
      </c>
      <c r="M857" s="4" t="inlineStr">
        <is>
          <t>THAI POLYETHYLENE CO., LTD.</t>
        </is>
      </c>
      <c r="N857" s="4" t="inlineStr">
        <is>
          <t>RESIN</t>
        </is>
      </c>
      <c r="O857" s="4" t="inlineStr">
        <is>
          <t>REQ GOOD AND CLEAN CONT., NO OIL, NO RUSTY</t>
        </is>
      </c>
      <c r="P857" s="4" t="inlineStr">
        <is>
          <t>CY 30/09/26 , RTN 02/10/26 (INV. 3031061556)</t>
        </is>
      </c>
      <c r="Q857" s="4" t="n">
        <v>0</v>
      </c>
      <c r="R857" s="4" t="n">
        <v>0</v>
      </c>
      <c r="S857" s="4" t="n">
        <v>4</v>
      </c>
      <c r="T857" s="4" t="n">
        <v>0</v>
      </c>
      <c r="U857" s="4" t="n">
        <v>0</v>
      </c>
      <c r="V857" s="4" t="n">
        <v>0</v>
      </c>
      <c r="W857" s="4" t="n">
        <v>0</v>
      </c>
      <c r="X857" s="4" t="n">
        <v>0</v>
      </c>
      <c r="Y857" s="4" t="n">
        <v>0</v>
      </c>
      <c r="Z857" s="4" t="n">
        <v>0</v>
      </c>
      <c r="AA857" s="4" t="n">
        <v>0</v>
      </c>
      <c r="AB857" s="4">
        <f>SUM(Q857:Y857)-Z857</f>
        <v/>
      </c>
      <c r="AC857" s="4">
        <f>IF(I857="","",IF(OR(LEFT(I857,3)="BKK",I857="LCH55"),"BKK",IF(LEFT(I857,3)="LCH","LCH","OTHER")))</f>
        <v/>
      </c>
      <c r="AD857" s="4">
        <f>MAX(0,Q857-MAX(0,Z857))</f>
        <v/>
      </c>
      <c r="AE857" s="4">
        <f>MAX(0,R857-MAX(0,Z857-SUM(Q857:Q857)))</f>
        <v/>
      </c>
      <c r="AF857" s="4">
        <f>MAX(0,S857-MAX(0,Z857-SUM(Q857:R857)))</f>
        <v/>
      </c>
      <c r="AG857" s="4">
        <f>MAX(0,T857-MAX(0,Z857-SUM(Q857:S857)))</f>
        <v/>
      </c>
      <c r="AH857" s="4">
        <f>MAX(0,U857-MAX(0,Z857-SUM(Q857:T857)))</f>
        <v/>
      </c>
      <c r="AI857" s="4">
        <f>MAX(0,V857-MAX(0,Z857-SUM(Q857:U857)))</f>
        <v/>
      </c>
      <c r="AJ857" s="4">
        <f>MAX(0,W857-MAX(0,Z857-SUM(Q857:V857)))</f>
        <v/>
      </c>
      <c r="AK857" s="4">
        <f>MAX(0,X857-MAX(0,Z857-SUM(Q857:W857)))</f>
        <v/>
      </c>
      <c r="AL857" s="4">
        <f>MAX(0,Y857-MAX(0,Z857-SUM(Q857:X857)))</f>
        <v/>
      </c>
    </row>
    <row r="858">
      <c r="A858" s="4" t="inlineStr">
        <is>
          <t>HASLS22260902495</t>
        </is>
      </c>
      <c r="B858" s="4" t="inlineStr">
        <is>
          <t>SWVG</t>
        </is>
      </c>
      <c r="C858" s="4" t="inlineStr">
        <is>
          <t>2612N</t>
        </is>
      </c>
      <c r="D858" s="4" t="inlineStr">
        <is>
          <t>202610070330</t>
        </is>
      </c>
      <c r="E858" s="4" t="inlineStr"/>
      <c r="F858" s="4" t="inlineStr">
        <is>
          <t>THLCH</t>
        </is>
      </c>
      <c r="G858" s="4" t="inlineStr">
        <is>
          <t>CNSHA</t>
        </is>
      </c>
      <c r="H858" s="4" t="inlineStr">
        <is>
          <t xml:space="preserve">40Hx4 </t>
        </is>
      </c>
      <c r="I858" s="4" t="inlineStr">
        <is>
          <t>LCHY5</t>
        </is>
      </c>
      <c r="J858" s="4" t="inlineStr">
        <is>
          <t>PW DEPOT CO., LTD.</t>
        </is>
      </c>
      <c r="K858" s="4" t="inlineStr">
        <is>
          <t>20260930</t>
        </is>
      </c>
      <c r="L858" s="4" t="inlineStr">
        <is>
          <t>SCGJWD LOGISTICS PUBLIC COMPANY LIMITED</t>
        </is>
      </c>
      <c r="M858" s="4" t="inlineStr">
        <is>
          <t>THAI POLYETHYLENE CO., LTD.</t>
        </is>
      </c>
      <c r="N858" s="4" t="inlineStr">
        <is>
          <t>RESIN</t>
        </is>
      </c>
      <c r="O858" s="4" t="inlineStr">
        <is>
          <t>REQ GOOD AND CLEAN CONT., NO OIL, NO RUSTY</t>
        </is>
      </c>
      <c r="P858" s="4" t="inlineStr">
        <is>
          <t>CY 30/09/26 , RTN 02/10/26 (INV. 3031061079)</t>
        </is>
      </c>
      <c r="Q858" s="4" t="n">
        <v>0</v>
      </c>
      <c r="R858" s="4" t="n">
        <v>0</v>
      </c>
      <c r="S858" s="4" t="n">
        <v>4</v>
      </c>
      <c r="T858" s="4" t="n">
        <v>0</v>
      </c>
      <c r="U858" s="4" t="n">
        <v>0</v>
      </c>
      <c r="V858" s="4" t="n">
        <v>0</v>
      </c>
      <c r="W858" s="4" t="n">
        <v>0</v>
      </c>
      <c r="X858" s="4" t="n">
        <v>0</v>
      </c>
      <c r="Y858" s="4" t="n">
        <v>0</v>
      </c>
      <c r="Z858" s="4" t="n">
        <v>0</v>
      </c>
      <c r="AA858" s="4" t="n">
        <v>0</v>
      </c>
      <c r="AB858" s="4">
        <f>SUM(Q858:Y858)-Z858</f>
        <v/>
      </c>
      <c r="AC858" s="4">
        <f>IF(I858="","",IF(OR(LEFT(I858,3)="BKK",I858="LCH55"),"BKK",IF(LEFT(I858,3)="LCH","LCH","OTHER")))</f>
        <v/>
      </c>
      <c r="AD858" s="4">
        <f>MAX(0,Q858-MAX(0,Z858))</f>
        <v/>
      </c>
      <c r="AE858" s="4">
        <f>MAX(0,R858-MAX(0,Z858-SUM(Q858:Q858)))</f>
        <v/>
      </c>
      <c r="AF858" s="4">
        <f>MAX(0,S858-MAX(0,Z858-SUM(Q858:R858)))</f>
        <v/>
      </c>
      <c r="AG858" s="4">
        <f>MAX(0,T858-MAX(0,Z858-SUM(Q858:S858)))</f>
        <v/>
      </c>
      <c r="AH858" s="4">
        <f>MAX(0,U858-MAX(0,Z858-SUM(Q858:T858)))</f>
        <v/>
      </c>
      <c r="AI858" s="4">
        <f>MAX(0,V858-MAX(0,Z858-SUM(Q858:U858)))</f>
        <v/>
      </c>
      <c r="AJ858" s="4">
        <f>MAX(0,W858-MAX(0,Z858-SUM(Q858:V858)))</f>
        <v/>
      </c>
      <c r="AK858" s="4">
        <f>MAX(0,X858-MAX(0,Z858-SUM(Q858:W858)))</f>
        <v/>
      </c>
      <c r="AL858" s="4">
        <f>MAX(0,Y858-MAX(0,Z858-SUM(Q858:X858)))</f>
        <v/>
      </c>
    </row>
    <row r="859">
      <c r="A859" s="4" t="inlineStr">
        <is>
          <t>HASLS22260902505</t>
        </is>
      </c>
      <c r="B859" s="4" t="inlineStr">
        <is>
          <t>KMBK</t>
        </is>
      </c>
      <c r="C859" s="4" t="inlineStr">
        <is>
          <t>2611N</t>
        </is>
      </c>
      <c r="D859" s="4" t="inlineStr">
        <is>
          <t>202610040100</t>
        </is>
      </c>
      <c r="E859" s="4" t="inlineStr"/>
      <c r="F859" s="4" t="inlineStr">
        <is>
          <t>THLCH</t>
        </is>
      </c>
      <c r="G859" s="4" t="inlineStr">
        <is>
          <t>RUVVO</t>
        </is>
      </c>
      <c r="H859" s="4" t="inlineStr">
        <is>
          <t xml:space="preserve">40Hx1 </t>
        </is>
      </c>
      <c r="I859" s="4" t="inlineStr">
        <is>
          <t>LCHY5</t>
        </is>
      </c>
      <c r="J859" s="4" t="inlineStr">
        <is>
          <t>PW DEPOT CO., LTD.</t>
        </is>
      </c>
      <c r="K859" s="4" t="inlineStr">
        <is>
          <t>20260928</t>
        </is>
      </c>
      <c r="L859" s="4" t="inlineStr">
        <is>
          <t>SRITHAI TOYO LOGISTICS CO., LTD.</t>
        </is>
      </c>
      <c r="M859" s="4" t="inlineStr">
        <is>
          <t>YOKOHAMA TIRE MANUFACTURING (THAILAND) CO., LTD.</t>
        </is>
      </c>
      <c r="N859" s="4" t="inlineStr">
        <is>
          <t>NEW TIRE</t>
        </is>
      </c>
      <c r="O859" s="4" t="inlineStr">
        <is>
          <t>RQST CNTR GRADE A</t>
        </is>
      </c>
      <c r="P859" s="4" t="inlineStr">
        <is>
          <t xml:space="preserve">CY-RTN : 28-30/09/2026 *1ST RETURN CNTR DD.30/09/2026*
RQST CNTR GRADE A
REF : WK40
</t>
        </is>
      </c>
      <c r="Q859" s="4" t="n">
        <v>0</v>
      </c>
      <c r="R859" s="4" t="n">
        <v>0</v>
      </c>
      <c r="S859" s="4" t="n">
        <v>1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>
        <f>SUM(Q859:Y859)-Z859</f>
        <v/>
      </c>
      <c r="AC859" s="4">
        <f>IF(I859="","",IF(OR(LEFT(I859,3)="BKK",I859="LCH55"),"BKK",IF(LEFT(I859,3)="LCH","LCH","OTHER")))</f>
        <v/>
      </c>
      <c r="AD859" s="4">
        <f>MAX(0,Q859-MAX(0,Z859))</f>
        <v/>
      </c>
      <c r="AE859" s="4">
        <f>MAX(0,R859-MAX(0,Z859-SUM(Q859:Q859)))</f>
        <v/>
      </c>
      <c r="AF859" s="4">
        <f>MAX(0,S859-MAX(0,Z859-SUM(Q859:R859)))</f>
        <v/>
      </c>
      <c r="AG859" s="4">
        <f>MAX(0,T859-MAX(0,Z859-SUM(Q859:S859)))</f>
        <v/>
      </c>
      <c r="AH859" s="4">
        <f>MAX(0,U859-MAX(0,Z859-SUM(Q859:T859)))</f>
        <v/>
      </c>
      <c r="AI859" s="4">
        <f>MAX(0,V859-MAX(0,Z859-SUM(Q859:U859)))</f>
        <v/>
      </c>
      <c r="AJ859" s="4">
        <f>MAX(0,W859-MAX(0,Z859-SUM(Q859:V859)))</f>
        <v/>
      </c>
      <c r="AK859" s="4">
        <f>MAX(0,X859-MAX(0,Z859-SUM(Q859:W859)))</f>
        <v/>
      </c>
      <c r="AL859" s="4">
        <f>MAX(0,Y859-MAX(0,Z859-SUM(Q859:X859)))</f>
        <v/>
      </c>
    </row>
    <row r="860">
      <c r="A860" s="4" t="inlineStr">
        <is>
          <t>HASLS22260902511</t>
        </is>
      </c>
      <c r="B860" s="4" t="inlineStr">
        <is>
          <t>SWSP</t>
        </is>
      </c>
      <c r="C860" s="4" t="inlineStr">
        <is>
          <t>2609N</t>
        </is>
      </c>
      <c r="D860" s="4" t="inlineStr">
        <is>
          <t>202610080830</t>
        </is>
      </c>
      <c r="E860" s="4" t="inlineStr"/>
      <c r="F860" s="4" t="inlineStr">
        <is>
          <t>THLCH</t>
        </is>
      </c>
      <c r="G860" s="4" t="inlineStr">
        <is>
          <t>VNSGN</t>
        </is>
      </c>
      <c r="H860" s="4" t="inlineStr">
        <is>
          <t xml:space="preserve">40Hx1 </t>
        </is>
      </c>
      <c r="I860" s="4" t="inlineStr">
        <is>
          <t>LCHY5</t>
        </is>
      </c>
      <c r="J860" s="4" t="inlineStr">
        <is>
          <t>PW DEPOT CO., LTD.</t>
        </is>
      </c>
      <c r="K860" s="4" t="inlineStr">
        <is>
          <t>20260930</t>
        </is>
      </c>
      <c r="L860" s="4" t="inlineStr">
        <is>
          <t>BEE LOGISTICS (THAILAND) CO., LTD.</t>
        </is>
      </c>
      <c r="M860" s="4" t="inlineStr">
        <is>
          <t>GOODSCOUR INDUSTRIAL CO., LTD.</t>
        </is>
      </c>
      <c r="N860" s="4" t="inlineStr">
        <is>
          <t>HOUSEHOLD PRODUCTS SCOURING PAD (POLYESTER)</t>
        </is>
      </c>
      <c r="O860" s="4" t="inlineStr">
        <is>
          <t>GOOD AND CLEAN CONTAINER</t>
        </is>
      </c>
      <c r="P860" s="4" t="inlineStr">
        <is>
          <t xml:space="preserve">Pickup : 2026-09-30, Return : 2026-10-01 (1ST RTN 04/10 W/O RENT) 
 ** PLEASE CHECK OPEN GATE BEFORE RETURN CNTR **
</t>
        </is>
      </c>
      <c r="Q860" s="4" t="n">
        <v>0</v>
      </c>
      <c r="R860" s="4" t="n">
        <v>0</v>
      </c>
      <c r="S860" s="4" t="n">
        <v>1</v>
      </c>
      <c r="T860" s="4" t="n">
        <v>0</v>
      </c>
      <c r="U860" s="4" t="n">
        <v>0</v>
      </c>
      <c r="V860" s="4" t="n">
        <v>0</v>
      </c>
      <c r="W860" s="4" t="n">
        <v>0</v>
      </c>
      <c r="X860" s="4" t="n">
        <v>0</v>
      </c>
      <c r="Y860" s="4" t="n">
        <v>0</v>
      </c>
      <c r="Z860" s="4" t="n">
        <v>0</v>
      </c>
      <c r="AA860" s="4" t="n">
        <v>0</v>
      </c>
      <c r="AB860" s="4">
        <f>SUM(Q860:Y860)-Z860</f>
        <v/>
      </c>
      <c r="AC860" s="4">
        <f>IF(I860="","",IF(OR(LEFT(I860,3)="BKK",I860="LCH55"),"BKK",IF(LEFT(I860,3)="LCH","LCH","OTHER")))</f>
        <v/>
      </c>
      <c r="AD860" s="4">
        <f>MAX(0,Q860-MAX(0,Z860))</f>
        <v/>
      </c>
      <c r="AE860" s="4">
        <f>MAX(0,R860-MAX(0,Z860-SUM(Q860:Q860)))</f>
        <v/>
      </c>
      <c r="AF860" s="4">
        <f>MAX(0,S860-MAX(0,Z860-SUM(Q860:R860)))</f>
        <v/>
      </c>
      <c r="AG860" s="4">
        <f>MAX(0,T860-MAX(0,Z860-SUM(Q860:S860)))</f>
        <v/>
      </c>
      <c r="AH860" s="4">
        <f>MAX(0,U860-MAX(0,Z860-SUM(Q860:T860)))</f>
        <v/>
      </c>
      <c r="AI860" s="4">
        <f>MAX(0,V860-MAX(0,Z860-SUM(Q860:U860)))</f>
        <v/>
      </c>
      <c r="AJ860" s="4">
        <f>MAX(0,W860-MAX(0,Z860-SUM(Q860:V860)))</f>
        <v/>
      </c>
      <c r="AK860" s="4">
        <f>MAX(0,X860-MAX(0,Z860-SUM(Q860:W860)))</f>
        <v/>
      </c>
      <c r="AL860" s="4">
        <f>MAX(0,Y860-MAX(0,Z860-SUM(Q860:X860)))</f>
        <v/>
      </c>
    </row>
    <row r="861">
      <c r="A861" s="4" t="inlineStr">
        <is>
          <t>HASLS22260902515</t>
        </is>
      </c>
      <c r="B861" s="4" t="inlineStr">
        <is>
          <t>CMA</t>
        </is>
      </c>
      <c r="C861" s="4" t="inlineStr">
        <is>
          <t>2615N</t>
        </is>
      </c>
      <c r="D861" s="4" t="inlineStr">
        <is>
          <t>202610181600</t>
        </is>
      </c>
      <c r="E861" s="4" t="inlineStr"/>
      <c r="F861" s="4" t="inlineStr">
        <is>
          <t>THLCH</t>
        </is>
      </c>
      <c r="G861" s="4" t="inlineStr">
        <is>
          <t>HKHKG</t>
        </is>
      </c>
      <c r="H861" s="4" t="inlineStr">
        <is>
          <t xml:space="preserve">40Hx2 </t>
        </is>
      </c>
      <c r="I861" s="4" t="inlineStr">
        <is>
          <t>LCHY5</t>
        </is>
      </c>
      <c r="J861" s="4" t="inlineStr">
        <is>
          <t>PW DEPOT CO., LTD.</t>
        </is>
      </c>
      <c r="K861" s="4" t="inlineStr">
        <is>
          <t>20261016</t>
        </is>
      </c>
      <c r="L861" s="4" t="inlineStr">
        <is>
          <t>DOLPHIN LOGISTICS (THAILAND) CO., LTD.</t>
        </is>
      </c>
      <c r="M861" s="4" t="inlineStr">
        <is>
          <t>PRIMAX ELECTRONICS (THAILAND) CO.,LTD.</t>
        </is>
      </c>
      <c r="N861" s="4" t="inlineStr">
        <is>
          <t>GAMING MOUSE</t>
        </is>
      </c>
      <c r="O861" s="4" t="inlineStr">
        <is>
          <t>request good, clean and no leak container</t>
        </is>
      </c>
      <c r="P861" s="4" t="inlineStr">
        <is>
          <t xml:space="preserve">Pickup : 2026-10-16, Return : 2026-10-16
** PLEASE CHECK OPEN GATE BEFORE RETURN CNTR **
</t>
        </is>
      </c>
      <c r="Q861" s="4" t="n">
        <v>0</v>
      </c>
      <c r="R861" s="4" t="n">
        <v>0</v>
      </c>
      <c r="S861" s="4" t="n">
        <v>2</v>
      </c>
      <c r="T861" s="4" t="n">
        <v>0</v>
      </c>
      <c r="U861" s="4" t="n">
        <v>0</v>
      </c>
      <c r="V861" s="4" t="n">
        <v>0</v>
      </c>
      <c r="W861" s="4" t="n">
        <v>0</v>
      </c>
      <c r="X861" s="4" t="n">
        <v>0</v>
      </c>
      <c r="Y861" s="4" t="n">
        <v>0</v>
      </c>
      <c r="Z861" s="4" t="n">
        <v>0</v>
      </c>
      <c r="AA861" s="4" t="n">
        <v>0</v>
      </c>
      <c r="AB861" s="4">
        <f>SUM(Q861:Y861)-Z861</f>
        <v/>
      </c>
      <c r="AC861" s="4">
        <f>IF(I861="","",IF(OR(LEFT(I861,3)="BKK",I861="LCH55"),"BKK",IF(LEFT(I861,3)="LCH","LCH","OTHER")))</f>
        <v/>
      </c>
      <c r="AD861" s="4">
        <f>MAX(0,Q861-MAX(0,Z861))</f>
        <v/>
      </c>
      <c r="AE861" s="4">
        <f>MAX(0,R861-MAX(0,Z861-SUM(Q861:Q861)))</f>
        <v/>
      </c>
      <c r="AF861" s="4">
        <f>MAX(0,S861-MAX(0,Z861-SUM(Q861:R861)))</f>
        <v/>
      </c>
      <c r="AG861" s="4">
        <f>MAX(0,T861-MAX(0,Z861-SUM(Q861:S861)))</f>
        <v/>
      </c>
      <c r="AH861" s="4">
        <f>MAX(0,U861-MAX(0,Z861-SUM(Q861:T861)))</f>
        <v/>
      </c>
      <c r="AI861" s="4">
        <f>MAX(0,V861-MAX(0,Z861-SUM(Q861:U861)))</f>
        <v/>
      </c>
      <c r="AJ861" s="4">
        <f>MAX(0,W861-MAX(0,Z861-SUM(Q861:V861)))</f>
        <v/>
      </c>
      <c r="AK861" s="4">
        <f>MAX(0,X861-MAX(0,Z861-SUM(Q861:W861)))</f>
        <v/>
      </c>
      <c r="AL861" s="4">
        <f>MAX(0,Y861-MAX(0,Z861-SUM(Q861:X861)))</f>
        <v/>
      </c>
    </row>
    <row r="862">
      <c r="A862" s="4" t="inlineStr">
        <is>
          <t>HASLS22260902522</t>
        </is>
      </c>
      <c r="B862" s="4" t="inlineStr">
        <is>
          <t>SWVG</t>
        </is>
      </c>
      <c r="C862" s="4" t="inlineStr">
        <is>
          <t>2612N</t>
        </is>
      </c>
      <c r="D862" s="4" t="inlineStr">
        <is>
          <t>202610070330</t>
        </is>
      </c>
      <c r="E862" s="4" t="inlineStr"/>
      <c r="F862" s="4" t="inlineStr">
        <is>
          <t>THLCH</t>
        </is>
      </c>
      <c r="G862" s="4" t="inlineStr">
        <is>
          <t>CNSHA</t>
        </is>
      </c>
      <c r="H862" s="4" t="inlineStr">
        <is>
          <t xml:space="preserve">40Hx2 </t>
        </is>
      </c>
      <c r="I862" s="4" t="inlineStr">
        <is>
          <t>LCHY5</t>
        </is>
      </c>
      <c r="J862" s="4" t="inlineStr">
        <is>
          <t>PW DEPOT CO., LTD.</t>
        </is>
      </c>
      <c r="K862" s="4" t="inlineStr">
        <is>
          <t>20261002</t>
        </is>
      </c>
      <c r="L862" s="4" t="inlineStr">
        <is>
          <t>AWOT GLOBAL LOGISTICS (THAILAND) CO., LTD.</t>
        </is>
      </c>
      <c r="M862" s="4" t="inlineStr">
        <is>
          <t>PACIFIC PRECISION FORGING TECHNOLOGY(THAILAND) CO.,LTD.</t>
        </is>
      </c>
      <c r="N862" s="4" t="inlineStr">
        <is>
          <t xml:space="preserve">GEAR PARTS </t>
        </is>
      </c>
      <c r="O862" s="4" t="inlineStr">
        <is>
          <t>GOOD AND CLEAN CONTAINER</t>
        </is>
      </c>
      <c r="P862" s="4" t="inlineStr">
        <is>
          <t>Pickup : 2026-10-02, Return : 2026-10-03</t>
        </is>
      </c>
      <c r="Q862" s="4" t="n">
        <v>0</v>
      </c>
      <c r="R862" s="4" t="n">
        <v>0</v>
      </c>
      <c r="S862" s="4" t="n">
        <v>2</v>
      </c>
      <c r="T862" s="4" t="n">
        <v>0</v>
      </c>
      <c r="U862" s="4" t="n">
        <v>0</v>
      </c>
      <c r="V862" s="4" t="n">
        <v>0</v>
      </c>
      <c r="W862" s="4" t="n">
        <v>0</v>
      </c>
      <c r="X862" s="4" t="n">
        <v>0</v>
      </c>
      <c r="Y862" s="4" t="n">
        <v>0</v>
      </c>
      <c r="Z862" s="4" t="n">
        <v>0</v>
      </c>
      <c r="AA862" s="4" t="n">
        <v>0</v>
      </c>
      <c r="AB862" s="4">
        <f>SUM(Q862:Y862)-Z862</f>
        <v/>
      </c>
      <c r="AC862" s="4">
        <f>IF(I862="","",IF(OR(LEFT(I862,3)="BKK",I862="LCH55"),"BKK",IF(LEFT(I862,3)="LCH","LCH","OTHER")))</f>
        <v/>
      </c>
      <c r="AD862" s="4">
        <f>MAX(0,Q862-MAX(0,Z862))</f>
        <v/>
      </c>
      <c r="AE862" s="4">
        <f>MAX(0,R862-MAX(0,Z862-SUM(Q862:Q862)))</f>
        <v/>
      </c>
      <c r="AF862" s="4">
        <f>MAX(0,S862-MAX(0,Z862-SUM(Q862:R862)))</f>
        <v/>
      </c>
      <c r="AG862" s="4">
        <f>MAX(0,T862-MAX(0,Z862-SUM(Q862:S862)))</f>
        <v/>
      </c>
      <c r="AH862" s="4">
        <f>MAX(0,U862-MAX(0,Z862-SUM(Q862:T862)))</f>
        <v/>
      </c>
      <c r="AI862" s="4">
        <f>MAX(0,V862-MAX(0,Z862-SUM(Q862:U862)))</f>
        <v/>
      </c>
      <c r="AJ862" s="4">
        <f>MAX(0,W862-MAX(0,Z862-SUM(Q862:V862)))</f>
        <v/>
      </c>
      <c r="AK862" s="4">
        <f>MAX(0,X862-MAX(0,Z862-SUM(Q862:W862)))</f>
        <v/>
      </c>
      <c r="AL862" s="4">
        <f>MAX(0,Y862-MAX(0,Z862-SUM(Q862:X862)))</f>
        <v/>
      </c>
    </row>
    <row r="863">
      <c r="A863" s="4" t="inlineStr">
        <is>
          <t>HASLS22260902542</t>
        </is>
      </c>
      <c r="B863" s="4" t="inlineStr">
        <is>
          <t>SWDN</t>
        </is>
      </c>
      <c r="C863" s="4" t="inlineStr">
        <is>
          <t>2610N</t>
        </is>
      </c>
      <c r="D863" s="4" t="inlineStr">
        <is>
          <t>202610070300</t>
        </is>
      </c>
      <c r="E863" s="4" t="inlineStr"/>
      <c r="F863" s="4" t="inlineStr">
        <is>
          <t>THLCH</t>
        </is>
      </c>
      <c r="G863" s="4" t="inlineStr">
        <is>
          <t>KRINC</t>
        </is>
      </c>
      <c r="H863" s="4" t="inlineStr">
        <is>
          <t xml:space="preserve">20'x1 </t>
        </is>
      </c>
      <c r="I863" s="4" t="inlineStr">
        <is>
          <t>LCHY5</t>
        </is>
      </c>
      <c r="J863" s="4" t="inlineStr">
        <is>
          <t>PW DEPOT CO., LTD.</t>
        </is>
      </c>
      <c r="K863" s="4" t="inlineStr">
        <is>
          <t>20261001</t>
        </is>
      </c>
      <c r="L863" s="4" t="inlineStr">
        <is>
          <t>MAXTOP LOGISTICS (THAILAND) CO., LTD.</t>
        </is>
      </c>
      <c r="M863" s="4" t="inlineStr">
        <is>
          <t>ALLIANCE LAUNDRY (THAILAND) CO., LTD.</t>
        </is>
      </c>
      <c r="N863" s="4" t="inlineStr">
        <is>
          <t>SELF SERVICE WASHERS AND TUMBLE DRYERS</t>
        </is>
      </c>
      <c r="O863" s="4" t="inlineStr">
        <is>
          <t>GOOD AND CLEAN CONTAINER</t>
        </is>
      </c>
      <c r="P863" s="4" t="inlineStr">
        <is>
          <t xml:space="preserve">Pickup : 2026-10-01, Return : 2026-10-03 
 ** PLEASE CHECK OPEN GATE BEFORE RETURN CNTR **
</t>
        </is>
      </c>
      <c r="Q863" s="4" t="n">
        <v>1</v>
      </c>
      <c r="R863" s="4" t="n">
        <v>0</v>
      </c>
      <c r="S863" s="4" t="n">
        <v>0</v>
      </c>
      <c r="T863" s="4" t="n">
        <v>0</v>
      </c>
      <c r="U863" s="4" t="n">
        <v>0</v>
      </c>
      <c r="V863" s="4" t="n">
        <v>0</v>
      </c>
      <c r="W863" s="4" t="n">
        <v>0</v>
      </c>
      <c r="X863" s="4" t="n">
        <v>0</v>
      </c>
      <c r="Y863" s="4" t="n">
        <v>0</v>
      </c>
      <c r="Z863" s="4" t="n">
        <v>0</v>
      </c>
      <c r="AA863" s="4" t="n">
        <v>0</v>
      </c>
      <c r="AB863" s="4">
        <f>SUM(Q863:Y863)-Z863</f>
        <v/>
      </c>
      <c r="AC863" s="4">
        <f>IF(I863="","",IF(OR(LEFT(I863,3)="BKK",I863="LCH55"),"BKK",IF(LEFT(I863,3)="LCH","LCH","OTHER")))</f>
        <v/>
      </c>
      <c r="AD863" s="4">
        <f>MAX(0,Q863-MAX(0,Z863))</f>
        <v/>
      </c>
      <c r="AE863" s="4">
        <f>MAX(0,R863-MAX(0,Z863-SUM(Q863:Q863)))</f>
        <v/>
      </c>
      <c r="AF863" s="4">
        <f>MAX(0,S863-MAX(0,Z863-SUM(Q863:R863)))</f>
        <v/>
      </c>
      <c r="AG863" s="4">
        <f>MAX(0,T863-MAX(0,Z863-SUM(Q863:S863)))</f>
        <v/>
      </c>
      <c r="AH863" s="4">
        <f>MAX(0,U863-MAX(0,Z863-SUM(Q863:T863)))</f>
        <v/>
      </c>
      <c r="AI863" s="4">
        <f>MAX(0,V863-MAX(0,Z863-SUM(Q863:U863)))</f>
        <v/>
      </c>
      <c r="AJ863" s="4">
        <f>MAX(0,W863-MAX(0,Z863-SUM(Q863:V863)))</f>
        <v/>
      </c>
      <c r="AK863" s="4">
        <f>MAX(0,X863-MAX(0,Z863-SUM(Q863:W863)))</f>
        <v/>
      </c>
      <c r="AL863" s="4">
        <f>MAX(0,Y863-MAX(0,Z863-SUM(Q863:X863)))</f>
        <v/>
      </c>
    </row>
    <row r="864">
      <c r="A864" s="4" t="inlineStr">
        <is>
          <t>HASLS22260902543</t>
        </is>
      </c>
      <c r="B864" s="4" t="inlineStr">
        <is>
          <t>SWAL</t>
        </is>
      </c>
      <c r="C864" s="4" t="inlineStr">
        <is>
          <t>2609N</t>
        </is>
      </c>
      <c r="D864" s="4" t="inlineStr">
        <is>
          <t>202610200800</t>
        </is>
      </c>
      <c r="E864" s="4" t="inlineStr"/>
      <c r="F864" s="4" t="inlineStr">
        <is>
          <t>THLCH</t>
        </is>
      </c>
      <c r="G864" s="4" t="inlineStr">
        <is>
          <t>VNSGN</t>
        </is>
      </c>
      <c r="H864" s="4" t="inlineStr">
        <is>
          <t xml:space="preserve">40Hx1 </t>
        </is>
      </c>
      <c r="I864" s="4" t="inlineStr">
        <is>
          <t>LCHY5</t>
        </is>
      </c>
      <c r="J864" s="4" t="inlineStr">
        <is>
          <t>PW DEPOT CO., LTD.</t>
        </is>
      </c>
      <c r="K864" s="4" t="inlineStr">
        <is>
          <t>20261009</t>
        </is>
      </c>
      <c r="L864" s="4" t="inlineStr">
        <is>
          <t>SCGJWD LOGISTICS PUBLIC COMPANY LIMITED</t>
        </is>
      </c>
      <c r="M864" s="4" t="inlineStr">
        <is>
          <t>THAI POLYETHYLENE CO., LTD.</t>
        </is>
      </c>
      <c r="N864" s="4" t="inlineStr">
        <is>
          <t>RESIN</t>
        </is>
      </c>
      <c r="O864" s="4" t="inlineStr">
        <is>
          <t>REQ. RESIN-PALLET,CLEAN CONTAINER NO OIL STAINS</t>
        </is>
      </c>
      <c r="P864" s="4" t="inlineStr">
        <is>
          <t xml:space="preserve">CY-RTN 09-12/10/26 (1ST RETURN 14/09/26)ref. 3031062524 </t>
        </is>
      </c>
      <c r="Q864" s="4" t="n">
        <v>0</v>
      </c>
      <c r="R864" s="4" t="n">
        <v>0</v>
      </c>
      <c r="S864" s="4" t="n">
        <v>1</v>
      </c>
      <c r="T864" s="4" t="n">
        <v>0</v>
      </c>
      <c r="U864" s="4" t="n">
        <v>0</v>
      </c>
      <c r="V864" s="4" t="n">
        <v>0</v>
      </c>
      <c r="W864" s="4" t="n">
        <v>0</v>
      </c>
      <c r="X864" s="4" t="n">
        <v>0</v>
      </c>
      <c r="Y864" s="4" t="n">
        <v>0</v>
      </c>
      <c r="Z864" s="4" t="n">
        <v>0</v>
      </c>
      <c r="AA864" s="4" t="n">
        <v>0</v>
      </c>
      <c r="AB864" s="4">
        <f>SUM(Q864:Y864)-Z864</f>
        <v/>
      </c>
      <c r="AC864" s="4">
        <f>IF(I864="","",IF(OR(LEFT(I864,3)="BKK",I864="LCH55"),"BKK",IF(LEFT(I864,3)="LCH","LCH","OTHER")))</f>
        <v/>
      </c>
      <c r="AD864" s="4">
        <f>MAX(0,Q864-MAX(0,Z864))</f>
        <v/>
      </c>
      <c r="AE864" s="4">
        <f>MAX(0,R864-MAX(0,Z864-SUM(Q864:Q864)))</f>
        <v/>
      </c>
      <c r="AF864" s="4">
        <f>MAX(0,S864-MAX(0,Z864-SUM(Q864:R864)))</f>
        <v/>
      </c>
      <c r="AG864" s="4">
        <f>MAX(0,T864-MAX(0,Z864-SUM(Q864:S864)))</f>
        <v/>
      </c>
      <c r="AH864" s="4">
        <f>MAX(0,U864-MAX(0,Z864-SUM(Q864:T864)))</f>
        <v/>
      </c>
      <c r="AI864" s="4">
        <f>MAX(0,V864-MAX(0,Z864-SUM(Q864:U864)))</f>
        <v/>
      </c>
      <c r="AJ864" s="4">
        <f>MAX(0,W864-MAX(0,Z864-SUM(Q864:V864)))</f>
        <v/>
      </c>
      <c r="AK864" s="4">
        <f>MAX(0,X864-MAX(0,Z864-SUM(Q864:W864)))</f>
        <v/>
      </c>
      <c r="AL864" s="4">
        <f>MAX(0,Y864-MAX(0,Z864-SUM(Q864:X864)))</f>
        <v/>
      </c>
    </row>
    <row r="865">
      <c r="A865" s="4" t="inlineStr">
        <is>
          <t>HASLS22260902544</t>
        </is>
      </c>
      <c r="B865" s="4" t="inlineStr">
        <is>
          <t>SWAL</t>
        </is>
      </c>
      <c r="C865" s="4" t="inlineStr">
        <is>
          <t>2609N</t>
        </is>
      </c>
      <c r="D865" s="4" t="inlineStr">
        <is>
          <t>202610200800</t>
        </is>
      </c>
      <c r="E865" s="4" t="inlineStr"/>
      <c r="F865" s="4" t="inlineStr">
        <is>
          <t>THLCH</t>
        </is>
      </c>
      <c r="G865" s="4" t="inlineStr">
        <is>
          <t>VNSGN</t>
        </is>
      </c>
      <c r="H865" s="4" t="inlineStr">
        <is>
          <t xml:space="preserve">40Hx4 </t>
        </is>
      </c>
      <c r="I865" s="4" t="inlineStr">
        <is>
          <t>LCHY5</t>
        </is>
      </c>
      <c r="J865" s="4" t="inlineStr">
        <is>
          <t>PW DEPOT CO., LTD.</t>
        </is>
      </c>
      <c r="K865" s="4" t="inlineStr">
        <is>
          <t>20261009</t>
        </is>
      </c>
      <c r="L865" s="4" t="inlineStr">
        <is>
          <t>SCGJWD LOGISTICS PUBLIC COMPANY LIMITED</t>
        </is>
      </c>
      <c r="M865" s="4" t="inlineStr">
        <is>
          <t>THAI POLYETHYLENE CO., LTD.</t>
        </is>
      </c>
      <c r="N865" s="4" t="inlineStr">
        <is>
          <t>RESIN</t>
        </is>
      </c>
      <c r="O865" s="4" t="inlineStr">
        <is>
          <t>REQ. RESIN-PALLET,CLEAN CONTAINER NO OIL STAINS</t>
        </is>
      </c>
      <c r="P865" s="4" t="inlineStr">
        <is>
          <t>CY-RTN 09-12/10/26 (1ST RETURN 14/09/26)Ref. 3031062522</t>
        </is>
      </c>
      <c r="Q865" s="4" t="n">
        <v>0</v>
      </c>
      <c r="R865" s="4" t="n">
        <v>0</v>
      </c>
      <c r="S865" s="4" t="n">
        <v>4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>
        <f>SUM(Q865:Y865)-Z865</f>
        <v/>
      </c>
      <c r="AC865" s="4">
        <f>IF(I865="","",IF(OR(LEFT(I865,3)="BKK",I865="LCH55"),"BKK",IF(LEFT(I865,3)="LCH","LCH","OTHER")))</f>
        <v/>
      </c>
      <c r="AD865" s="4">
        <f>MAX(0,Q865-MAX(0,Z865))</f>
        <v/>
      </c>
      <c r="AE865" s="4">
        <f>MAX(0,R865-MAX(0,Z865-SUM(Q865:Q865)))</f>
        <v/>
      </c>
      <c r="AF865" s="4">
        <f>MAX(0,S865-MAX(0,Z865-SUM(Q865:R865)))</f>
        <v/>
      </c>
      <c r="AG865" s="4">
        <f>MAX(0,T865-MAX(0,Z865-SUM(Q865:S865)))</f>
        <v/>
      </c>
      <c r="AH865" s="4">
        <f>MAX(0,U865-MAX(0,Z865-SUM(Q865:T865)))</f>
        <v/>
      </c>
      <c r="AI865" s="4">
        <f>MAX(0,V865-MAX(0,Z865-SUM(Q865:U865)))</f>
        <v/>
      </c>
      <c r="AJ865" s="4">
        <f>MAX(0,W865-MAX(0,Z865-SUM(Q865:V865)))</f>
        <v/>
      </c>
      <c r="AK865" s="4">
        <f>MAX(0,X865-MAX(0,Z865-SUM(Q865:W865)))</f>
        <v/>
      </c>
      <c r="AL865" s="4">
        <f>MAX(0,Y865-MAX(0,Z865-SUM(Q865:X865)))</f>
        <v/>
      </c>
    </row>
    <row r="866">
      <c r="A866" s="4" t="inlineStr">
        <is>
          <t>HASLS22260902547</t>
        </is>
      </c>
      <c r="B866" s="4" t="inlineStr">
        <is>
          <t>DJCF</t>
        </is>
      </c>
      <c r="C866" s="4" t="inlineStr">
        <is>
          <t>0152N</t>
        </is>
      </c>
      <c r="D866" s="4" t="inlineStr">
        <is>
          <t>202610120400</t>
        </is>
      </c>
      <c r="E866" s="4" t="inlineStr"/>
      <c r="F866" s="4" t="inlineStr">
        <is>
          <t>THLCH</t>
        </is>
      </c>
      <c r="G866" s="4" t="inlineStr">
        <is>
          <t>VNSGN</t>
        </is>
      </c>
      <c r="H866" s="4" t="inlineStr">
        <is>
          <t xml:space="preserve">40Hx1 </t>
        </is>
      </c>
      <c r="I866" s="4" t="inlineStr">
        <is>
          <t>LCHY5</t>
        </is>
      </c>
      <c r="J866" s="4" t="inlineStr">
        <is>
          <t>PW DEPOT CO., LTD.</t>
        </is>
      </c>
      <c r="K866" s="4" t="inlineStr">
        <is>
          <t>20261007</t>
        </is>
      </c>
      <c r="L866" s="4" t="inlineStr">
        <is>
          <t>BEE LOGISTICS (THAILAND) CO., LTD.</t>
        </is>
      </c>
      <c r="M866" s="4" t="inlineStr">
        <is>
          <t>MAXXIS INTERNATIONAL (THAILAND) CO., LTD.</t>
        </is>
      </c>
      <c r="N866" s="4" t="inlineStr">
        <is>
          <t xml:space="preserve">TYPES </t>
        </is>
      </c>
      <c r="O866" s="4" t="inlineStr">
        <is>
          <t>GOOD AND CLEAN CONTAINER</t>
        </is>
      </c>
      <c r="P866" s="4" t="inlineStr">
        <is>
          <t>Pickup : 2026-10-07, Return : 2026-10-10</t>
        </is>
      </c>
      <c r="Q866" s="4" t="n">
        <v>0</v>
      </c>
      <c r="R866" s="4" t="n">
        <v>0</v>
      </c>
      <c r="S866" s="4" t="n">
        <v>1</v>
      </c>
      <c r="T866" s="4" t="n">
        <v>0</v>
      </c>
      <c r="U866" s="4" t="n">
        <v>0</v>
      </c>
      <c r="V866" s="4" t="n">
        <v>0</v>
      </c>
      <c r="W866" s="4" t="n">
        <v>0</v>
      </c>
      <c r="X866" s="4" t="n">
        <v>0</v>
      </c>
      <c r="Y866" s="4" t="n">
        <v>0</v>
      </c>
      <c r="Z866" s="4" t="n">
        <v>0</v>
      </c>
      <c r="AA866" s="4" t="n">
        <v>0</v>
      </c>
      <c r="AB866" s="4">
        <f>SUM(Q866:Y866)-Z866</f>
        <v/>
      </c>
      <c r="AC866" s="4">
        <f>IF(I866="","",IF(OR(LEFT(I866,3)="BKK",I866="LCH55"),"BKK",IF(LEFT(I866,3)="LCH","LCH","OTHER")))</f>
        <v/>
      </c>
      <c r="AD866" s="4">
        <f>MAX(0,Q866-MAX(0,Z866))</f>
        <v/>
      </c>
      <c r="AE866" s="4">
        <f>MAX(0,R866-MAX(0,Z866-SUM(Q866:Q866)))</f>
        <v/>
      </c>
      <c r="AF866" s="4">
        <f>MAX(0,S866-MAX(0,Z866-SUM(Q866:R866)))</f>
        <v/>
      </c>
      <c r="AG866" s="4">
        <f>MAX(0,T866-MAX(0,Z866-SUM(Q866:S866)))</f>
        <v/>
      </c>
      <c r="AH866" s="4">
        <f>MAX(0,U866-MAX(0,Z866-SUM(Q866:T866)))</f>
        <v/>
      </c>
      <c r="AI866" s="4">
        <f>MAX(0,V866-MAX(0,Z866-SUM(Q866:U866)))</f>
        <v/>
      </c>
      <c r="AJ866" s="4">
        <f>MAX(0,W866-MAX(0,Z866-SUM(Q866:V866)))</f>
        <v/>
      </c>
      <c r="AK866" s="4">
        <f>MAX(0,X866-MAX(0,Z866-SUM(Q866:W866)))</f>
        <v/>
      </c>
      <c r="AL866" s="4">
        <f>MAX(0,Y866-MAX(0,Z866-SUM(Q866:X866)))</f>
        <v/>
      </c>
    </row>
    <row r="867">
      <c r="A867" s="4" t="inlineStr">
        <is>
          <t>HASLS22260902549</t>
        </is>
      </c>
      <c r="B867" s="4" t="inlineStr">
        <is>
          <t>SWAT</t>
        </is>
      </c>
      <c r="C867" s="4" t="inlineStr">
        <is>
          <t>2611N</t>
        </is>
      </c>
      <c r="D867" s="4" t="inlineStr">
        <is>
          <t>202610291500</t>
        </is>
      </c>
      <c r="E867" s="4" t="inlineStr"/>
      <c r="F867" s="4" t="inlineStr">
        <is>
          <t>THLCH</t>
        </is>
      </c>
      <c r="G867" s="4" t="inlineStr">
        <is>
          <t>CNSHK</t>
        </is>
      </c>
      <c r="H867" s="4" t="inlineStr">
        <is>
          <t xml:space="preserve">40Hx1 </t>
        </is>
      </c>
      <c r="I867" s="4" t="inlineStr">
        <is>
          <t>LCHY5</t>
        </is>
      </c>
      <c r="J867" s="4" t="inlineStr">
        <is>
          <t>PW DEPOT CO., LTD.</t>
        </is>
      </c>
      <c r="K867" s="4" t="inlineStr">
        <is>
          <t>20260926</t>
        </is>
      </c>
      <c r="L867" s="4" t="inlineStr">
        <is>
          <t>AWOT GLOBAL LOGISTICS (THAILAND) CO., LTD.</t>
        </is>
      </c>
      <c r="M867" s="4" t="inlineStr">
        <is>
          <t>THAIXING CIRCUITS CO., LTD.</t>
        </is>
      </c>
      <c r="N867" s="4" t="inlineStr">
        <is>
          <t>MULTILAYER PRINTED CIRCUIT BOARD</t>
        </is>
      </c>
      <c r="O867" s="4" t="inlineStr">
        <is>
          <t>GOOD AND CLEAN CONTAINER</t>
        </is>
      </c>
      <c r="P867" s="4" t="inlineStr">
        <is>
          <t>Pickup : 2026-09-26, Return : 2026-09-27</t>
        </is>
      </c>
      <c r="Q867" s="4" t="n">
        <v>0</v>
      </c>
      <c r="R867" s="4" t="n">
        <v>0</v>
      </c>
      <c r="S867" s="4" t="n">
        <v>1</v>
      </c>
      <c r="T867" s="4" t="n">
        <v>0</v>
      </c>
      <c r="U867" s="4" t="n">
        <v>0</v>
      </c>
      <c r="V867" s="4" t="n">
        <v>0</v>
      </c>
      <c r="W867" s="4" t="n">
        <v>0</v>
      </c>
      <c r="X867" s="4" t="n">
        <v>0</v>
      </c>
      <c r="Y867" s="4" t="n">
        <v>0</v>
      </c>
      <c r="Z867" s="4" t="n">
        <v>0</v>
      </c>
      <c r="AA867" s="4" t="n">
        <v>0</v>
      </c>
      <c r="AB867" s="4">
        <f>SUM(Q867:Y867)-Z867</f>
        <v/>
      </c>
      <c r="AC867" s="4">
        <f>IF(I867="","",IF(OR(LEFT(I867,3)="BKK",I867="LCH55"),"BKK",IF(LEFT(I867,3)="LCH","LCH","OTHER")))</f>
        <v/>
      </c>
      <c r="AD867" s="4">
        <f>MAX(0,Q867-MAX(0,Z867))</f>
        <v/>
      </c>
      <c r="AE867" s="4">
        <f>MAX(0,R867-MAX(0,Z867-SUM(Q867:Q867)))</f>
        <v/>
      </c>
      <c r="AF867" s="4">
        <f>MAX(0,S867-MAX(0,Z867-SUM(Q867:R867)))</f>
        <v/>
      </c>
      <c r="AG867" s="4">
        <f>MAX(0,T867-MAX(0,Z867-SUM(Q867:S867)))</f>
        <v/>
      </c>
      <c r="AH867" s="4">
        <f>MAX(0,U867-MAX(0,Z867-SUM(Q867:T867)))</f>
        <v/>
      </c>
      <c r="AI867" s="4">
        <f>MAX(0,V867-MAX(0,Z867-SUM(Q867:U867)))</f>
        <v/>
      </c>
      <c r="AJ867" s="4">
        <f>MAX(0,W867-MAX(0,Z867-SUM(Q867:V867)))</f>
        <v/>
      </c>
      <c r="AK867" s="4">
        <f>MAX(0,X867-MAX(0,Z867-SUM(Q867:W867)))</f>
        <v/>
      </c>
      <c r="AL867" s="4">
        <f>MAX(0,Y867-MAX(0,Z867-SUM(Q867:X867)))</f>
        <v/>
      </c>
    </row>
    <row r="868">
      <c r="A868" s="4" t="inlineStr">
        <is>
          <t>HASLS22260902550</t>
        </is>
      </c>
      <c r="B868" s="4" t="inlineStr">
        <is>
          <t>SWRG</t>
        </is>
      </c>
      <c r="C868" s="4" t="inlineStr">
        <is>
          <t>2609N</t>
        </is>
      </c>
      <c r="D868" s="4" t="inlineStr">
        <is>
          <t>202610131130</t>
        </is>
      </c>
      <c r="E868" s="4" t="inlineStr"/>
      <c r="F868" s="4" t="inlineStr">
        <is>
          <t>THLCH</t>
        </is>
      </c>
      <c r="G868" s="4" t="inlineStr">
        <is>
          <t>JPSDJ</t>
        </is>
      </c>
      <c r="H868" s="4" t="inlineStr">
        <is>
          <t xml:space="preserve">20'x2 </t>
        </is>
      </c>
      <c r="I868" s="4" t="inlineStr">
        <is>
          <t>LCHY5</t>
        </is>
      </c>
      <c r="J868" s="4" t="inlineStr">
        <is>
          <t>PW DEPOT CO., LTD.</t>
        </is>
      </c>
      <c r="K868" s="4" t="inlineStr">
        <is>
          <t>20261005</t>
        </is>
      </c>
      <c r="L868" s="4" t="inlineStr">
        <is>
          <t>ROJANA DISTRIBUTION CENTER CO., LTD.</t>
        </is>
      </c>
      <c r="M868" s="4" t="inlineStr">
        <is>
          <t>SEI THAI ELECTRIC CONDUCTOR CO., LTD.</t>
        </is>
      </c>
      <c r="N868" s="4" t="inlineStr">
        <is>
          <t>ALUMINUM ALLOY WIRE</t>
        </is>
      </c>
      <c r="O868" s="4" t="inlineStr">
        <is>
          <t>:
Load by forklift, goods-grade container with a smooth and strong floor.</t>
        </is>
      </c>
      <c r="P868" s="4" t="inlineStr">
        <is>
          <t xml:space="preserve">Pickup : 2026-10-05, Return : 2026-10-07
 ** PLEASE CHECK OPEN GATE BEFORE RETURN CNTR **
</t>
        </is>
      </c>
      <c r="Q868" s="4" t="n">
        <v>2</v>
      </c>
      <c r="R868" s="4" t="n">
        <v>0</v>
      </c>
      <c r="S868" s="4" t="n">
        <v>0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>
        <f>SUM(Q868:Y868)-Z868</f>
        <v/>
      </c>
      <c r="AC868" s="4">
        <f>IF(I868="","",IF(OR(LEFT(I868,3)="BKK",I868="LCH55"),"BKK",IF(LEFT(I868,3)="LCH","LCH","OTHER")))</f>
        <v/>
      </c>
      <c r="AD868" s="4">
        <f>MAX(0,Q868-MAX(0,Z868))</f>
        <v/>
      </c>
      <c r="AE868" s="4">
        <f>MAX(0,R868-MAX(0,Z868-SUM(Q868:Q868)))</f>
        <v/>
      </c>
      <c r="AF868" s="4">
        <f>MAX(0,S868-MAX(0,Z868-SUM(Q868:R868)))</f>
        <v/>
      </c>
      <c r="AG868" s="4">
        <f>MAX(0,T868-MAX(0,Z868-SUM(Q868:S868)))</f>
        <v/>
      </c>
      <c r="AH868" s="4">
        <f>MAX(0,U868-MAX(0,Z868-SUM(Q868:T868)))</f>
        <v/>
      </c>
      <c r="AI868" s="4">
        <f>MAX(0,V868-MAX(0,Z868-SUM(Q868:U868)))</f>
        <v/>
      </c>
      <c r="AJ868" s="4">
        <f>MAX(0,W868-MAX(0,Z868-SUM(Q868:V868)))</f>
        <v/>
      </c>
      <c r="AK868" s="4">
        <f>MAX(0,X868-MAX(0,Z868-SUM(Q868:W868)))</f>
        <v/>
      </c>
      <c r="AL868" s="4">
        <f>MAX(0,Y868-MAX(0,Z868-SUM(Q868:X868)))</f>
        <v/>
      </c>
    </row>
    <row r="869">
      <c r="A869" s="4" t="inlineStr">
        <is>
          <t>HASLS22260902562</t>
        </is>
      </c>
      <c r="B869" s="4" t="inlineStr">
        <is>
          <t>YSVY</t>
        </is>
      </c>
      <c r="C869" s="4" t="inlineStr">
        <is>
          <t>2608S</t>
        </is>
      </c>
      <c r="D869" s="4" t="inlineStr">
        <is>
          <t>202610190700</t>
        </is>
      </c>
      <c r="E869" s="4" t="inlineStr"/>
      <c r="F869" s="4" t="inlineStr">
        <is>
          <t>THLCH</t>
        </is>
      </c>
      <c r="G869" s="4" t="inlineStr">
        <is>
          <t>IDJKT</t>
        </is>
      </c>
      <c r="H869" s="4" t="inlineStr">
        <is>
          <t xml:space="preserve">20'x1 </t>
        </is>
      </c>
      <c r="I869" s="4" t="inlineStr">
        <is>
          <t>LCHY5</t>
        </is>
      </c>
      <c r="J869" s="4" t="inlineStr">
        <is>
          <t>PW DEPOT CO., LTD.</t>
        </is>
      </c>
      <c r="K869" s="4" t="inlineStr">
        <is>
          <t>20261015</t>
        </is>
      </c>
      <c r="L869" s="4" t="inlineStr">
        <is>
          <t>YUSEN LOGISTICS (THAILAND) CO., LTD.</t>
        </is>
      </c>
      <c r="M869" s="4" t="inlineStr">
        <is>
          <t>MUNTONS INGREDIENTS (THAILAND) LTD.</t>
        </is>
      </c>
      <c r="N869" s="4" t="inlineStr">
        <is>
          <t>MALT EXTRACT</t>
        </is>
      </c>
      <c r="O869" s="4" t="inlineStr">
        <is>
          <t>GOOD AND CLEAN CONTAINER</t>
        </is>
      </c>
      <c r="P869" s="4" t="inlineStr">
        <is>
          <t>Pickup : 2026-10-15, Return : 2026-10-16</t>
        </is>
      </c>
      <c r="Q869" s="4" t="n">
        <v>1</v>
      </c>
      <c r="R869" s="4" t="n">
        <v>0</v>
      </c>
      <c r="S869" s="4" t="n">
        <v>0</v>
      </c>
      <c r="T869" s="4" t="n">
        <v>0</v>
      </c>
      <c r="U869" s="4" t="n">
        <v>0</v>
      </c>
      <c r="V869" s="4" t="n">
        <v>0</v>
      </c>
      <c r="W869" s="4" t="n">
        <v>0</v>
      </c>
      <c r="X869" s="4" t="n">
        <v>0</v>
      </c>
      <c r="Y869" s="4" t="n">
        <v>0</v>
      </c>
      <c r="Z869" s="4" t="n">
        <v>0</v>
      </c>
      <c r="AA869" s="4" t="n">
        <v>0</v>
      </c>
      <c r="AB869" s="4">
        <f>SUM(Q869:Y869)-Z869</f>
        <v/>
      </c>
      <c r="AC869" s="4">
        <f>IF(I869="","",IF(OR(LEFT(I869,3)="BKK",I869="LCH55"),"BKK",IF(LEFT(I869,3)="LCH","LCH","OTHER")))</f>
        <v/>
      </c>
      <c r="AD869" s="4">
        <f>MAX(0,Q869-MAX(0,Z869))</f>
        <v/>
      </c>
      <c r="AE869" s="4">
        <f>MAX(0,R869-MAX(0,Z869-SUM(Q869:Q869)))</f>
        <v/>
      </c>
      <c r="AF869" s="4">
        <f>MAX(0,S869-MAX(0,Z869-SUM(Q869:R869)))</f>
        <v/>
      </c>
      <c r="AG869" s="4">
        <f>MAX(0,T869-MAX(0,Z869-SUM(Q869:S869)))</f>
        <v/>
      </c>
      <c r="AH869" s="4">
        <f>MAX(0,U869-MAX(0,Z869-SUM(Q869:T869)))</f>
        <v/>
      </c>
      <c r="AI869" s="4">
        <f>MAX(0,V869-MAX(0,Z869-SUM(Q869:U869)))</f>
        <v/>
      </c>
      <c r="AJ869" s="4">
        <f>MAX(0,W869-MAX(0,Z869-SUM(Q869:V869)))</f>
        <v/>
      </c>
      <c r="AK869" s="4">
        <f>MAX(0,X869-MAX(0,Z869-SUM(Q869:W869)))</f>
        <v/>
      </c>
      <c r="AL869" s="4">
        <f>MAX(0,Y869-MAX(0,Z869-SUM(Q869:X869)))</f>
        <v/>
      </c>
    </row>
    <row r="870">
      <c r="A870" s="4" t="inlineStr">
        <is>
          <t>HASLS22260902576</t>
        </is>
      </c>
      <c r="B870" s="4" t="inlineStr">
        <is>
          <t>KMTP</t>
        </is>
      </c>
      <c r="C870" s="4" t="inlineStr">
        <is>
          <t>2612N</t>
        </is>
      </c>
      <c r="D870" s="4" t="inlineStr">
        <is>
          <t>202610122200</t>
        </is>
      </c>
      <c r="E870" s="4" t="inlineStr"/>
      <c r="F870" s="4" t="inlineStr">
        <is>
          <t>THLCH</t>
        </is>
      </c>
      <c r="G870" s="4" t="inlineStr">
        <is>
          <t>HKHKG</t>
        </is>
      </c>
      <c r="H870" s="4" t="inlineStr">
        <is>
          <t xml:space="preserve">20'x1 </t>
        </is>
      </c>
      <c r="I870" s="4" t="inlineStr">
        <is>
          <t>LCHY5</t>
        </is>
      </c>
      <c r="J870" s="4" t="inlineStr">
        <is>
          <t>PW DEPOT CO., LTD.</t>
        </is>
      </c>
      <c r="K870" s="4" t="inlineStr">
        <is>
          <t>20261006</t>
        </is>
      </c>
      <c r="L870" s="4" t="inlineStr">
        <is>
          <t>DOUBLE A (1991) PUBLIC COMPANY LIMITED</t>
        </is>
      </c>
      <c r="M870" s="4" t="inlineStr">
        <is>
          <t>DOUBLE A (1991) PUBLIC COMPANY LIMITED</t>
        </is>
      </c>
      <c r="N870" s="4" t="inlineStr">
        <is>
          <t>PAPER</t>
        </is>
      </c>
      <c r="O870" s="4" t="inlineStr">
        <is>
          <t>GOOD AND CLEAN CONTAINER</t>
        </is>
      </c>
      <c r="P870" s="4" t="inlineStr">
        <is>
          <t>CY-RTN : 06-08/10/2026
REF : PI-HK-TH-DA-26100013
FRT $35, FREE TIME 14/14, DTHC(HKD)2000</t>
        </is>
      </c>
      <c r="Q870" s="4" t="n">
        <v>1</v>
      </c>
      <c r="R870" s="4" t="n">
        <v>0</v>
      </c>
      <c r="S870" s="4" t="n">
        <v>0</v>
      </c>
      <c r="T870" s="4" t="n">
        <v>0</v>
      </c>
      <c r="U870" s="4" t="n">
        <v>0</v>
      </c>
      <c r="V870" s="4" t="n">
        <v>0</v>
      </c>
      <c r="W870" s="4" t="n">
        <v>0</v>
      </c>
      <c r="X870" s="4" t="n">
        <v>0</v>
      </c>
      <c r="Y870" s="4" t="n">
        <v>0</v>
      </c>
      <c r="Z870" s="4" t="n">
        <v>0</v>
      </c>
      <c r="AA870" s="4" t="n">
        <v>0</v>
      </c>
      <c r="AB870" s="4">
        <f>SUM(Q870:Y870)-Z870</f>
        <v/>
      </c>
      <c r="AC870" s="4">
        <f>IF(I870="","",IF(OR(LEFT(I870,3)="BKK",I870="LCH55"),"BKK",IF(LEFT(I870,3)="LCH","LCH","OTHER")))</f>
        <v/>
      </c>
      <c r="AD870" s="4">
        <f>MAX(0,Q870-MAX(0,Z870))</f>
        <v/>
      </c>
      <c r="AE870" s="4">
        <f>MAX(0,R870-MAX(0,Z870-SUM(Q870:Q870)))</f>
        <v/>
      </c>
      <c r="AF870" s="4">
        <f>MAX(0,S870-MAX(0,Z870-SUM(Q870:R870)))</f>
        <v/>
      </c>
      <c r="AG870" s="4">
        <f>MAX(0,T870-MAX(0,Z870-SUM(Q870:S870)))</f>
        <v/>
      </c>
      <c r="AH870" s="4">
        <f>MAX(0,U870-MAX(0,Z870-SUM(Q870:T870)))</f>
        <v/>
      </c>
      <c r="AI870" s="4">
        <f>MAX(0,V870-MAX(0,Z870-SUM(Q870:U870)))</f>
        <v/>
      </c>
      <c r="AJ870" s="4">
        <f>MAX(0,W870-MAX(0,Z870-SUM(Q870:V870)))</f>
        <v/>
      </c>
      <c r="AK870" s="4">
        <f>MAX(0,X870-MAX(0,Z870-SUM(Q870:W870)))</f>
        <v/>
      </c>
      <c r="AL870" s="4">
        <f>MAX(0,Y870-MAX(0,Z870-SUM(Q870:X870)))</f>
        <v/>
      </c>
    </row>
    <row r="871">
      <c r="A871" s="4" t="inlineStr">
        <is>
          <t>HASLS22260902579</t>
        </is>
      </c>
      <c r="B871" s="4" t="inlineStr">
        <is>
          <t>KJT</t>
        </is>
      </c>
      <c r="C871" s="4" t="inlineStr">
        <is>
          <t>2611N</t>
        </is>
      </c>
      <c r="D871" s="4" t="inlineStr">
        <is>
          <t>202610151100</t>
        </is>
      </c>
      <c r="E871" s="4" t="inlineStr"/>
      <c r="F871" s="4" t="inlineStr">
        <is>
          <t>THLCH</t>
        </is>
      </c>
      <c r="G871" s="4" t="inlineStr">
        <is>
          <t>HKHKG</t>
        </is>
      </c>
      <c r="H871" s="4" t="inlineStr">
        <is>
          <t xml:space="preserve">20'x1 </t>
        </is>
      </c>
      <c r="I871" s="4" t="inlineStr">
        <is>
          <t>LCHY5</t>
        </is>
      </c>
      <c r="J871" s="4" t="inlineStr">
        <is>
          <t>PW DEPOT CO., LTD.</t>
        </is>
      </c>
      <c r="K871" s="4" t="inlineStr">
        <is>
          <t>20261009</t>
        </is>
      </c>
      <c r="L871" s="4" t="inlineStr">
        <is>
          <t>DOUBLE A (1991) PUBLIC COMPANY LIMITED</t>
        </is>
      </c>
      <c r="M871" s="4" t="inlineStr">
        <is>
          <t>DOUBLE A (1991) PUBLIC COMPANY LIMITED</t>
        </is>
      </c>
      <c r="N871" s="4" t="inlineStr">
        <is>
          <t>PAPER</t>
        </is>
      </c>
      <c r="O871" s="4" t="inlineStr">
        <is>
          <t>GOOD AND CLEAN CONTAINER</t>
        </is>
      </c>
      <c r="P871" s="4" t="inlineStr">
        <is>
          <t>CY-RTN : 09-11/10/2026
REF : PI-HK-TH-DA-26100004
FRT $35, FREE TIME 14/14, DTHC(HKD)2000</t>
        </is>
      </c>
      <c r="Q871" s="4" t="n">
        <v>1</v>
      </c>
      <c r="R871" s="4" t="n">
        <v>0</v>
      </c>
      <c r="S871" s="4" t="n">
        <v>0</v>
      </c>
      <c r="T871" s="4" t="n">
        <v>0</v>
      </c>
      <c r="U871" s="4" t="n">
        <v>0</v>
      </c>
      <c r="V871" s="4" t="n">
        <v>0</v>
      </c>
      <c r="W871" s="4" t="n">
        <v>0</v>
      </c>
      <c r="X871" s="4" t="n">
        <v>0</v>
      </c>
      <c r="Y871" s="4" t="n">
        <v>0</v>
      </c>
      <c r="Z871" s="4" t="n">
        <v>0</v>
      </c>
      <c r="AA871" s="4" t="n">
        <v>0</v>
      </c>
      <c r="AB871" s="4">
        <f>SUM(Q871:Y871)-Z871</f>
        <v/>
      </c>
      <c r="AC871" s="4">
        <f>IF(I871="","",IF(OR(LEFT(I871,3)="BKK",I871="LCH55"),"BKK",IF(LEFT(I871,3)="LCH","LCH","OTHER")))</f>
        <v/>
      </c>
      <c r="AD871" s="4">
        <f>MAX(0,Q871-MAX(0,Z871))</f>
        <v/>
      </c>
      <c r="AE871" s="4">
        <f>MAX(0,R871-MAX(0,Z871-SUM(Q871:Q871)))</f>
        <v/>
      </c>
      <c r="AF871" s="4">
        <f>MAX(0,S871-MAX(0,Z871-SUM(Q871:R871)))</f>
        <v/>
      </c>
      <c r="AG871" s="4">
        <f>MAX(0,T871-MAX(0,Z871-SUM(Q871:S871)))</f>
        <v/>
      </c>
      <c r="AH871" s="4">
        <f>MAX(0,U871-MAX(0,Z871-SUM(Q871:T871)))</f>
        <v/>
      </c>
      <c r="AI871" s="4">
        <f>MAX(0,V871-MAX(0,Z871-SUM(Q871:U871)))</f>
        <v/>
      </c>
      <c r="AJ871" s="4">
        <f>MAX(0,W871-MAX(0,Z871-SUM(Q871:V871)))</f>
        <v/>
      </c>
      <c r="AK871" s="4">
        <f>MAX(0,X871-MAX(0,Z871-SUM(Q871:W871)))</f>
        <v/>
      </c>
      <c r="AL871" s="4">
        <f>MAX(0,Y871-MAX(0,Z871-SUM(Q871:X871)))</f>
        <v/>
      </c>
    </row>
    <row r="872">
      <c r="A872" s="4" t="inlineStr">
        <is>
          <t>HASLS22260902580</t>
        </is>
      </c>
      <c r="B872" s="4" t="inlineStr">
        <is>
          <t>KJT</t>
        </is>
      </c>
      <c r="C872" s="4" t="inlineStr">
        <is>
          <t>2611N</t>
        </is>
      </c>
      <c r="D872" s="4" t="inlineStr">
        <is>
          <t>202610151100</t>
        </is>
      </c>
      <c r="E872" s="4" t="inlineStr"/>
      <c r="F872" s="4" t="inlineStr">
        <is>
          <t>THLCH</t>
        </is>
      </c>
      <c r="G872" s="4" t="inlineStr">
        <is>
          <t>HKHKG</t>
        </is>
      </c>
      <c r="H872" s="4" t="inlineStr">
        <is>
          <t xml:space="preserve">20'x1 </t>
        </is>
      </c>
      <c r="I872" s="4" t="inlineStr">
        <is>
          <t>LCHY5</t>
        </is>
      </c>
      <c r="J872" s="4" t="inlineStr">
        <is>
          <t>PW DEPOT CO., LTD.</t>
        </is>
      </c>
      <c r="K872" s="4" t="inlineStr">
        <is>
          <t>20261009</t>
        </is>
      </c>
      <c r="L872" s="4" t="inlineStr">
        <is>
          <t>DOUBLE A (1991) PUBLIC COMPANY LIMITED</t>
        </is>
      </c>
      <c r="M872" s="4" t="inlineStr">
        <is>
          <t>DOUBLE A (1991) PUBLIC COMPANY LIMITED</t>
        </is>
      </c>
      <c r="N872" s="4" t="inlineStr">
        <is>
          <t>PAPER</t>
        </is>
      </c>
      <c r="O872" s="4" t="inlineStr">
        <is>
          <t>GOOD AND CLEAN CONTAINER</t>
        </is>
      </c>
      <c r="P872" s="4" t="inlineStr">
        <is>
          <t>CY-RTN : 09-11/10/2026
REF : PI-HK-TH-DA-26100014
FRT $35, FREE TIME 14/14, DTHC(HKD)2000</t>
        </is>
      </c>
      <c r="Q872" s="4" t="n">
        <v>1</v>
      </c>
      <c r="R872" s="4" t="n">
        <v>0</v>
      </c>
      <c r="S872" s="4" t="n">
        <v>0</v>
      </c>
      <c r="T872" s="4" t="n">
        <v>0</v>
      </c>
      <c r="U872" s="4" t="n">
        <v>0</v>
      </c>
      <c r="V872" s="4" t="n">
        <v>0</v>
      </c>
      <c r="W872" s="4" t="n">
        <v>0</v>
      </c>
      <c r="X872" s="4" t="n">
        <v>0</v>
      </c>
      <c r="Y872" s="4" t="n">
        <v>0</v>
      </c>
      <c r="Z872" s="4" t="n">
        <v>0</v>
      </c>
      <c r="AA872" s="4" t="n">
        <v>0</v>
      </c>
      <c r="AB872" s="4">
        <f>SUM(Q872:Y872)-Z872</f>
        <v/>
      </c>
      <c r="AC872" s="4">
        <f>IF(I872="","",IF(OR(LEFT(I872,3)="BKK",I872="LCH55"),"BKK",IF(LEFT(I872,3)="LCH","LCH","OTHER")))</f>
        <v/>
      </c>
      <c r="AD872" s="4">
        <f>MAX(0,Q872-MAX(0,Z872))</f>
        <v/>
      </c>
      <c r="AE872" s="4">
        <f>MAX(0,R872-MAX(0,Z872-SUM(Q872:Q872)))</f>
        <v/>
      </c>
      <c r="AF872" s="4">
        <f>MAX(0,S872-MAX(0,Z872-SUM(Q872:R872)))</f>
        <v/>
      </c>
      <c r="AG872" s="4">
        <f>MAX(0,T872-MAX(0,Z872-SUM(Q872:S872)))</f>
        <v/>
      </c>
      <c r="AH872" s="4">
        <f>MAX(0,U872-MAX(0,Z872-SUM(Q872:T872)))</f>
        <v/>
      </c>
      <c r="AI872" s="4">
        <f>MAX(0,V872-MAX(0,Z872-SUM(Q872:U872)))</f>
        <v/>
      </c>
      <c r="AJ872" s="4">
        <f>MAX(0,W872-MAX(0,Z872-SUM(Q872:V872)))</f>
        <v/>
      </c>
      <c r="AK872" s="4">
        <f>MAX(0,X872-MAX(0,Z872-SUM(Q872:W872)))</f>
        <v/>
      </c>
      <c r="AL872" s="4">
        <f>MAX(0,Y872-MAX(0,Z872-SUM(Q872:X872)))</f>
        <v/>
      </c>
    </row>
    <row r="873">
      <c r="A873" s="4" t="inlineStr">
        <is>
          <t>HASLS22260902590</t>
        </is>
      </c>
      <c r="B873" s="4" t="inlineStr">
        <is>
          <t>KMBK</t>
        </is>
      </c>
      <c r="C873" s="4" t="inlineStr">
        <is>
          <t>2612N</t>
        </is>
      </c>
      <c r="D873" s="4" t="inlineStr">
        <is>
          <t>202610241800</t>
        </is>
      </c>
      <c r="E873" s="4" t="inlineStr"/>
      <c r="F873" s="4" t="inlineStr">
        <is>
          <t>THLCH</t>
        </is>
      </c>
      <c r="G873" s="4" t="inlineStr">
        <is>
          <t>KRPUS</t>
        </is>
      </c>
      <c r="H873" s="4" t="inlineStr">
        <is>
          <t xml:space="preserve">20'x8 </t>
        </is>
      </c>
      <c r="I873" s="4" t="inlineStr">
        <is>
          <t>LCHY5</t>
        </is>
      </c>
      <c r="J873" s="4" t="inlineStr">
        <is>
          <t>PW DEPOT CO., LTD.</t>
        </is>
      </c>
      <c r="K873" s="4" t="inlineStr">
        <is>
          <t>20261015</t>
        </is>
      </c>
      <c r="L873" s="4" t="inlineStr">
        <is>
          <t>RUBBERLAND PRODUCTS CO., LTD.</t>
        </is>
      </c>
      <c r="M873" s="4" t="inlineStr">
        <is>
          <t>SRI TRANG AGRO-INDUSTRY PUBLIC COMPANY LIMITED</t>
        </is>
      </c>
      <c r="N873" s="4" t="inlineStr">
        <is>
          <t>NATURAL RUBBER STR20</t>
        </is>
      </c>
      <c r="O873" s="4" t="inlineStr">
        <is>
          <t>Grade B container with Strong wooden floor for heavy cargo and without wood splinter,Use Forklift to stuffing the cargo into the container</t>
        </is>
      </c>
      <c r="P873" s="4" t="inlineStr">
        <is>
          <t xml:space="preserve">Pickup : 2026-10-15, Return : 2026-09-21  
 ** PLEASE CHECK OPEN GATE BEFORE RETURN CNTR **
</t>
        </is>
      </c>
      <c r="Q873" s="4" t="n">
        <v>8</v>
      </c>
      <c r="R873" s="4" t="n">
        <v>0</v>
      </c>
      <c r="S873" s="4" t="n">
        <v>0</v>
      </c>
      <c r="T873" s="4" t="n">
        <v>0</v>
      </c>
      <c r="U873" s="4" t="n">
        <v>0</v>
      </c>
      <c r="V873" s="4" t="n">
        <v>0</v>
      </c>
      <c r="W873" s="4" t="n">
        <v>0</v>
      </c>
      <c r="X873" s="4" t="n">
        <v>0</v>
      </c>
      <c r="Y873" s="4" t="n">
        <v>0</v>
      </c>
      <c r="Z873" s="4" t="n">
        <v>0</v>
      </c>
      <c r="AA873" s="4" t="n">
        <v>0</v>
      </c>
      <c r="AB873" s="4">
        <f>SUM(Q873:Y873)-Z873</f>
        <v/>
      </c>
      <c r="AC873" s="4">
        <f>IF(I873="","",IF(OR(LEFT(I873,3)="BKK",I873="LCH55"),"BKK",IF(LEFT(I873,3)="LCH","LCH","OTHER")))</f>
        <v/>
      </c>
      <c r="AD873" s="4">
        <f>MAX(0,Q873-MAX(0,Z873))</f>
        <v/>
      </c>
      <c r="AE873" s="4">
        <f>MAX(0,R873-MAX(0,Z873-SUM(Q873:Q873)))</f>
        <v/>
      </c>
      <c r="AF873" s="4">
        <f>MAX(0,S873-MAX(0,Z873-SUM(Q873:R873)))</f>
        <v/>
      </c>
      <c r="AG873" s="4">
        <f>MAX(0,T873-MAX(0,Z873-SUM(Q873:S873)))</f>
        <v/>
      </c>
      <c r="AH873" s="4">
        <f>MAX(0,U873-MAX(0,Z873-SUM(Q873:T873)))</f>
        <v/>
      </c>
      <c r="AI873" s="4">
        <f>MAX(0,V873-MAX(0,Z873-SUM(Q873:U873)))</f>
        <v/>
      </c>
      <c r="AJ873" s="4">
        <f>MAX(0,W873-MAX(0,Z873-SUM(Q873:V873)))</f>
        <v/>
      </c>
      <c r="AK873" s="4">
        <f>MAX(0,X873-MAX(0,Z873-SUM(Q873:W873)))</f>
        <v/>
      </c>
      <c r="AL873" s="4">
        <f>MAX(0,Y873-MAX(0,Z873-SUM(Q873:X873)))</f>
        <v/>
      </c>
    </row>
    <row r="874">
      <c r="A874" s="4" t="inlineStr">
        <is>
          <t>HASLS22260902594</t>
        </is>
      </c>
      <c r="B874" s="4" t="inlineStr">
        <is>
          <t>KMBK</t>
        </is>
      </c>
      <c r="C874" s="4" t="inlineStr">
        <is>
          <t>2612N</t>
        </is>
      </c>
      <c r="D874" s="4" t="inlineStr">
        <is>
          <t>202610241800</t>
        </is>
      </c>
      <c r="E874" s="4" t="inlineStr"/>
      <c r="F874" s="4" t="inlineStr">
        <is>
          <t>THLCH</t>
        </is>
      </c>
      <c r="G874" s="4" t="inlineStr">
        <is>
          <t>JPMYJ</t>
        </is>
      </c>
      <c r="H874" s="4" t="inlineStr">
        <is>
          <t xml:space="preserve">40Hx4 </t>
        </is>
      </c>
      <c r="I874" s="4" t="inlineStr">
        <is>
          <t>LCHY5</t>
        </is>
      </c>
      <c r="J874" s="4" t="inlineStr">
        <is>
          <t>PW DEPOT CO., LTD.</t>
        </is>
      </c>
      <c r="K874" s="4" t="inlineStr">
        <is>
          <t>20261015</t>
        </is>
      </c>
      <c r="L874" s="4" t="inlineStr">
        <is>
          <t>WHA GC LOGISTICS COMPANY LIMITED</t>
        </is>
      </c>
      <c r="M874" s="4" t="inlineStr">
        <is>
          <t>PTT GLOBAL CHEMICAL PUBLIC COMPANY LIMITED</t>
        </is>
      </c>
      <c r="N874" s="4" t="inlineStr">
        <is>
          <t>RESIN</t>
        </is>
      </c>
      <c r="O874" s="4" t="inlineStr">
        <is>
          <t>*** GOOD &amp; CLEAN CONT. &amp; GRADE A ***</t>
        </is>
      </c>
      <c r="P874" s="4" t="inlineStr">
        <is>
          <t>CY-RTN 15-18/09/26 
*PLS CHECK OPEN GATE BEFORE RETURN CTNR*</t>
        </is>
      </c>
      <c r="Q874" s="4" t="n">
        <v>0</v>
      </c>
      <c r="R874" s="4" t="n">
        <v>0</v>
      </c>
      <c r="S874" s="4" t="n">
        <v>4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>
        <f>SUM(Q874:Y874)-Z874</f>
        <v/>
      </c>
      <c r="AC874" s="4">
        <f>IF(I874="","",IF(OR(LEFT(I874,3)="BKK",I874="LCH55"),"BKK",IF(LEFT(I874,3)="LCH","LCH","OTHER")))</f>
        <v/>
      </c>
      <c r="AD874" s="4">
        <f>MAX(0,Q874-MAX(0,Z874))</f>
        <v/>
      </c>
      <c r="AE874" s="4">
        <f>MAX(0,R874-MAX(0,Z874-SUM(Q874:Q874)))</f>
        <v/>
      </c>
      <c r="AF874" s="4">
        <f>MAX(0,S874-MAX(0,Z874-SUM(Q874:R874)))</f>
        <v/>
      </c>
      <c r="AG874" s="4">
        <f>MAX(0,T874-MAX(0,Z874-SUM(Q874:S874)))</f>
        <v/>
      </c>
      <c r="AH874" s="4">
        <f>MAX(0,U874-MAX(0,Z874-SUM(Q874:T874)))</f>
        <v/>
      </c>
      <c r="AI874" s="4">
        <f>MAX(0,V874-MAX(0,Z874-SUM(Q874:U874)))</f>
        <v/>
      </c>
      <c r="AJ874" s="4">
        <f>MAX(0,W874-MAX(0,Z874-SUM(Q874:V874)))</f>
        <v/>
      </c>
      <c r="AK874" s="4">
        <f>MAX(0,X874-MAX(0,Z874-SUM(Q874:W874)))</f>
        <v/>
      </c>
      <c r="AL874" s="4">
        <f>MAX(0,Y874-MAX(0,Z874-SUM(Q874:X874)))</f>
        <v/>
      </c>
    </row>
    <row r="875">
      <c r="A875" s="4" t="inlineStr">
        <is>
          <t>HASLS22260902595</t>
        </is>
      </c>
      <c r="B875" s="4" t="inlineStr">
        <is>
          <t>KMBK</t>
        </is>
      </c>
      <c r="C875" s="4" t="inlineStr">
        <is>
          <t>2612N</t>
        </is>
      </c>
      <c r="D875" s="4" t="inlineStr">
        <is>
          <t>202610241800</t>
        </is>
      </c>
      <c r="E875" s="4" t="inlineStr"/>
      <c r="F875" s="4" t="inlineStr">
        <is>
          <t>THLCH</t>
        </is>
      </c>
      <c r="G875" s="4" t="inlineStr">
        <is>
          <t>JPMYJ</t>
        </is>
      </c>
      <c r="H875" s="4" t="inlineStr">
        <is>
          <t xml:space="preserve">40Hx4 </t>
        </is>
      </c>
      <c r="I875" s="4" t="inlineStr">
        <is>
          <t>LCHY5</t>
        </is>
      </c>
      <c r="J875" s="4" t="inlineStr">
        <is>
          <t>PW DEPOT CO., LTD.</t>
        </is>
      </c>
      <c r="K875" s="4" t="inlineStr">
        <is>
          <t>20261015</t>
        </is>
      </c>
      <c r="L875" s="4" t="inlineStr">
        <is>
          <t>WHA GC LOGISTICS COMPANY LIMITED</t>
        </is>
      </c>
      <c r="M875" s="4" t="inlineStr">
        <is>
          <t>PTT GLOBAL CHEMICAL PUBLIC COMPANY LIMITED</t>
        </is>
      </c>
      <c r="N875" s="4" t="inlineStr">
        <is>
          <t>RESIN</t>
        </is>
      </c>
      <c r="O875" s="4" t="inlineStr">
        <is>
          <t>*** GOOD &amp; CLEAN CONT. &amp; GRADE A ***</t>
        </is>
      </c>
      <c r="P875" s="4" t="inlineStr">
        <is>
          <t>CY-RTN 15-18/09/26 
*PLS CHECK OPEN GATE BEFORE RETURN CTNR*</t>
        </is>
      </c>
      <c r="Q875" s="4" t="n">
        <v>0</v>
      </c>
      <c r="R875" s="4" t="n">
        <v>0</v>
      </c>
      <c r="S875" s="4" t="n">
        <v>4</v>
      </c>
      <c r="T875" s="4" t="n">
        <v>0</v>
      </c>
      <c r="U875" s="4" t="n">
        <v>0</v>
      </c>
      <c r="V875" s="4" t="n">
        <v>0</v>
      </c>
      <c r="W875" s="4" t="n">
        <v>0</v>
      </c>
      <c r="X875" s="4" t="n">
        <v>0</v>
      </c>
      <c r="Y875" s="4" t="n">
        <v>0</v>
      </c>
      <c r="Z875" s="4" t="n">
        <v>0</v>
      </c>
      <c r="AA875" s="4" t="n">
        <v>0</v>
      </c>
      <c r="AB875" s="4">
        <f>SUM(Q875:Y875)-Z875</f>
        <v/>
      </c>
      <c r="AC875" s="4">
        <f>IF(I875="","",IF(OR(LEFT(I875,3)="BKK",I875="LCH55"),"BKK",IF(LEFT(I875,3)="LCH","LCH","OTHER")))</f>
        <v/>
      </c>
      <c r="AD875" s="4">
        <f>MAX(0,Q875-MAX(0,Z875))</f>
        <v/>
      </c>
      <c r="AE875" s="4">
        <f>MAX(0,R875-MAX(0,Z875-SUM(Q875:Q875)))</f>
        <v/>
      </c>
      <c r="AF875" s="4">
        <f>MAX(0,S875-MAX(0,Z875-SUM(Q875:R875)))</f>
        <v/>
      </c>
      <c r="AG875" s="4">
        <f>MAX(0,T875-MAX(0,Z875-SUM(Q875:S875)))</f>
        <v/>
      </c>
      <c r="AH875" s="4">
        <f>MAX(0,U875-MAX(0,Z875-SUM(Q875:T875)))</f>
        <v/>
      </c>
      <c r="AI875" s="4">
        <f>MAX(0,V875-MAX(0,Z875-SUM(Q875:U875)))</f>
        <v/>
      </c>
      <c r="AJ875" s="4">
        <f>MAX(0,W875-MAX(0,Z875-SUM(Q875:V875)))</f>
        <v/>
      </c>
      <c r="AK875" s="4">
        <f>MAX(0,X875-MAX(0,Z875-SUM(Q875:W875)))</f>
        <v/>
      </c>
      <c r="AL875" s="4">
        <f>MAX(0,Y875-MAX(0,Z875-SUM(Q875:X875)))</f>
        <v/>
      </c>
    </row>
    <row r="876">
      <c r="A876" s="4" t="inlineStr">
        <is>
          <t>HASLS22260902597</t>
        </is>
      </c>
      <c r="B876" s="4" t="inlineStr">
        <is>
          <t>CMA</t>
        </is>
      </c>
      <c r="C876" s="4" t="inlineStr">
        <is>
          <t>2615N</t>
        </is>
      </c>
      <c r="D876" s="4" t="inlineStr">
        <is>
          <t>202610181600</t>
        </is>
      </c>
      <c r="E876" s="4" t="inlineStr"/>
      <c r="F876" s="4" t="inlineStr">
        <is>
          <t>THLCH</t>
        </is>
      </c>
      <c r="G876" s="4" t="inlineStr">
        <is>
          <t>HKHKG</t>
        </is>
      </c>
      <c r="H876" s="4" t="inlineStr">
        <is>
          <t xml:space="preserve">20'x2 </t>
        </is>
      </c>
      <c r="I876" s="4" t="inlineStr">
        <is>
          <t>LCHY5</t>
        </is>
      </c>
      <c r="J876" s="4" t="inlineStr">
        <is>
          <t>PW DEPOT CO., LTD.</t>
        </is>
      </c>
      <c r="K876" s="4" t="inlineStr">
        <is>
          <t>20261012</t>
        </is>
      </c>
      <c r="L876" s="4" t="inlineStr">
        <is>
          <t>DOUBLE A (1991) PUBLIC COMPANY LIMITED</t>
        </is>
      </c>
      <c r="M876" s="4" t="inlineStr">
        <is>
          <t>DOUBLE A (1991) PUBLIC COMPANY LIMITED</t>
        </is>
      </c>
      <c r="N876" s="4" t="inlineStr">
        <is>
          <t>PAPER</t>
        </is>
      </c>
      <c r="O876" s="4" t="inlineStr">
        <is>
          <t>GOOD AND CLEAN CONTAINER</t>
        </is>
      </c>
      <c r="P876" s="4" t="inlineStr">
        <is>
          <t>CY-RTN : 12-14/10/2026
REF : PI-HK-TH-DA-26100015
FRT $35, FREE TIME 14/14, DTHC(HKD)2000</t>
        </is>
      </c>
      <c r="Q876" s="4" t="n">
        <v>2</v>
      </c>
      <c r="R876" s="4" t="n">
        <v>0</v>
      </c>
      <c r="S876" s="4" t="n">
        <v>0</v>
      </c>
      <c r="T876" s="4" t="n">
        <v>0</v>
      </c>
      <c r="U876" s="4" t="n">
        <v>0</v>
      </c>
      <c r="V876" s="4" t="n">
        <v>0</v>
      </c>
      <c r="W876" s="4" t="n">
        <v>0</v>
      </c>
      <c r="X876" s="4" t="n">
        <v>0</v>
      </c>
      <c r="Y876" s="4" t="n">
        <v>0</v>
      </c>
      <c r="Z876" s="4" t="n">
        <v>0</v>
      </c>
      <c r="AA876" s="4" t="n">
        <v>0</v>
      </c>
      <c r="AB876" s="4">
        <f>SUM(Q876:Y876)-Z876</f>
        <v/>
      </c>
      <c r="AC876" s="4">
        <f>IF(I876="","",IF(OR(LEFT(I876,3)="BKK",I876="LCH55"),"BKK",IF(LEFT(I876,3)="LCH","LCH","OTHER")))</f>
        <v/>
      </c>
      <c r="AD876" s="4">
        <f>MAX(0,Q876-MAX(0,Z876))</f>
        <v/>
      </c>
      <c r="AE876" s="4">
        <f>MAX(0,R876-MAX(0,Z876-SUM(Q876:Q876)))</f>
        <v/>
      </c>
      <c r="AF876" s="4">
        <f>MAX(0,S876-MAX(0,Z876-SUM(Q876:R876)))</f>
        <v/>
      </c>
      <c r="AG876" s="4">
        <f>MAX(0,T876-MAX(0,Z876-SUM(Q876:S876)))</f>
        <v/>
      </c>
      <c r="AH876" s="4">
        <f>MAX(0,U876-MAX(0,Z876-SUM(Q876:T876)))</f>
        <v/>
      </c>
      <c r="AI876" s="4">
        <f>MAX(0,V876-MAX(0,Z876-SUM(Q876:U876)))</f>
        <v/>
      </c>
      <c r="AJ876" s="4">
        <f>MAX(0,W876-MAX(0,Z876-SUM(Q876:V876)))</f>
        <v/>
      </c>
      <c r="AK876" s="4">
        <f>MAX(0,X876-MAX(0,Z876-SUM(Q876:W876)))</f>
        <v/>
      </c>
      <c r="AL876" s="4">
        <f>MAX(0,Y876-MAX(0,Z876-SUM(Q876:X876)))</f>
        <v/>
      </c>
    </row>
    <row r="877">
      <c r="A877" s="4" t="inlineStr">
        <is>
          <t>HASLS22260902600</t>
        </is>
      </c>
      <c r="B877" s="4" t="inlineStr">
        <is>
          <t>SKOR</t>
        </is>
      </c>
      <c r="C877" s="4" t="inlineStr">
        <is>
          <t>2612N</t>
        </is>
      </c>
      <c r="D877" s="4" t="inlineStr">
        <is>
          <t>202610190700</t>
        </is>
      </c>
      <c r="E877" s="4" t="inlineStr"/>
      <c r="F877" s="4" t="inlineStr">
        <is>
          <t>THLCH</t>
        </is>
      </c>
      <c r="G877" s="4" t="inlineStr">
        <is>
          <t>HKHKG</t>
        </is>
      </c>
      <c r="H877" s="4" t="inlineStr">
        <is>
          <t xml:space="preserve">20'x1 </t>
        </is>
      </c>
      <c r="I877" s="4" t="inlineStr">
        <is>
          <t>LCHY5</t>
        </is>
      </c>
      <c r="J877" s="4" t="inlineStr">
        <is>
          <t>PW DEPOT CO., LTD.</t>
        </is>
      </c>
      <c r="K877" s="4" t="inlineStr">
        <is>
          <t>20261013</t>
        </is>
      </c>
      <c r="L877" s="4" t="inlineStr">
        <is>
          <t>DOUBLE A (1991) PUBLIC COMPANY LIMITED</t>
        </is>
      </c>
      <c r="M877" s="4" t="inlineStr">
        <is>
          <t>DOUBLE A (1991) PUBLIC COMPANY LIMITED</t>
        </is>
      </c>
      <c r="N877" s="4" t="inlineStr">
        <is>
          <t>PAPER</t>
        </is>
      </c>
      <c r="O877" s="4" t="inlineStr">
        <is>
          <t>GOOD AND CLEAN CONTAINER</t>
        </is>
      </c>
      <c r="P877" s="4" t="inlineStr">
        <is>
          <t>CY-RTN : 13-15/10/2026
REF : PI-HK-TH-DA-26100016
FRT $35, FREE TIME 14/14, DTHC(HKD)2000</t>
        </is>
      </c>
      <c r="Q877" s="4" t="n">
        <v>1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>
        <f>SUM(Q877:Y877)-Z877</f>
        <v/>
      </c>
      <c r="AC877" s="4">
        <f>IF(I877="","",IF(OR(LEFT(I877,3)="BKK",I877="LCH55"),"BKK",IF(LEFT(I877,3)="LCH","LCH","OTHER")))</f>
        <v/>
      </c>
      <c r="AD877" s="4">
        <f>MAX(0,Q877-MAX(0,Z877))</f>
        <v/>
      </c>
      <c r="AE877" s="4">
        <f>MAX(0,R877-MAX(0,Z877-SUM(Q877:Q877)))</f>
        <v/>
      </c>
      <c r="AF877" s="4">
        <f>MAX(0,S877-MAX(0,Z877-SUM(Q877:R877)))</f>
        <v/>
      </c>
      <c r="AG877" s="4">
        <f>MAX(0,T877-MAX(0,Z877-SUM(Q877:S877)))</f>
        <v/>
      </c>
      <c r="AH877" s="4">
        <f>MAX(0,U877-MAX(0,Z877-SUM(Q877:T877)))</f>
        <v/>
      </c>
      <c r="AI877" s="4">
        <f>MAX(0,V877-MAX(0,Z877-SUM(Q877:U877)))</f>
        <v/>
      </c>
      <c r="AJ877" s="4">
        <f>MAX(0,W877-MAX(0,Z877-SUM(Q877:V877)))</f>
        <v/>
      </c>
      <c r="AK877" s="4">
        <f>MAX(0,X877-MAX(0,Z877-SUM(Q877:W877)))</f>
        <v/>
      </c>
      <c r="AL877" s="4">
        <f>MAX(0,Y877-MAX(0,Z877-SUM(Q877:X877)))</f>
        <v/>
      </c>
    </row>
    <row r="878">
      <c r="A878" s="4" t="inlineStr">
        <is>
          <t>HASLS22260902604</t>
        </is>
      </c>
      <c r="B878" s="4" t="inlineStr">
        <is>
          <t>KMGY</t>
        </is>
      </c>
      <c r="C878" s="4" t="inlineStr">
        <is>
          <t>2611N</t>
        </is>
      </c>
      <c r="D878" s="4" t="inlineStr">
        <is>
          <t>202610210400</t>
        </is>
      </c>
      <c r="E878" s="4" t="inlineStr"/>
      <c r="F878" s="4" t="inlineStr">
        <is>
          <t>THLCH</t>
        </is>
      </c>
      <c r="G878" s="4" t="inlineStr">
        <is>
          <t>HKHKG</t>
        </is>
      </c>
      <c r="H878" s="4" t="inlineStr">
        <is>
          <t xml:space="preserve">20'x1 </t>
        </is>
      </c>
      <c r="I878" s="4" t="inlineStr">
        <is>
          <t>LCHY5</t>
        </is>
      </c>
      <c r="J878" s="4" t="inlineStr">
        <is>
          <t>PW DEPOT CO., LTD.</t>
        </is>
      </c>
      <c r="K878" s="4" t="inlineStr">
        <is>
          <t>20261015</t>
        </is>
      </c>
      <c r="L878" s="4" t="inlineStr">
        <is>
          <t>DOUBLE A (1991) PUBLIC COMPANY LIMITED</t>
        </is>
      </c>
      <c r="M878" s="4" t="inlineStr">
        <is>
          <t>DOUBLE A (1991) PUBLIC COMPANY LIMITED</t>
        </is>
      </c>
      <c r="N878" s="4" t="inlineStr">
        <is>
          <t>PAPER</t>
        </is>
      </c>
      <c r="O878" s="4" t="inlineStr">
        <is>
          <t>GOOD AND CLEAN CONTAINER</t>
        </is>
      </c>
      <c r="P878" s="4" t="inlineStr">
        <is>
          <t>CY-RTN : 15-17/10/2026
REF : PI-HK-TH-DA-26100017
FRT $35, FREE TIME 14/14, DTHC(HKD)2000</t>
        </is>
      </c>
      <c r="Q878" s="4" t="n">
        <v>1</v>
      </c>
      <c r="R878" s="4" t="n">
        <v>0</v>
      </c>
      <c r="S878" s="4" t="n">
        <v>0</v>
      </c>
      <c r="T878" s="4" t="n">
        <v>0</v>
      </c>
      <c r="U878" s="4" t="n">
        <v>0</v>
      </c>
      <c r="V878" s="4" t="n">
        <v>0</v>
      </c>
      <c r="W878" s="4" t="n">
        <v>0</v>
      </c>
      <c r="X878" s="4" t="n">
        <v>0</v>
      </c>
      <c r="Y878" s="4" t="n">
        <v>0</v>
      </c>
      <c r="Z878" s="4" t="n">
        <v>0</v>
      </c>
      <c r="AA878" s="4" t="n">
        <v>0</v>
      </c>
      <c r="AB878" s="4">
        <f>SUM(Q878:Y878)-Z878</f>
        <v/>
      </c>
      <c r="AC878" s="4">
        <f>IF(I878="","",IF(OR(LEFT(I878,3)="BKK",I878="LCH55"),"BKK",IF(LEFT(I878,3)="LCH","LCH","OTHER")))</f>
        <v/>
      </c>
      <c r="AD878" s="4">
        <f>MAX(0,Q878-MAX(0,Z878))</f>
        <v/>
      </c>
      <c r="AE878" s="4">
        <f>MAX(0,R878-MAX(0,Z878-SUM(Q878:Q878)))</f>
        <v/>
      </c>
      <c r="AF878" s="4">
        <f>MAX(0,S878-MAX(0,Z878-SUM(Q878:R878)))</f>
        <v/>
      </c>
      <c r="AG878" s="4">
        <f>MAX(0,T878-MAX(0,Z878-SUM(Q878:S878)))</f>
        <v/>
      </c>
      <c r="AH878" s="4">
        <f>MAX(0,U878-MAX(0,Z878-SUM(Q878:T878)))</f>
        <v/>
      </c>
      <c r="AI878" s="4">
        <f>MAX(0,V878-MAX(0,Z878-SUM(Q878:U878)))</f>
        <v/>
      </c>
      <c r="AJ878" s="4">
        <f>MAX(0,W878-MAX(0,Z878-SUM(Q878:V878)))</f>
        <v/>
      </c>
      <c r="AK878" s="4">
        <f>MAX(0,X878-MAX(0,Z878-SUM(Q878:W878)))</f>
        <v/>
      </c>
      <c r="AL878" s="4">
        <f>MAX(0,Y878-MAX(0,Z878-SUM(Q878:X878)))</f>
        <v/>
      </c>
    </row>
    <row r="879">
      <c r="A879" s="4" t="inlineStr">
        <is>
          <t>HASLS22260902613</t>
        </is>
      </c>
      <c r="B879" s="4" t="inlineStr">
        <is>
          <t>SWSP</t>
        </is>
      </c>
      <c r="C879" s="4" t="inlineStr">
        <is>
          <t>2609N</t>
        </is>
      </c>
      <c r="D879" s="4" t="inlineStr">
        <is>
          <t>202610080830</t>
        </is>
      </c>
      <c r="E879" s="4" t="inlineStr"/>
      <c r="F879" s="4" t="inlineStr">
        <is>
          <t>THLCH</t>
        </is>
      </c>
      <c r="G879" s="4" t="inlineStr">
        <is>
          <t>VNSGN</t>
        </is>
      </c>
      <c r="H879" s="4" t="inlineStr">
        <is>
          <t xml:space="preserve">40Hx1 </t>
        </is>
      </c>
      <c r="I879" s="4" t="inlineStr">
        <is>
          <t>LCHY5</t>
        </is>
      </c>
      <c r="J879" s="4" t="inlineStr">
        <is>
          <t>PW DEPOT CO., LTD.</t>
        </is>
      </c>
      <c r="K879" s="4" t="inlineStr">
        <is>
          <t>20260930</t>
        </is>
      </c>
      <c r="L879" s="4" t="inlineStr">
        <is>
          <t>SINPEX CONNECTION LOGISTICS (THAILAND) CO., LTD.</t>
        </is>
      </c>
      <c r="M879" s="4" t="inlineStr">
        <is>
          <t>XTREME ELECTRONICS CO., LTD</t>
        </is>
      </c>
      <c r="N879" s="4" t="inlineStr">
        <is>
          <t>LED TV</t>
        </is>
      </c>
      <c r="O879" s="4" t="inlineStr">
        <is>
          <t>GOOD AND CLEAN CONTAINER, NO LEAK NO HOLE AND NO SMELL</t>
        </is>
      </c>
      <c r="P879" s="4" t="inlineStr">
        <is>
          <t xml:space="preserve">Pickup : 2026-09-30, Return : 2026-09-30 (1ST RTN 04/10 W/O RENT) 
 ** PLEASE CHECK OPEN GATE BEFORE RETURN CNTR **
</t>
        </is>
      </c>
      <c r="Q879" s="4" t="n">
        <v>0</v>
      </c>
      <c r="R879" s="4" t="n">
        <v>0</v>
      </c>
      <c r="S879" s="4" t="n">
        <v>1</v>
      </c>
      <c r="T879" s="4" t="n">
        <v>0</v>
      </c>
      <c r="U879" s="4" t="n">
        <v>0</v>
      </c>
      <c r="V879" s="4" t="n">
        <v>0</v>
      </c>
      <c r="W879" s="4" t="n">
        <v>0</v>
      </c>
      <c r="X879" s="4" t="n">
        <v>0</v>
      </c>
      <c r="Y879" s="4" t="n">
        <v>0</v>
      </c>
      <c r="Z879" s="4" t="n">
        <v>0</v>
      </c>
      <c r="AA879" s="4" t="n">
        <v>0</v>
      </c>
      <c r="AB879" s="4">
        <f>SUM(Q879:Y879)-Z879</f>
        <v/>
      </c>
      <c r="AC879" s="4">
        <f>IF(I879="","",IF(OR(LEFT(I879,3)="BKK",I879="LCH55"),"BKK",IF(LEFT(I879,3)="LCH","LCH","OTHER")))</f>
        <v/>
      </c>
      <c r="AD879" s="4">
        <f>MAX(0,Q879-MAX(0,Z879))</f>
        <v/>
      </c>
      <c r="AE879" s="4">
        <f>MAX(0,R879-MAX(0,Z879-SUM(Q879:Q879)))</f>
        <v/>
      </c>
      <c r="AF879" s="4">
        <f>MAX(0,S879-MAX(0,Z879-SUM(Q879:R879)))</f>
        <v/>
      </c>
      <c r="AG879" s="4">
        <f>MAX(0,T879-MAX(0,Z879-SUM(Q879:S879)))</f>
        <v/>
      </c>
      <c r="AH879" s="4">
        <f>MAX(0,U879-MAX(0,Z879-SUM(Q879:T879)))</f>
        <v/>
      </c>
      <c r="AI879" s="4">
        <f>MAX(0,V879-MAX(0,Z879-SUM(Q879:U879)))</f>
        <v/>
      </c>
      <c r="AJ879" s="4">
        <f>MAX(0,W879-MAX(0,Z879-SUM(Q879:V879)))</f>
        <v/>
      </c>
      <c r="AK879" s="4">
        <f>MAX(0,X879-MAX(0,Z879-SUM(Q879:W879)))</f>
        <v/>
      </c>
      <c r="AL879" s="4">
        <f>MAX(0,Y879-MAX(0,Z879-SUM(Q879:X879)))</f>
        <v/>
      </c>
    </row>
    <row r="880">
      <c r="A880" s="4" t="inlineStr">
        <is>
          <t>HASLS22260701795</t>
        </is>
      </c>
      <c r="B880" s="4" t="inlineStr">
        <is>
          <t>SWSR</t>
        </is>
      </c>
      <c r="C880" s="4" t="inlineStr">
        <is>
          <t>2611N</t>
        </is>
      </c>
      <c r="D880" s="4" t="inlineStr">
        <is>
          <t>202610110900</t>
        </is>
      </c>
      <c r="E880" s="4" t="inlineStr"/>
      <c r="F880" s="4" t="inlineStr">
        <is>
          <t>THBKK</t>
        </is>
      </c>
      <c r="G880" s="4" t="inlineStr">
        <is>
          <t>HKHKG</t>
        </is>
      </c>
      <c r="H880" s="4" t="inlineStr">
        <is>
          <t xml:space="preserve">40Hx1 </t>
        </is>
      </c>
      <c r="I880" s="4" t="inlineStr">
        <is>
          <t>BKK25</t>
        </is>
      </c>
      <c r="J880" s="4" t="inlineStr">
        <is>
          <t xml:space="preserve">Smart Logistics Service (Thailand ) Co.,Ltd. </t>
        </is>
      </c>
      <c r="K880" s="4" t="inlineStr">
        <is>
          <t>20261006</t>
        </is>
      </c>
      <c r="L880" s="4" t="inlineStr">
        <is>
          <t>NIPPON EXPRESS LOGISTICS (THAILAND) CO., LTD.</t>
        </is>
      </c>
      <c r="M880" s="4" t="inlineStr">
        <is>
          <t>DIA MERCHANDISE COMPANY LIMITED</t>
        </is>
      </c>
      <c r="N880" s="4" t="inlineStr">
        <is>
          <t>SHRIMP CHEEK SNACK HS CODE 160529</t>
        </is>
      </c>
      <c r="O880" s="4" t="inlineStr">
        <is>
          <t>REQ.CONTAINER MUST BE IN GOOD CONDITION,NO HOLES,NO EXCESSIVE SPLINTERS ON THE FLOOR,NO HUMIDITY,THE FLOOR IS NOT SAGGING,THE FLOOR IS NOT SAGGING , S</t>
        </is>
      </c>
      <c r="P880" s="4" t="inlineStr">
        <is>
          <t>Pickup : 2026-10-06, Return : 2026-10-07</t>
        </is>
      </c>
      <c r="Q880" s="4" t="n">
        <v>0</v>
      </c>
      <c r="R880" s="4" t="n">
        <v>0</v>
      </c>
      <c r="S880" s="4" t="n">
        <v>1</v>
      </c>
      <c r="T880" s="4" t="n">
        <v>0</v>
      </c>
      <c r="U880" s="4" t="n">
        <v>0</v>
      </c>
      <c r="V880" s="4" t="n">
        <v>0</v>
      </c>
      <c r="W880" s="4" t="n">
        <v>0</v>
      </c>
      <c r="X880" s="4" t="n">
        <v>0</v>
      </c>
      <c r="Y880" s="4" t="n">
        <v>0</v>
      </c>
      <c r="Z880" s="4" t="n">
        <v>0</v>
      </c>
      <c r="AA880" s="4" t="n">
        <v>0</v>
      </c>
      <c r="AB880" s="4">
        <f>SUM(Q880:Y880)-Z880</f>
        <v/>
      </c>
      <c r="AC880" s="4">
        <f>IF(I880="","",IF(OR(LEFT(I880,3)="BKK",I880="LCH55"),"BKK",IF(LEFT(I880,3)="LCH","LCH","OTHER")))</f>
        <v/>
      </c>
      <c r="AD880" s="4">
        <f>MAX(0,Q880-MAX(0,Z880))</f>
        <v/>
      </c>
      <c r="AE880" s="4">
        <f>MAX(0,R880-MAX(0,Z880-SUM(Q880:Q880)))</f>
        <v/>
      </c>
      <c r="AF880" s="4">
        <f>MAX(0,S880-MAX(0,Z880-SUM(Q880:R880)))</f>
        <v/>
      </c>
      <c r="AG880" s="4">
        <f>MAX(0,T880-MAX(0,Z880-SUM(Q880:S880)))</f>
        <v/>
      </c>
      <c r="AH880" s="4">
        <f>MAX(0,U880-MAX(0,Z880-SUM(Q880:T880)))</f>
        <v/>
      </c>
      <c r="AI880" s="4">
        <f>MAX(0,V880-MAX(0,Z880-SUM(Q880:U880)))</f>
        <v/>
      </c>
      <c r="AJ880" s="4">
        <f>MAX(0,W880-MAX(0,Z880-SUM(Q880:V880)))</f>
        <v/>
      </c>
      <c r="AK880" s="4">
        <f>MAX(0,X880-MAX(0,Z880-SUM(Q880:W880)))</f>
        <v/>
      </c>
      <c r="AL880" s="4">
        <f>MAX(0,Y880-MAX(0,Z880-SUM(Q880:X880)))</f>
        <v/>
      </c>
    </row>
    <row r="881">
      <c r="A881" s="4" t="inlineStr">
        <is>
          <t>HASLS22260800029</t>
        </is>
      </c>
      <c r="B881" s="4" t="inlineStr">
        <is>
          <t>SWIC</t>
        </is>
      </c>
      <c r="C881" s="4" t="inlineStr">
        <is>
          <t>2611N</t>
        </is>
      </c>
      <c r="D881" s="4" t="inlineStr">
        <is>
          <t>202610130700</t>
        </is>
      </c>
      <c r="E881" s="4" t="inlineStr"/>
      <c r="F881" s="4" t="inlineStr">
        <is>
          <t>THBKK</t>
        </is>
      </c>
      <c r="G881" s="4" t="inlineStr">
        <is>
          <t>VNSGN</t>
        </is>
      </c>
      <c r="H881" s="4" t="inlineStr">
        <is>
          <t xml:space="preserve">20'x10 </t>
        </is>
      </c>
      <c r="I881" s="4" t="inlineStr">
        <is>
          <t>BKK25</t>
        </is>
      </c>
      <c r="J881" s="4" t="inlineStr">
        <is>
          <t xml:space="preserve">Smart Logistics Service (Thailand ) Co.,Ltd. </t>
        </is>
      </c>
      <c r="K881" s="4" t="inlineStr">
        <is>
          <t>20260929</t>
        </is>
      </c>
      <c r="L881" s="4" t="inlineStr">
        <is>
          <t>SCGJWD LOGISTICS PUBLIC COMPANY LIMITED</t>
        </is>
      </c>
      <c r="M881" s="4" t="inlineStr">
        <is>
          <t>SCG INTERNATIONAL CORPORATION CO., LTD.</t>
        </is>
      </c>
      <c r="N881" s="4" t="inlineStr">
        <is>
          <t>WHITE CLINKER</t>
        </is>
      </c>
      <c r="O881" s="4" t="inlineStr">
        <is>
          <t>Container clean, No Oil, No Rust and Loading by Forklift</t>
        </is>
      </c>
      <c r="P881" s="4" t="inlineStr">
        <is>
          <t>CY-RTN : 29-30 Sep 2026 (JB2607178946) /FIRST DATE CAN RETURN CNTR DD.8/10 WITHOUT RENT</t>
        </is>
      </c>
      <c r="Q881" s="4" t="n">
        <v>10</v>
      </c>
      <c r="R881" s="4" t="n">
        <v>0</v>
      </c>
      <c r="S881" s="4" t="n">
        <v>0</v>
      </c>
      <c r="T881" s="4" t="n">
        <v>0</v>
      </c>
      <c r="U881" s="4" t="n">
        <v>0</v>
      </c>
      <c r="V881" s="4" t="n">
        <v>0</v>
      </c>
      <c r="W881" s="4" t="n">
        <v>0</v>
      </c>
      <c r="X881" s="4" t="n">
        <v>0</v>
      </c>
      <c r="Y881" s="4" t="n">
        <v>0</v>
      </c>
      <c r="Z881" s="4" t="n">
        <v>0</v>
      </c>
      <c r="AA881" s="4" t="n">
        <v>0</v>
      </c>
      <c r="AB881" s="4">
        <f>SUM(Q881:Y881)-Z881</f>
        <v/>
      </c>
      <c r="AC881" s="4">
        <f>IF(I881="","",IF(OR(LEFT(I881,3)="BKK",I881="LCH55"),"BKK",IF(LEFT(I881,3)="LCH","LCH","OTHER")))</f>
        <v/>
      </c>
      <c r="AD881" s="4">
        <f>MAX(0,Q881-MAX(0,Z881))</f>
        <v/>
      </c>
      <c r="AE881" s="4">
        <f>MAX(0,R881-MAX(0,Z881-SUM(Q881:Q881)))</f>
        <v/>
      </c>
      <c r="AF881" s="4">
        <f>MAX(0,S881-MAX(0,Z881-SUM(Q881:R881)))</f>
        <v/>
      </c>
      <c r="AG881" s="4">
        <f>MAX(0,T881-MAX(0,Z881-SUM(Q881:S881)))</f>
        <v/>
      </c>
      <c r="AH881" s="4">
        <f>MAX(0,U881-MAX(0,Z881-SUM(Q881:T881)))</f>
        <v/>
      </c>
      <c r="AI881" s="4">
        <f>MAX(0,V881-MAX(0,Z881-SUM(Q881:U881)))</f>
        <v/>
      </c>
      <c r="AJ881" s="4">
        <f>MAX(0,W881-MAX(0,Z881-SUM(Q881:V881)))</f>
        <v/>
      </c>
      <c r="AK881" s="4">
        <f>MAX(0,X881-MAX(0,Z881-SUM(Q881:W881)))</f>
        <v/>
      </c>
      <c r="AL881" s="4">
        <f>MAX(0,Y881-MAX(0,Z881-SUM(Q881:X881)))</f>
        <v/>
      </c>
    </row>
    <row r="882">
      <c r="A882" s="4" t="inlineStr">
        <is>
          <t>HASLS22260801070</t>
        </is>
      </c>
      <c r="B882" s="4" t="inlineStr">
        <is>
          <t>SWMM</t>
        </is>
      </c>
      <c r="C882" s="4" t="inlineStr">
        <is>
          <t>2610N</t>
        </is>
      </c>
      <c r="D882" s="4" t="inlineStr">
        <is>
          <t>202610210400</t>
        </is>
      </c>
      <c r="E882" s="4" t="inlineStr"/>
      <c r="F882" s="4" t="inlineStr">
        <is>
          <t>THBKK</t>
        </is>
      </c>
      <c r="G882" s="4" t="inlineStr">
        <is>
          <t>VNSGN</t>
        </is>
      </c>
      <c r="H882" s="4" t="inlineStr">
        <is>
          <t xml:space="preserve">20'x4 </t>
        </is>
      </c>
      <c r="I882" s="4" t="inlineStr">
        <is>
          <t>BKK25</t>
        </is>
      </c>
      <c r="J882" s="4" t="inlineStr">
        <is>
          <t xml:space="preserve">Smart Logistics Service (Thailand ) Co.,Ltd. </t>
        </is>
      </c>
      <c r="K882" s="4" t="inlineStr">
        <is>
          <t>20261008</t>
        </is>
      </c>
      <c r="L882" s="4" t="inlineStr">
        <is>
          <t>CNTRANS EXPRESS CO., LTD.</t>
        </is>
      </c>
      <c r="M882" s="4" t="inlineStr">
        <is>
          <t>SINGHA WORLDWIDE INTERNATIONAL CO., LTD.</t>
        </is>
      </c>
      <c r="N882" s="4" t="inlineStr">
        <is>
          <t>SODA WATER</t>
        </is>
      </c>
      <c r="O882" s="4" t="inlineStr">
        <is>
          <t>Request Good&amp;Clean container (Food Grade)</t>
        </is>
      </c>
      <c r="P882" s="4" t="inlineStr">
        <is>
          <t>Pickup : 2026-10-08, Return : 2026-10-10 (1ST RETURN 12/10/26)</t>
        </is>
      </c>
      <c r="Q882" s="4" t="n">
        <v>4</v>
      </c>
      <c r="R882" s="4" t="n">
        <v>0</v>
      </c>
      <c r="S882" s="4" t="n">
        <v>0</v>
      </c>
      <c r="T882" s="4" t="n">
        <v>0</v>
      </c>
      <c r="U882" s="4" t="n">
        <v>0</v>
      </c>
      <c r="V882" s="4" t="n">
        <v>0</v>
      </c>
      <c r="W882" s="4" t="n">
        <v>0</v>
      </c>
      <c r="X882" s="4" t="n">
        <v>0</v>
      </c>
      <c r="Y882" s="4" t="n">
        <v>0</v>
      </c>
      <c r="Z882" s="4" t="n">
        <v>0</v>
      </c>
      <c r="AA882" s="4" t="n">
        <v>0</v>
      </c>
      <c r="AB882" s="4">
        <f>SUM(Q882:Y882)-Z882</f>
        <v/>
      </c>
      <c r="AC882" s="4">
        <f>IF(I882="","",IF(OR(LEFT(I882,3)="BKK",I882="LCH55"),"BKK",IF(LEFT(I882,3)="LCH","LCH","OTHER")))</f>
        <v/>
      </c>
      <c r="AD882" s="4">
        <f>MAX(0,Q882-MAX(0,Z882))</f>
        <v/>
      </c>
      <c r="AE882" s="4">
        <f>MAX(0,R882-MAX(0,Z882-SUM(Q882:Q882)))</f>
        <v/>
      </c>
      <c r="AF882" s="4">
        <f>MAX(0,S882-MAX(0,Z882-SUM(Q882:R882)))</f>
        <v/>
      </c>
      <c r="AG882" s="4">
        <f>MAX(0,T882-MAX(0,Z882-SUM(Q882:S882)))</f>
        <v/>
      </c>
      <c r="AH882" s="4">
        <f>MAX(0,U882-MAX(0,Z882-SUM(Q882:T882)))</f>
        <v/>
      </c>
      <c r="AI882" s="4">
        <f>MAX(0,V882-MAX(0,Z882-SUM(Q882:U882)))</f>
        <v/>
      </c>
      <c r="AJ882" s="4">
        <f>MAX(0,W882-MAX(0,Z882-SUM(Q882:V882)))</f>
        <v/>
      </c>
      <c r="AK882" s="4">
        <f>MAX(0,X882-MAX(0,Z882-SUM(Q882:W882)))</f>
        <v/>
      </c>
      <c r="AL882" s="4">
        <f>MAX(0,Y882-MAX(0,Z882-SUM(Q882:X882)))</f>
        <v/>
      </c>
    </row>
    <row r="883">
      <c r="A883" s="4" t="inlineStr">
        <is>
          <t>HASLS22260801567</t>
        </is>
      </c>
      <c r="B883" s="4" t="inlineStr">
        <is>
          <t>KMBK</t>
        </is>
      </c>
      <c r="C883" s="4" t="inlineStr">
        <is>
          <t>2611N</t>
        </is>
      </c>
      <c r="D883" s="4" t="inlineStr">
        <is>
          <t>202610030900</t>
        </is>
      </c>
      <c r="E883" s="4" t="inlineStr"/>
      <c r="F883" s="4" t="inlineStr">
        <is>
          <t>THBKK</t>
        </is>
      </c>
      <c r="G883" s="4" t="inlineStr">
        <is>
          <t>VNSGN</t>
        </is>
      </c>
      <c r="H883" s="4" t="inlineStr">
        <is>
          <t xml:space="preserve">40Hx1 </t>
        </is>
      </c>
      <c r="I883" s="4" t="inlineStr">
        <is>
          <t>BKK25</t>
        </is>
      </c>
      <c r="J883" s="4" t="inlineStr">
        <is>
          <t xml:space="preserve">Smart Logistics Service (Thailand ) Co.,Ltd. </t>
        </is>
      </c>
      <c r="K883" s="4" t="inlineStr">
        <is>
          <t>20260929</t>
        </is>
      </c>
      <c r="L883" s="4" t="inlineStr">
        <is>
          <t>NIMBLE LOGISTICS CO., LTD.</t>
        </is>
      </c>
      <c r="M883" s="4" t="inlineStr">
        <is>
          <t>SELIC CORP PUBLIC COMPANY LIMITED</t>
        </is>
      </c>
      <c r="N883" s="4" t="inlineStr">
        <is>
          <t>HOME GLUE</t>
        </is>
      </c>
      <c r="O883" s="4" t="inlineStr">
        <is>
          <t>GOOD AND CLEAN CONTAINER</t>
        </is>
      </c>
      <c r="P883" s="4" t="inlineStr">
        <is>
          <t xml:space="preserve">Pickup : 2026-09-29, Return : 2026-09-30 
 </t>
        </is>
      </c>
      <c r="Q883" s="4" t="n">
        <v>0</v>
      </c>
      <c r="R883" s="4" t="n">
        <v>0</v>
      </c>
      <c r="S883" s="4" t="n">
        <v>1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>
        <f>SUM(Q883:Y883)-Z883</f>
        <v/>
      </c>
      <c r="AC883" s="4">
        <f>IF(I883="","",IF(OR(LEFT(I883,3)="BKK",I883="LCH55"),"BKK",IF(LEFT(I883,3)="LCH","LCH","OTHER")))</f>
        <v/>
      </c>
      <c r="AD883" s="4">
        <f>MAX(0,Q883-MAX(0,Z883))</f>
        <v/>
      </c>
      <c r="AE883" s="4">
        <f>MAX(0,R883-MAX(0,Z883-SUM(Q883:Q883)))</f>
        <v/>
      </c>
      <c r="AF883" s="4">
        <f>MAX(0,S883-MAX(0,Z883-SUM(Q883:R883)))</f>
        <v/>
      </c>
      <c r="AG883" s="4">
        <f>MAX(0,T883-MAX(0,Z883-SUM(Q883:S883)))</f>
        <v/>
      </c>
      <c r="AH883" s="4">
        <f>MAX(0,U883-MAX(0,Z883-SUM(Q883:T883)))</f>
        <v/>
      </c>
      <c r="AI883" s="4">
        <f>MAX(0,V883-MAX(0,Z883-SUM(Q883:U883)))</f>
        <v/>
      </c>
      <c r="AJ883" s="4">
        <f>MAX(0,W883-MAX(0,Z883-SUM(Q883:V883)))</f>
        <v/>
      </c>
      <c r="AK883" s="4">
        <f>MAX(0,X883-MAX(0,Z883-SUM(Q883:W883)))</f>
        <v/>
      </c>
      <c r="AL883" s="4">
        <f>MAX(0,Y883-MAX(0,Z883-SUM(Q883:X883)))</f>
        <v/>
      </c>
    </row>
    <row r="884">
      <c r="A884" s="4" t="inlineStr">
        <is>
          <t>HASLS22260801961</t>
        </is>
      </c>
      <c r="B884" s="4" t="inlineStr">
        <is>
          <t>SWAL</t>
        </is>
      </c>
      <c r="C884" s="4" t="inlineStr">
        <is>
          <t>2609N</t>
        </is>
      </c>
      <c r="D884" s="4" t="inlineStr">
        <is>
          <t>202610191500</t>
        </is>
      </c>
      <c r="E884" s="4" t="inlineStr"/>
      <c r="F884" s="4" t="inlineStr">
        <is>
          <t>THBKK</t>
        </is>
      </c>
      <c r="G884" s="4" t="inlineStr">
        <is>
          <t>VNSGN</t>
        </is>
      </c>
      <c r="H884" s="4" t="inlineStr">
        <is>
          <t xml:space="preserve">20'x10 </t>
        </is>
      </c>
      <c r="I884" s="4" t="inlineStr">
        <is>
          <t>BKK25</t>
        </is>
      </c>
      <c r="J884" s="4" t="inlineStr">
        <is>
          <t xml:space="preserve">Smart Logistics Service (Thailand ) Co.,Ltd. </t>
        </is>
      </c>
      <c r="K884" s="4" t="inlineStr">
        <is>
          <t>20261003</t>
        </is>
      </c>
      <c r="L884" s="4" t="inlineStr">
        <is>
          <t>SCGJWD LOGISTICS PUBLIC COMPANY LIMITED</t>
        </is>
      </c>
      <c r="M884" s="4" t="inlineStr">
        <is>
          <t>SCG INTERNATIONAL CORPORATION CO., LTD.</t>
        </is>
      </c>
      <c r="N884" s="4" t="inlineStr">
        <is>
          <t>WHITE CLINKER</t>
        </is>
      </c>
      <c r="O884" s="4" t="inlineStr">
        <is>
          <t>Container clean, No Oil, No Rust and Loading by Forklift</t>
        </is>
      </c>
      <c r="P884" s="4" t="inlineStr">
        <is>
          <t xml:space="preserve">CY 03/10/26, RTN 05/10/26 (26IHWCL77)  / </t>
        </is>
      </c>
      <c r="Q884" s="4" t="n">
        <v>10</v>
      </c>
      <c r="R884" s="4" t="n">
        <v>0</v>
      </c>
      <c r="S884" s="4" t="n">
        <v>0</v>
      </c>
      <c r="T884" s="4" t="n">
        <v>0</v>
      </c>
      <c r="U884" s="4" t="n">
        <v>0</v>
      </c>
      <c r="V884" s="4" t="n">
        <v>0</v>
      </c>
      <c r="W884" s="4" t="n">
        <v>0</v>
      </c>
      <c r="X884" s="4" t="n">
        <v>0</v>
      </c>
      <c r="Y884" s="4" t="n">
        <v>0</v>
      </c>
      <c r="Z884" s="4" t="n">
        <v>0</v>
      </c>
      <c r="AA884" s="4" t="n">
        <v>0</v>
      </c>
      <c r="AB884" s="4">
        <f>SUM(Q884:Y884)-Z884</f>
        <v/>
      </c>
      <c r="AC884" s="4">
        <f>IF(I884="","",IF(OR(LEFT(I884,3)="BKK",I884="LCH55"),"BKK",IF(LEFT(I884,3)="LCH","LCH","OTHER")))</f>
        <v/>
      </c>
      <c r="AD884" s="4">
        <f>MAX(0,Q884-MAX(0,Z884))</f>
        <v/>
      </c>
      <c r="AE884" s="4">
        <f>MAX(0,R884-MAX(0,Z884-SUM(Q884:Q884)))</f>
        <v/>
      </c>
      <c r="AF884" s="4">
        <f>MAX(0,S884-MAX(0,Z884-SUM(Q884:R884)))</f>
        <v/>
      </c>
      <c r="AG884" s="4">
        <f>MAX(0,T884-MAX(0,Z884-SUM(Q884:S884)))</f>
        <v/>
      </c>
      <c r="AH884" s="4">
        <f>MAX(0,U884-MAX(0,Z884-SUM(Q884:T884)))</f>
        <v/>
      </c>
      <c r="AI884" s="4">
        <f>MAX(0,V884-MAX(0,Z884-SUM(Q884:U884)))</f>
        <v/>
      </c>
      <c r="AJ884" s="4">
        <f>MAX(0,W884-MAX(0,Z884-SUM(Q884:V884)))</f>
        <v/>
      </c>
      <c r="AK884" s="4">
        <f>MAX(0,X884-MAX(0,Z884-SUM(Q884:W884)))</f>
        <v/>
      </c>
      <c r="AL884" s="4">
        <f>MAX(0,Y884-MAX(0,Z884-SUM(Q884:X884)))</f>
        <v/>
      </c>
    </row>
    <row r="885">
      <c r="A885" s="4" t="inlineStr">
        <is>
          <t>HASLS22260801972</t>
        </is>
      </c>
      <c r="B885" s="4" t="inlineStr">
        <is>
          <t>DJCF</t>
        </is>
      </c>
      <c r="C885" s="4" t="inlineStr">
        <is>
          <t>0152N</t>
        </is>
      </c>
      <c r="D885" s="4" t="inlineStr">
        <is>
          <t>202610111000</t>
        </is>
      </c>
      <c r="E885" s="4" t="inlineStr"/>
      <c r="F885" s="4" t="inlineStr">
        <is>
          <t>THBKK</t>
        </is>
      </c>
      <c r="G885" s="4" t="inlineStr">
        <is>
          <t>KRINC</t>
        </is>
      </c>
      <c r="H885" s="4" t="inlineStr">
        <is>
          <t xml:space="preserve">20'x1 </t>
        </is>
      </c>
      <c r="I885" s="4" t="inlineStr">
        <is>
          <t>BKK25</t>
        </is>
      </c>
      <c r="J885" s="4" t="inlineStr">
        <is>
          <t xml:space="preserve">Smart Logistics Service (Thailand ) Co.,Ltd. </t>
        </is>
      </c>
      <c r="K885" s="4" t="inlineStr">
        <is>
          <t>20261005</t>
        </is>
      </c>
      <c r="L885" s="4" t="inlineStr">
        <is>
          <t>ECO LOGISTICS (THAILAND) CO., LTD.</t>
        </is>
      </c>
      <c r="M885" s="4" t="inlineStr">
        <is>
          <t>ASIAN HONDA MOTOR CO., LTD.</t>
        </is>
      </c>
      <c r="N885" s="4" t="inlineStr">
        <is>
          <t>AUTO PART</t>
        </is>
      </c>
      <c r="O885" s="4" t="inlineStr">
        <is>
          <t>container grade A</t>
        </is>
      </c>
      <c r="P885" s="4" t="inlineStr">
        <is>
          <t>Pickup : 2026-10-05, Return : 2026-10-05</t>
        </is>
      </c>
      <c r="Q885" s="4" t="n">
        <v>1</v>
      </c>
      <c r="R885" s="4" t="n">
        <v>0</v>
      </c>
      <c r="S885" s="4" t="n">
        <v>0</v>
      </c>
      <c r="T885" s="4" t="n">
        <v>0</v>
      </c>
      <c r="U885" s="4" t="n">
        <v>0</v>
      </c>
      <c r="V885" s="4" t="n">
        <v>0</v>
      </c>
      <c r="W885" s="4" t="n">
        <v>0</v>
      </c>
      <c r="X885" s="4" t="n">
        <v>0</v>
      </c>
      <c r="Y885" s="4" t="n">
        <v>0</v>
      </c>
      <c r="Z885" s="4" t="n">
        <v>0</v>
      </c>
      <c r="AA885" s="4" t="n">
        <v>0</v>
      </c>
      <c r="AB885" s="4">
        <f>SUM(Q885:Y885)-Z885</f>
        <v/>
      </c>
      <c r="AC885" s="4">
        <f>IF(I885="","",IF(OR(LEFT(I885,3)="BKK",I885="LCH55"),"BKK",IF(LEFT(I885,3)="LCH","LCH","OTHER")))</f>
        <v/>
      </c>
      <c r="AD885" s="4">
        <f>MAX(0,Q885-MAX(0,Z885))</f>
        <v/>
      </c>
      <c r="AE885" s="4">
        <f>MAX(0,R885-MAX(0,Z885-SUM(Q885:Q885)))</f>
        <v/>
      </c>
      <c r="AF885" s="4">
        <f>MAX(0,S885-MAX(0,Z885-SUM(Q885:R885)))</f>
        <v/>
      </c>
      <c r="AG885" s="4">
        <f>MAX(0,T885-MAX(0,Z885-SUM(Q885:S885)))</f>
        <v/>
      </c>
      <c r="AH885" s="4">
        <f>MAX(0,U885-MAX(0,Z885-SUM(Q885:T885)))</f>
        <v/>
      </c>
      <c r="AI885" s="4">
        <f>MAX(0,V885-MAX(0,Z885-SUM(Q885:U885)))</f>
        <v/>
      </c>
      <c r="AJ885" s="4">
        <f>MAX(0,W885-MAX(0,Z885-SUM(Q885:V885)))</f>
        <v/>
      </c>
      <c r="AK885" s="4">
        <f>MAX(0,X885-MAX(0,Z885-SUM(Q885:W885)))</f>
        <v/>
      </c>
      <c r="AL885" s="4">
        <f>MAX(0,Y885-MAX(0,Z885-SUM(Q885:X885)))</f>
        <v/>
      </c>
    </row>
    <row r="886">
      <c r="A886" s="4" t="inlineStr">
        <is>
          <t>HASLS22260802144</t>
        </is>
      </c>
      <c r="B886" s="4" t="inlineStr">
        <is>
          <t>SWSP</t>
        </is>
      </c>
      <c r="C886" s="4" t="inlineStr">
        <is>
          <t>2609N</t>
        </is>
      </c>
      <c r="D886" s="4" t="inlineStr">
        <is>
          <t>202610071530</t>
        </is>
      </c>
      <c r="E886" s="4" t="inlineStr"/>
      <c r="F886" s="4" t="inlineStr">
        <is>
          <t>THBKK</t>
        </is>
      </c>
      <c r="G886" s="4" t="inlineStr">
        <is>
          <t>VNSGN</t>
        </is>
      </c>
      <c r="H886" s="4" t="inlineStr">
        <is>
          <t xml:space="preserve">40Hx1 </t>
        </is>
      </c>
      <c r="I886" s="4" t="inlineStr">
        <is>
          <t>BKK25</t>
        </is>
      </c>
      <c r="J886" s="4" t="inlineStr">
        <is>
          <t xml:space="preserve">Smart Logistics Service (Thailand ) Co.,Ltd. </t>
        </is>
      </c>
      <c r="K886" s="4" t="inlineStr">
        <is>
          <t>20261002</t>
        </is>
      </c>
      <c r="L886" s="4" t="inlineStr">
        <is>
          <t>EAST-LINK CORPORATION CO., LTD.</t>
        </is>
      </c>
      <c r="M886" s="4" t="inlineStr">
        <is>
          <t>URC (THAILAND) CO., LTD.</t>
        </is>
      </c>
      <c r="N886" s="4" t="inlineStr">
        <is>
          <t xml:space="preserve">FOOD STUFF </t>
        </is>
      </c>
      <c r="O886" s="4" t="inlineStr">
        <is>
          <t>RQS CONTAINER GRADE-A FOR FOOD COMMODITY.</t>
        </is>
      </c>
      <c r="P886" s="4" t="inlineStr">
        <is>
          <t xml:space="preserve">Pickup : 2026-10-02, Return : 2026-10-02 //  EXTEND CLS TIME 02/10 @23.59 </t>
        </is>
      </c>
      <c r="Q886" s="4" t="n">
        <v>0</v>
      </c>
      <c r="R886" s="4" t="n">
        <v>0</v>
      </c>
      <c r="S886" s="4" t="n">
        <v>1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>
        <f>SUM(Q886:Y886)-Z886</f>
        <v/>
      </c>
      <c r="AC886" s="4">
        <f>IF(I886="","",IF(OR(LEFT(I886,3)="BKK",I886="LCH55"),"BKK",IF(LEFT(I886,3)="LCH","LCH","OTHER")))</f>
        <v/>
      </c>
      <c r="AD886" s="4">
        <f>MAX(0,Q886-MAX(0,Z886))</f>
        <v/>
      </c>
      <c r="AE886" s="4">
        <f>MAX(0,R886-MAX(0,Z886-SUM(Q886:Q886)))</f>
        <v/>
      </c>
      <c r="AF886" s="4">
        <f>MAX(0,S886-MAX(0,Z886-SUM(Q886:R886)))</f>
        <v/>
      </c>
      <c r="AG886" s="4">
        <f>MAX(0,T886-MAX(0,Z886-SUM(Q886:S886)))</f>
        <v/>
      </c>
      <c r="AH886" s="4">
        <f>MAX(0,U886-MAX(0,Z886-SUM(Q886:T886)))</f>
        <v/>
      </c>
      <c r="AI886" s="4">
        <f>MAX(0,V886-MAX(0,Z886-SUM(Q886:U886)))</f>
        <v/>
      </c>
      <c r="AJ886" s="4">
        <f>MAX(0,W886-MAX(0,Z886-SUM(Q886:V886)))</f>
        <v/>
      </c>
      <c r="AK886" s="4">
        <f>MAX(0,X886-MAX(0,Z886-SUM(Q886:W886)))</f>
        <v/>
      </c>
      <c r="AL886" s="4">
        <f>MAX(0,Y886-MAX(0,Z886-SUM(Q886:X886)))</f>
        <v/>
      </c>
    </row>
    <row r="887">
      <c r="A887" s="4" t="inlineStr">
        <is>
          <t>HASLS22260802219</t>
        </is>
      </c>
      <c r="B887" s="4" t="inlineStr">
        <is>
          <t>DJCF</t>
        </is>
      </c>
      <c r="C887" s="4" t="inlineStr">
        <is>
          <t>0152N</t>
        </is>
      </c>
      <c r="D887" s="4" t="inlineStr">
        <is>
          <t>202610111000</t>
        </is>
      </c>
      <c r="E887" s="4" t="inlineStr"/>
      <c r="F887" s="4" t="inlineStr">
        <is>
          <t>THBKK</t>
        </is>
      </c>
      <c r="G887" s="4" t="inlineStr">
        <is>
          <t>VNSGN</t>
        </is>
      </c>
      <c r="H887" s="4" t="inlineStr">
        <is>
          <t xml:space="preserve">40Hx1 </t>
        </is>
      </c>
      <c r="I887" s="4" t="inlineStr">
        <is>
          <t>BKK25</t>
        </is>
      </c>
      <c r="J887" s="4" t="inlineStr">
        <is>
          <t xml:space="preserve">Smart Logistics Service (Thailand ) Co.,Ltd. </t>
        </is>
      </c>
      <c r="K887" s="4" t="inlineStr">
        <is>
          <t>20260922</t>
        </is>
      </c>
      <c r="L887" s="4" t="inlineStr">
        <is>
          <t>A.S. LOGISTICS CO., LTD.</t>
        </is>
      </c>
      <c r="M887" s="4" t="inlineStr">
        <is>
          <t>INVE (THAILAND) LTD</t>
        </is>
      </c>
      <c r="N887" s="4" t="inlineStr">
        <is>
          <t xml:space="preserve">ANIMAL FEED </t>
        </is>
      </c>
      <c r="O887" s="4" t="inlineStr">
        <is>
          <t>REQUEST SURVEY + CY : 22/09/2026  REQ. GOOD AND CLEAN CONTAINER
UNDER DESK, ODORLESS, DRY FLOORBOARD
CONDITION. REQUEST UDAB UNDER DECK
AWAY BOILER</t>
        </is>
      </c>
      <c r="P887" s="4" t="inlineStr">
        <is>
          <t>Pickup : 2026-09-22, Return : 2026-09-24</t>
        </is>
      </c>
      <c r="Q887" s="4" t="n">
        <v>0</v>
      </c>
      <c r="R887" s="4" t="n">
        <v>0</v>
      </c>
      <c r="S887" s="4" t="n">
        <v>1</v>
      </c>
      <c r="T887" s="4" t="n">
        <v>0</v>
      </c>
      <c r="U887" s="4" t="n">
        <v>0</v>
      </c>
      <c r="V887" s="4" t="n">
        <v>0</v>
      </c>
      <c r="W887" s="4" t="n">
        <v>0</v>
      </c>
      <c r="X887" s="4" t="n">
        <v>0</v>
      </c>
      <c r="Y887" s="4" t="n">
        <v>0</v>
      </c>
      <c r="Z887" s="4" t="n">
        <v>0</v>
      </c>
      <c r="AA887" s="4" t="n">
        <v>0</v>
      </c>
      <c r="AB887" s="4">
        <f>SUM(Q887:Y887)-Z887</f>
        <v/>
      </c>
      <c r="AC887" s="4">
        <f>IF(I887="","",IF(OR(LEFT(I887,3)="BKK",I887="LCH55"),"BKK",IF(LEFT(I887,3)="LCH","LCH","OTHER")))</f>
        <v/>
      </c>
      <c r="AD887" s="4">
        <f>MAX(0,Q887-MAX(0,Z887))</f>
        <v/>
      </c>
      <c r="AE887" s="4">
        <f>MAX(0,R887-MAX(0,Z887-SUM(Q887:Q887)))</f>
        <v/>
      </c>
      <c r="AF887" s="4">
        <f>MAX(0,S887-MAX(0,Z887-SUM(Q887:R887)))</f>
        <v/>
      </c>
      <c r="AG887" s="4">
        <f>MAX(0,T887-MAX(0,Z887-SUM(Q887:S887)))</f>
        <v/>
      </c>
      <c r="AH887" s="4">
        <f>MAX(0,U887-MAX(0,Z887-SUM(Q887:T887)))</f>
        <v/>
      </c>
      <c r="AI887" s="4">
        <f>MAX(0,V887-MAX(0,Z887-SUM(Q887:U887)))</f>
        <v/>
      </c>
      <c r="AJ887" s="4">
        <f>MAX(0,W887-MAX(0,Z887-SUM(Q887:V887)))</f>
        <v/>
      </c>
      <c r="AK887" s="4">
        <f>MAX(0,X887-MAX(0,Z887-SUM(Q887:W887)))</f>
        <v/>
      </c>
      <c r="AL887" s="4">
        <f>MAX(0,Y887-MAX(0,Z887-SUM(Q887:X887)))</f>
        <v/>
      </c>
    </row>
    <row r="888">
      <c r="A888" s="4" t="inlineStr">
        <is>
          <t>HASLS22260802226</t>
        </is>
      </c>
      <c r="B888" s="4" t="inlineStr">
        <is>
          <t>SWMM</t>
        </is>
      </c>
      <c r="C888" s="4" t="inlineStr">
        <is>
          <t>2610N</t>
        </is>
      </c>
      <c r="D888" s="4" t="inlineStr">
        <is>
          <t>202610210400</t>
        </is>
      </c>
      <c r="E888" s="4" t="inlineStr"/>
      <c r="F888" s="4" t="inlineStr">
        <is>
          <t>THBKK</t>
        </is>
      </c>
      <c r="G888" s="4" t="inlineStr">
        <is>
          <t>KRKAN</t>
        </is>
      </c>
      <c r="H888" s="4" t="inlineStr">
        <is>
          <t xml:space="preserve">40Hx4 </t>
        </is>
      </c>
      <c r="I888" s="4" t="inlineStr">
        <is>
          <t>BKK25</t>
        </is>
      </c>
      <c r="J888" s="4" t="inlineStr">
        <is>
          <t xml:space="preserve">Smart Logistics Service (Thailand ) Co.,Ltd. </t>
        </is>
      </c>
      <c r="K888" s="4" t="inlineStr">
        <is>
          <t>20261015</t>
        </is>
      </c>
      <c r="L888" s="4" t="inlineStr">
        <is>
          <t>HARPERS SEA FREIGHT CO., LTD.</t>
        </is>
      </c>
      <c r="M888" s="4" t="inlineStr">
        <is>
          <t>THAI ASAHI CO., LTD.</t>
        </is>
      </c>
      <c r="N888" s="4" t="inlineStr">
        <is>
          <t xml:space="preserve">POTATO STARCH </t>
        </is>
      </c>
      <c r="O888" s="4" t="inlineStr">
        <is>
          <t>Grade A and food grade container</t>
        </is>
      </c>
      <c r="P888" s="4" t="inlineStr">
        <is>
          <t>Pickup : 2026-10-15, Return : 2026-10-17</t>
        </is>
      </c>
      <c r="Q888" s="4" t="n">
        <v>0</v>
      </c>
      <c r="R888" s="4" t="n">
        <v>0</v>
      </c>
      <c r="S888" s="4" t="n">
        <v>4</v>
      </c>
      <c r="T888" s="4" t="n">
        <v>0</v>
      </c>
      <c r="U888" s="4" t="n">
        <v>0</v>
      </c>
      <c r="V888" s="4" t="n">
        <v>0</v>
      </c>
      <c r="W888" s="4" t="n">
        <v>0</v>
      </c>
      <c r="X888" s="4" t="n">
        <v>0</v>
      </c>
      <c r="Y888" s="4" t="n">
        <v>0</v>
      </c>
      <c r="Z888" s="4" t="n">
        <v>0</v>
      </c>
      <c r="AA888" s="4" t="n">
        <v>0</v>
      </c>
      <c r="AB888" s="4">
        <f>SUM(Q888:Y888)-Z888</f>
        <v/>
      </c>
      <c r="AC888" s="4">
        <f>IF(I888="","",IF(OR(LEFT(I888,3)="BKK",I888="LCH55"),"BKK",IF(LEFT(I888,3)="LCH","LCH","OTHER")))</f>
        <v/>
      </c>
      <c r="AD888" s="4">
        <f>MAX(0,Q888-MAX(0,Z888))</f>
        <v/>
      </c>
      <c r="AE888" s="4">
        <f>MAX(0,R888-MAX(0,Z888-SUM(Q888:Q888)))</f>
        <v/>
      </c>
      <c r="AF888" s="4">
        <f>MAX(0,S888-MAX(0,Z888-SUM(Q888:R888)))</f>
        <v/>
      </c>
      <c r="AG888" s="4">
        <f>MAX(0,T888-MAX(0,Z888-SUM(Q888:S888)))</f>
        <v/>
      </c>
      <c r="AH888" s="4">
        <f>MAX(0,U888-MAX(0,Z888-SUM(Q888:T888)))</f>
        <v/>
      </c>
      <c r="AI888" s="4">
        <f>MAX(0,V888-MAX(0,Z888-SUM(Q888:U888)))</f>
        <v/>
      </c>
      <c r="AJ888" s="4">
        <f>MAX(0,W888-MAX(0,Z888-SUM(Q888:V888)))</f>
        <v/>
      </c>
      <c r="AK888" s="4">
        <f>MAX(0,X888-MAX(0,Z888-SUM(Q888:W888)))</f>
        <v/>
      </c>
      <c r="AL888" s="4">
        <f>MAX(0,Y888-MAX(0,Z888-SUM(Q888:X888)))</f>
        <v/>
      </c>
    </row>
    <row r="889">
      <c r="A889" s="4" t="inlineStr">
        <is>
          <t>HASLS22260802288</t>
        </is>
      </c>
      <c r="B889" s="4" t="inlineStr">
        <is>
          <t>SWDN</t>
        </is>
      </c>
      <c r="C889" s="4" t="inlineStr">
        <is>
          <t>2610N</t>
        </is>
      </c>
      <c r="D889" s="4" t="inlineStr">
        <is>
          <t>202610060900</t>
        </is>
      </c>
      <c r="E889" s="4" t="inlineStr"/>
      <c r="F889" s="4" t="inlineStr">
        <is>
          <t>THBKK</t>
        </is>
      </c>
      <c r="G889" s="4" t="inlineStr">
        <is>
          <t>KRINC</t>
        </is>
      </c>
      <c r="H889" s="4" t="inlineStr">
        <is>
          <t xml:space="preserve">20'x1 </t>
        </is>
      </c>
      <c r="I889" s="4" t="inlineStr">
        <is>
          <t>BKK25</t>
        </is>
      </c>
      <c r="J889" s="4" t="inlineStr">
        <is>
          <t xml:space="preserve">Smart Logistics Service (Thailand ) Co.,Ltd. </t>
        </is>
      </c>
      <c r="K889" s="4" t="inlineStr">
        <is>
          <t>20260928</t>
        </is>
      </c>
      <c r="L889" s="4" t="inlineStr">
        <is>
          <t>WORLDNET EXPRESS CO., LTD.</t>
        </is>
      </c>
      <c r="M889" s="4" t="inlineStr">
        <is>
          <t>MAHANAVA CO.,LTD.</t>
        </is>
      </c>
      <c r="N889" s="4" t="inlineStr">
        <is>
          <t>FOODSTUFFS</t>
        </is>
      </c>
      <c r="O889" s="4" t="inlineStr">
        <is>
          <t>REQ CONTAINER FOOD GRADE ( A GRADE), NO OIL, NO HOLE, NO RUST, NO SMELL, SMOOTH FLOOR</t>
        </is>
      </c>
      <c r="P889" s="4" t="inlineStr">
        <is>
          <t xml:space="preserve">Pickup : 2026-09-28, Return : 2026-09-29 (1ST RTN 29/09 W/O RENT) </t>
        </is>
      </c>
      <c r="Q889" s="4" t="n">
        <v>1</v>
      </c>
      <c r="R889" s="4" t="n">
        <v>0</v>
      </c>
      <c r="S889" s="4" t="n">
        <v>0</v>
      </c>
      <c r="T889" s="4" t="n">
        <v>0</v>
      </c>
      <c r="U889" s="4" t="n">
        <v>0</v>
      </c>
      <c r="V889" s="4" t="n">
        <v>0</v>
      </c>
      <c r="W889" s="4" t="n">
        <v>0</v>
      </c>
      <c r="X889" s="4" t="n">
        <v>0</v>
      </c>
      <c r="Y889" s="4" t="n">
        <v>0</v>
      </c>
      <c r="Z889" s="4" t="n">
        <v>0</v>
      </c>
      <c r="AA889" s="4" t="n">
        <v>0</v>
      </c>
      <c r="AB889" s="4">
        <f>SUM(Q889:Y889)-Z889</f>
        <v/>
      </c>
      <c r="AC889" s="4">
        <f>IF(I889="","",IF(OR(LEFT(I889,3)="BKK",I889="LCH55"),"BKK",IF(LEFT(I889,3)="LCH","LCH","OTHER")))</f>
        <v/>
      </c>
      <c r="AD889" s="4">
        <f>MAX(0,Q889-MAX(0,Z889))</f>
        <v/>
      </c>
      <c r="AE889" s="4">
        <f>MAX(0,R889-MAX(0,Z889-SUM(Q889:Q889)))</f>
        <v/>
      </c>
      <c r="AF889" s="4">
        <f>MAX(0,S889-MAX(0,Z889-SUM(Q889:R889)))</f>
        <v/>
      </c>
      <c r="AG889" s="4">
        <f>MAX(0,T889-MAX(0,Z889-SUM(Q889:S889)))</f>
        <v/>
      </c>
      <c r="AH889" s="4">
        <f>MAX(0,U889-MAX(0,Z889-SUM(Q889:T889)))</f>
        <v/>
      </c>
      <c r="AI889" s="4">
        <f>MAX(0,V889-MAX(0,Z889-SUM(Q889:U889)))</f>
        <v/>
      </c>
      <c r="AJ889" s="4">
        <f>MAX(0,W889-MAX(0,Z889-SUM(Q889:V889)))</f>
        <v/>
      </c>
      <c r="AK889" s="4">
        <f>MAX(0,X889-MAX(0,Z889-SUM(Q889:W889)))</f>
        <v/>
      </c>
      <c r="AL889" s="4">
        <f>MAX(0,Y889-MAX(0,Z889-SUM(Q889:X889)))</f>
        <v/>
      </c>
    </row>
    <row r="890">
      <c r="A890" s="4" t="inlineStr">
        <is>
          <t>HASLS22260802336</t>
        </is>
      </c>
      <c r="B890" s="4" t="inlineStr">
        <is>
          <t>SWAT</t>
        </is>
      </c>
      <c r="C890" s="4" t="inlineStr">
        <is>
          <t>2610N</t>
        </is>
      </c>
      <c r="D890" s="4" t="inlineStr">
        <is>
          <t>202610071700</t>
        </is>
      </c>
      <c r="E890" s="4" t="inlineStr"/>
      <c r="F890" s="4" t="inlineStr">
        <is>
          <t>THBKK</t>
        </is>
      </c>
      <c r="G890" s="4" t="inlineStr">
        <is>
          <t>CNSHK</t>
        </is>
      </c>
      <c r="H890" s="4" t="inlineStr">
        <is>
          <t xml:space="preserve">40Hx1 20'x1 </t>
        </is>
      </c>
      <c r="I890" s="4" t="inlineStr">
        <is>
          <t>BKK25</t>
        </is>
      </c>
      <c r="J890" s="4" t="inlineStr">
        <is>
          <t xml:space="preserve">Smart Logistics Service (Thailand ) Co.,Ltd. </t>
        </is>
      </c>
      <c r="K890" s="4" t="inlineStr">
        <is>
          <t>20261001</t>
        </is>
      </c>
      <c r="L890" s="4" t="inlineStr">
        <is>
          <t>CTI LOGISTICS CO., LTD.</t>
        </is>
      </c>
      <c r="M890" s="4" t="inlineStr">
        <is>
          <t>NMB-MINEBEA THAI LTD.</t>
        </is>
      </c>
      <c r="N890" s="4" t="inlineStr">
        <is>
          <t>BALL BEARING</t>
        </is>
      </c>
      <c r="O890" s="4" t="inlineStr">
        <is>
          <t>REQUEST CLEAN CONTAINER</t>
        </is>
      </c>
      <c r="P890" s="4" t="inlineStr">
        <is>
          <t>Pickup : 2026-10-01, Return : 2026-10-02</t>
        </is>
      </c>
      <c r="Q890" s="4" t="n">
        <v>1</v>
      </c>
      <c r="R890" s="4" t="n">
        <v>0</v>
      </c>
      <c r="S890" s="4" t="n">
        <v>1</v>
      </c>
      <c r="T890" s="4" t="n">
        <v>0</v>
      </c>
      <c r="U890" s="4" t="n">
        <v>0</v>
      </c>
      <c r="V890" s="4" t="n">
        <v>0</v>
      </c>
      <c r="W890" s="4" t="n">
        <v>0</v>
      </c>
      <c r="X890" s="4" t="n">
        <v>0</v>
      </c>
      <c r="Y890" s="4" t="n">
        <v>0</v>
      </c>
      <c r="Z890" s="4" t="n">
        <v>0</v>
      </c>
      <c r="AA890" s="4" t="n">
        <v>0</v>
      </c>
      <c r="AB890" s="4">
        <f>SUM(Q890:Y890)-Z890</f>
        <v/>
      </c>
      <c r="AC890" s="4">
        <f>IF(I890="","",IF(OR(LEFT(I890,3)="BKK",I890="LCH55"),"BKK",IF(LEFT(I890,3)="LCH","LCH","OTHER")))</f>
        <v/>
      </c>
      <c r="AD890" s="4">
        <f>MAX(0,Q890-MAX(0,Z890))</f>
        <v/>
      </c>
      <c r="AE890" s="4">
        <f>MAX(0,R890-MAX(0,Z890-SUM(Q890:Q890)))</f>
        <v/>
      </c>
      <c r="AF890" s="4">
        <f>MAX(0,S890-MAX(0,Z890-SUM(Q890:R890)))</f>
        <v/>
      </c>
      <c r="AG890" s="4">
        <f>MAX(0,T890-MAX(0,Z890-SUM(Q890:S890)))</f>
        <v/>
      </c>
      <c r="AH890" s="4">
        <f>MAX(0,U890-MAX(0,Z890-SUM(Q890:T890)))</f>
        <v/>
      </c>
      <c r="AI890" s="4">
        <f>MAX(0,V890-MAX(0,Z890-SUM(Q890:U890)))</f>
        <v/>
      </c>
      <c r="AJ890" s="4">
        <f>MAX(0,W890-MAX(0,Z890-SUM(Q890:V890)))</f>
        <v/>
      </c>
      <c r="AK890" s="4">
        <f>MAX(0,X890-MAX(0,Z890-SUM(Q890:W890)))</f>
        <v/>
      </c>
      <c r="AL890" s="4">
        <f>MAX(0,Y890-MAX(0,Z890-SUM(Q890:X890)))</f>
        <v/>
      </c>
    </row>
    <row r="891">
      <c r="A891" s="4" t="inlineStr">
        <is>
          <t>HASLS22260802353</t>
        </is>
      </c>
      <c r="B891" s="4" t="inlineStr">
        <is>
          <t>SWAT</t>
        </is>
      </c>
      <c r="C891" s="4" t="inlineStr">
        <is>
          <t>2610N</t>
        </is>
      </c>
      <c r="D891" s="4" t="inlineStr">
        <is>
          <t>202610071700</t>
        </is>
      </c>
      <c r="E891" s="4" t="inlineStr"/>
      <c r="F891" s="4" t="inlineStr">
        <is>
          <t>THBKK</t>
        </is>
      </c>
      <c r="G891" s="4" t="inlineStr">
        <is>
          <t>HKHKG</t>
        </is>
      </c>
      <c r="H891" s="4" t="inlineStr">
        <is>
          <t xml:space="preserve">20'x1 </t>
        </is>
      </c>
      <c r="I891" s="4" t="inlineStr">
        <is>
          <t>BKK25</t>
        </is>
      </c>
      <c r="J891" s="4" t="inlineStr">
        <is>
          <t xml:space="preserve">Smart Logistics Service (Thailand ) Co.,Ltd. </t>
        </is>
      </c>
      <c r="K891" s="4" t="inlineStr">
        <is>
          <t>20261001</t>
        </is>
      </c>
      <c r="L891" s="4" t="inlineStr">
        <is>
          <t>VARA FOOD &amp; DRINK CO., LTD.</t>
        </is>
      </c>
      <c r="M891" s="4" t="inlineStr">
        <is>
          <t>VARA FOOD &amp; DRINK CO., LTD.</t>
        </is>
      </c>
      <c r="N891" s="4" t="inlineStr">
        <is>
          <t>CANNED GOODS</t>
        </is>
      </c>
      <c r="O891" s="4" t="inlineStr">
        <is>
          <t>REQUEST : CLEAN CONTAINER, NO RUST</t>
        </is>
      </c>
      <c r="P891" s="4" t="inlineStr">
        <is>
          <t>CY-RTN : 01-02/10/2026</t>
        </is>
      </c>
      <c r="Q891" s="4" t="n">
        <v>1</v>
      </c>
      <c r="R891" s="4" t="n">
        <v>0</v>
      </c>
      <c r="S891" s="4" t="n">
        <v>0</v>
      </c>
      <c r="T891" s="4" t="n">
        <v>0</v>
      </c>
      <c r="U891" s="4" t="n">
        <v>0</v>
      </c>
      <c r="V891" s="4" t="n">
        <v>0</v>
      </c>
      <c r="W891" s="4" t="n">
        <v>0</v>
      </c>
      <c r="X891" s="4" t="n">
        <v>0</v>
      </c>
      <c r="Y891" s="4" t="n">
        <v>0</v>
      </c>
      <c r="Z891" s="4" t="n">
        <v>0</v>
      </c>
      <c r="AA891" s="4" t="n">
        <v>0</v>
      </c>
      <c r="AB891" s="4">
        <f>SUM(Q891:Y891)-Z891</f>
        <v/>
      </c>
      <c r="AC891" s="4">
        <f>IF(I891="","",IF(OR(LEFT(I891,3)="BKK",I891="LCH55"),"BKK",IF(LEFT(I891,3)="LCH","LCH","OTHER")))</f>
        <v/>
      </c>
      <c r="AD891" s="4">
        <f>MAX(0,Q891-MAX(0,Z891))</f>
        <v/>
      </c>
      <c r="AE891" s="4">
        <f>MAX(0,R891-MAX(0,Z891-SUM(Q891:Q891)))</f>
        <v/>
      </c>
      <c r="AF891" s="4">
        <f>MAX(0,S891-MAX(0,Z891-SUM(Q891:R891)))</f>
        <v/>
      </c>
      <c r="AG891" s="4">
        <f>MAX(0,T891-MAX(0,Z891-SUM(Q891:S891)))</f>
        <v/>
      </c>
      <c r="AH891" s="4">
        <f>MAX(0,U891-MAX(0,Z891-SUM(Q891:T891)))</f>
        <v/>
      </c>
      <c r="AI891" s="4">
        <f>MAX(0,V891-MAX(0,Z891-SUM(Q891:U891)))</f>
        <v/>
      </c>
      <c r="AJ891" s="4">
        <f>MAX(0,W891-MAX(0,Z891-SUM(Q891:V891)))</f>
        <v/>
      </c>
      <c r="AK891" s="4">
        <f>MAX(0,X891-MAX(0,Z891-SUM(Q891:W891)))</f>
        <v/>
      </c>
      <c r="AL891" s="4">
        <f>MAX(0,Y891-MAX(0,Z891-SUM(Q891:X891)))</f>
        <v/>
      </c>
    </row>
    <row r="892">
      <c r="A892" s="4" t="inlineStr">
        <is>
          <t>HASLS22260802364</t>
        </is>
      </c>
      <c r="B892" s="4" t="inlineStr">
        <is>
          <t>SWBT</t>
        </is>
      </c>
      <c r="C892" s="4" t="inlineStr">
        <is>
          <t>2616N</t>
        </is>
      </c>
      <c r="D892" s="4" t="inlineStr">
        <is>
          <t>202610130600</t>
        </is>
      </c>
      <c r="E892" s="4" t="inlineStr"/>
      <c r="F892" s="4" t="inlineStr">
        <is>
          <t>THBKK</t>
        </is>
      </c>
      <c r="G892" s="4" t="inlineStr">
        <is>
          <t>KRINC</t>
        </is>
      </c>
      <c r="H892" s="4" t="inlineStr">
        <is>
          <t xml:space="preserve">40Hx1 </t>
        </is>
      </c>
      <c r="I892" s="4" t="inlineStr">
        <is>
          <t>BKK25</t>
        </is>
      </c>
      <c r="J892" s="4" t="inlineStr">
        <is>
          <t xml:space="preserve">Smart Logistics Service (Thailand ) Co.,Ltd. </t>
        </is>
      </c>
      <c r="K892" s="4" t="inlineStr">
        <is>
          <t>20261008</t>
        </is>
      </c>
      <c r="L892" s="4" t="inlineStr">
        <is>
          <t>WORLD NET LOGISTICS (THAILAND) CO.,LTD.</t>
        </is>
      </c>
      <c r="M892" s="4" t="inlineStr">
        <is>
          <t>SAMWON LAMLUKA (THAI LAND) CO., LTD.</t>
        </is>
      </c>
      <c r="N892" s="4" t="inlineStr">
        <is>
          <t>LATEX MATTRESS &amp; PILLOW</t>
        </is>
      </c>
      <c r="O892" s="4" t="inlineStr">
        <is>
          <t>GOOD AND CLEAN CONTAINER GRADE A 
NO SMELL, NO RUST, NO HOLE, NO OIL</t>
        </is>
      </c>
      <c r="P892" s="4" t="inlineStr">
        <is>
          <t>Pickup : 2026-10-08, Return : 2026-10-09</t>
        </is>
      </c>
      <c r="Q892" s="4" t="n">
        <v>0</v>
      </c>
      <c r="R892" s="4" t="n">
        <v>0</v>
      </c>
      <c r="S892" s="4" t="n">
        <v>1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>
        <f>SUM(Q892:Y892)-Z892</f>
        <v/>
      </c>
      <c r="AC892" s="4">
        <f>IF(I892="","",IF(OR(LEFT(I892,3)="BKK",I892="LCH55"),"BKK",IF(LEFT(I892,3)="LCH","LCH","OTHER")))</f>
        <v/>
      </c>
      <c r="AD892" s="4">
        <f>MAX(0,Q892-MAX(0,Z892))</f>
        <v/>
      </c>
      <c r="AE892" s="4">
        <f>MAX(0,R892-MAX(0,Z892-SUM(Q892:Q892)))</f>
        <v/>
      </c>
      <c r="AF892" s="4">
        <f>MAX(0,S892-MAX(0,Z892-SUM(Q892:R892)))</f>
        <v/>
      </c>
      <c r="AG892" s="4">
        <f>MAX(0,T892-MAX(0,Z892-SUM(Q892:S892)))</f>
        <v/>
      </c>
      <c r="AH892" s="4">
        <f>MAX(0,U892-MAX(0,Z892-SUM(Q892:T892)))</f>
        <v/>
      </c>
      <c r="AI892" s="4">
        <f>MAX(0,V892-MAX(0,Z892-SUM(Q892:U892)))</f>
        <v/>
      </c>
      <c r="AJ892" s="4">
        <f>MAX(0,W892-MAX(0,Z892-SUM(Q892:V892)))</f>
        <v/>
      </c>
      <c r="AK892" s="4">
        <f>MAX(0,X892-MAX(0,Z892-SUM(Q892:W892)))</f>
        <v/>
      </c>
      <c r="AL892" s="4">
        <f>MAX(0,Y892-MAX(0,Z892-SUM(Q892:X892)))</f>
        <v/>
      </c>
    </row>
    <row r="893">
      <c r="A893" s="4" t="inlineStr">
        <is>
          <t>HASLS22260802437</t>
        </is>
      </c>
      <c r="B893" s="4" t="inlineStr">
        <is>
          <t>SWSP</t>
        </is>
      </c>
      <c r="C893" s="4" t="inlineStr">
        <is>
          <t>2609N</t>
        </is>
      </c>
      <c r="D893" s="4" t="inlineStr">
        <is>
          <t>202610071530</t>
        </is>
      </c>
      <c r="E893" s="4" t="inlineStr"/>
      <c r="F893" s="4" t="inlineStr">
        <is>
          <t>THBKK</t>
        </is>
      </c>
      <c r="G893" s="4" t="inlineStr">
        <is>
          <t>JPIMI</t>
        </is>
      </c>
      <c r="H893" s="4" t="inlineStr">
        <is>
          <t xml:space="preserve">40Hx1 </t>
        </is>
      </c>
      <c r="I893" s="4" t="inlineStr">
        <is>
          <t>BKK25</t>
        </is>
      </c>
      <c r="J893" s="4" t="inlineStr">
        <is>
          <t xml:space="preserve">Smart Logistics Service (Thailand ) Co.,Ltd. </t>
        </is>
      </c>
      <c r="K893" s="4" t="inlineStr">
        <is>
          <t>20261001</t>
        </is>
      </c>
      <c r="L893" s="4" t="inlineStr">
        <is>
          <t>WOODWORKS THAI CO., LTD. (1980)</t>
        </is>
      </c>
      <c r="M893" s="4" t="inlineStr">
        <is>
          <t>WOODWORKS THAI CO., LTD. (1980)</t>
        </is>
      </c>
      <c r="N893" s="4" t="inlineStr">
        <is>
          <t>FURNITURE (STUDY DESK)</t>
        </is>
      </c>
      <c r="O893" s="4" t="inlineStr">
        <is>
          <t>GOOD AND CLEAN CONTAINER</t>
        </is>
      </c>
      <c r="P893" s="4" t="inlineStr">
        <is>
          <t>Pickup : 2026-10-01, Return : 2026-10-01</t>
        </is>
      </c>
      <c r="Q893" s="4" t="n">
        <v>0</v>
      </c>
      <c r="R893" s="4" t="n">
        <v>0</v>
      </c>
      <c r="S893" s="4" t="n">
        <v>1</v>
      </c>
      <c r="T893" s="4" t="n">
        <v>0</v>
      </c>
      <c r="U893" s="4" t="n">
        <v>0</v>
      </c>
      <c r="V893" s="4" t="n">
        <v>0</v>
      </c>
      <c r="W893" s="4" t="n">
        <v>0</v>
      </c>
      <c r="X893" s="4" t="n">
        <v>0</v>
      </c>
      <c r="Y893" s="4" t="n">
        <v>0</v>
      </c>
      <c r="Z893" s="4" t="n">
        <v>0</v>
      </c>
      <c r="AA893" s="4" t="n">
        <v>0</v>
      </c>
      <c r="AB893" s="4">
        <f>SUM(Q893:Y893)-Z893</f>
        <v/>
      </c>
      <c r="AC893" s="4">
        <f>IF(I893="","",IF(OR(LEFT(I893,3)="BKK",I893="LCH55"),"BKK",IF(LEFT(I893,3)="LCH","LCH","OTHER")))</f>
        <v/>
      </c>
      <c r="AD893" s="4">
        <f>MAX(0,Q893-MAX(0,Z893))</f>
        <v/>
      </c>
      <c r="AE893" s="4">
        <f>MAX(0,R893-MAX(0,Z893-SUM(Q893:Q893)))</f>
        <v/>
      </c>
      <c r="AF893" s="4">
        <f>MAX(0,S893-MAX(0,Z893-SUM(Q893:R893)))</f>
        <v/>
      </c>
      <c r="AG893" s="4">
        <f>MAX(0,T893-MAX(0,Z893-SUM(Q893:S893)))</f>
        <v/>
      </c>
      <c r="AH893" s="4">
        <f>MAX(0,U893-MAX(0,Z893-SUM(Q893:T893)))</f>
        <v/>
      </c>
      <c r="AI893" s="4">
        <f>MAX(0,V893-MAX(0,Z893-SUM(Q893:U893)))</f>
        <v/>
      </c>
      <c r="AJ893" s="4">
        <f>MAX(0,W893-MAX(0,Z893-SUM(Q893:V893)))</f>
        <v/>
      </c>
      <c r="AK893" s="4">
        <f>MAX(0,X893-MAX(0,Z893-SUM(Q893:W893)))</f>
        <v/>
      </c>
      <c r="AL893" s="4">
        <f>MAX(0,Y893-MAX(0,Z893-SUM(Q893:X893)))</f>
        <v/>
      </c>
    </row>
    <row r="894">
      <c r="A894" s="4" t="inlineStr">
        <is>
          <t>HASLS22260802615</t>
        </is>
      </c>
      <c r="B894" s="4" t="inlineStr">
        <is>
          <t>SWDN</t>
        </is>
      </c>
      <c r="C894" s="4" t="inlineStr">
        <is>
          <t>2610N</t>
        </is>
      </c>
      <c r="D894" s="4" t="inlineStr">
        <is>
          <t>202610060900</t>
        </is>
      </c>
      <c r="E894" s="4" t="inlineStr"/>
      <c r="F894" s="4" t="inlineStr">
        <is>
          <t>THBKK</t>
        </is>
      </c>
      <c r="G894" s="4" t="inlineStr">
        <is>
          <t>KRINC</t>
        </is>
      </c>
      <c r="H894" s="4" t="inlineStr">
        <is>
          <t xml:space="preserve">20'x1 </t>
        </is>
      </c>
      <c r="I894" s="4" t="inlineStr">
        <is>
          <t>BKK25</t>
        </is>
      </c>
      <c r="J894" s="4" t="inlineStr">
        <is>
          <t xml:space="preserve">Smart Logistics Service (Thailand ) Co.,Ltd. </t>
        </is>
      </c>
      <c r="K894" s="4" t="inlineStr">
        <is>
          <t>20260926</t>
        </is>
      </c>
      <c r="L894" s="4" t="inlineStr">
        <is>
          <t>KORCHINA FREIGHT (THAILAND) CO., LTD.</t>
        </is>
      </c>
      <c r="M894" s="4" t="inlineStr">
        <is>
          <t>ORIENTAL FOODS LIMITED PARTNERSHIP</t>
        </is>
      </c>
      <c r="N894" s="4" t="inlineStr">
        <is>
          <t>RICE STICK</t>
        </is>
      </c>
      <c r="O894" s="4" t="inlineStr">
        <is>
          <t>GOOD AND CLEAN CONTAINER</t>
        </is>
      </c>
      <c r="P894" s="4" t="inlineStr">
        <is>
          <t xml:space="preserve">Pickup : 2026-09-26, Return : 2026-09-29
</t>
        </is>
      </c>
      <c r="Q894" s="4" t="n">
        <v>1</v>
      </c>
      <c r="R894" s="4" t="n">
        <v>0</v>
      </c>
      <c r="S894" s="4" t="n">
        <v>0</v>
      </c>
      <c r="T894" s="4" t="n">
        <v>0</v>
      </c>
      <c r="U894" s="4" t="n">
        <v>0</v>
      </c>
      <c r="V894" s="4" t="n">
        <v>0</v>
      </c>
      <c r="W894" s="4" t="n">
        <v>0</v>
      </c>
      <c r="X894" s="4" t="n">
        <v>0</v>
      </c>
      <c r="Y894" s="4" t="n">
        <v>0</v>
      </c>
      <c r="Z894" s="4" t="n">
        <v>0</v>
      </c>
      <c r="AA894" s="4" t="n">
        <v>0</v>
      </c>
      <c r="AB894" s="4">
        <f>SUM(Q894:Y894)-Z894</f>
        <v/>
      </c>
      <c r="AC894" s="4">
        <f>IF(I894="","",IF(OR(LEFT(I894,3)="BKK",I894="LCH55"),"BKK",IF(LEFT(I894,3)="LCH","LCH","OTHER")))</f>
        <v/>
      </c>
      <c r="AD894" s="4">
        <f>MAX(0,Q894-MAX(0,Z894))</f>
        <v/>
      </c>
      <c r="AE894" s="4">
        <f>MAX(0,R894-MAX(0,Z894-SUM(Q894:Q894)))</f>
        <v/>
      </c>
      <c r="AF894" s="4">
        <f>MAX(0,S894-MAX(0,Z894-SUM(Q894:R894)))</f>
        <v/>
      </c>
      <c r="AG894" s="4">
        <f>MAX(0,T894-MAX(0,Z894-SUM(Q894:S894)))</f>
        <v/>
      </c>
      <c r="AH894" s="4">
        <f>MAX(0,U894-MAX(0,Z894-SUM(Q894:T894)))</f>
        <v/>
      </c>
      <c r="AI894" s="4">
        <f>MAX(0,V894-MAX(0,Z894-SUM(Q894:U894)))</f>
        <v/>
      </c>
      <c r="AJ894" s="4">
        <f>MAX(0,W894-MAX(0,Z894-SUM(Q894:V894)))</f>
        <v/>
      </c>
      <c r="AK894" s="4">
        <f>MAX(0,X894-MAX(0,Z894-SUM(Q894:W894)))</f>
        <v/>
      </c>
      <c r="AL894" s="4">
        <f>MAX(0,Y894-MAX(0,Z894-SUM(Q894:X894)))</f>
        <v/>
      </c>
    </row>
    <row r="895">
      <c r="A895" s="4" t="inlineStr">
        <is>
          <t>HASLS22260802622</t>
        </is>
      </c>
      <c r="B895" s="4" t="inlineStr">
        <is>
          <t>SWBT</t>
        </is>
      </c>
      <c r="C895" s="4" t="inlineStr">
        <is>
          <t>2616N</t>
        </is>
      </c>
      <c r="D895" s="4" t="inlineStr">
        <is>
          <t>202610130600</t>
        </is>
      </c>
      <c r="E895" s="4" t="inlineStr"/>
      <c r="F895" s="4" t="inlineStr">
        <is>
          <t>THBKK</t>
        </is>
      </c>
      <c r="G895" s="4" t="inlineStr">
        <is>
          <t>VNSGN</t>
        </is>
      </c>
      <c r="H895" s="4" t="inlineStr">
        <is>
          <t xml:space="preserve">20'x1 </t>
        </is>
      </c>
      <c r="I895" s="4" t="inlineStr">
        <is>
          <t>BKK25</t>
        </is>
      </c>
      <c r="J895" s="4" t="inlineStr">
        <is>
          <t xml:space="preserve">Smart Logistics Service (Thailand ) Co.,Ltd. </t>
        </is>
      </c>
      <c r="K895" s="4" t="inlineStr">
        <is>
          <t>20261008</t>
        </is>
      </c>
      <c r="L895" s="4" t="inlineStr">
        <is>
          <t>BILLION LOGISTICS CO., LTD.</t>
        </is>
      </c>
      <c r="M895" s="4" t="inlineStr">
        <is>
          <t>NEWLY WEDS FOODS (THAILAND) LIMITED</t>
        </is>
      </c>
      <c r="N895" s="4" t="inlineStr">
        <is>
          <t>FOODSTUFFS</t>
        </is>
      </c>
      <c r="O895" s="4" t="inlineStr">
        <is>
          <t>GOOD AND CLEAN CONTAINER</t>
        </is>
      </c>
      <c r="P895" s="4" t="inlineStr">
        <is>
          <t>Pickup : 2026-10-08, Return : 2026-10-09</t>
        </is>
      </c>
      <c r="Q895" s="4" t="n">
        <v>1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>
        <f>SUM(Q895:Y895)-Z895</f>
        <v/>
      </c>
      <c r="AC895" s="4">
        <f>IF(I895="","",IF(OR(LEFT(I895,3)="BKK",I895="LCH55"),"BKK",IF(LEFT(I895,3)="LCH","LCH","OTHER")))</f>
        <v/>
      </c>
      <c r="AD895" s="4">
        <f>MAX(0,Q895-MAX(0,Z895))</f>
        <v/>
      </c>
      <c r="AE895" s="4">
        <f>MAX(0,R895-MAX(0,Z895-SUM(Q895:Q895)))</f>
        <v/>
      </c>
      <c r="AF895" s="4">
        <f>MAX(0,S895-MAX(0,Z895-SUM(Q895:R895)))</f>
        <v/>
      </c>
      <c r="AG895" s="4">
        <f>MAX(0,T895-MAX(0,Z895-SUM(Q895:S895)))</f>
        <v/>
      </c>
      <c r="AH895" s="4">
        <f>MAX(0,U895-MAX(0,Z895-SUM(Q895:T895)))</f>
        <v/>
      </c>
      <c r="AI895" s="4">
        <f>MAX(0,V895-MAX(0,Z895-SUM(Q895:U895)))</f>
        <v/>
      </c>
      <c r="AJ895" s="4">
        <f>MAX(0,W895-MAX(0,Z895-SUM(Q895:V895)))</f>
        <v/>
      </c>
      <c r="AK895" s="4">
        <f>MAX(0,X895-MAX(0,Z895-SUM(Q895:W895)))</f>
        <v/>
      </c>
      <c r="AL895" s="4">
        <f>MAX(0,Y895-MAX(0,Z895-SUM(Q895:X895)))</f>
        <v/>
      </c>
    </row>
    <row r="896">
      <c r="A896" s="4" t="inlineStr">
        <is>
          <t>HASLS22260900033</t>
        </is>
      </c>
      <c r="B896" s="4" t="inlineStr">
        <is>
          <t>SWDN</t>
        </is>
      </c>
      <c r="C896" s="4" t="inlineStr">
        <is>
          <t>2610N</t>
        </is>
      </c>
      <c r="D896" s="4" t="inlineStr">
        <is>
          <t>202610060900</t>
        </is>
      </c>
      <c r="E896" s="4" t="inlineStr"/>
      <c r="F896" s="4" t="inlineStr">
        <is>
          <t>THBKK</t>
        </is>
      </c>
      <c r="G896" s="4" t="inlineStr">
        <is>
          <t>KRINC</t>
        </is>
      </c>
      <c r="H896" s="4" t="inlineStr">
        <is>
          <t xml:space="preserve">20'x1 </t>
        </is>
      </c>
      <c r="I896" s="4" t="inlineStr">
        <is>
          <t>BKK25</t>
        </is>
      </c>
      <c r="J896" s="4" t="inlineStr">
        <is>
          <t xml:space="preserve">Smart Logistics Service (Thailand ) Co.,Ltd. </t>
        </is>
      </c>
      <c r="K896" s="4" t="inlineStr">
        <is>
          <t>20261002</t>
        </is>
      </c>
      <c r="L896" s="4" t="inlineStr">
        <is>
          <t>H &amp; FRIENDS GTL (THAILAND) CO., LTD.</t>
        </is>
      </c>
      <c r="M896" s="4" t="inlineStr">
        <is>
          <t>THAI FISHSAUCE FACTORY (SQUID BRAND) CO.,LTD.</t>
        </is>
      </c>
      <c r="N896" s="4" t="inlineStr">
        <is>
          <t>FISH SAUSE</t>
        </is>
      </c>
      <c r="O896" s="4" t="inlineStr">
        <is>
          <t>Request Container good grade / No damage / No smell / Clean CNTR</t>
        </is>
      </c>
      <c r="P896" s="4" t="inlineStr">
        <is>
          <t>Pickup : 2026-10-02, Return : 2026-10-03</t>
        </is>
      </c>
      <c r="Q896" s="4" t="n">
        <v>1</v>
      </c>
      <c r="R896" s="4" t="n">
        <v>0</v>
      </c>
      <c r="S896" s="4" t="n">
        <v>0</v>
      </c>
      <c r="T896" s="4" t="n">
        <v>0</v>
      </c>
      <c r="U896" s="4" t="n">
        <v>0</v>
      </c>
      <c r="V896" s="4" t="n">
        <v>0</v>
      </c>
      <c r="W896" s="4" t="n">
        <v>0</v>
      </c>
      <c r="X896" s="4" t="n">
        <v>0</v>
      </c>
      <c r="Y896" s="4" t="n">
        <v>0</v>
      </c>
      <c r="Z896" s="4" t="n">
        <v>0</v>
      </c>
      <c r="AA896" s="4" t="n">
        <v>0</v>
      </c>
      <c r="AB896" s="4">
        <f>SUM(Q896:Y896)-Z896</f>
        <v/>
      </c>
      <c r="AC896" s="4">
        <f>IF(I896="","",IF(OR(LEFT(I896,3)="BKK",I896="LCH55"),"BKK",IF(LEFT(I896,3)="LCH","LCH","OTHER")))</f>
        <v/>
      </c>
      <c r="AD896" s="4">
        <f>MAX(0,Q896-MAX(0,Z896))</f>
        <v/>
      </c>
      <c r="AE896" s="4">
        <f>MAX(0,R896-MAX(0,Z896-SUM(Q896:Q896)))</f>
        <v/>
      </c>
      <c r="AF896" s="4">
        <f>MAX(0,S896-MAX(0,Z896-SUM(Q896:R896)))</f>
        <v/>
      </c>
      <c r="AG896" s="4">
        <f>MAX(0,T896-MAX(0,Z896-SUM(Q896:S896)))</f>
        <v/>
      </c>
      <c r="AH896" s="4">
        <f>MAX(0,U896-MAX(0,Z896-SUM(Q896:T896)))</f>
        <v/>
      </c>
      <c r="AI896" s="4">
        <f>MAX(0,V896-MAX(0,Z896-SUM(Q896:U896)))</f>
        <v/>
      </c>
      <c r="AJ896" s="4">
        <f>MAX(0,W896-MAX(0,Z896-SUM(Q896:V896)))</f>
        <v/>
      </c>
      <c r="AK896" s="4">
        <f>MAX(0,X896-MAX(0,Z896-SUM(Q896:W896)))</f>
        <v/>
      </c>
      <c r="AL896" s="4">
        <f>MAX(0,Y896-MAX(0,Z896-SUM(Q896:X896)))</f>
        <v/>
      </c>
    </row>
    <row r="897">
      <c r="A897" s="4" t="inlineStr">
        <is>
          <t>HASLS22260900106</t>
        </is>
      </c>
      <c r="B897" s="4" t="inlineStr">
        <is>
          <t>SWSP</t>
        </is>
      </c>
      <c r="C897" s="4" t="inlineStr">
        <is>
          <t>2609N</t>
        </is>
      </c>
      <c r="D897" s="4" t="inlineStr">
        <is>
          <t>202610071530</t>
        </is>
      </c>
      <c r="E897" s="4" t="inlineStr"/>
      <c r="F897" s="4" t="inlineStr">
        <is>
          <t>THBKK</t>
        </is>
      </c>
      <c r="G897" s="4" t="inlineStr">
        <is>
          <t>JPISS</t>
        </is>
      </c>
      <c r="H897" s="4" t="inlineStr">
        <is>
          <t xml:space="preserve">20'x1 </t>
        </is>
      </c>
      <c r="I897" s="4" t="inlineStr">
        <is>
          <t>BKK25</t>
        </is>
      </c>
      <c r="J897" s="4" t="inlineStr">
        <is>
          <t xml:space="preserve">Smart Logistics Service (Thailand ) Co.,Ltd. </t>
        </is>
      </c>
      <c r="K897" s="4" t="inlineStr">
        <is>
          <t>20260929</t>
        </is>
      </c>
      <c r="L897" s="4" t="inlineStr">
        <is>
          <t>BORNEO LOGISTICS CO., LTD.</t>
        </is>
      </c>
      <c r="M897" s="4" t="inlineStr">
        <is>
          <t>UNICORD PUBLIC COMPANY LIMITED</t>
        </is>
      </c>
      <c r="N897" s="4" t="inlineStr">
        <is>
          <t>CANNED GOODS</t>
        </is>
      </c>
      <c r="O897" s="4" t="inlineStr">
        <is>
          <t>REQUEST CONTAINER GRADE A OR CLEAN CONTAINER FOR FOODSTUFF WITH A STRONG FLOOR BOARD (WITHOUT EXTRA CHARGE)</t>
        </is>
      </c>
      <c r="P897" s="4" t="inlineStr">
        <is>
          <t>Pickup : 2026-09-29, Return : 2026-10-01</t>
        </is>
      </c>
      <c r="Q897" s="4" t="n">
        <v>1</v>
      </c>
      <c r="R897" s="4" t="n">
        <v>0</v>
      </c>
      <c r="S897" s="4" t="n">
        <v>0</v>
      </c>
      <c r="T897" s="4" t="n">
        <v>0</v>
      </c>
      <c r="U897" s="4" t="n">
        <v>0</v>
      </c>
      <c r="V897" s="4" t="n">
        <v>0</v>
      </c>
      <c r="W897" s="4" t="n">
        <v>0</v>
      </c>
      <c r="X897" s="4" t="n">
        <v>0</v>
      </c>
      <c r="Y897" s="4" t="n">
        <v>0</v>
      </c>
      <c r="Z897" s="4" t="n">
        <v>0</v>
      </c>
      <c r="AA897" s="4" t="n">
        <v>0</v>
      </c>
      <c r="AB897" s="4">
        <f>SUM(Q897:Y897)-Z897</f>
        <v/>
      </c>
      <c r="AC897" s="4">
        <f>IF(I897="","",IF(OR(LEFT(I897,3)="BKK",I897="LCH55"),"BKK",IF(LEFT(I897,3)="LCH","LCH","OTHER")))</f>
        <v/>
      </c>
      <c r="AD897" s="4">
        <f>MAX(0,Q897-MAX(0,Z897))</f>
        <v/>
      </c>
      <c r="AE897" s="4">
        <f>MAX(0,R897-MAX(0,Z897-SUM(Q897:Q897)))</f>
        <v/>
      </c>
      <c r="AF897" s="4">
        <f>MAX(0,S897-MAX(0,Z897-SUM(Q897:R897)))</f>
        <v/>
      </c>
      <c r="AG897" s="4">
        <f>MAX(0,T897-MAX(0,Z897-SUM(Q897:S897)))</f>
        <v/>
      </c>
      <c r="AH897" s="4">
        <f>MAX(0,U897-MAX(0,Z897-SUM(Q897:T897)))</f>
        <v/>
      </c>
      <c r="AI897" s="4">
        <f>MAX(0,V897-MAX(0,Z897-SUM(Q897:U897)))</f>
        <v/>
      </c>
      <c r="AJ897" s="4">
        <f>MAX(0,W897-MAX(0,Z897-SUM(Q897:V897)))</f>
        <v/>
      </c>
      <c r="AK897" s="4">
        <f>MAX(0,X897-MAX(0,Z897-SUM(Q897:W897)))</f>
        <v/>
      </c>
      <c r="AL897" s="4">
        <f>MAX(0,Y897-MAX(0,Z897-SUM(Q897:X897)))</f>
        <v/>
      </c>
    </row>
    <row r="898">
      <c r="A898" s="4" t="inlineStr">
        <is>
          <t>HASLS22260900198</t>
        </is>
      </c>
      <c r="B898" s="4" t="inlineStr">
        <is>
          <t>SWSR</t>
        </is>
      </c>
      <c r="C898" s="4" t="inlineStr">
        <is>
          <t>2611N</t>
        </is>
      </c>
      <c r="D898" s="4" t="inlineStr">
        <is>
          <t>202610110900</t>
        </is>
      </c>
      <c r="E898" s="4" t="inlineStr"/>
      <c r="F898" s="4" t="inlineStr">
        <is>
          <t>THBKK</t>
        </is>
      </c>
      <c r="G898" s="4" t="inlineStr">
        <is>
          <t>CNXMN</t>
        </is>
      </c>
      <c r="H898" s="4" t="inlineStr">
        <is>
          <t xml:space="preserve">20'x2 </t>
        </is>
      </c>
      <c r="I898" s="4" t="inlineStr">
        <is>
          <t>BKK25</t>
        </is>
      </c>
      <c r="J898" s="4" t="inlineStr">
        <is>
          <t xml:space="preserve">Smart Logistics Service (Thailand ) Co.,Ltd. </t>
        </is>
      </c>
      <c r="K898" s="4" t="inlineStr">
        <is>
          <t>20261005</t>
        </is>
      </c>
      <c r="L898" s="4" t="inlineStr">
        <is>
          <t>CSS LOGISTICS (THAILAND) CO., LTD.</t>
        </is>
      </c>
      <c r="M898" s="4" t="inlineStr">
        <is>
          <t>NORITAKE SCG PLASTER CO., LTD.</t>
        </is>
      </c>
      <c r="N898" s="4" t="inlineStr">
        <is>
          <t>PLASTER</t>
        </is>
      </c>
      <c r="O898" s="4" t="inlineStr">
        <is>
          <t>REQ Floor condition Clean dry free from rust odor oil or chemical residue
​Other condition No holes cracks or damage to walls floor or ceiling</t>
        </is>
      </c>
      <c r="P898" s="4" t="inlineStr">
        <is>
          <t>Pickup : 2026-10-05, Return : 2026-10-06</t>
        </is>
      </c>
      <c r="Q898" s="4" t="n">
        <v>2</v>
      </c>
      <c r="R898" s="4" t="n">
        <v>0</v>
      </c>
      <c r="S898" s="4" t="n">
        <v>0</v>
      </c>
      <c r="T898" s="4" t="n">
        <v>0</v>
      </c>
      <c r="U898" s="4" t="n">
        <v>0</v>
      </c>
      <c r="V898" s="4" t="n">
        <v>0</v>
      </c>
      <c r="W898" s="4" t="n">
        <v>0</v>
      </c>
      <c r="X898" s="4" t="n">
        <v>0</v>
      </c>
      <c r="Y898" s="4" t="n">
        <v>0</v>
      </c>
      <c r="Z898" s="4" t="n">
        <v>0</v>
      </c>
      <c r="AA898" s="4" t="n">
        <v>0</v>
      </c>
      <c r="AB898" s="4">
        <f>SUM(Q898:Y898)-Z898</f>
        <v/>
      </c>
      <c r="AC898" s="4">
        <f>IF(I898="","",IF(OR(LEFT(I898,3)="BKK",I898="LCH55"),"BKK",IF(LEFT(I898,3)="LCH","LCH","OTHER")))</f>
        <v/>
      </c>
      <c r="AD898" s="4">
        <f>MAX(0,Q898-MAX(0,Z898))</f>
        <v/>
      </c>
      <c r="AE898" s="4">
        <f>MAX(0,R898-MAX(0,Z898-SUM(Q898:Q898)))</f>
        <v/>
      </c>
      <c r="AF898" s="4">
        <f>MAX(0,S898-MAX(0,Z898-SUM(Q898:R898)))</f>
        <v/>
      </c>
      <c r="AG898" s="4">
        <f>MAX(0,T898-MAX(0,Z898-SUM(Q898:S898)))</f>
        <v/>
      </c>
      <c r="AH898" s="4">
        <f>MAX(0,U898-MAX(0,Z898-SUM(Q898:T898)))</f>
        <v/>
      </c>
      <c r="AI898" s="4">
        <f>MAX(0,V898-MAX(0,Z898-SUM(Q898:U898)))</f>
        <v/>
      </c>
      <c r="AJ898" s="4">
        <f>MAX(0,W898-MAX(0,Z898-SUM(Q898:V898)))</f>
        <v/>
      </c>
      <c r="AK898" s="4">
        <f>MAX(0,X898-MAX(0,Z898-SUM(Q898:W898)))</f>
        <v/>
      </c>
      <c r="AL898" s="4">
        <f>MAX(0,Y898-MAX(0,Z898-SUM(Q898:X898)))</f>
        <v/>
      </c>
    </row>
    <row r="899">
      <c r="A899" s="4" t="inlineStr">
        <is>
          <t>HASLS22260900218</t>
        </is>
      </c>
      <c r="B899" s="4" t="inlineStr">
        <is>
          <t>SWIC</t>
        </is>
      </c>
      <c r="C899" s="4" t="inlineStr">
        <is>
          <t>2611N</t>
        </is>
      </c>
      <c r="D899" s="4" t="inlineStr">
        <is>
          <t>202610130700</t>
        </is>
      </c>
      <c r="E899" s="4" t="inlineStr"/>
      <c r="F899" s="4" t="inlineStr">
        <is>
          <t>THBKK</t>
        </is>
      </c>
      <c r="G899" s="4" t="inlineStr">
        <is>
          <t>KRPUS</t>
        </is>
      </c>
      <c r="H899" s="4" t="inlineStr">
        <is>
          <t xml:space="preserve">40Hx6 </t>
        </is>
      </c>
      <c r="I899" s="4" t="inlineStr">
        <is>
          <t>BKK25</t>
        </is>
      </c>
      <c r="J899" s="4" t="inlineStr">
        <is>
          <t xml:space="preserve">Smart Logistics Service (Thailand ) Co.,Ltd. </t>
        </is>
      </c>
      <c r="K899" s="4" t="inlineStr">
        <is>
          <t>20261007</t>
        </is>
      </c>
      <c r="L899" s="4" t="inlineStr">
        <is>
          <t>HARPERS SEA FREIGHT CO., LTD.</t>
        </is>
      </c>
      <c r="M899" s="4" t="inlineStr">
        <is>
          <t>THAI ASAHI CO., LTD.</t>
        </is>
      </c>
      <c r="N899" s="4" t="inlineStr">
        <is>
          <t xml:space="preserve">POTATO STARCH </t>
        </is>
      </c>
      <c r="O899" s="4" t="inlineStr">
        <is>
          <t>Grade A and food grade container</t>
        </is>
      </c>
      <c r="P899" s="4" t="inlineStr">
        <is>
          <t xml:space="preserve">Pickup : 2026-10-07, Return : 2026-10-08 </t>
        </is>
      </c>
      <c r="Q899" s="4" t="n">
        <v>0</v>
      </c>
      <c r="R899" s="4" t="n">
        <v>0</v>
      </c>
      <c r="S899" s="4" t="n">
        <v>6</v>
      </c>
      <c r="T899" s="4" t="n">
        <v>0</v>
      </c>
      <c r="U899" s="4" t="n">
        <v>0</v>
      </c>
      <c r="V899" s="4" t="n">
        <v>0</v>
      </c>
      <c r="W899" s="4" t="n">
        <v>0</v>
      </c>
      <c r="X899" s="4" t="n">
        <v>0</v>
      </c>
      <c r="Y899" s="4" t="n">
        <v>0</v>
      </c>
      <c r="Z899" s="4" t="n">
        <v>0</v>
      </c>
      <c r="AA899" s="4" t="n">
        <v>0</v>
      </c>
      <c r="AB899" s="4">
        <f>SUM(Q899:Y899)-Z899</f>
        <v/>
      </c>
      <c r="AC899" s="4">
        <f>IF(I899="","",IF(OR(LEFT(I899,3)="BKK",I899="LCH55"),"BKK",IF(LEFT(I899,3)="LCH","LCH","OTHER")))</f>
        <v/>
      </c>
      <c r="AD899" s="4">
        <f>MAX(0,Q899-MAX(0,Z899))</f>
        <v/>
      </c>
      <c r="AE899" s="4">
        <f>MAX(0,R899-MAX(0,Z899-SUM(Q899:Q899)))</f>
        <v/>
      </c>
      <c r="AF899" s="4">
        <f>MAX(0,S899-MAX(0,Z899-SUM(Q899:R899)))</f>
        <v/>
      </c>
      <c r="AG899" s="4">
        <f>MAX(0,T899-MAX(0,Z899-SUM(Q899:S899)))</f>
        <v/>
      </c>
      <c r="AH899" s="4">
        <f>MAX(0,U899-MAX(0,Z899-SUM(Q899:T899)))</f>
        <v/>
      </c>
      <c r="AI899" s="4">
        <f>MAX(0,V899-MAX(0,Z899-SUM(Q899:U899)))</f>
        <v/>
      </c>
      <c r="AJ899" s="4">
        <f>MAX(0,W899-MAX(0,Z899-SUM(Q899:V899)))</f>
        <v/>
      </c>
      <c r="AK899" s="4">
        <f>MAX(0,X899-MAX(0,Z899-SUM(Q899:W899)))</f>
        <v/>
      </c>
      <c r="AL899" s="4">
        <f>MAX(0,Y899-MAX(0,Z899-SUM(Q899:X899)))</f>
        <v/>
      </c>
    </row>
    <row r="900">
      <c r="A900" s="4" t="inlineStr">
        <is>
          <t>HASLS22260900235</t>
        </is>
      </c>
      <c r="B900" s="4" t="inlineStr">
        <is>
          <t>SWAT</t>
        </is>
      </c>
      <c r="C900" s="4" t="inlineStr">
        <is>
          <t>2611N</t>
        </is>
      </c>
      <c r="D900" s="4" t="inlineStr">
        <is>
          <t>202610282200</t>
        </is>
      </c>
      <c r="E900" s="4" t="inlineStr"/>
      <c r="F900" s="4" t="inlineStr">
        <is>
          <t>THBKK</t>
        </is>
      </c>
      <c r="G900" s="4" t="inlineStr">
        <is>
          <t>HKHKG</t>
        </is>
      </c>
      <c r="H900" s="4" t="inlineStr">
        <is>
          <t xml:space="preserve">20'x1 </t>
        </is>
      </c>
      <c r="I900" s="4" t="inlineStr">
        <is>
          <t>BKK25</t>
        </is>
      </c>
      <c r="J900" s="4" t="inlineStr">
        <is>
          <t xml:space="preserve">Smart Logistics Service (Thailand ) Co.,Ltd. </t>
        </is>
      </c>
      <c r="K900" s="4" t="inlineStr">
        <is>
          <t>20261014</t>
        </is>
      </c>
      <c r="L900" s="4" t="inlineStr">
        <is>
          <t>ACE INTER FREIGHT CO., LTD.</t>
        </is>
      </c>
      <c r="M900" s="4" t="inlineStr">
        <is>
          <t>S. KHONKAEN FOODS PUBLIC COMPANY LIMITED</t>
        </is>
      </c>
      <c r="N900" s="4" t="inlineStr">
        <is>
          <t xml:space="preserve">FOODSTUFF </t>
        </is>
      </c>
      <c r="O900" s="4" t="inlineStr">
        <is>
          <t>GOOD AND CLEAN CONTAINER</t>
        </is>
      </c>
      <c r="P900" s="4" t="inlineStr">
        <is>
          <t>Pickup : 2026-10-14, Return : 2026-10-15</t>
        </is>
      </c>
      <c r="Q900" s="4" t="n">
        <v>1</v>
      </c>
      <c r="R900" s="4" t="n">
        <v>0</v>
      </c>
      <c r="S900" s="4" t="n">
        <v>0</v>
      </c>
      <c r="T900" s="4" t="n">
        <v>0</v>
      </c>
      <c r="U900" s="4" t="n">
        <v>0</v>
      </c>
      <c r="V900" s="4" t="n">
        <v>0</v>
      </c>
      <c r="W900" s="4" t="n">
        <v>0</v>
      </c>
      <c r="X900" s="4" t="n">
        <v>0</v>
      </c>
      <c r="Y900" s="4" t="n">
        <v>0</v>
      </c>
      <c r="Z900" s="4" t="n">
        <v>0</v>
      </c>
      <c r="AA900" s="4" t="n">
        <v>0</v>
      </c>
      <c r="AB900" s="4">
        <f>SUM(Q900:Y900)-Z900</f>
        <v/>
      </c>
      <c r="AC900" s="4">
        <f>IF(I900="","",IF(OR(LEFT(I900,3)="BKK",I900="LCH55"),"BKK",IF(LEFT(I900,3)="LCH","LCH","OTHER")))</f>
        <v/>
      </c>
      <c r="AD900" s="4">
        <f>MAX(0,Q900-MAX(0,Z900))</f>
        <v/>
      </c>
      <c r="AE900" s="4">
        <f>MAX(0,R900-MAX(0,Z900-SUM(Q900:Q900)))</f>
        <v/>
      </c>
      <c r="AF900" s="4">
        <f>MAX(0,S900-MAX(0,Z900-SUM(Q900:R900)))</f>
        <v/>
      </c>
      <c r="AG900" s="4">
        <f>MAX(0,T900-MAX(0,Z900-SUM(Q900:S900)))</f>
        <v/>
      </c>
      <c r="AH900" s="4">
        <f>MAX(0,U900-MAX(0,Z900-SUM(Q900:T900)))</f>
        <v/>
      </c>
      <c r="AI900" s="4">
        <f>MAX(0,V900-MAX(0,Z900-SUM(Q900:U900)))</f>
        <v/>
      </c>
      <c r="AJ900" s="4">
        <f>MAX(0,W900-MAX(0,Z900-SUM(Q900:V900)))</f>
        <v/>
      </c>
      <c r="AK900" s="4">
        <f>MAX(0,X900-MAX(0,Z900-SUM(Q900:W900)))</f>
        <v/>
      </c>
      <c r="AL900" s="4">
        <f>MAX(0,Y900-MAX(0,Z900-SUM(Q900:X900)))</f>
        <v/>
      </c>
    </row>
    <row r="901">
      <c r="A901" s="4" t="inlineStr">
        <is>
          <t>HASLS22260900328</t>
        </is>
      </c>
      <c r="B901" s="4" t="inlineStr">
        <is>
          <t>KMTP</t>
        </is>
      </c>
      <c r="C901" s="4" t="inlineStr">
        <is>
          <t>2612N</t>
        </is>
      </c>
      <c r="D901" s="4" t="inlineStr">
        <is>
          <t>202610120800</t>
        </is>
      </c>
      <c r="E901" s="4" t="inlineStr"/>
      <c r="F901" s="4" t="inlineStr">
        <is>
          <t>THBKK</t>
        </is>
      </c>
      <c r="G901" s="4" t="inlineStr">
        <is>
          <t>HKHKG</t>
        </is>
      </c>
      <c r="H901" s="4" t="inlineStr">
        <is>
          <t xml:space="preserve">20'x1 </t>
        </is>
      </c>
      <c r="I901" s="4" t="inlineStr">
        <is>
          <t>BKK25</t>
        </is>
      </c>
      <c r="J901" s="4" t="inlineStr">
        <is>
          <t xml:space="preserve">Smart Logistics Service (Thailand ) Co.,Ltd. </t>
        </is>
      </c>
      <c r="K901" s="4" t="inlineStr">
        <is>
          <t>20261006</t>
        </is>
      </c>
      <c r="L901" s="4" t="inlineStr">
        <is>
          <t>VARA FOOD &amp; DRINK CO., LTD.</t>
        </is>
      </c>
      <c r="M901" s="4" t="inlineStr">
        <is>
          <t>VARA FOOD &amp; DRINK CO., LTD.</t>
        </is>
      </c>
      <c r="N901" s="4" t="inlineStr">
        <is>
          <t>CANNED GOODS</t>
        </is>
      </c>
      <c r="O901" s="4" t="inlineStr">
        <is>
          <t>REQUEST CLEAN CONTAINER, NO RUST</t>
        </is>
      </c>
      <c r="P901" s="4" t="inlineStr">
        <is>
          <t>Pickup : 2026-10-06, Return : 2026-10-07</t>
        </is>
      </c>
      <c r="Q901" s="4" t="n">
        <v>1</v>
      </c>
      <c r="R901" s="4" t="n">
        <v>0</v>
      </c>
      <c r="S901" s="4" t="n">
        <v>0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>
        <f>SUM(Q901:Y901)-Z901</f>
        <v/>
      </c>
      <c r="AC901" s="4">
        <f>IF(I901="","",IF(OR(LEFT(I901,3)="BKK",I901="LCH55"),"BKK",IF(LEFT(I901,3)="LCH","LCH","OTHER")))</f>
        <v/>
      </c>
      <c r="AD901" s="4">
        <f>MAX(0,Q901-MAX(0,Z901))</f>
        <v/>
      </c>
      <c r="AE901" s="4">
        <f>MAX(0,R901-MAX(0,Z901-SUM(Q901:Q901)))</f>
        <v/>
      </c>
      <c r="AF901" s="4">
        <f>MAX(0,S901-MAX(0,Z901-SUM(Q901:R901)))</f>
        <v/>
      </c>
      <c r="AG901" s="4">
        <f>MAX(0,T901-MAX(0,Z901-SUM(Q901:S901)))</f>
        <v/>
      </c>
      <c r="AH901" s="4">
        <f>MAX(0,U901-MAX(0,Z901-SUM(Q901:T901)))</f>
        <v/>
      </c>
      <c r="AI901" s="4">
        <f>MAX(0,V901-MAX(0,Z901-SUM(Q901:U901)))</f>
        <v/>
      </c>
      <c r="AJ901" s="4">
        <f>MAX(0,W901-MAX(0,Z901-SUM(Q901:V901)))</f>
        <v/>
      </c>
      <c r="AK901" s="4">
        <f>MAX(0,X901-MAX(0,Z901-SUM(Q901:W901)))</f>
        <v/>
      </c>
      <c r="AL901" s="4">
        <f>MAX(0,Y901-MAX(0,Z901-SUM(Q901:X901)))</f>
        <v/>
      </c>
    </row>
    <row r="902">
      <c r="A902" s="4" t="inlineStr">
        <is>
          <t>HASLS22260900331</t>
        </is>
      </c>
      <c r="B902" s="4" t="inlineStr">
        <is>
          <t>KMTP</t>
        </is>
      </c>
      <c r="C902" s="4" t="inlineStr">
        <is>
          <t>2612N</t>
        </is>
      </c>
      <c r="D902" s="4" t="inlineStr">
        <is>
          <t>202610120800</t>
        </is>
      </c>
      <c r="E902" s="4" t="inlineStr"/>
      <c r="F902" s="4" t="inlineStr">
        <is>
          <t>THBKK</t>
        </is>
      </c>
      <c r="G902" s="4" t="inlineStr">
        <is>
          <t>HKHKG</t>
        </is>
      </c>
      <c r="H902" s="4" t="inlineStr">
        <is>
          <t xml:space="preserve">20'x1 </t>
        </is>
      </c>
      <c r="I902" s="4" t="inlineStr">
        <is>
          <t>BKK25</t>
        </is>
      </c>
      <c r="J902" s="4" t="inlineStr">
        <is>
          <t xml:space="preserve">Smart Logistics Service (Thailand ) Co.,Ltd. </t>
        </is>
      </c>
      <c r="K902" s="4" t="inlineStr">
        <is>
          <t>20261006</t>
        </is>
      </c>
      <c r="L902" s="4" t="inlineStr">
        <is>
          <t>VARA FOOD &amp; DRINK CO., LTD.</t>
        </is>
      </c>
      <c r="M902" s="4" t="inlineStr">
        <is>
          <t>VARA FOOD &amp; DRINK CO., LTD.</t>
        </is>
      </c>
      <c r="N902" s="4" t="inlineStr">
        <is>
          <t>CANNED GOODS</t>
        </is>
      </c>
      <c r="O902" s="4" t="inlineStr">
        <is>
          <t>REQUEST CLEAN CONTAINER, NO RUST</t>
        </is>
      </c>
      <c r="P902" s="4" t="inlineStr">
        <is>
          <t>Pickup : 2026-10-06, Return : 2026-10-07</t>
        </is>
      </c>
      <c r="Q902" s="4" t="n">
        <v>1</v>
      </c>
      <c r="R902" s="4" t="n">
        <v>0</v>
      </c>
      <c r="S902" s="4" t="n">
        <v>0</v>
      </c>
      <c r="T902" s="4" t="n">
        <v>0</v>
      </c>
      <c r="U902" s="4" t="n">
        <v>0</v>
      </c>
      <c r="V902" s="4" t="n">
        <v>0</v>
      </c>
      <c r="W902" s="4" t="n">
        <v>0</v>
      </c>
      <c r="X902" s="4" t="n">
        <v>0</v>
      </c>
      <c r="Y902" s="4" t="n">
        <v>0</v>
      </c>
      <c r="Z902" s="4" t="n">
        <v>0</v>
      </c>
      <c r="AA902" s="4" t="n">
        <v>0</v>
      </c>
      <c r="AB902" s="4">
        <f>SUM(Q902:Y902)-Z902</f>
        <v/>
      </c>
      <c r="AC902" s="4">
        <f>IF(I902="","",IF(OR(LEFT(I902,3)="BKK",I902="LCH55"),"BKK",IF(LEFT(I902,3)="LCH","LCH","OTHER")))</f>
        <v/>
      </c>
      <c r="AD902" s="4">
        <f>MAX(0,Q902-MAX(0,Z902))</f>
        <v/>
      </c>
      <c r="AE902" s="4">
        <f>MAX(0,R902-MAX(0,Z902-SUM(Q902:Q902)))</f>
        <v/>
      </c>
      <c r="AF902" s="4">
        <f>MAX(0,S902-MAX(0,Z902-SUM(Q902:R902)))</f>
        <v/>
      </c>
      <c r="AG902" s="4">
        <f>MAX(0,T902-MAX(0,Z902-SUM(Q902:S902)))</f>
        <v/>
      </c>
      <c r="AH902" s="4">
        <f>MAX(0,U902-MAX(0,Z902-SUM(Q902:T902)))</f>
        <v/>
      </c>
      <c r="AI902" s="4">
        <f>MAX(0,V902-MAX(0,Z902-SUM(Q902:U902)))</f>
        <v/>
      </c>
      <c r="AJ902" s="4">
        <f>MAX(0,W902-MAX(0,Z902-SUM(Q902:V902)))</f>
        <v/>
      </c>
      <c r="AK902" s="4">
        <f>MAX(0,X902-MAX(0,Z902-SUM(Q902:W902)))</f>
        <v/>
      </c>
      <c r="AL902" s="4">
        <f>MAX(0,Y902-MAX(0,Z902-SUM(Q902:X902)))</f>
        <v/>
      </c>
    </row>
    <row r="903">
      <c r="A903" s="4" t="inlineStr">
        <is>
          <t>HASLS22260900332</t>
        </is>
      </c>
      <c r="B903" s="4" t="inlineStr">
        <is>
          <t>KMGY</t>
        </is>
      </c>
      <c r="C903" s="4" t="inlineStr">
        <is>
          <t>2611N</t>
        </is>
      </c>
      <c r="D903" s="4" t="inlineStr">
        <is>
          <t>202610201000</t>
        </is>
      </c>
      <c r="E903" s="4" t="inlineStr"/>
      <c r="F903" s="4" t="inlineStr">
        <is>
          <t>THBKK</t>
        </is>
      </c>
      <c r="G903" s="4" t="inlineStr">
        <is>
          <t>HKHKG</t>
        </is>
      </c>
      <c r="H903" s="4" t="inlineStr">
        <is>
          <t xml:space="preserve">20'x1 </t>
        </is>
      </c>
      <c r="I903" s="4" t="inlineStr">
        <is>
          <t>BKK25</t>
        </is>
      </c>
      <c r="J903" s="4" t="inlineStr">
        <is>
          <t xml:space="preserve">Smart Logistics Service (Thailand ) Co.,Ltd. </t>
        </is>
      </c>
      <c r="K903" s="4" t="inlineStr">
        <is>
          <t>20261010</t>
        </is>
      </c>
      <c r="L903" s="4" t="inlineStr">
        <is>
          <t>VARA FOOD &amp; DRINK CO., LTD.</t>
        </is>
      </c>
      <c r="M903" s="4" t="inlineStr">
        <is>
          <t>VARA FOOD &amp; DRINK CO., LTD.</t>
        </is>
      </c>
      <c r="N903" s="4" t="inlineStr">
        <is>
          <t>CANNED GOODS</t>
        </is>
      </c>
      <c r="O903" s="4" t="inlineStr">
        <is>
          <t>REQUEST CLEAN CONTAINER, NO RUST</t>
        </is>
      </c>
      <c r="P903" s="4" t="inlineStr">
        <is>
          <t>Pickup : 2026-10-10, Return : 2026-10-12</t>
        </is>
      </c>
      <c r="Q903" s="4" t="n">
        <v>1</v>
      </c>
      <c r="R903" s="4" t="n">
        <v>0</v>
      </c>
      <c r="S903" s="4" t="n">
        <v>0</v>
      </c>
      <c r="T903" s="4" t="n">
        <v>0</v>
      </c>
      <c r="U903" s="4" t="n">
        <v>0</v>
      </c>
      <c r="V903" s="4" t="n">
        <v>0</v>
      </c>
      <c r="W903" s="4" t="n">
        <v>0</v>
      </c>
      <c r="X903" s="4" t="n">
        <v>0</v>
      </c>
      <c r="Y903" s="4" t="n">
        <v>0</v>
      </c>
      <c r="Z903" s="4" t="n">
        <v>0</v>
      </c>
      <c r="AA903" s="4" t="n">
        <v>0</v>
      </c>
      <c r="AB903" s="4">
        <f>SUM(Q903:Y903)-Z903</f>
        <v/>
      </c>
      <c r="AC903" s="4">
        <f>IF(I903="","",IF(OR(LEFT(I903,3)="BKK",I903="LCH55"),"BKK",IF(LEFT(I903,3)="LCH","LCH","OTHER")))</f>
        <v/>
      </c>
      <c r="AD903" s="4">
        <f>MAX(0,Q903-MAX(0,Z903))</f>
        <v/>
      </c>
      <c r="AE903" s="4">
        <f>MAX(0,R903-MAX(0,Z903-SUM(Q903:Q903)))</f>
        <v/>
      </c>
      <c r="AF903" s="4">
        <f>MAX(0,S903-MAX(0,Z903-SUM(Q903:R903)))</f>
        <v/>
      </c>
      <c r="AG903" s="4">
        <f>MAX(0,T903-MAX(0,Z903-SUM(Q903:S903)))</f>
        <v/>
      </c>
      <c r="AH903" s="4">
        <f>MAX(0,U903-MAX(0,Z903-SUM(Q903:T903)))</f>
        <v/>
      </c>
      <c r="AI903" s="4">
        <f>MAX(0,V903-MAX(0,Z903-SUM(Q903:U903)))</f>
        <v/>
      </c>
      <c r="AJ903" s="4">
        <f>MAX(0,W903-MAX(0,Z903-SUM(Q903:V903)))</f>
        <v/>
      </c>
      <c r="AK903" s="4">
        <f>MAX(0,X903-MAX(0,Z903-SUM(Q903:W903)))</f>
        <v/>
      </c>
      <c r="AL903" s="4">
        <f>MAX(0,Y903-MAX(0,Z903-SUM(Q903:X903)))</f>
        <v/>
      </c>
    </row>
    <row r="904">
      <c r="A904" s="4" t="inlineStr">
        <is>
          <t>HASLS22260900333</t>
        </is>
      </c>
      <c r="B904" s="4" t="inlineStr">
        <is>
          <t>SKOR</t>
        </is>
      </c>
      <c r="C904" s="4" t="inlineStr">
        <is>
          <t>2612N</t>
        </is>
      </c>
      <c r="D904" s="4" t="inlineStr">
        <is>
          <t>202610181700</t>
        </is>
      </c>
      <c r="E904" s="4" t="inlineStr"/>
      <c r="F904" s="4" t="inlineStr">
        <is>
          <t>THBKK</t>
        </is>
      </c>
      <c r="G904" s="4" t="inlineStr">
        <is>
          <t>HKHKG</t>
        </is>
      </c>
      <c r="H904" s="4" t="inlineStr">
        <is>
          <t xml:space="preserve">20'x1 </t>
        </is>
      </c>
      <c r="I904" s="4" t="inlineStr">
        <is>
          <t>BKK25</t>
        </is>
      </c>
      <c r="J904" s="4" t="inlineStr">
        <is>
          <t xml:space="preserve">Smart Logistics Service (Thailand ) Co.,Ltd. </t>
        </is>
      </c>
      <c r="K904" s="4" t="inlineStr">
        <is>
          <t>20261014</t>
        </is>
      </c>
      <c r="L904" s="4" t="inlineStr">
        <is>
          <t>VARA FOOD &amp; DRINK CO., LTD.</t>
        </is>
      </c>
      <c r="M904" s="4" t="inlineStr">
        <is>
          <t>VARA FOOD &amp; DRINK CO., LTD.</t>
        </is>
      </c>
      <c r="N904" s="4" t="inlineStr">
        <is>
          <t>CANNED GOODS</t>
        </is>
      </c>
      <c r="O904" s="4" t="inlineStr">
        <is>
          <t>REQUEST CLEAN CONTAINER, NO RUST</t>
        </is>
      </c>
      <c r="P904" s="4" t="inlineStr">
        <is>
          <t>Pickup : 2026-10-14, Return : 2026-10-15</t>
        </is>
      </c>
      <c r="Q904" s="4" t="n">
        <v>1</v>
      </c>
      <c r="R904" s="4" t="n">
        <v>0</v>
      </c>
      <c r="S904" s="4" t="n">
        <v>0</v>
      </c>
      <c r="T904" s="4" t="n">
        <v>0</v>
      </c>
      <c r="U904" s="4" t="n">
        <v>0</v>
      </c>
      <c r="V904" s="4" t="n">
        <v>0</v>
      </c>
      <c r="W904" s="4" t="n">
        <v>0</v>
      </c>
      <c r="X904" s="4" t="n">
        <v>0</v>
      </c>
      <c r="Y904" s="4" t="n">
        <v>0</v>
      </c>
      <c r="Z904" s="4" t="n">
        <v>0</v>
      </c>
      <c r="AA904" s="4" t="n">
        <v>0</v>
      </c>
      <c r="AB904" s="4">
        <f>SUM(Q904:Y904)-Z904</f>
        <v/>
      </c>
      <c r="AC904" s="4">
        <f>IF(I904="","",IF(OR(LEFT(I904,3)="BKK",I904="LCH55"),"BKK",IF(LEFT(I904,3)="LCH","LCH","OTHER")))</f>
        <v/>
      </c>
      <c r="AD904" s="4">
        <f>MAX(0,Q904-MAX(0,Z904))</f>
        <v/>
      </c>
      <c r="AE904" s="4">
        <f>MAX(0,R904-MAX(0,Z904-SUM(Q904:Q904)))</f>
        <v/>
      </c>
      <c r="AF904" s="4">
        <f>MAX(0,S904-MAX(0,Z904-SUM(Q904:R904)))</f>
        <v/>
      </c>
      <c r="AG904" s="4">
        <f>MAX(0,T904-MAX(0,Z904-SUM(Q904:S904)))</f>
        <v/>
      </c>
      <c r="AH904" s="4">
        <f>MAX(0,U904-MAX(0,Z904-SUM(Q904:T904)))</f>
        <v/>
      </c>
      <c r="AI904" s="4">
        <f>MAX(0,V904-MAX(0,Z904-SUM(Q904:U904)))</f>
        <v/>
      </c>
      <c r="AJ904" s="4">
        <f>MAX(0,W904-MAX(0,Z904-SUM(Q904:V904)))</f>
        <v/>
      </c>
      <c r="AK904" s="4">
        <f>MAX(0,X904-MAX(0,Z904-SUM(Q904:W904)))</f>
        <v/>
      </c>
      <c r="AL904" s="4">
        <f>MAX(0,Y904-MAX(0,Z904-SUM(Q904:X904)))</f>
        <v/>
      </c>
    </row>
    <row r="905">
      <c r="A905" s="4" t="inlineStr">
        <is>
          <t>HASLS22260900334</t>
        </is>
      </c>
      <c r="B905" s="4" t="inlineStr">
        <is>
          <t>SKOR</t>
        </is>
      </c>
      <c r="C905" s="4" t="inlineStr">
        <is>
          <t>2612N</t>
        </is>
      </c>
      <c r="D905" s="4" t="inlineStr">
        <is>
          <t>202610181700</t>
        </is>
      </c>
      <c r="E905" s="4" t="inlineStr"/>
      <c r="F905" s="4" t="inlineStr">
        <is>
          <t>THBKK</t>
        </is>
      </c>
      <c r="G905" s="4" t="inlineStr">
        <is>
          <t>HKHKG</t>
        </is>
      </c>
      <c r="H905" s="4" t="inlineStr">
        <is>
          <t xml:space="preserve">20'x1 </t>
        </is>
      </c>
      <c r="I905" s="4" t="inlineStr">
        <is>
          <t>BKK25</t>
        </is>
      </c>
      <c r="J905" s="4" t="inlineStr">
        <is>
          <t xml:space="preserve">Smart Logistics Service (Thailand ) Co.,Ltd. </t>
        </is>
      </c>
      <c r="K905" s="4" t="inlineStr">
        <is>
          <t>20261014</t>
        </is>
      </c>
      <c r="L905" s="4" t="inlineStr">
        <is>
          <t>VARA FOOD &amp; DRINK CO., LTD.</t>
        </is>
      </c>
      <c r="M905" s="4" t="inlineStr">
        <is>
          <t>VARA FOOD &amp; DRINK CO., LTD.</t>
        </is>
      </c>
      <c r="N905" s="4" t="inlineStr">
        <is>
          <t>CANNED GOODS</t>
        </is>
      </c>
      <c r="O905" s="4" t="inlineStr">
        <is>
          <t>REQUEST CLEAN CONTAINER, NO RUST</t>
        </is>
      </c>
      <c r="P905" s="4" t="inlineStr">
        <is>
          <t>Pickup : 2026-10-14, Return : 2026-10-15</t>
        </is>
      </c>
      <c r="Q905" s="4" t="n">
        <v>1</v>
      </c>
      <c r="R905" s="4" t="n">
        <v>0</v>
      </c>
      <c r="S905" s="4" t="n">
        <v>0</v>
      </c>
      <c r="T905" s="4" t="n">
        <v>0</v>
      </c>
      <c r="U905" s="4" t="n">
        <v>0</v>
      </c>
      <c r="V905" s="4" t="n">
        <v>0</v>
      </c>
      <c r="W905" s="4" t="n">
        <v>0</v>
      </c>
      <c r="X905" s="4" t="n">
        <v>0</v>
      </c>
      <c r="Y905" s="4" t="n">
        <v>0</v>
      </c>
      <c r="Z905" s="4" t="n">
        <v>0</v>
      </c>
      <c r="AA905" s="4" t="n">
        <v>0</v>
      </c>
      <c r="AB905" s="4">
        <f>SUM(Q905:Y905)-Z905</f>
        <v/>
      </c>
      <c r="AC905" s="4">
        <f>IF(I905="","",IF(OR(LEFT(I905,3)="BKK",I905="LCH55"),"BKK",IF(LEFT(I905,3)="LCH","LCH","OTHER")))</f>
        <v/>
      </c>
      <c r="AD905" s="4">
        <f>MAX(0,Q905-MAX(0,Z905))</f>
        <v/>
      </c>
      <c r="AE905" s="4">
        <f>MAX(0,R905-MAX(0,Z905-SUM(Q905:Q905)))</f>
        <v/>
      </c>
      <c r="AF905" s="4">
        <f>MAX(0,S905-MAX(0,Z905-SUM(Q905:R905)))</f>
        <v/>
      </c>
      <c r="AG905" s="4">
        <f>MAX(0,T905-MAX(0,Z905-SUM(Q905:S905)))</f>
        <v/>
      </c>
      <c r="AH905" s="4">
        <f>MAX(0,U905-MAX(0,Z905-SUM(Q905:T905)))</f>
        <v/>
      </c>
      <c r="AI905" s="4">
        <f>MAX(0,V905-MAX(0,Z905-SUM(Q905:U905)))</f>
        <v/>
      </c>
      <c r="AJ905" s="4">
        <f>MAX(0,W905-MAX(0,Z905-SUM(Q905:V905)))</f>
        <v/>
      </c>
      <c r="AK905" s="4">
        <f>MAX(0,X905-MAX(0,Z905-SUM(Q905:W905)))</f>
        <v/>
      </c>
      <c r="AL905" s="4">
        <f>MAX(0,Y905-MAX(0,Z905-SUM(Q905:X905)))</f>
        <v/>
      </c>
    </row>
    <row r="906">
      <c r="A906" s="4" t="inlineStr">
        <is>
          <t>HASLS22260900337</t>
        </is>
      </c>
      <c r="B906" s="4" t="inlineStr">
        <is>
          <t>SKOR</t>
        </is>
      </c>
      <c r="C906" s="4" t="inlineStr">
        <is>
          <t>2612N</t>
        </is>
      </c>
      <c r="D906" s="4" t="inlineStr">
        <is>
          <t>202610181700</t>
        </is>
      </c>
      <c r="E906" s="4" t="inlineStr"/>
      <c r="F906" s="4" t="inlineStr">
        <is>
          <t>THBKK</t>
        </is>
      </c>
      <c r="G906" s="4" t="inlineStr">
        <is>
          <t>HKHKG</t>
        </is>
      </c>
      <c r="H906" s="4" t="inlineStr">
        <is>
          <t xml:space="preserve">20'x1 </t>
        </is>
      </c>
      <c r="I906" s="4" t="inlineStr">
        <is>
          <t>BKK25</t>
        </is>
      </c>
      <c r="J906" s="4" t="inlineStr">
        <is>
          <t xml:space="preserve">Smart Logistics Service (Thailand ) Co.,Ltd. </t>
        </is>
      </c>
      <c r="K906" s="4" t="inlineStr">
        <is>
          <t>20261014</t>
        </is>
      </c>
      <c r="L906" s="4" t="inlineStr">
        <is>
          <t>VARA FOOD &amp; DRINK CO., LTD.</t>
        </is>
      </c>
      <c r="M906" s="4" t="inlineStr">
        <is>
          <t>VARA FOOD &amp; DRINK CO., LTD.</t>
        </is>
      </c>
      <c r="N906" s="4" t="inlineStr">
        <is>
          <t>CANNED GOODS</t>
        </is>
      </c>
      <c r="O906" s="4" t="inlineStr">
        <is>
          <t>REQUEST CLEAN CONTAINER, NO RUST</t>
        </is>
      </c>
      <c r="P906" s="4" t="inlineStr">
        <is>
          <t>Pickup : 2026-10-14, Return : 2026-10-15</t>
        </is>
      </c>
      <c r="Q906" s="4" t="n">
        <v>1</v>
      </c>
      <c r="R906" s="4" t="n">
        <v>0</v>
      </c>
      <c r="S906" s="4" t="n">
        <v>0</v>
      </c>
      <c r="T906" s="4" t="n">
        <v>0</v>
      </c>
      <c r="U906" s="4" t="n">
        <v>0</v>
      </c>
      <c r="V906" s="4" t="n">
        <v>0</v>
      </c>
      <c r="W906" s="4" t="n">
        <v>0</v>
      </c>
      <c r="X906" s="4" t="n">
        <v>0</v>
      </c>
      <c r="Y906" s="4" t="n">
        <v>0</v>
      </c>
      <c r="Z906" s="4" t="n">
        <v>0</v>
      </c>
      <c r="AA906" s="4" t="n">
        <v>0</v>
      </c>
      <c r="AB906" s="4">
        <f>SUM(Q906:Y906)-Z906</f>
        <v/>
      </c>
      <c r="AC906" s="4">
        <f>IF(I906="","",IF(OR(LEFT(I906,3)="BKK",I906="LCH55"),"BKK",IF(LEFT(I906,3)="LCH","LCH","OTHER")))</f>
        <v/>
      </c>
      <c r="AD906" s="4">
        <f>MAX(0,Q906-MAX(0,Z906))</f>
        <v/>
      </c>
      <c r="AE906" s="4">
        <f>MAX(0,R906-MAX(0,Z906-SUM(Q906:Q906)))</f>
        <v/>
      </c>
      <c r="AF906" s="4">
        <f>MAX(0,S906-MAX(0,Z906-SUM(Q906:R906)))</f>
        <v/>
      </c>
      <c r="AG906" s="4">
        <f>MAX(0,T906-MAX(0,Z906-SUM(Q906:S906)))</f>
        <v/>
      </c>
      <c r="AH906" s="4">
        <f>MAX(0,U906-MAX(0,Z906-SUM(Q906:T906)))</f>
        <v/>
      </c>
      <c r="AI906" s="4">
        <f>MAX(0,V906-MAX(0,Z906-SUM(Q906:U906)))</f>
        <v/>
      </c>
      <c r="AJ906" s="4">
        <f>MAX(0,W906-MAX(0,Z906-SUM(Q906:V906)))</f>
        <v/>
      </c>
      <c r="AK906" s="4">
        <f>MAX(0,X906-MAX(0,Z906-SUM(Q906:W906)))</f>
        <v/>
      </c>
      <c r="AL906" s="4">
        <f>MAX(0,Y906-MAX(0,Z906-SUM(Q906:X906)))</f>
        <v/>
      </c>
    </row>
    <row r="907">
      <c r="A907" s="4" t="inlineStr">
        <is>
          <t>HASLS22260900365</t>
        </is>
      </c>
      <c r="B907" s="4" t="inlineStr">
        <is>
          <t>DJCF</t>
        </is>
      </c>
      <c r="C907" s="4" t="inlineStr">
        <is>
          <t>0152N</t>
        </is>
      </c>
      <c r="D907" s="4" t="inlineStr">
        <is>
          <t>202610111000</t>
        </is>
      </c>
      <c r="E907" s="4" t="inlineStr"/>
      <c r="F907" s="4" t="inlineStr">
        <is>
          <t>THBKK</t>
        </is>
      </c>
      <c r="G907" s="4" t="inlineStr">
        <is>
          <t>VNSGN</t>
        </is>
      </c>
      <c r="H907" s="4" t="inlineStr">
        <is>
          <t xml:space="preserve">40Hx1 </t>
        </is>
      </c>
      <c r="I907" s="4" t="inlineStr">
        <is>
          <t>BKK25</t>
        </is>
      </c>
      <c r="J907" s="4" t="inlineStr">
        <is>
          <t xml:space="preserve">Smart Logistics Service (Thailand ) Co.,Ltd. </t>
        </is>
      </c>
      <c r="K907" s="4" t="inlineStr">
        <is>
          <t>20261006</t>
        </is>
      </c>
      <c r="L907" s="4" t="inlineStr">
        <is>
          <t>ASIA-PACIFIC LOGISTICS CO., LTD.</t>
        </is>
      </c>
      <c r="M907" s="4" t="inlineStr">
        <is>
          <t>ASIA-PACIFIC LOGISTICS CO., LTD.</t>
        </is>
      </c>
      <c r="N907" s="4" t="inlineStr">
        <is>
          <t>BISCUITS</t>
        </is>
      </c>
      <c r="O907" s="4" t="inlineStr">
        <is>
          <t>GOOD AND CLEAN CONTAINER</t>
        </is>
      </c>
      <c r="P907" s="4" t="inlineStr">
        <is>
          <t xml:space="preserve">Pickup : 2026-10-06, Return : 2026-10-07 </t>
        </is>
      </c>
      <c r="Q907" s="4" t="n">
        <v>0</v>
      </c>
      <c r="R907" s="4" t="n">
        <v>0</v>
      </c>
      <c r="S907" s="4" t="n">
        <v>1</v>
      </c>
      <c r="T907" s="4" t="n">
        <v>0</v>
      </c>
      <c r="U907" s="4" t="n">
        <v>0</v>
      </c>
      <c r="V907" s="4" t="n">
        <v>0</v>
      </c>
      <c r="W907" s="4" t="n">
        <v>0</v>
      </c>
      <c r="X907" s="4" t="n">
        <v>0</v>
      </c>
      <c r="Y907" s="4" t="n">
        <v>0</v>
      </c>
      <c r="Z907" s="4" t="n">
        <v>0</v>
      </c>
      <c r="AA907" s="4" t="n">
        <v>0</v>
      </c>
      <c r="AB907" s="4">
        <f>SUM(Q907:Y907)-Z907</f>
        <v/>
      </c>
      <c r="AC907" s="4">
        <f>IF(I907="","",IF(OR(LEFT(I907,3)="BKK",I907="LCH55"),"BKK",IF(LEFT(I907,3)="LCH","LCH","OTHER")))</f>
        <v/>
      </c>
      <c r="AD907" s="4">
        <f>MAX(0,Q907-MAX(0,Z907))</f>
        <v/>
      </c>
      <c r="AE907" s="4">
        <f>MAX(0,R907-MAX(0,Z907-SUM(Q907:Q907)))</f>
        <v/>
      </c>
      <c r="AF907" s="4">
        <f>MAX(0,S907-MAX(0,Z907-SUM(Q907:R907)))</f>
        <v/>
      </c>
      <c r="AG907" s="4">
        <f>MAX(0,T907-MAX(0,Z907-SUM(Q907:S907)))</f>
        <v/>
      </c>
      <c r="AH907" s="4">
        <f>MAX(0,U907-MAX(0,Z907-SUM(Q907:T907)))</f>
        <v/>
      </c>
      <c r="AI907" s="4">
        <f>MAX(0,V907-MAX(0,Z907-SUM(Q907:U907)))</f>
        <v/>
      </c>
      <c r="AJ907" s="4">
        <f>MAX(0,W907-MAX(0,Z907-SUM(Q907:V907)))</f>
        <v/>
      </c>
      <c r="AK907" s="4">
        <f>MAX(0,X907-MAX(0,Z907-SUM(Q907:W907)))</f>
        <v/>
      </c>
      <c r="AL907" s="4">
        <f>MAX(0,Y907-MAX(0,Z907-SUM(Q907:X907)))</f>
        <v/>
      </c>
    </row>
    <row r="908">
      <c r="A908" s="4" t="inlineStr">
        <is>
          <t>HASLS22260900366</t>
        </is>
      </c>
      <c r="B908" s="4" t="inlineStr">
        <is>
          <t>SWSP</t>
        </is>
      </c>
      <c r="C908" s="4" t="inlineStr">
        <is>
          <t>2609N</t>
        </is>
      </c>
      <c r="D908" s="4" t="inlineStr">
        <is>
          <t>202610071530</t>
        </is>
      </c>
      <c r="E908" s="4" t="inlineStr"/>
      <c r="F908" s="4" t="inlineStr">
        <is>
          <t>THBKK</t>
        </is>
      </c>
      <c r="G908" s="4" t="inlineStr">
        <is>
          <t>VNSGN</t>
        </is>
      </c>
      <c r="H908" s="4" t="inlineStr">
        <is>
          <t xml:space="preserve">40Hx1 </t>
        </is>
      </c>
      <c r="I908" s="4" t="inlineStr">
        <is>
          <t>BKK25</t>
        </is>
      </c>
      <c r="J908" s="4" t="inlineStr">
        <is>
          <t xml:space="preserve">Smart Logistics Service (Thailand ) Co.,Ltd. </t>
        </is>
      </c>
      <c r="K908" s="4" t="inlineStr">
        <is>
          <t>20260929</t>
        </is>
      </c>
      <c r="L908" s="4" t="inlineStr">
        <is>
          <t>ASIA-PACIFIC LOGISTICS CO., LTD.</t>
        </is>
      </c>
      <c r="M908" s="4" t="inlineStr">
        <is>
          <t>VISTA DISTRIBUTION CO.,LTD.</t>
        </is>
      </c>
      <c r="N908" s="4" t="inlineStr">
        <is>
          <t>BISCUIT</t>
        </is>
      </c>
      <c r="O908" s="4" t="inlineStr">
        <is>
          <t>GOOD AND CLEAN CONTAINER</t>
        </is>
      </c>
      <c r="P908" s="4" t="inlineStr">
        <is>
          <t xml:space="preserve">Pickup : 2026-09-29, Return : 2026-10-01 </t>
        </is>
      </c>
      <c r="Q908" s="4" t="n">
        <v>0</v>
      </c>
      <c r="R908" s="4" t="n">
        <v>0</v>
      </c>
      <c r="S908" s="4" t="n">
        <v>1</v>
      </c>
      <c r="T908" s="4" t="n">
        <v>0</v>
      </c>
      <c r="U908" s="4" t="n">
        <v>0</v>
      </c>
      <c r="V908" s="4" t="n">
        <v>0</v>
      </c>
      <c r="W908" s="4" t="n">
        <v>0</v>
      </c>
      <c r="X908" s="4" t="n">
        <v>0</v>
      </c>
      <c r="Y908" s="4" t="n">
        <v>0</v>
      </c>
      <c r="Z908" s="4" t="n">
        <v>0</v>
      </c>
      <c r="AA908" s="4" t="n">
        <v>0</v>
      </c>
      <c r="AB908" s="4">
        <f>SUM(Q908:Y908)-Z908</f>
        <v/>
      </c>
      <c r="AC908" s="4">
        <f>IF(I908="","",IF(OR(LEFT(I908,3)="BKK",I908="LCH55"),"BKK",IF(LEFT(I908,3)="LCH","LCH","OTHER")))</f>
        <v/>
      </c>
      <c r="AD908" s="4">
        <f>MAX(0,Q908-MAX(0,Z908))</f>
        <v/>
      </c>
      <c r="AE908" s="4">
        <f>MAX(0,R908-MAX(0,Z908-SUM(Q908:Q908)))</f>
        <v/>
      </c>
      <c r="AF908" s="4">
        <f>MAX(0,S908-MAX(0,Z908-SUM(Q908:R908)))</f>
        <v/>
      </c>
      <c r="AG908" s="4">
        <f>MAX(0,T908-MAX(0,Z908-SUM(Q908:S908)))</f>
        <v/>
      </c>
      <c r="AH908" s="4">
        <f>MAX(0,U908-MAX(0,Z908-SUM(Q908:T908)))</f>
        <v/>
      </c>
      <c r="AI908" s="4">
        <f>MAX(0,V908-MAX(0,Z908-SUM(Q908:U908)))</f>
        <v/>
      </c>
      <c r="AJ908" s="4">
        <f>MAX(0,W908-MAX(0,Z908-SUM(Q908:V908)))</f>
        <v/>
      </c>
      <c r="AK908" s="4">
        <f>MAX(0,X908-MAX(0,Z908-SUM(Q908:W908)))</f>
        <v/>
      </c>
      <c r="AL908" s="4">
        <f>MAX(0,Y908-MAX(0,Z908-SUM(Q908:X908)))</f>
        <v/>
      </c>
    </row>
    <row r="909">
      <c r="A909" s="4" t="inlineStr">
        <is>
          <t>HASLS22260900420</t>
        </is>
      </c>
      <c r="B909" s="4" t="inlineStr">
        <is>
          <t>CMA</t>
        </is>
      </c>
      <c r="C909" s="4" t="inlineStr">
        <is>
          <t>2615N</t>
        </is>
      </c>
      <c r="D909" s="4" t="inlineStr">
        <is>
          <t>202610172300</t>
        </is>
      </c>
      <c r="E909" s="4" t="inlineStr"/>
      <c r="F909" s="4" t="inlineStr">
        <is>
          <t>THBKK</t>
        </is>
      </c>
      <c r="G909" s="4" t="inlineStr">
        <is>
          <t>CNSHK</t>
        </is>
      </c>
      <c r="H909" s="4" t="inlineStr">
        <is>
          <t xml:space="preserve">20'x1 </t>
        </is>
      </c>
      <c r="I909" s="4" t="inlineStr">
        <is>
          <t>BKK25</t>
        </is>
      </c>
      <c r="J909" s="4" t="inlineStr">
        <is>
          <t xml:space="preserve">Smart Logistics Service (Thailand ) Co.,Ltd. </t>
        </is>
      </c>
      <c r="K909" s="4" t="inlineStr">
        <is>
          <t>20261012</t>
        </is>
      </c>
      <c r="L909" s="4" t="inlineStr">
        <is>
          <t>G THRU INTERBUSINESS CO., LTD.</t>
        </is>
      </c>
      <c r="M909" s="4" t="inlineStr">
        <is>
          <t>V.THAI FOOD PRODUCT CO.,LTD.</t>
        </is>
      </c>
      <c r="N909" s="4" t="inlineStr">
        <is>
          <t>SAUCE</t>
        </is>
      </c>
      <c r="O909" s="4" t="inlineStr">
        <is>
          <t>FOOD GRADE &amp; CLEAN CONTAINER</t>
        </is>
      </c>
      <c r="P909" s="4" t="inlineStr">
        <is>
          <t xml:space="preserve">Pickup : 2026-10-12, Return : 2026-10-12
**CHANGED FM VSL."KJT 2611N" DUE TO SKIP PORT SHK BY K.ANURAK DD.16/9/26** </t>
        </is>
      </c>
      <c r="Q909" s="4" t="n">
        <v>1</v>
      </c>
      <c r="R909" s="4" t="n">
        <v>0</v>
      </c>
      <c r="S909" s="4" t="n">
        <v>0</v>
      </c>
      <c r="T909" s="4" t="n">
        <v>0</v>
      </c>
      <c r="U909" s="4" t="n">
        <v>0</v>
      </c>
      <c r="V909" s="4" t="n">
        <v>0</v>
      </c>
      <c r="W909" s="4" t="n">
        <v>0</v>
      </c>
      <c r="X909" s="4" t="n">
        <v>0</v>
      </c>
      <c r="Y909" s="4" t="n">
        <v>0</v>
      </c>
      <c r="Z909" s="4" t="n">
        <v>0</v>
      </c>
      <c r="AA909" s="4" t="n">
        <v>0</v>
      </c>
      <c r="AB909" s="4">
        <f>SUM(Q909:Y909)-Z909</f>
        <v/>
      </c>
      <c r="AC909" s="4">
        <f>IF(I909="","",IF(OR(LEFT(I909,3)="BKK",I909="LCH55"),"BKK",IF(LEFT(I909,3)="LCH","LCH","OTHER")))</f>
        <v/>
      </c>
      <c r="AD909" s="4">
        <f>MAX(0,Q909-MAX(0,Z909))</f>
        <v/>
      </c>
      <c r="AE909" s="4">
        <f>MAX(0,R909-MAX(0,Z909-SUM(Q909:Q909)))</f>
        <v/>
      </c>
      <c r="AF909" s="4">
        <f>MAX(0,S909-MAX(0,Z909-SUM(Q909:R909)))</f>
        <v/>
      </c>
      <c r="AG909" s="4">
        <f>MAX(0,T909-MAX(0,Z909-SUM(Q909:S909)))</f>
        <v/>
      </c>
      <c r="AH909" s="4">
        <f>MAX(0,U909-MAX(0,Z909-SUM(Q909:T909)))</f>
        <v/>
      </c>
      <c r="AI909" s="4">
        <f>MAX(0,V909-MAX(0,Z909-SUM(Q909:U909)))</f>
        <v/>
      </c>
      <c r="AJ909" s="4">
        <f>MAX(0,W909-MAX(0,Z909-SUM(Q909:V909)))</f>
        <v/>
      </c>
      <c r="AK909" s="4">
        <f>MAX(0,X909-MAX(0,Z909-SUM(Q909:W909)))</f>
        <v/>
      </c>
      <c r="AL909" s="4">
        <f>MAX(0,Y909-MAX(0,Z909-SUM(Q909:X909)))</f>
        <v/>
      </c>
    </row>
    <row r="910">
      <c r="A910" s="4" t="inlineStr">
        <is>
          <t>HASLS22260900439</t>
        </is>
      </c>
      <c r="B910" s="4" t="inlineStr">
        <is>
          <t>SWAT</t>
        </is>
      </c>
      <c r="C910" s="4" t="inlineStr">
        <is>
          <t>2610N</t>
        </is>
      </c>
      <c r="D910" s="4" t="inlineStr">
        <is>
          <t>202610071700</t>
        </is>
      </c>
      <c r="E910" s="4" t="inlineStr"/>
      <c r="F910" s="4" t="inlineStr">
        <is>
          <t>THBKK</t>
        </is>
      </c>
      <c r="G910" s="4" t="inlineStr">
        <is>
          <t>TWKEL</t>
        </is>
      </c>
      <c r="H910" s="4" t="inlineStr">
        <is>
          <t xml:space="preserve">20'x1 </t>
        </is>
      </c>
      <c r="I910" s="4" t="inlineStr">
        <is>
          <t>BKK25</t>
        </is>
      </c>
      <c r="J910" s="4" t="inlineStr">
        <is>
          <t xml:space="preserve">Smart Logistics Service (Thailand ) Co.,Ltd. </t>
        </is>
      </c>
      <c r="K910" s="4" t="inlineStr">
        <is>
          <t>20260930</t>
        </is>
      </c>
      <c r="L910" s="4" t="inlineStr">
        <is>
          <t>EVERRICH INTERTRADE CO., LTD.</t>
        </is>
      </c>
      <c r="M910" s="4" t="inlineStr">
        <is>
          <t>MAJESTIC FOOD INDUSTRY CO., LTD.</t>
        </is>
      </c>
      <c r="N910" s="4" t="inlineStr">
        <is>
          <t>CANNED GOODS</t>
        </is>
      </c>
      <c r="O910" s="4" t="inlineStr">
        <is>
          <t>GOOD AND CLEAN CONTAINER</t>
        </is>
      </c>
      <c r="P910" s="4" t="inlineStr">
        <is>
          <t>Pickup : 2026-09-30,  Return : 2026-10-02 (1ST RTN DD: 02/10/26 WO/RENT)</t>
        </is>
      </c>
      <c r="Q910" s="4" t="n">
        <v>1</v>
      </c>
      <c r="R910" s="4" t="n">
        <v>0</v>
      </c>
      <c r="S910" s="4" t="n">
        <v>0</v>
      </c>
      <c r="T910" s="4" t="n">
        <v>0</v>
      </c>
      <c r="U910" s="4" t="n">
        <v>0</v>
      </c>
      <c r="V910" s="4" t="n">
        <v>0</v>
      </c>
      <c r="W910" s="4" t="n">
        <v>0</v>
      </c>
      <c r="X910" s="4" t="n">
        <v>0</v>
      </c>
      <c r="Y910" s="4" t="n">
        <v>0</v>
      </c>
      <c r="Z910" s="4" t="n">
        <v>0</v>
      </c>
      <c r="AA910" s="4" t="n">
        <v>0</v>
      </c>
      <c r="AB910" s="4">
        <f>SUM(Q910:Y910)-Z910</f>
        <v/>
      </c>
      <c r="AC910" s="4">
        <f>IF(I910="","",IF(OR(LEFT(I910,3)="BKK",I910="LCH55"),"BKK",IF(LEFT(I910,3)="LCH","LCH","OTHER")))</f>
        <v/>
      </c>
      <c r="AD910" s="4">
        <f>MAX(0,Q910-MAX(0,Z910))</f>
        <v/>
      </c>
      <c r="AE910" s="4">
        <f>MAX(0,R910-MAX(0,Z910-SUM(Q910:Q910)))</f>
        <v/>
      </c>
      <c r="AF910" s="4">
        <f>MAX(0,S910-MAX(0,Z910-SUM(Q910:R910)))</f>
        <v/>
      </c>
      <c r="AG910" s="4">
        <f>MAX(0,T910-MAX(0,Z910-SUM(Q910:S910)))</f>
        <v/>
      </c>
      <c r="AH910" s="4">
        <f>MAX(0,U910-MAX(0,Z910-SUM(Q910:T910)))</f>
        <v/>
      </c>
      <c r="AI910" s="4">
        <f>MAX(0,V910-MAX(0,Z910-SUM(Q910:U910)))</f>
        <v/>
      </c>
      <c r="AJ910" s="4">
        <f>MAX(0,W910-MAX(0,Z910-SUM(Q910:V910)))</f>
        <v/>
      </c>
      <c r="AK910" s="4">
        <f>MAX(0,X910-MAX(0,Z910-SUM(Q910:W910)))</f>
        <v/>
      </c>
      <c r="AL910" s="4">
        <f>MAX(0,Y910-MAX(0,Z910-SUM(Q910:X910)))</f>
        <v/>
      </c>
    </row>
    <row r="911">
      <c r="A911" s="4" t="inlineStr">
        <is>
          <t>HASLS22260900477</t>
        </is>
      </c>
      <c r="B911" s="4" t="inlineStr">
        <is>
          <t>KMBK</t>
        </is>
      </c>
      <c r="C911" s="4" t="inlineStr">
        <is>
          <t>2611N</t>
        </is>
      </c>
      <c r="D911" s="4" t="inlineStr">
        <is>
          <t>202610030900</t>
        </is>
      </c>
      <c r="E911" s="4" t="inlineStr"/>
      <c r="F911" s="4" t="inlineStr">
        <is>
          <t>THBKK</t>
        </is>
      </c>
      <c r="G911" s="4" t="inlineStr">
        <is>
          <t>VNSGN</t>
        </is>
      </c>
      <c r="H911" s="4" t="inlineStr">
        <is>
          <t xml:space="preserve">40Hx2 </t>
        </is>
      </c>
      <c r="I911" s="4" t="inlineStr">
        <is>
          <t>BKK25</t>
        </is>
      </c>
      <c r="J911" s="4" t="inlineStr">
        <is>
          <t xml:space="preserve">Smart Logistics Service (Thailand ) Co.,Ltd. </t>
        </is>
      </c>
      <c r="K911" s="4" t="inlineStr">
        <is>
          <t>20260926</t>
        </is>
      </c>
      <c r="L911" s="4" t="inlineStr">
        <is>
          <t>LOGMAN INTERNATIONAL CO., LTD.</t>
        </is>
      </c>
      <c r="M911" s="4" t="inlineStr">
        <is>
          <t>OTANI TIRE CO., LTD.</t>
        </is>
      </c>
      <c r="N911" s="4" t="inlineStr">
        <is>
          <t>NEW TIRE</t>
        </is>
      </c>
      <c r="O911" s="4" t="inlineStr">
        <is>
          <t>REQUEST GOOD AND CLEAN CONTAINER</t>
        </is>
      </c>
      <c r="P911" s="4" t="inlineStr">
        <is>
          <t xml:space="preserve">Pickup : 2026-09-26, Return : 2026-09-28 </t>
        </is>
      </c>
      <c r="Q911" s="4" t="n">
        <v>0</v>
      </c>
      <c r="R911" s="4" t="n">
        <v>0</v>
      </c>
      <c r="S911" s="4" t="n">
        <v>2</v>
      </c>
      <c r="T911" s="4" t="n">
        <v>0</v>
      </c>
      <c r="U911" s="4" t="n">
        <v>0</v>
      </c>
      <c r="V911" s="4" t="n">
        <v>0</v>
      </c>
      <c r="W911" s="4" t="n">
        <v>0</v>
      </c>
      <c r="X911" s="4" t="n">
        <v>0</v>
      </c>
      <c r="Y911" s="4" t="n">
        <v>0</v>
      </c>
      <c r="Z911" s="4" t="n">
        <v>0</v>
      </c>
      <c r="AA911" s="4" t="n">
        <v>0</v>
      </c>
      <c r="AB911" s="4">
        <f>SUM(Q911:Y911)-Z911</f>
        <v/>
      </c>
      <c r="AC911" s="4">
        <f>IF(I911="","",IF(OR(LEFT(I911,3)="BKK",I911="LCH55"),"BKK",IF(LEFT(I911,3)="LCH","LCH","OTHER")))</f>
        <v/>
      </c>
      <c r="AD911" s="4">
        <f>MAX(0,Q911-MAX(0,Z911))</f>
        <v/>
      </c>
      <c r="AE911" s="4">
        <f>MAX(0,R911-MAX(0,Z911-SUM(Q911:Q911)))</f>
        <v/>
      </c>
      <c r="AF911" s="4">
        <f>MAX(0,S911-MAX(0,Z911-SUM(Q911:R911)))</f>
        <v/>
      </c>
      <c r="AG911" s="4">
        <f>MAX(0,T911-MAX(0,Z911-SUM(Q911:S911)))</f>
        <v/>
      </c>
      <c r="AH911" s="4">
        <f>MAX(0,U911-MAX(0,Z911-SUM(Q911:T911)))</f>
        <v/>
      </c>
      <c r="AI911" s="4">
        <f>MAX(0,V911-MAX(0,Z911-SUM(Q911:U911)))</f>
        <v/>
      </c>
      <c r="AJ911" s="4">
        <f>MAX(0,W911-MAX(0,Z911-SUM(Q911:V911)))</f>
        <v/>
      </c>
      <c r="AK911" s="4">
        <f>MAX(0,X911-MAX(0,Z911-SUM(Q911:W911)))</f>
        <v/>
      </c>
      <c r="AL911" s="4">
        <f>MAX(0,Y911-MAX(0,Z911-SUM(Q911:X911)))</f>
        <v/>
      </c>
    </row>
    <row r="912">
      <c r="A912" s="4" t="inlineStr">
        <is>
          <t>HASLS22260900501</t>
        </is>
      </c>
      <c r="B912" s="4" t="inlineStr">
        <is>
          <t>SWSP</t>
        </is>
      </c>
      <c r="C912" s="4" t="inlineStr">
        <is>
          <t>2609N</t>
        </is>
      </c>
      <c r="D912" s="4" t="inlineStr">
        <is>
          <t>202610071530</t>
        </is>
      </c>
      <c r="E912" s="4" t="inlineStr"/>
      <c r="F912" s="4" t="inlineStr">
        <is>
          <t>THBKK</t>
        </is>
      </c>
      <c r="G912" s="4" t="inlineStr">
        <is>
          <t>VNSGN</t>
        </is>
      </c>
      <c r="H912" s="4" t="inlineStr">
        <is>
          <t xml:space="preserve">20'x2 </t>
        </is>
      </c>
      <c r="I912" s="4" t="inlineStr">
        <is>
          <t>BKK25</t>
        </is>
      </c>
      <c r="J912" s="4" t="inlineStr">
        <is>
          <t xml:space="preserve">Smart Logistics Service (Thailand ) Co.,Ltd. </t>
        </is>
      </c>
      <c r="K912" s="4" t="inlineStr">
        <is>
          <t>20260928</t>
        </is>
      </c>
      <c r="L912" s="4" t="inlineStr">
        <is>
          <t>MERCURIAL LOGISTICS  CO.,LTD</t>
        </is>
      </c>
      <c r="M912" s="4" t="inlineStr">
        <is>
          <t>UENO FINE CHEMICALS INDUSTRY (THAILAND) LTD.</t>
        </is>
      </c>
      <c r="N912" s="4" t="inlineStr">
        <is>
          <t>MALTITOL SYRUP</t>
        </is>
      </c>
      <c r="O912" s="4" t="inlineStr">
        <is>
          <t>Req food grade CNTR</t>
        </is>
      </c>
      <c r="P912" s="4" t="inlineStr">
        <is>
          <t>Pickup : 2026-09-28, Return : 2026-09-29</t>
        </is>
      </c>
      <c r="Q912" s="4" t="n">
        <v>2</v>
      </c>
      <c r="R912" s="4" t="n">
        <v>0</v>
      </c>
      <c r="S912" s="4" t="n">
        <v>0</v>
      </c>
      <c r="T912" s="4" t="n">
        <v>0</v>
      </c>
      <c r="U912" s="4" t="n">
        <v>0</v>
      </c>
      <c r="V912" s="4" t="n">
        <v>0</v>
      </c>
      <c r="W912" s="4" t="n">
        <v>0</v>
      </c>
      <c r="X912" s="4" t="n">
        <v>0</v>
      </c>
      <c r="Y912" s="4" t="n">
        <v>0</v>
      </c>
      <c r="Z912" s="4" t="n">
        <v>0</v>
      </c>
      <c r="AA912" s="4" t="n">
        <v>0</v>
      </c>
      <c r="AB912" s="4">
        <f>SUM(Q912:Y912)-Z912</f>
        <v/>
      </c>
      <c r="AC912" s="4">
        <f>IF(I912="","",IF(OR(LEFT(I912,3)="BKK",I912="LCH55"),"BKK",IF(LEFT(I912,3)="LCH","LCH","OTHER")))</f>
        <v/>
      </c>
      <c r="AD912" s="4">
        <f>MAX(0,Q912-MAX(0,Z912))</f>
        <v/>
      </c>
      <c r="AE912" s="4">
        <f>MAX(0,R912-MAX(0,Z912-SUM(Q912:Q912)))</f>
        <v/>
      </c>
      <c r="AF912" s="4">
        <f>MAX(0,S912-MAX(0,Z912-SUM(Q912:R912)))</f>
        <v/>
      </c>
      <c r="AG912" s="4">
        <f>MAX(0,T912-MAX(0,Z912-SUM(Q912:S912)))</f>
        <v/>
      </c>
      <c r="AH912" s="4">
        <f>MAX(0,U912-MAX(0,Z912-SUM(Q912:T912)))</f>
        <v/>
      </c>
      <c r="AI912" s="4">
        <f>MAX(0,V912-MAX(0,Z912-SUM(Q912:U912)))</f>
        <v/>
      </c>
      <c r="AJ912" s="4">
        <f>MAX(0,W912-MAX(0,Z912-SUM(Q912:V912)))</f>
        <v/>
      </c>
      <c r="AK912" s="4">
        <f>MAX(0,X912-MAX(0,Z912-SUM(Q912:W912)))</f>
        <v/>
      </c>
      <c r="AL912" s="4">
        <f>MAX(0,Y912-MAX(0,Z912-SUM(Q912:X912)))</f>
        <v/>
      </c>
    </row>
    <row r="913">
      <c r="A913" s="4" t="inlineStr">
        <is>
          <t>HASLS22260900514</t>
        </is>
      </c>
      <c r="B913" s="4" t="inlineStr">
        <is>
          <t>SWIC</t>
        </is>
      </c>
      <c r="C913" s="4" t="inlineStr">
        <is>
          <t>2611N</t>
        </is>
      </c>
      <c r="D913" s="4" t="inlineStr">
        <is>
          <t>202610130700</t>
        </is>
      </c>
      <c r="E913" s="4" t="inlineStr"/>
      <c r="F913" s="4" t="inlineStr">
        <is>
          <t>THBKK</t>
        </is>
      </c>
      <c r="G913" s="4" t="inlineStr">
        <is>
          <t>KRPUS</t>
        </is>
      </c>
      <c r="H913" s="4" t="inlineStr">
        <is>
          <t xml:space="preserve">20'x1 </t>
        </is>
      </c>
      <c r="I913" s="4" t="inlineStr">
        <is>
          <t>BKK25</t>
        </is>
      </c>
      <c r="J913" s="4" t="inlineStr">
        <is>
          <t xml:space="preserve">Smart Logistics Service (Thailand ) Co.,Ltd. </t>
        </is>
      </c>
      <c r="K913" s="4" t="inlineStr">
        <is>
          <t>20261009</t>
        </is>
      </c>
      <c r="L913" s="4" t="inlineStr">
        <is>
          <t>BANGKOK STARCH INDUSTRIAL CO., LTD.</t>
        </is>
      </c>
      <c r="M913" s="4" t="inlineStr">
        <is>
          <t>BANGKOK STARCH INDUSTRIAL CO., LTD.</t>
        </is>
      </c>
      <c r="N913" s="4" t="inlineStr">
        <is>
          <t xml:space="preserve">STARCH </t>
        </is>
      </c>
      <c r="O913" s="4" t="inlineStr">
        <is>
          <t>CONTAINER : PLS. RELEASE CTNR FOOD GRADE CONDITION ( FOR LOADING FOODS ) ONLY.</t>
        </is>
      </c>
      <c r="P913" s="4" t="inlineStr">
        <is>
          <t>Pickup : 2026-10-09, Return : 2026-10-10
**CHANGED FM VSL."CMA 2615N" DUE TO DELAY BY K.NUI DD.16/9/26**</t>
        </is>
      </c>
      <c r="Q913" s="4" t="n">
        <v>1</v>
      </c>
      <c r="R913" s="4" t="n">
        <v>0</v>
      </c>
      <c r="S913" s="4" t="n">
        <v>0</v>
      </c>
      <c r="T913" s="4" t="n">
        <v>0</v>
      </c>
      <c r="U913" s="4" t="n">
        <v>0</v>
      </c>
      <c r="V913" s="4" t="n">
        <v>0</v>
      </c>
      <c r="W913" s="4" t="n">
        <v>0</v>
      </c>
      <c r="X913" s="4" t="n">
        <v>0</v>
      </c>
      <c r="Y913" s="4" t="n">
        <v>0</v>
      </c>
      <c r="Z913" s="4" t="n">
        <v>0</v>
      </c>
      <c r="AA913" s="4" t="n">
        <v>0</v>
      </c>
      <c r="AB913" s="4">
        <f>SUM(Q913:Y913)-Z913</f>
        <v/>
      </c>
      <c r="AC913" s="4">
        <f>IF(I913="","",IF(OR(LEFT(I913,3)="BKK",I913="LCH55"),"BKK",IF(LEFT(I913,3)="LCH","LCH","OTHER")))</f>
        <v/>
      </c>
      <c r="AD913" s="4">
        <f>MAX(0,Q913-MAX(0,Z913))</f>
        <v/>
      </c>
      <c r="AE913" s="4">
        <f>MAX(0,R913-MAX(0,Z913-SUM(Q913:Q913)))</f>
        <v/>
      </c>
      <c r="AF913" s="4">
        <f>MAX(0,S913-MAX(0,Z913-SUM(Q913:R913)))</f>
        <v/>
      </c>
      <c r="AG913" s="4">
        <f>MAX(0,T913-MAX(0,Z913-SUM(Q913:S913)))</f>
        <v/>
      </c>
      <c r="AH913" s="4">
        <f>MAX(0,U913-MAX(0,Z913-SUM(Q913:T913)))</f>
        <v/>
      </c>
      <c r="AI913" s="4">
        <f>MAX(0,V913-MAX(0,Z913-SUM(Q913:U913)))</f>
        <v/>
      </c>
      <c r="AJ913" s="4">
        <f>MAX(0,W913-MAX(0,Z913-SUM(Q913:V913)))</f>
        <v/>
      </c>
      <c r="AK913" s="4">
        <f>MAX(0,X913-MAX(0,Z913-SUM(Q913:W913)))</f>
        <v/>
      </c>
      <c r="AL913" s="4">
        <f>MAX(0,Y913-MAX(0,Z913-SUM(Q913:X913)))</f>
        <v/>
      </c>
    </row>
    <row r="914">
      <c r="A914" s="4" t="inlineStr">
        <is>
          <t>HASLS22260900523</t>
        </is>
      </c>
      <c r="B914" s="4" t="inlineStr">
        <is>
          <t>SWSP</t>
        </is>
      </c>
      <c r="C914" s="4" t="inlineStr">
        <is>
          <t>2609N</t>
        </is>
      </c>
      <c r="D914" s="4" t="inlineStr">
        <is>
          <t>202610071530</t>
        </is>
      </c>
      <c r="E914" s="4" t="inlineStr"/>
      <c r="F914" s="4" t="inlineStr">
        <is>
          <t>THBKK</t>
        </is>
      </c>
      <c r="G914" s="4" t="inlineStr">
        <is>
          <t>VNSGN</t>
        </is>
      </c>
      <c r="H914" s="4" t="inlineStr">
        <is>
          <t xml:space="preserve">20'x1 </t>
        </is>
      </c>
      <c r="I914" s="4" t="inlineStr">
        <is>
          <t>BKK25</t>
        </is>
      </c>
      <c r="J914" s="4" t="inlineStr">
        <is>
          <t xml:space="preserve">Smart Logistics Service (Thailand ) Co.,Ltd. </t>
        </is>
      </c>
      <c r="K914" s="4" t="inlineStr">
        <is>
          <t>20261001</t>
        </is>
      </c>
      <c r="L914" s="4" t="inlineStr">
        <is>
          <t>QUALITY ACCESS GLOBAL LOGISTICS CO., LTD</t>
        </is>
      </c>
      <c r="M914" s="4" t="inlineStr">
        <is>
          <t>AQUACULTURE PROMOTION CO., LTD.</t>
        </is>
      </c>
      <c r="N914" s="4" t="inlineStr">
        <is>
          <t>PREMIX</t>
        </is>
      </c>
      <c r="O914" s="4" t="inlineStr">
        <is>
          <t>GRADE A  CONTANER</t>
        </is>
      </c>
      <c r="P914" s="4" t="inlineStr">
        <is>
          <t>Pickup : 2026-10-01, Return : 2026-10-02</t>
        </is>
      </c>
      <c r="Q914" s="4" t="n">
        <v>1</v>
      </c>
      <c r="R914" s="4" t="n">
        <v>0</v>
      </c>
      <c r="S914" s="4" t="n">
        <v>0</v>
      </c>
      <c r="T914" s="4" t="n">
        <v>0</v>
      </c>
      <c r="U914" s="4" t="n">
        <v>0</v>
      </c>
      <c r="V914" s="4" t="n">
        <v>0</v>
      </c>
      <c r="W914" s="4" t="n">
        <v>0</v>
      </c>
      <c r="X914" s="4" t="n">
        <v>0</v>
      </c>
      <c r="Y914" s="4" t="n">
        <v>0</v>
      </c>
      <c r="Z914" s="4" t="n">
        <v>0</v>
      </c>
      <c r="AA914" s="4" t="n">
        <v>0</v>
      </c>
      <c r="AB914" s="4">
        <f>SUM(Q914:Y914)-Z914</f>
        <v/>
      </c>
      <c r="AC914" s="4">
        <f>IF(I914="","",IF(OR(LEFT(I914,3)="BKK",I914="LCH55"),"BKK",IF(LEFT(I914,3)="LCH","LCH","OTHER")))</f>
        <v/>
      </c>
      <c r="AD914" s="4">
        <f>MAX(0,Q914-MAX(0,Z914))</f>
        <v/>
      </c>
      <c r="AE914" s="4">
        <f>MAX(0,R914-MAX(0,Z914-SUM(Q914:Q914)))</f>
        <v/>
      </c>
      <c r="AF914" s="4">
        <f>MAX(0,S914-MAX(0,Z914-SUM(Q914:R914)))</f>
        <v/>
      </c>
      <c r="AG914" s="4">
        <f>MAX(0,T914-MAX(0,Z914-SUM(Q914:S914)))</f>
        <v/>
      </c>
      <c r="AH914" s="4">
        <f>MAX(0,U914-MAX(0,Z914-SUM(Q914:T914)))</f>
        <v/>
      </c>
      <c r="AI914" s="4">
        <f>MAX(0,V914-MAX(0,Z914-SUM(Q914:U914)))</f>
        <v/>
      </c>
      <c r="AJ914" s="4">
        <f>MAX(0,W914-MAX(0,Z914-SUM(Q914:V914)))</f>
        <v/>
      </c>
      <c r="AK914" s="4">
        <f>MAX(0,X914-MAX(0,Z914-SUM(Q914:W914)))</f>
        <v/>
      </c>
      <c r="AL914" s="4">
        <f>MAX(0,Y914-MAX(0,Z914-SUM(Q914:X914)))</f>
        <v/>
      </c>
    </row>
    <row r="915">
      <c r="A915" s="4" t="inlineStr">
        <is>
          <t>HASLS22260900524</t>
        </is>
      </c>
      <c r="B915" s="4" t="inlineStr">
        <is>
          <t>SWIC</t>
        </is>
      </c>
      <c r="C915" s="4" t="inlineStr">
        <is>
          <t>2611N</t>
        </is>
      </c>
      <c r="D915" s="4" t="inlineStr">
        <is>
          <t>202610130700</t>
        </is>
      </c>
      <c r="E915" s="4" t="inlineStr"/>
      <c r="F915" s="4" t="inlineStr">
        <is>
          <t>THBKK</t>
        </is>
      </c>
      <c r="G915" s="4" t="inlineStr">
        <is>
          <t>VNSGN</t>
        </is>
      </c>
      <c r="H915" s="4" t="inlineStr">
        <is>
          <t xml:space="preserve">20'x3 </t>
        </is>
      </c>
      <c r="I915" s="4" t="inlineStr">
        <is>
          <t>BKK25</t>
        </is>
      </c>
      <c r="J915" s="4" t="inlineStr">
        <is>
          <t xml:space="preserve">Smart Logistics Service (Thailand ) Co.,Ltd. </t>
        </is>
      </c>
      <c r="K915" s="4" t="inlineStr">
        <is>
          <t>20261008</t>
        </is>
      </c>
      <c r="L915" s="4" t="inlineStr">
        <is>
          <t>QUALITY ACCESS GLOBAL LOGISTICS CO., LTD</t>
        </is>
      </c>
      <c r="M915" s="4" t="inlineStr">
        <is>
          <t>AQUACULTURE PROMOTION CO., LTD.</t>
        </is>
      </c>
      <c r="N915" s="4" t="inlineStr">
        <is>
          <t>PREMIX</t>
        </is>
      </c>
      <c r="O915" s="4" t="inlineStr">
        <is>
          <t>GRADE A  CONTANER</t>
        </is>
      </c>
      <c r="P915" s="4" t="inlineStr">
        <is>
          <t>Pickup : 2026-10-08, Return : 2026-10-09</t>
        </is>
      </c>
      <c r="Q915" s="4" t="n">
        <v>3</v>
      </c>
      <c r="R915" s="4" t="n">
        <v>0</v>
      </c>
      <c r="S915" s="4" t="n">
        <v>0</v>
      </c>
      <c r="T915" s="4" t="n">
        <v>0</v>
      </c>
      <c r="U915" s="4" t="n">
        <v>0</v>
      </c>
      <c r="V915" s="4" t="n">
        <v>0</v>
      </c>
      <c r="W915" s="4" t="n">
        <v>0</v>
      </c>
      <c r="X915" s="4" t="n">
        <v>0</v>
      </c>
      <c r="Y915" s="4" t="n">
        <v>0</v>
      </c>
      <c r="Z915" s="4" t="n">
        <v>0</v>
      </c>
      <c r="AA915" s="4" t="n">
        <v>0</v>
      </c>
      <c r="AB915" s="4">
        <f>SUM(Q915:Y915)-Z915</f>
        <v/>
      </c>
      <c r="AC915" s="4">
        <f>IF(I915="","",IF(OR(LEFT(I915,3)="BKK",I915="LCH55"),"BKK",IF(LEFT(I915,3)="LCH","LCH","OTHER")))</f>
        <v/>
      </c>
      <c r="AD915" s="4">
        <f>MAX(0,Q915-MAX(0,Z915))</f>
        <v/>
      </c>
      <c r="AE915" s="4">
        <f>MAX(0,R915-MAX(0,Z915-SUM(Q915:Q915)))</f>
        <v/>
      </c>
      <c r="AF915" s="4">
        <f>MAX(0,S915-MAX(0,Z915-SUM(Q915:R915)))</f>
        <v/>
      </c>
      <c r="AG915" s="4">
        <f>MAX(0,T915-MAX(0,Z915-SUM(Q915:S915)))</f>
        <v/>
      </c>
      <c r="AH915" s="4">
        <f>MAX(0,U915-MAX(0,Z915-SUM(Q915:T915)))</f>
        <v/>
      </c>
      <c r="AI915" s="4">
        <f>MAX(0,V915-MAX(0,Z915-SUM(Q915:U915)))</f>
        <v/>
      </c>
      <c r="AJ915" s="4">
        <f>MAX(0,W915-MAX(0,Z915-SUM(Q915:V915)))</f>
        <v/>
      </c>
      <c r="AK915" s="4">
        <f>MAX(0,X915-MAX(0,Z915-SUM(Q915:W915)))</f>
        <v/>
      </c>
      <c r="AL915" s="4">
        <f>MAX(0,Y915-MAX(0,Z915-SUM(Q915:X915)))</f>
        <v/>
      </c>
    </row>
    <row r="916">
      <c r="A916" s="4" t="inlineStr">
        <is>
          <t>HASLS22260900541</t>
        </is>
      </c>
      <c r="B916" s="4" t="inlineStr">
        <is>
          <t>PGPO</t>
        </is>
      </c>
      <c r="C916" s="4" t="inlineStr">
        <is>
          <t>2612N</t>
        </is>
      </c>
      <c r="D916" s="4" t="inlineStr">
        <is>
          <t>202610141800</t>
        </is>
      </c>
      <c r="E916" s="4" t="inlineStr"/>
      <c r="F916" s="4" t="inlineStr">
        <is>
          <t>THBKK</t>
        </is>
      </c>
      <c r="G916" s="4" t="inlineStr">
        <is>
          <t>VNSGN</t>
        </is>
      </c>
      <c r="H916" s="4" t="inlineStr">
        <is>
          <t xml:space="preserve">20'x2 </t>
        </is>
      </c>
      <c r="I916" s="4" t="inlineStr">
        <is>
          <t>BKK25</t>
        </is>
      </c>
      <c r="J916" s="4" t="inlineStr">
        <is>
          <t xml:space="preserve">Smart Logistics Service (Thailand ) Co.,Ltd. </t>
        </is>
      </c>
      <c r="K916" s="4" t="inlineStr">
        <is>
          <t>20260908</t>
        </is>
      </c>
      <c r="L916" s="4" t="inlineStr">
        <is>
          <t>MERCURIAL LOGISTICS  CO.,LTD</t>
        </is>
      </c>
      <c r="M916" s="4" t="inlineStr">
        <is>
          <t>UENO FINE CHEMICALS INDUSTRY (THAILAND) LTD.</t>
        </is>
      </c>
      <c r="N916" s="4" t="inlineStr">
        <is>
          <t>MALTITOL SYRUP</t>
        </is>
      </c>
      <c r="O916" s="4" t="inlineStr">
        <is>
          <t>GOOD AND CLEAN CONTAINER</t>
        </is>
      </c>
      <c r="P916" s="4" t="inlineStr">
        <is>
          <t>Pickup : 2026-09-08, Return : 2026-09-09</t>
        </is>
      </c>
      <c r="Q916" s="4" t="n">
        <v>2</v>
      </c>
      <c r="R916" s="4" t="n">
        <v>0</v>
      </c>
      <c r="S916" s="4" t="n">
        <v>0</v>
      </c>
      <c r="T916" s="4" t="n">
        <v>0</v>
      </c>
      <c r="U916" s="4" t="n">
        <v>0</v>
      </c>
      <c r="V916" s="4" t="n">
        <v>0</v>
      </c>
      <c r="W916" s="4" t="n">
        <v>0</v>
      </c>
      <c r="X916" s="4" t="n">
        <v>0</v>
      </c>
      <c r="Y916" s="4" t="n">
        <v>0</v>
      </c>
      <c r="Z916" s="4" t="n">
        <v>0</v>
      </c>
      <c r="AA916" s="4" t="n">
        <v>0</v>
      </c>
      <c r="AB916" s="4">
        <f>SUM(Q916:Y916)-Z916</f>
        <v/>
      </c>
      <c r="AC916" s="4">
        <f>IF(I916="","",IF(OR(LEFT(I916,3)="BKK",I916="LCH55"),"BKK",IF(LEFT(I916,3)="LCH","LCH","OTHER")))</f>
        <v/>
      </c>
      <c r="AD916" s="4">
        <f>MAX(0,Q916-MAX(0,Z916))</f>
        <v/>
      </c>
      <c r="AE916" s="4">
        <f>MAX(0,R916-MAX(0,Z916-SUM(Q916:Q916)))</f>
        <v/>
      </c>
      <c r="AF916" s="4">
        <f>MAX(0,S916-MAX(0,Z916-SUM(Q916:R916)))</f>
        <v/>
      </c>
      <c r="AG916" s="4">
        <f>MAX(0,T916-MAX(0,Z916-SUM(Q916:S916)))</f>
        <v/>
      </c>
      <c r="AH916" s="4">
        <f>MAX(0,U916-MAX(0,Z916-SUM(Q916:T916)))</f>
        <v/>
      </c>
      <c r="AI916" s="4">
        <f>MAX(0,V916-MAX(0,Z916-SUM(Q916:U916)))</f>
        <v/>
      </c>
      <c r="AJ916" s="4">
        <f>MAX(0,W916-MAX(0,Z916-SUM(Q916:V916)))</f>
        <v/>
      </c>
      <c r="AK916" s="4">
        <f>MAX(0,X916-MAX(0,Z916-SUM(Q916:W916)))</f>
        <v/>
      </c>
      <c r="AL916" s="4">
        <f>MAX(0,Y916-MAX(0,Z916-SUM(Q916:X916)))</f>
        <v/>
      </c>
    </row>
    <row r="917">
      <c r="A917" s="4" t="inlineStr">
        <is>
          <t>HASLS22260900554</t>
        </is>
      </c>
      <c r="B917" s="4" t="inlineStr">
        <is>
          <t>DJCF</t>
        </is>
      </c>
      <c r="C917" s="4" t="inlineStr">
        <is>
          <t>0152N</t>
        </is>
      </c>
      <c r="D917" s="4" t="inlineStr">
        <is>
          <t>202610111000</t>
        </is>
      </c>
      <c r="E917" s="4" t="inlineStr"/>
      <c r="F917" s="4" t="inlineStr">
        <is>
          <t>THBKK</t>
        </is>
      </c>
      <c r="G917" s="4" t="inlineStr">
        <is>
          <t>KRINC</t>
        </is>
      </c>
      <c r="H917" s="4" t="inlineStr">
        <is>
          <t xml:space="preserve">20'x1 </t>
        </is>
      </c>
      <c r="I917" s="4" t="inlineStr">
        <is>
          <t>BKK25</t>
        </is>
      </c>
      <c r="J917" s="4" t="inlineStr">
        <is>
          <t xml:space="preserve">Smart Logistics Service (Thailand ) Co.,Ltd. </t>
        </is>
      </c>
      <c r="K917" s="4" t="inlineStr">
        <is>
          <t>20261005</t>
        </is>
      </c>
      <c r="L917" s="4" t="inlineStr">
        <is>
          <t>KORCHINA FREIGHT (THAILAND) CO., LTD.</t>
        </is>
      </c>
      <c r="M917" s="4" t="inlineStr">
        <is>
          <t>PANTAINORASINGH MANUFACTURER CO.,LTD.</t>
        </is>
      </c>
      <c r="N917" s="4" t="inlineStr">
        <is>
          <t>FOODSTUFFS</t>
        </is>
      </c>
      <c r="O917" s="4" t="inlineStr">
        <is>
          <t>Please notify us of the first day of return of the container free of charge.
The container must be used for food storage, be in new condition, clean,</t>
        </is>
      </c>
      <c r="P917" s="4" t="inlineStr">
        <is>
          <t>Pickup : 2026-10-05, Return : 2026-10-06</t>
        </is>
      </c>
      <c r="Q917" s="4" t="n">
        <v>1</v>
      </c>
      <c r="R917" s="4" t="n">
        <v>0</v>
      </c>
      <c r="S917" s="4" t="n">
        <v>0</v>
      </c>
      <c r="T917" s="4" t="n">
        <v>0</v>
      </c>
      <c r="U917" s="4" t="n">
        <v>0</v>
      </c>
      <c r="V917" s="4" t="n">
        <v>0</v>
      </c>
      <c r="W917" s="4" t="n">
        <v>0</v>
      </c>
      <c r="X917" s="4" t="n">
        <v>0</v>
      </c>
      <c r="Y917" s="4" t="n">
        <v>0</v>
      </c>
      <c r="Z917" s="4" t="n">
        <v>0</v>
      </c>
      <c r="AA917" s="4" t="n">
        <v>0</v>
      </c>
      <c r="AB917" s="4">
        <f>SUM(Q917:Y917)-Z917</f>
        <v/>
      </c>
      <c r="AC917" s="4">
        <f>IF(I917="","",IF(OR(LEFT(I917,3)="BKK",I917="LCH55"),"BKK",IF(LEFT(I917,3)="LCH","LCH","OTHER")))</f>
        <v/>
      </c>
      <c r="AD917" s="4">
        <f>MAX(0,Q917-MAX(0,Z917))</f>
        <v/>
      </c>
      <c r="AE917" s="4">
        <f>MAX(0,R917-MAX(0,Z917-SUM(Q917:Q917)))</f>
        <v/>
      </c>
      <c r="AF917" s="4">
        <f>MAX(0,S917-MAX(0,Z917-SUM(Q917:R917)))</f>
        <v/>
      </c>
      <c r="AG917" s="4">
        <f>MAX(0,T917-MAX(0,Z917-SUM(Q917:S917)))</f>
        <v/>
      </c>
      <c r="AH917" s="4">
        <f>MAX(0,U917-MAX(0,Z917-SUM(Q917:T917)))</f>
        <v/>
      </c>
      <c r="AI917" s="4">
        <f>MAX(0,V917-MAX(0,Z917-SUM(Q917:U917)))</f>
        <v/>
      </c>
      <c r="AJ917" s="4">
        <f>MAX(0,W917-MAX(0,Z917-SUM(Q917:V917)))</f>
        <v/>
      </c>
      <c r="AK917" s="4">
        <f>MAX(0,X917-MAX(0,Z917-SUM(Q917:W917)))</f>
        <v/>
      </c>
      <c r="AL917" s="4">
        <f>MAX(0,Y917-MAX(0,Z917-SUM(Q917:X917)))</f>
        <v/>
      </c>
    </row>
    <row r="918">
      <c r="A918" s="4" t="inlineStr">
        <is>
          <t>HASLS22260900557</t>
        </is>
      </c>
      <c r="B918" s="4" t="inlineStr">
        <is>
          <t>SWIC</t>
        </is>
      </c>
      <c r="C918" s="4" t="inlineStr">
        <is>
          <t>2611N</t>
        </is>
      </c>
      <c r="D918" s="4" t="inlineStr">
        <is>
          <t>202610130700</t>
        </is>
      </c>
      <c r="E918" s="4" t="inlineStr"/>
      <c r="F918" s="4" t="inlineStr">
        <is>
          <t>THBKK</t>
        </is>
      </c>
      <c r="G918" s="4" t="inlineStr">
        <is>
          <t>JPKIJ</t>
        </is>
      </c>
      <c r="H918" s="4" t="inlineStr">
        <is>
          <t xml:space="preserve">20'x4 </t>
        </is>
      </c>
      <c r="I918" s="4" t="inlineStr">
        <is>
          <t>BKK25</t>
        </is>
      </c>
      <c r="J918" s="4" t="inlineStr">
        <is>
          <t xml:space="preserve">Smart Logistics Service (Thailand ) Co.,Ltd. </t>
        </is>
      </c>
      <c r="K918" s="4" t="inlineStr">
        <is>
          <t>20261002</t>
        </is>
      </c>
      <c r="L918" s="4" t="inlineStr">
        <is>
          <t>GENERAL FOOD PRODUCTS CO., LTD.</t>
        </is>
      </c>
      <c r="M918" s="4" t="inlineStr">
        <is>
          <t>GENERAL FOOD PRODUCTS CO., LTD.</t>
        </is>
      </c>
      <c r="N918" s="4" t="inlineStr">
        <is>
          <t>FLOURS</t>
        </is>
      </c>
      <c r="O918" s="4" t="inlineStr">
        <is>
          <t>Container Grade A</t>
        </is>
      </c>
      <c r="P918" s="4" t="inlineStr">
        <is>
          <t>Pickup : 2026-10-02, Return : 2026-10-07 // FM DJCF 0152N BY HAL DD.28/09</t>
        </is>
      </c>
      <c r="Q918" s="4" t="n">
        <v>4</v>
      </c>
      <c r="R918" s="4" t="n">
        <v>0</v>
      </c>
      <c r="S918" s="4" t="n">
        <v>0</v>
      </c>
      <c r="T918" s="4" t="n">
        <v>0</v>
      </c>
      <c r="U918" s="4" t="n">
        <v>0</v>
      </c>
      <c r="V918" s="4" t="n">
        <v>0</v>
      </c>
      <c r="W918" s="4" t="n">
        <v>0</v>
      </c>
      <c r="X918" s="4" t="n">
        <v>0</v>
      </c>
      <c r="Y918" s="4" t="n">
        <v>0</v>
      </c>
      <c r="Z918" s="4" t="n">
        <v>0</v>
      </c>
      <c r="AA918" s="4" t="n">
        <v>0</v>
      </c>
      <c r="AB918" s="4">
        <f>SUM(Q918:Y918)-Z918</f>
        <v/>
      </c>
      <c r="AC918" s="4">
        <f>IF(I918="","",IF(OR(LEFT(I918,3)="BKK",I918="LCH55"),"BKK",IF(LEFT(I918,3)="LCH","LCH","OTHER")))</f>
        <v/>
      </c>
      <c r="AD918" s="4">
        <f>MAX(0,Q918-MAX(0,Z918))</f>
        <v/>
      </c>
      <c r="AE918" s="4">
        <f>MAX(0,R918-MAX(0,Z918-SUM(Q918:Q918)))</f>
        <v/>
      </c>
      <c r="AF918" s="4">
        <f>MAX(0,S918-MAX(0,Z918-SUM(Q918:R918)))</f>
        <v/>
      </c>
      <c r="AG918" s="4">
        <f>MAX(0,T918-MAX(0,Z918-SUM(Q918:S918)))</f>
        <v/>
      </c>
      <c r="AH918" s="4">
        <f>MAX(0,U918-MAX(0,Z918-SUM(Q918:T918)))</f>
        <v/>
      </c>
      <c r="AI918" s="4">
        <f>MAX(0,V918-MAX(0,Z918-SUM(Q918:U918)))</f>
        <v/>
      </c>
      <c r="AJ918" s="4">
        <f>MAX(0,W918-MAX(0,Z918-SUM(Q918:V918)))</f>
        <v/>
      </c>
      <c r="AK918" s="4">
        <f>MAX(0,X918-MAX(0,Z918-SUM(Q918:W918)))</f>
        <v/>
      </c>
      <c r="AL918" s="4">
        <f>MAX(0,Y918-MAX(0,Z918-SUM(Q918:X918)))</f>
        <v/>
      </c>
    </row>
    <row r="919">
      <c r="A919" s="4" t="inlineStr">
        <is>
          <t>HASLS22260900558</t>
        </is>
      </c>
      <c r="B919" s="4" t="inlineStr">
        <is>
          <t>DJCF</t>
        </is>
      </c>
      <c r="C919" s="4" t="inlineStr">
        <is>
          <t>0152N</t>
        </is>
      </c>
      <c r="D919" s="4" t="inlineStr">
        <is>
          <t>202610111000</t>
        </is>
      </c>
      <c r="E919" s="4" t="inlineStr"/>
      <c r="F919" s="4" t="inlineStr">
        <is>
          <t>THBKK</t>
        </is>
      </c>
      <c r="G919" s="4" t="inlineStr">
        <is>
          <t>JPMYJ</t>
        </is>
      </c>
      <c r="H919" s="4" t="inlineStr">
        <is>
          <t xml:space="preserve">20'x1 </t>
        </is>
      </c>
      <c r="I919" s="4" t="inlineStr">
        <is>
          <t>BKK25</t>
        </is>
      </c>
      <c r="J919" s="4" t="inlineStr">
        <is>
          <t xml:space="preserve">Smart Logistics Service (Thailand ) Co.,Ltd. </t>
        </is>
      </c>
      <c r="K919" s="4" t="inlineStr">
        <is>
          <t>20261002</t>
        </is>
      </c>
      <c r="L919" s="4" t="inlineStr">
        <is>
          <t>GENERAL FOOD PRODUCTS CO., LTD.</t>
        </is>
      </c>
      <c r="M919" s="4" t="inlineStr">
        <is>
          <t>GENERAL FOOD PRODUCTS CO., LTD.</t>
        </is>
      </c>
      <c r="N919" s="4" t="inlineStr">
        <is>
          <t>FLOURS</t>
        </is>
      </c>
      <c r="O919" s="4" t="inlineStr">
        <is>
          <t>Container Grade A</t>
        </is>
      </c>
      <c r="P919" s="4" t="inlineStr">
        <is>
          <t>Pickup : 2026-10-02, Return : 2026-10-07</t>
        </is>
      </c>
      <c r="Q919" s="4" t="n">
        <v>1</v>
      </c>
      <c r="R919" s="4" t="n">
        <v>0</v>
      </c>
      <c r="S919" s="4" t="n">
        <v>0</v>
      </c>
      <c r="T919" s="4" t="n">
        <v>0</v>
      </c>
      <c r="U919" s="4" t="n">
        <v>0</v>
      </c>
      <c r="V919" s="4" t="n">
        <v>0</v>
      </c>
      <c r="W919" s="4" t="n">
        <v>0</v>
      </c>
      <c r="X919" s="4" t="n">
        <v>0</v>
      </c>
      <c r="Y919" s="4" t="n">
        <v>0</v>
      </c>
      <c r="Z919" s="4" t="n">
        <v>0</v>
      </c>
      <c r="AA919" s="4" t="n">
        <v>0</v>
      </c>
      <c r="AB919" s="4">
        <f>SUM(Q919:Y919)-Z919</f>
        <v/>
      </c>
      <c r="AC919" s="4">
        <f>IF(I919="","",IF(OR(LEFT(I919,3)="BKK",I919="LCH55"),"BKK",IF(LEFT(I919,3)="LCH","LCH","OTHER")))</f>
        <v/>
      </c>
      <c r="AD919" s="4">
        <f>MAX(0,Q919-MAX(0,Z919))</f>
        <v/>
      </c>
      <c r="AE919" s="4">
        <f>MAX(0,R919-MAX(0,Z919-SUM(Q919:Q919)))</f>
        <v/>
      </c>
      <c r="AF919" s="4">
        <f>MAX(0,S919-MAX(0,Z919-SUM(Q919:R919)))</f>
        <v/>
      </c>
      <c r="AG919" s="4">
        <f>MAX(0,T919-MAX(0,Z919-SUM(Q919:S919)))</f>
        <v/>
      </c>
      <c r="AH919" s="4">
        <f>MAX(0,U919-MAX(0,Z919-SUM(Q919:T919)))</f>
        <v/>
      </c>
      <c r="AI919" s="4">
        <f>MAX(0,V919-MAX(0,Z919-SUM(Q919:U919)))</f>
        <v/>
      </c>
      <c r="AJ919" s="4">
        <f>MAX(0,W919-MAX(0,Z919-SUM(Q919:V919)))</f>
        <v/>
      </c>
      <c r="AK919" s="4">
        <f>MAX(0,X919-MAX(0,Z919-SUM(Q919:W919)))</f>
        <v/>
      </c>
      <c r="AL919" s="4">
        <f>MAX(0,Y919-MAX(0,Z919-SUM(Q919:X919)))</f>
        <v/>
      </c>
    </row>
    <row r="920">
      <c r="A920" s="4" t="inlineStr">
        <is>
          <t>HASLS22260900559</t>
        </is>
      </c>
      <c r="B920" s="4" t="inlineStr">
        <is>
          <t>SWIC</t>
        </is>
      </c>
      <c r="C920" s="4" t="inlineStr">
        <is>
          <t>2611N</t>
        </is>
      </c>
      <c r="D920" s="4" t="inlineStr">
        <is>
          <t>202610130700</t>
        </is>
      </c>
      <c r="E920" s="4" t="inlineStr"/>
      <c r="F920" s="4" t="inlineStr">
        <is>
          <t>THBKK</t>
        </is>
      </c>
      <c r="G920" s="4" t="inlineStr">
        <is>
          <t>JPKIJ</t>
        </is>
      </c>
      <c r="H920" s="4" t="inlineStr">
        <is>
          <t xml:space="preserve">20'x5 </t>
        </is>
      </c>
      <c r="I920" s="4" t="inlineStr">
        <is>
          <t>BKK25</t>
        </is>
      </c>
      <c r="J920" s="4" t="inlineStr">
        <is>
          <t xml:space="preserve">Smart Logistics Service (Thailand ) Co.,Ltd. </t>
        </is>
      </c>
      <c r="K920" s="4" t="inlineStr">
        <is>
          <t>20261007</t>
        </is>
      </c>
      <c r="L920" s="4" t="inlineStr">
        <is>
          <t>GENERAL FOOD PRODUCTS CO., LTD.</t>
        </is>
      </c>
      <c r="M920" s="4" t="inlineStr">
        <is>
          <t>GENERAL FOOD PRODUCTS CO., LTD.</t>
        </is>
      </c>
      <c r="N920" s="4" t="inlineStr">
        <is>
          <t>FLOURS</t>
        </is>
      </c>
      <c r="O920" s="4" t="inlineStr">
        <is>
          <t>Container Grade A</t>
        </is>
      </c>
      <c r="P920" s="4" t="inlineStr">
        <is>
          <t>Pickup : 2026-10-07, Return : 2026-10-10</t>
        </is>
      </c>
      <c r="Q920" s="4" t="n">
        <v>5</v>
      </c>
      <c r="R920" s="4" t="n">
        <v>0</v>
      </c>
      <c r="S920" s="4" t="n">
        <v>0</v>
      </c>
      <c r="T920" s="4" t="n">
        <v>0</v>
      </c>
      <c r="U920" s="4" t="n">
        <v>0</v>
      </c>
      <c r="V920" s="4" t="n">
        <v>0</v>
      </c>
      <c r="W920" s="4" t="n">
        <v>0</v>
      </c>
      <c r="X920" s="4" t="n">
        <v>0</v>
      </c>
      <c r="Y920" s="4" t="n">
        <v>0</v>
      </c>
      <c r="Z920" s="4" t="n">
        <v>0</v>
      </c>
      <c r="AA920" s="4" t="n">
        <v>0</v>
      </c>
      <c r="AB920" s="4">
        <f>SUM(Q920:Y920)-Z920</f>
        <v/>
      </c>
      <c r="AC920" s="4">
        <f>IF(I920="","",IF(OR(LEFT(I920,3)="BKK",I920="LCH55"),"BKK",IF(LEFT(I920,3)="LCH","LCH","OTHER")))</f>
        <v/>
      </c>
      <c r="AD920" s="4">
        <f>MAX(0,Q920-MAX(0,Z920))</f>
        <v/>
      </c>
      <c r="AE920" s="4">
        <f>MAX(0,R920-MAX(0,Z920-SUM(Q920:Q920)))</f>
        <v/>
      </c>
      <c r="AF920" s="4">
        <f>MAX(0,S920-MAX(0,Z920-SUM(Q920:R920)))</f>
        <v/>
      </c>
      <c r="AG920" s="4">
        <f>MAX(0,T920-MAX(0,Z920-SUM(Q920:S920)))</f>
        <v/>
      </c>
      <c r="AH920" s="4">
        <f>MAX(0,U920-MAX(0,Z920-SUM(Q920:T920)))</f>
        <v/>
      </c>
      <c r="AI920" s="4">
        <f>MAX(0,V920-MAX(0,Z920-SUM(Q920:U920)))</f>
        <v/>
      </c>
      <c r="AJ920" s="4">
        <f>MAX(0,W920-MAX(0,Z920-SUM(Q920:V920)))</f>
        <v/>
      </c>
      <c r="AK920" s="4">
        <f>MAX(0,X920-MAX(0,Z920-SUM(Q920:W920)))</f>
        <v/>
      </c>
      <c r="AL920" s="4">
        <f>MAX(0,Y920-MAX(0,Z920-SUM(Q920:X920)))</f>
        <v/>
      </c>
    </row>
    <row r="921">
      <c r="A921" s="4" t="inlineStr">
        <is>
          <t>HASLS22260900560</t>
        </is>
      </c>
      <c r="B921" s="4" t="inlineStr">
        <is>
          <t>SWIC</t>
        </is>
      </c>
      <c r="C921" s="4" t="inlineStr">
        <is>
          <t>2611N</t>
        </is>
      </c>
      <c r="D921" s="4" t="inlineStr">
        <is>
          <t>202610130700</t>
        </is>
      </c>
      <c r="E921" s="4" t="inlineStr"/>
      <c r="F921" s="4" t="inlineStr">
        <is>
          <t>THBKK</t>
        </is>
      </c>
      <c r="G921" s="4" t="inlineStr">
        <is>
          <t>JPMYJ</t>
        </is>
      </c>
      <c r="H921" s="4" t="inlineStr">
        <is>
          <t xml:space="preserve">20'x1 </t>
        </is>
      </c>
      <c r="I921" s="4" t="inlineStr">
        <is>
          <t>BKK25</t>
        </is>
      </c>
      <c r="J921" s="4" t="inlineStr">
        <is>
          <t xml:space="preserve">Smart Logistics Service (Thailand ) Co.,Ltd. </t>
        </is>
      </c>
      <c r="K921" s="4" t="inlineStr">
        <is>
          <t>20261007</t>
        </is>
      </c>
      <c r="L921" s="4" t="inlineStr">
        <is>
          <t>GENERAL FOOD PRODUCTS CO., LTD.</t>
        </is>
      </c>
      <c r="M921" s="4" t="inlineStr">
        <is>
          <t>GENERAL FOOD PRODUCTS CO., LTD.</t>
        </is>
      </c>
      <c r="N921" s="4" t="inlineStr">
        <is>
          <t>FLOURS</t>
        </is>
      </c>
      <c r="O921" s="4" t="inlineStr">
        <is>
          <t>Container Grade A</t>
        </is>
      </c>
      <c r="P921" s="4" t="inlineStr">
        <is>
          <t>Pickup : 2026-10-07, Return : 2026-10-10</t>
        </is>
      </c>
      <c r="Q921" s="4" t="n">
        <v>1</v>
      </c>
      <c r="R921" s="4" t="n">
        <v>0</v>
      </c>
      <c r="S921" s="4" t="n">
        <v>0</v>
      </c>
      <c r="T921" s="4" t="n">
        <v>0</v>
      </c>
      <c r="U921" s="4" t="n">
        <v>0</v>
      </c>
      <c r="V921" s="4" t="n">
        <v>0</v>
      </c>
      <c r="W921" s="4" t="n">
        <v>0</v>
      </c>
      <c r="X921" s="4" t="n">
        <v>0</v>
      </c>
      <c r="Y921" s="4" t="n">
        <v>0</v>
      </c>
      <c r="Z921" s="4" t="n">
        <v>0</v>
      </c>
      <c r="AA921" s="4" t="n">
        <v>0</v>
      </c>
      <c r="AB921" s="4">
        <f>SUM(Q921:Y921)-Z921</f>
        <v/>
      </c>
      <c r="AC921" s="4">
        <f>IF(I921="","",IF(OR(LEFT(I921,3)="BKK",I921="LCH55"),"BKK",IF(LEFT(I921,3)="LCH","LCH","OTHER")))</f>
        <v/>
      </c>
      <c r="AD921" s="4">
        <f>MAX(0,Q921-MAX(0,Z921))</f>
        <v/>
      </c>
      <c r="AE921" s="4">
        <f>MAX(0,R921-MAX(0,Z921-SUM(Q921:Q921)))</f>
        <v/>
      </c>
      <c r="AF921" s="4">
        <f>MAX(0,S921-MAX(0,Z921-SUM(Q921:R921)))</f>
        <v/>
      </c>
      <c r="AG921" s="4">
        <f>MAX(0,T921-MAX(0,Z921-SUM(Q921:S921)))</f>
        <v/>
      </c>
      <c r="AH921" s="4">
        <f>MAX(0,U921-MAX(0,Z921-SUM(Q921:T921)))</f>
        <v/>
      </c>
      <c r="AI921" s="4">
        <f>MAX(0,V921-MAX(0,Z921-SUM(Q921:U921)))</f>
        <v/>
      </c>
      <c r="AJ921" s="4">
        <f>MAX(0,W921-MAX(0,Z921-SUM(Q921:V921)))</f>
        <v/>
      </c>
      <c r="AK921" s="4">
        <f>MAX(0,X921-MAX(0,Z921-SUM(Q921:W921)))</f>
        <v/>
      </c>
      <c r="AL921" s="4">
        <f>MAX(0,Y921-MAX(0,Z921-SUM(Q921:X921)))</f>
        <v/>
      </c>
    </row>
    <row r="922">
      <c r="A922" s="4" t="inlineStr">
        <is>
          <t>HASLS22260900561</t>
        </is>
      </c>
      <c r="B922" s="4" t="inlineStr">
        <is>
          <t>HAHM</t>
        </is>
      </c>
      <c r="C922" s="4" t="inlineStr">
        <is>
          <t>2612N</t>
        </is>
      </c>
      <c r="D922" s="4" t="inlineStr">
        <is>
          <t>202610211800</t>
        </is>
      </c>
      <c r="E922" s="4" t="inlineStr"/>
      <c r="F922" s="4" t="inlineStr">
        <is>
          <t>THBKK</t>
        </is>
      </c>
      <c r="G922" s="4" t="inlineStr">
        <is>
          <t>JPKIJ</t>
        </is>
      </c>
      <c r="H922" s="4" t="inlineStr">
        <is>
          <t xml:space="preserve">20'x5 </t>
        </is>
      </c>
      <c r="I922" s="4" t="inlineStr">
        <is>
          <t>BKK25</t>
        </is>
      </c>
      <c r="J922" s="4" t="inlineStr">
        <is>
          <t xml:space="preserve">Smart Logistics Service (Thailand ) Co.,Ltd. </t>
        </is>
      </c>
      <c r="K922" s="4" t="inlineStr">
        <is>
          <t>20261008</t>
        </is>
      </c>
      <c r="L922" s="4" t="inlineStr">
        <is>
          <t>GENERAL FOOD PRODUCTS CO., LTD.</t>
        </is>
      </c>
      <c r="M922" s="4" t="inlineStr">
        <is>
          <t>GENERAL FOOD PRODUCTS CO., LTD.</t>
        </is>
      </c>
      <c r="N922" s="4" t="inlineStr">
        <is>
          <t>FLOURS</t>
        </is>
      </c>
      <c r="O922" s="4" t="inlineStr">
        <is>
          <t>Container Grade A,</t>
        </is>
      </c>
      <c r="P922" s="4" t="inlineStr">
        <is>
          <t>Pickup : 2026-10-08, Return : 2026-10-12</t>
        </is>
      </c>
      <c r="Q922" s="4" t="n">
        <v>5</v>
      </c>
      <c r="R922" s="4" t="n">
        <v>0</v>
      </c>
      <c r="S922" s="4" t="n">
        <v>0</v>
      </c>
      <c r="T922" s="4" t="n">
        <v>0</v>
      </c>
      <c r="U922" s="4" t="n">
        <v>0</v>
      </c>
      <c r="V922" s="4" t="n">
        <v>0</v>
      </c>
      <c r="W922" s="4" t="n">
        <v>0</v>
      </c>
      <c r="X922" s="4" t="n">
        <v>0</v>
      </c>
      <c r="Y922" s="4" t="n">
        <v>0</v>
      </c>
      <c r="Z922" s="4" t="n">
        <v>0</v>
      </c>
      <c r="AA922" s="4" t="n">
        <v>0</v>
      </c>
      <c r="AB922" s="4">
        <f>SUM(Q922:Y922)-Z922</f>
        <v/>
      </c>
      <c r="AC922" s="4">
        <f>IF(I922="","",IF(OR(LEFT(I922,3)="BKK",I922="LCH55"),"BKK",IF(LEFT(I922,3)="LCH","LCH","OTHER")))</f>
        <v/>
      </c>
      <c r="AD922" s="4">
        <f>MAX(0,Q922-MAX(0,Z922))</f>
        <v/>
      </c>
      <c r="AE922" s="4">
        <f>MAX(0,R922-MAX(0,Z922-SUM(Q922:Q922)))</f>
        <v/>
      </c>
      <c r="AF922" s="4">
        <f>MAX(0,S922-MAX(0,Z922-SUM(Q922:R922)))</f>
        <v/>
      </c>
      <c r="AG922" s="4">
        <f>MAX(0,T922-MAX(0,Z922-SUM(Q922:S922)))</f>
        <v/>
      </c>
      <c r="AH922" s="4">
        <f>MAX(0,U922-MAX(0,Z922-SUM(Q922:T922)))</f>
        <v/>
      </c>
      <c r="AI922" s="4">
        <f>MAX(0,V922-MAX(0,Z922-SUM(Q922:U922)))</f>
        <v/>
      </c>
      <c r="AJ922" s="4">
        <f>MAX(0,W922-MAX(0,Z922-SUM(Q922:V922)))</f>
        <v/>
      </c>
      <c r="AK922" s="4">
        <f>MAX(0,X922-MAX(0,Z922-SUM(Q922:W922)))</f>
        <v/>
      </c>
      <c r="AL922" s="4">
        <f>MAX(0,Y922-MAX(0,Z922-SUM(Q922:X922)))</f>
        <v/>
      </c>
    </row>
    <row r="923">
      <c r="A923" s="4" t="inlineStr">
        <is>
          <t>HASLS22260900562</t>
        </is>
      </c>
      <c r="B923" s="4" t="inlineStr">
        <is>
          <t>HAHM</t>
        </is>
      </c>
      <c r="C923" s="4" t="inlineStr">
        <is>
          <t>2612N</t>
        </is>
      </c>
      <c r="D923" s="4" t="inlineStr">
        <is>
          <t>202610211800</t>
        </is>
      </c>
      <c r="E923" s="4" t="inlineStr"/>
      <c r="F923" s="4" t="inlineStr">
        <is>
          <t>THBKK</t>
        </is>
      </c>
      <c r="G923" s="4" t="inlineStr">
        <is>
          <t>JPMYJ</t>
        </is>
      </c>
      <c r="H923" s="4" t="inlineStr">
        <is>
          <t xml:space="preserve">20'x1 </t>
        </is>
      </c>
      <c r="I923" s="4" t="inlineStr">
        <is>
          <t>BKK25</t>
        </is>
      </c>
      <c r="J923" s="4" t="inlineStr">
        <is>
          <t xml:space="preserve">Smart Logistics Service (Thailand ) Co.,Ltd. </t>
        </is>
      </c>
      <c r="K923" s="4" t="inlineStr">
        <is>
          <t>20261008</t>
        </is>
      </c>
      <c r="L923" s="4" t="inlineStr">
        <is>
          <t>GENERAL FOOD PRODUCTS CO., LTD.</t>
        </is>
      </c>
      <c r="M923" s="4" t="inlineStr">
        <is>
          <t>GENERAL FOOD PRODUCTS CO., LTD.</t>
        </is>
      </c>
      <c r="N923" s="4" t="inlineStr">
        <is>
          <t>FLOURS</t>
        </is>
      </c>
      <c r="O923" s="4" t="inlineStr">
        <is>
          <t>Container Grade A</t>
        </is>
      </c>
      <c r="P923" s="4" t="inlineStr">
        <is>
          <t>Pickup : 2026-10-08, Return : 2026-10-12</t>
        </is>
      </c>
      <c r="Q923" s="4" t="n">
        <v>1</v>
      </c>
      <c r="R923" s="4" t="n">
        <v>0</v>
      </c>
      <c r="S923" s="4" t="n">
        <v>0</v>
      </c>
      <c r="T923" s="4" t="n">
        <v>0</v>
      </c>
      <c r="U923" s="4" t="n">
        <v>0</v>
      </c>
      <c r="V923" s="4" t="n">
        <v>0</v>
      </c>
      <c r="W923" s="4" t="n">
        <v>0</v>
      </c>
      <c r="X923" s="4" t="n">
        <v>0</v>
      </c>
      <c r="Y923" s="4" t="n">
        <v>0</v>
      </c>
      <c r="Z923" s="4" t="n">
        <v>0</v>
      </c>
      <c r="AA923" s="4" t="n">
        <v>0</v>
      </c>
      <c r="AB923" s="4">
        <f>SUM(Q923:Y923)-Z923</f>
        <v/>
      </c>
      <c r="AC923" s="4">
        <f>IF(I923="","",IF(OR(LEFT(I923,3)="BKK",I923="LCH55"),"BKK",IF(LEFT(I923,3)="LCH","LCH","OTHER")))</f>
        <v/>
      </c>
      <c r="AD923" s="4">
        <f>MAX(0,Q923-MAX(0,Z923))</f>
        <v/>
      </c>
      <c r="AE923" s="4">
        <f>MAX(0,R923-MAX(0,Z923-SUM(Q923:Q923)))</f>
        <v/>
      </c>
      <c r="AF923" s="4">
        <f>MAX(0,S923-MAX(0,Z923-SUM(Q923:R923)))</f>
        <v/>
      </c>
      <c r="AG923" s="4">
        <f>MAX(0,T923-MAX(0,Z923-SUM(Q923:S923)))</f>
        <v/>
      </c>
      <c r="AH923" s="4">
        <f>MAX(0,U923-MAX(0,Z923-SUM(Q923:T923)))</f>
        <v/>
      </c>
      <c r="AI923" s="4">
        <f>MAX(0,V923-MAX(0,Z923-SUM(Q923:U923)))</f>
        <v/>
      </c>
      <c r="AJ923" s="4">
        <f>MAX(0,W923-MAX(0,Z923-SUM(Q923:V923)))</f>
        <v/>
      </c>
      <c r="AK923" s="4">
        <f>MAX(0,X923-MAX(0,Z923-SUM(Q923:W923)))</f>
        <v/>
      </c>
      <c r="AL923" s="4">
        <f>MAX(0,Y923-MAX(0,Z923-SUM(Q923:X923)))</f>
        <v/>
      </c>
    </row>
    <row r="924">
      <c r="A924" s="4" t="inlineStr">
        <is>
          <t>HASLS22260900586</t>
        </is>
      </c>
      <c r="B924" s="4" t="inlineStr">
        <is>
          <t>SWSP</t>
        </is>
      </c>
      <c r="C924" s="4" t="inlineStr">
        <is>
          <t>2609N</t>
        </is>
      </c>
      <c r="D924" s="4" t="inlineStr">
        <is>
          <t>202610071530</t>
        </is>
      </c>
      <c r="E924" s="4" t="inlineStr"/>
      <c r="F924" s="4" t="inlineStr">
        <is>
          <t>THBKK</t>
        </is>
      </c>
      <c r="G924" s="4" t="inlineStr">
        <is>
          <t>VNSGN</t>
        </is>
      </c>
      <c r="H924" s="4" t="inlineStr">
        <is>
          <t xml:space="preserve">40Hx10 </t>
        </is>
      </c>
      <c r="I924" s="4" t="inlineStr">
        <is>
          <t>BKK25</t>
        </is>
      </c>
      <c r="J924" s="4" t="inlineStr">
        <is>
          <t xml:space="preserve">Smart Logistics Service (Thailand ) Co.,Ltd. </t>
        </is>
      </c>
      <c r="K924" s="4" t="inlineStr">
        <is>
          <t>20260926</t>
        </is>
      </c>
      <c r="L924" s="4" t="inlineStr">
        <is>
          <t>BIRLA CARBON (THAILAND) PUBLIC COMPANY LIMITED</t>
        </is>
      </c>
      <c r="M924" s="4" t="inlineStr">
        <is>
          <t>BIRLA CARBON (THAILAND) PUBLIC COMPANY LIMITED</t>
        </is>
      </c>
      <c r="N924" s="4" t="inlineStr">
        <is>
          <t>CABON BLACK</t>
        </is>
      </c>
      <c r="O924" s="4" t="inlineStr">
        <is>
          <t>Clean container / No rust / No hole / No sharp surface inside areas in container</t>
        </is>
      </c>
      <c r="P924" s="4" t="inlineStr">
        <is>
          <t>Pickup : 2026-09-26, Return : 2026-09-27</t>
        </is>
      </c>
      <c r="Q924" s="4" t="n">
        <v>0</v>
      </c>
      <c r="R924" s="4" t="n">
        <v>0</v>
      </c>
      <c r="S924" s="4" t="n">
        <v>10</v>
      </c>
      <c r="T924" s="4" t="n">
        <v>0</v>
      </c>
      <c r="U924" s="4" t="n">
        <v>0</v>
      </c>
      <c r="V924" s="4" t="n">
        <v>0</v>
      </c>
      <c r="W924" s="4" t="n">
        <v>0</v>
      </c>
      <c r="X924" s="4" t="n">
        <v>0</v>
      </c>
      <c r="Y924" s="4" t="n">
        <v>0</v>
      </c>
      <c r="Z924" s="4" t="n">
        <v>0</v>
      </c>
      <c r="AA924" s="4" t="n">
        <v>0</v>
      </c>
      <c r="AB924" s="4">
        <f>SUM(Q924:Y924)-Z924</f>
        <v/>
      </c>
      <c r="AC924" s="4">
        <f>IF(I924="","",IF(OR(LEFT(I924,3)="BKK",I924="LCH55"),"BKK",IF(LEFT(I924,3)="LCH","LCH","OTHER")))</f>
        <v/>
      </c>
      <c r="AD924" s="4">
        <f>MAX(0,Q924-MAX(0,Z924))</f>
        <v/>
      </c>
      <c r="AE924" s="4">
        <f>MAX(0,R924-MAX(0,Z924-SUM(Q924:Q924)))</f>
        <v/>
      </c>
      <c r="AF924" s="4">
        <f>MAX(0,S924-MAX(0,Z924-SUM(Q924:R924)))</f>
        <v/>
      </c>
      <c r="AG924" s="4">
        <f>MAX(0,T924-MAX(0,Z924-SUM(Q924:S924)))</f>
        <v/>
      </c>
      <c r="AH924" s="4">
        <f>MAX(0,U924-MAX(0,Z924-SUM(Q924:T924)))</f>
        <v/>
      </c>
      <c r="AI924" s="4">
        <f>MAX(0,V924-MAX(0,Z924-SUM(Q924:U924)))</f>
        <v/>
      </c>
      <c r="AJ924" s="4">
        <f>MAX(0,W924-MAX(0,Z924-SUM(Q924:V924)))</f>
        <v/>
      </c>
      <c r="AK924" s="4">
        <f>MAX(0,X924-MAX(0,Z924-SUM(Q924:W924)))</f>
        <v/>
      </c>
      <c r="AL924" s="4">
        <f>MAX(0,Y924-MAX(0,Z924-SUM(Q924:X924)))</f>
        <v/>
      </c>
    </row>
    <row r="925">
      <c r="A925" s="4" t="inlineStr">
        <is>
          <t>HASLS22260900591</t>
        </is>
      </c>
      <c r="B925" s="4" t="inlineStr">
        <is>
          <t>SWAL</t>
        </is>
      </c>
      <c r="C925" s="4" t="inlineStr">
        <is>
          <t>2609N</t>
        </is>
      </c>
      <c r="D925" s="4" t="inlineStr">
        <is>
          <t>202610191500</t>
        </is>
      </c>
      <c r="E925" s="4" t="inlineStr"/>
      <c r="F925" s="4" t="inlineStr">
        <is>
          <t>THBKK</t>
        </is>
      </c>
      <c r="G925" s="4" t="inlineStr">
        <is>
          <t>KRINC</t>
        </is>
      </c>
      <c r="H925" s="4" t="inlineStr">
        <is>
          <t xml:space="preserve">20'x25 </t>
        </is>
      </c>
      <c r="I925" s="4" t="inlineStr">
        <is>
          <t>BKK25</t>
        </is>
      </c>
      <c r="J925" s="4" t="inlineStr">
        <is>
          <t xml:space="preserve">Smart Logistics Service (Thailand ) Co.,Ltd. </t>
        </is>
      </c>
      <c r="K925" s="4" t="inlineStr">
        <is>
          <t>20260912</t>
        </is>
      </c>
      <c r="L925" s="4" t="inlineStr">
        <is>
          <t>DP WORLD LOGISTICS SOLUTIONS (THAILAND) COMPANY LIMITED</t>
        </is>
      </c>
      <c r="M925" s="4" t="inlineStr">
        <is>
          <t>DP WORLD LOGISTICS SOLUTIONS (THAILAND) COMPANY LIMITED</t>
        </is>
      </c>
      <c r="N925" s="4" t="inlineStr">
        <is>
          <t>SOYBEAN OIL</t>
        </is>
      </c>
      <c r="O925" s="4" t="inlineStr">
        <is>
          <t>**APPROVAL BY MR.SANGJUN KIM DD.23/09/2026** *FLEXIBAG* SERVEY 2026-10-12</t>
        </is>
      </c>
      <c r="P925" s="4" t="inlineStr">
        <is>
          <t>**APPROVAL BY MR.SANGJUN KIM DD.23/09/2026** *FLEXIBAG*
SERVEY 2026-10-12 , Pickup : 2026-09-14, Return : 2026-09-15</t>
        </is>
      </c>
      <c r="Q925" s="4" t="n">
        <v>25</v>
      </c>
      <c r="R925" s="4" t="n">
        <v>0</v>
      </c>
      <c r="S925" s="4" t="n">
        <v>0</v>
      </c>
      <c r="T925" s="4" t="n">
        <v>0</v>
      </c>
      <c r="U925" s="4" t="n">
        <v>0</v>
      </c>
      <c r="V925" s="4" t="n">
        <v>0</v>
      </c>
      <c r="W925" s="4" t="n">
        <v>0</v>
      </c>
      <c r="X925" s="4" t="n">
        <v>0</v>
      </c>
      <c r="Y925" s="4" t="n">
        <v>0</v>
      </c>
      <c r="Z925" s="4" t="n">
        <v>0</v>
      </c>
      <c r="AA925" s="4" t="n">
        <v>0</v>
      </c>
      <c r="AB925" s="4">
        <f>SUM(Q925:Y925)-Z925</f>
        <v/>
      </c>
      <c r="AC925" s="4">
        <f>IF(I925="","",IF(OR(LEFT(I925,3)="BKK",I925="LCH55"),"BKK",IF(LEFT(I925,3)="LCH","LCH","OTHER")))</f>
        <v/>
      </c>
      <c r="AD925" s="4">
        <f>MAX(0,Q925-MAX(0,Z925))</f>
        <v/>
      </c>
      <c r="AE925" s="4">
        <f>MAX(0,R925-MAX(0,Z925-SUM(Q925:Q925)))</f>
        <v/>
      </c>
      <c r="AF925" s="4">
        <f>MAX(0,S925-MAX(0,Z925-SUM(Q925:R925)))</f>
        <v/>
      </c>
      <c r="AG925" s="4">
        <f>MAX(0,T925-MAX(0,Z925-SUM(Q925:S925)))</f>
        <v/>
      </c>
      <c r="AH925" s="4">
        <f>MAX(0,U925-MAX(0,Z925-SUM(Q925:T925)))</f>
        <v/>
      </c>
      <c r="AI925" s="4">
        <f>MAX(0,V925-MAX(0,Z925-SUM(Q925:U925)))</f>
        <v/>
      </c>
      <c r="AJ925" s="4">
        <f>MAX(0,W925-MAX(0,Z925-SUM(Q925:V925)))</f>
        <v/>
      </c>
      <c r="AK925" s="4">
        <f>MAX(0,X925-MAX(0,Z925-SUM(Q925:W925)))</f>
        <v/>
      </c>
      <c r="AL925" s="4">
        <f>MAX(0,Y925-MAX(0,Z925-SUM(Q925:X925)))</f>
        <v/>
      </c>
    </row>
    <row r="926">
      <c r="A926" s="4" t="inlineStr">
        <is>
          <t>HASLS22260900618</t>
        </is>
      </c>
      <c r="B926" s="4" t="inlineStr">
        <is>
          <t>CMA</t>
        </is>
      </c>
      <c r="C926" s="4" t="inlineStr">
        <is>
          <t>2615N</t>
        </is>
      </c>
      <c r="D926" s="4" t="inlineStr">
        <is>
          <t>202610172300</t>
        </is>
      </c>
      <c r="E926" s="4" t="inlineStr"/>
      <c r="F926" s="4" t="inlineStr">
        <is>
          <t>THBKK</t>
        </is>
      </c>
      <c r="G926" s="4" t="inlineStr">
        <is>
          <t>CNSHK</t>
        </is>
      </c>
      <c r="H926" s="4" t="inlineStr">
        <is>
          <t xml:space="preserve">20'x1 </t>
        </is>
      </c>
      <c r="I926" s="4" t="inlineStr">
        <is>
          <t>BKK25</t>
        </is>
      </c>
      <c r="J926" s="4" t="inlineStr">
        <is>
          <t xml:space="preserve">Smart Logistics Service (Thailand ) Co.,Ltd. </t>
        </is>
      </c>
      <c r="K926" s="4" t="inlineStr">
        <is>
          <t>20261014</t>
        </is>
      </c>
      <c r="L926" s="4" t="inlineStr">
        <is>
          <t>G THRU INTERBUSINESS CO., LTD.</t>
        </is>
      </c>
      <c r="M926" s="4" t="inlineStr">
        <is>
          <t>V.THAI FOOD PRODUCT CO.,LTD.</t>
        </is>
      </c>
      <c r="N926" s="4" t="inlineStr">
        <is>
          <t>SAUCE</t>
        </is>
      </c>
      <c r="O926" s="4" t="inlineStr">
        <is>
          <t>FOOD GRADE &amp; CLEAN CONTAINER</t>
        </is>
      </c>
      <c r="P926" s="4" t="inlineStr">
        <is>
          <t xml:space="preserve">Pickup : 2026-10-14, Return : 2026-10-14
**CHANGED FM VSL."KJT 2611N" DUE TO SKIP PORT SHK BY K.ANURAK DD.16/9/26**  </t>
        </is>
      </c>
      <c r="Q926" s="4" t="n">
        <v>1</v>
      </c>
      <c r="R926" s="4" t="n">
        <v>0</v>
      </c>
      <c r="S926" s="4" t="n">
        <v>0</v>
      </c>
      <c r="T926" s="4" t="n">
        <v>0</v>
      </c>
      <c r="U926" s="4" t="n">
        <v>0</v>
      </c>
      <c r="V926" s="4" t="n">
        <v>0</v>
      </c>
      <c r="W926" s="4" t="n">
        <v>0</v>
      </c>
      <c r="X926" s="4" t="n">
        <v>0</v>
      </c>
      <c r="Y926" s="4" t="n">
        <v>0</v>
      </c>
      <c r="Z926" s="4" t="n">
        <v>0</v>
      </c>
      <c r="AA926" s="4" t="n">
        <v>0</v>
      </c>
      <c r="AB926" s="4">
        <f>SUM(Q926:Y926)-Z926</f>
        <v/>
      </c>
      <c r="AC926" s="4">
        <f>IF(I926="","",IF(OR(LEFT(I926,3)="BKK",I926="LCH55"),"BKK",IF(LEFT(I926,3)="LCH","LCH","OTHER")))</f>
        <v/>
      </c>
      <c r="AD926" s="4">
        <f>MAX(0,Q926-MAX(0,Z926))</f>
        <v/>
      </c>
      <c r="AE926" s="4">
        <f>MAX(0,R926-MAX(0,Z926-SUM(Q926:Q926)))</f>
        <v/>
      </c>
      <c r="AF926" s="4">
        <f>MAX(0,S926-MAX(0,Z926-SUM(Q926:R926)))</f>
        <v/>
      </c>
      <c r="AG926" s="4">
        <f>MAX(0,T926-MAX(0,Z926-SUM(Q926:S926)))</f>
        <v/>
      </c>
      <c r="AH926" s="4">
        <f>MAX(0,U926-MAX(0,Z926-SUM(Q926:T926)))</f>
        <v/>
      </c>
      <c r="AI926" s="4">
        <f>MAX(0,V926-MAX(0,Z926-SUM(Q926:U926)))</f>
        <v/>
      </c>
      <c r="AJ926" s="4">
        <f>MAX(0,W926-MAX(0,Z926-SUM(Q926:V926)))</f>
        <v/>
      </c>
      <c r="AK926" s="4">
        <f>MAX(0,X926-MAX(0,Z926-SUM(Q926:W926)))</f>
        <v/>
      </c>
      <c r="AL926" s="4">
        <f>MAX(0,Y926-MAX(0,Z926-SUM(Q926:X926)))</f>
        <v/>
      </c>
    </row>
    <row r="927">
      <c r="A927" s="4" t="inlineStr">
        <is>
          <t>HASLS22260900630</t>
        </is>
      </c>
      <c r="B927" s="4" t="inlineStr">
        <is>
          <t>SWSP</t>
        </is>
      </c>
      <c r="C927" s="4" t="inlineStr">
        <is>
          <t>2609N</t>
        </is>
      </c>
      <c r="D927" s="4" t="inlineStr">
        <is>
          <t>202610071530</t>
        </is>
      </c>
      <c r="E927" s="4" t="inlineStr"/>
      <c r="F927" s="4" t="inlineStr">
        <is>
          <t>THBKK</t>
        </is>
      </c>
      <c r="G927" s="4" t="inlineStr">
        <is>
          <t>VNSGN</t>
        </is>
      </c>
      <c r="H927" s="4" t="inlineStr">
        <is>
          <t xml:space="preserve">20'x10 </t>
        </is>
      </c>
      <c r="I927" s="4" t="inlineStr">
        <is>
          <t>BKK25</t>
        </is>
      </c>
      <c r="J927" s="4" t="inlineStr">
        <is>
          <t xml:space="preserve">Smart Logistics Service (Thailand ) Co.,Ltd. </t>
        </is>
      </c>
      <c r="K927" s="4" t="inlineStr">
        <is>
          <t>20260930</t>
        </is>
      </c>
      <c r="L927" s="4" t="inlineStr">
        <is>
          <t>ICONS GLOBAL LOGISTICS CO., LTD.</t>
        </is>
      </c>
      <c r="M927" s="4" t="inlineStr">
        <is>
          <t>THANAKORN VEGETABLE OIL PRODUCTS CO., LTD.</t>
        </is>
      </c>
      <c r="N927" s="4" t="inlineStr">
        <is>
          <t>SOYBEAN OIL</t>
        </is>
      </c>
      <c r="O927" s="4" t="inlineStr">
        <is>
          <t>**APPROVED BY H.W KANG DD.23/09/2026** *FLEXIBAG ONDECK*
Survey : 2026-09-30, Pickup : 2026-10-01</t>
        </is>
      </c>
      <c r="P927" s="4" t="inlineStr">
        <is>
          <t xml:space="preserve">**APPROVED BY H.W KANG DD.23/09/2026** *FLEXIBAG ONDECK*
Survey : 2026-09-30, Pickup : 2026-10-01, Return : 2026-10-02 </t>
        </is>
      </c>
      <c r="Q927" s="4" t="n">
        <v>10</v>
      </c>
      <c r="R927" s="4" t="n">
        <v>0</v>
      </c>
      <c r="S927" s="4" t="n">
        <v>0</v>
      </c>
      <c r="T927" s="4" t="n">
        <v>0</v>
      </c>
      <c r="U927" s="4" t="n">
        <v>0</v>
      </c>
      <c r="V927" s="4" t="n">
        <v>0</v>
      </c>
      <c r="W927" s="4" t="n">
        <v>0</v>
      </c>
      <c r="X927" s="4" t="n">
        <v>0</v>
      </c>
      <c r="Y927" s="4" t="n">
        <v>0</v>
      </c>
      <c r="Z927" s="4" t="n">
        <v>0</v>
      </c>
      <c r="AA927" s="4" t="n">
        <v>0</v>
      </c>
      <c r="AB927" s="4">
        <f>SUM(Q927:Y927)-Z927</f>
        <v/>
      </c>
      <c r="AC927" s="4">
        <f>IF(I927="","",IF(OR(LEFT(I927,3)="BKK",I927="LCH55"),"BKK",IF(LEFT(I927,3)="LCH","LCH","OTHER")))</f>
        <v/>
      </c>
      <c r="AD927" s="4">
        <f>MAX(0,Q927-MAX(0,Z927))</f>
        <v/>
      </c>
      <c r="AE927" s="4">
        <f>MAX(0,R927-MAX(0,Z927-SUM(Q927:Q927)))</f>
        <v/>
      </c>
      <c r="AF927" s="4">
        <f>MAX(0,S927-MAX(0,Z927-SUM(Q927:R927)))</f>
        <v/>
      </c>
      <c r="AG927" s="4">
        <f>MAX(0,T927-MAX(0,Z927-SUM(Q927:S927)))</f>
        <v/>
      </c>
      <c r="AH927" s="4">
        <f>MAX(0,U927-MAX(0,Z927-SUM(Q927:T927)))</f>
        <v/>
      </c>
      <c r="AI927" s="4">
        <f>MAX(0,V927-MAX(0,Z927-SUM(Q927:U927)))</f>
        <v/>
      </c>
      <c r="AJ927" s="4">
        <f>MAX(0,W927-MAX(0,Z927-SUM(Q927:V927)))</f>
        <v/>
      </c>
      <c r="AK927" s="4">
        <f>MAX(0,X927-MAX(0,Z927-SUM(Q927:W927)))</f>
        <v/>
      </c>
      <c r="AL927" s="4">
        <f>MAX(0,Y927-MAX(0,Z927-SUM(Q927:X927)))</f>
        <v/>
      </c>
    </row>
    <row r="928">
      <c r="A928" s="4" t="inlineStr">
        <is>
          <t>HASLS22260900631</t>
        </is>
      </c>
      <c r="B928" s="4" t="inlineStr">
        <is>
          <t>KXM</t>
        </is>
      </c>
      <c r="C928" s="4" t="inlineStr">
        <is>
          <t>2608S</t>
        </is>
      </c>
      <c r="D928" s="4" t="inlineStr">
        <is>
          <t>202610100500</t>
        </is>
      </c>
      <c r="E928" s="4" t="inlineStr">
        <is>
          <t>THLKR</t>
        </is>
      </c>
      <c r="F928" s="4" t="inlineStr">
        <is>
          <t>THLCH</t>
        </is>
      </c>
      <c r="G928" s="4" t="inlineStr">
        <is>
          <t>IDJKT</t>
        </is>
      </c>
      <c r="H928" s="4" t="inlineStr">
        <is>
          <t xml:space="preserve">20'x1 </t>
        </is>
      </c>
      <c r="I928" s="4" t="inlineStr">
        <is>
          <t>BKK25</t>
        </is>
      </c>
      <c r="J928" s="4" t="inlineStr">
        <is>
          <t xml:space="preserve">Smart Logistics Service (Thailand ) Co.,Ltd. </t>
        </is>
      </c>
      <c r="K928" s="4" t="inlineStr">
        <is>
          <t>20261006</t>
        </is>
      </c>
      <c r="L928" s="4" t="inlineStr">
        <is>
          <t>G THRU INTERBUSINESS CO., LTD.</t>
        </is>
      </c>
      <c r="M928" s="4" t="inlineStr">
        <is>
          <t>G THRU INTERBUSINESS CO., LTD.</t>
        </is>
      </c>
      <c r="N928" s="4" t="inlineStr">
        <is>
          <t>SAUCE</t>
        </is>
      </c>
      <c r="O928" s="4" t="inlineStr">
        <is>
          <t>GOOD AND CLEAN CONTAINER</t>
        </is>
      </c>
      <c r="P928" s="4" t="inlineStr">
        <is>
          <t>Pickup : 2026-10-06, Return : 2026-10-07 Paperless Code 2835
Closing Time LKB 2026-10-07 @ 18.00</t>
        </is>
      </c>
      <c r="Q928" s="4" t="n">
        <v>1</v>
      </c>
      <c r="R928" s="4" t="n">
        <v>0</v>
      </c>
      <c r="S928" s="4" t="n">
        <v>0</v>
      </c>
      <c r="T928" s="4" t="n">
        <v>0</v>
      </c>
      <c r="U928" s="4" t="n">
        <v>0</v>
      </c>
      <c r="V928" s="4" t="n">
        <v>0</v>
      </c>
      <c r="W928" s="4" t="n">
        <v>0</v>
      </c>
      <c r="X928" s="4" t="n">
        <v>0</v>
      </c>
      <c r="Y928" s="4" t="n">
        <v>0</v>
      </c>
      <c r="Z928" s="4" t="n">
        <v>0</v>
      </c>
      <c r="AA928" s="4" t="n">
        <v>0</v>
      </c>
      <c r="AB928" s="4">
        <f>SUM(Q928:Y928)-Z928</f>
        <v/>
      </c>
      <c r="AC928" s="4">
        <f>IF(I928="","",IF(OR(LEFT(I928,3)="BKK",I928="LCH55"),"BKK",IF(LEFT(I928,3)="LCH","LCH","OTHER")))</f>
        <v/>
      </c>
      <c r="AD928" s="4">
        <f>MAX(0,Q928-MAX(0,Z928))</f>
        <v/>
      </c>
      <c r="AE928" s="4">
        <f>MAX(0,R928-MAX(0,Z928-SUM(Q928:Q928)))</f>
        <v/>
      </c>
      <c r="AF928" s="4">
        <f>MAX(0,S928-MAX(0,Z928-SUM(Q928:R928)))</f>
        <v/>
      </c>
      <c r="AG928" s="4">
        <f>MAX(0,T928-MAX(0,Z928-SUM(Q928:S928)))</f>
        <v/>
      </c>
      <c r="AH928" s="4">
        <f>MAX(0,U928-MAX(0,Z928-SUM(Q928:T928)))</f>
        <v/>
      </c>
      <c r="AI928" s="4">
        <f>MAX(0,V928-MAX(0,Z928-SUM(Q928:U928)))</f>
        <v/>
      </c>
      <c r="AJ928" s="4">
        <f>MAX(0,W928-MAX(0,Z928-SUM(Q928:V928)))</f>
        <v/>
      </c>
      <c r="AK928" s="4">
        <f>MAX(0,X928-MAX(0,Z928-SUM(Q928:W928)))</f>
        <v/>
      </c>
      <c r="AL928" s="4">
        <f>MAX(0,Y928-MAX(0,Z928-SUM(Q928:X928)))</f>
        <v/>
      </c>
    </row>
    <row r="929">
      <c r="A929" s="4" t="inlineStr">
        <is>
          <t>HASLS22260900641</t>
        </is>
      </c>
      <c r="B929" s="4" t="inlineStr">
        <is>
          <t>SWSR</t>
        </is>
      </c>
      <c r="C929" s="4" t="inlineStr">
        <is>
          <t>2611N</t>
        </is>
      </c>
      <c r="D929" s="4" t="inlineStr">
        <is>
          <t>202610110900</t>
        </is>
      </c>
      <c r="E929" s="4" t="inlineStr"/>
      <c r="F929" s="4" t="inlineStr">
        <is>
          <t>THBKK</t>
        </is>
      </c>
      <c r="G929" s="4" t="inlineStr">
        <is>
          <t>JPIMI</t>
        </is>
      </c>
      <c r="H929" s="4" t="inlineStr">
        <is>
          <t xml:space="preserve">40Hx1 </t>
        </is>
      </c>
      <c r="I929" s="4" t="inlineStr">
        <is>
          <t>BKK25</t>
        </is>
      </c>
      <c r="J929" s="4" t="inlineStr">
        <is>
          <t xml:space="preserve">Smart Logistics Service (Thailand ) Co.,Ltd. </t>
        </is>
      </c>
      <c r="K929" s="4" t="inlineStr">
        <is>
          <t>20261006</t>
        </is>
      </c>
      <c r="L929" s="4" t="inlineStr">
        <is>
          <t>ASE CO., LTD.</t>
        </is>
      </c>
      <c r="M929" s="4" t="inlineStr">
        <is>
          <t>ASE CO., LTD.</t>
        </is>
      </c>
      <c r="N929" s="4" t="inlineStr">
        <is>
          <t>940161</t>
        </is>
      </c>
      <c r="O929" s="4" t="inlineStr">
        <is>
          <t>GOOD AND CLEAN CONTAINER</t>
        </is>
      </c>
      <c r="P929" s="4" t="inlineStr">
        <is>
          <t>Pickup : 2026-10-06, Return : 2026-10-06</t>
        </is>
      </c>
      <c r="Q929" s="4" t="n">
        <v>0</v>
      </c>
      <c r="R929" s="4" t="n">
        <v>0</v>
      </c>
      <c r="S929" s="4" t="n">
        <v>1</v>
      </c>
      <c r="T929" s="4" t="n">
        <v>0</v>
      </c>
      <c r="U929" s="4" t="n">
        <v>0</v>
      </c>
      <c r="V929" s="4" t="n">
        <v>0</v>
      </c>
      <c r="W929" s="4" t="n">
        <v>0</v>
      </c>
      <c r="X929" s="4" t="n">
        <v>0</v>
      </c>
      <c r="Y929" s="4" t="n">
        <v>0</v>
      </c>
      <c r="Z929" s="4" t="n">
        <v>0</v>
      </c>
      <c r="AA929" s="4" t="n">
        <v>0</v>
      </c>
      <c r="AB929" s="4">
        <f>SUM(Q929:Y929)-Z929</f>
        <v/>
      </c>
      <c r="AC929" s="4">
        <f>IF(I929="","",IF(OR(LEFT(I929,3)="BKK",I929="LCH55"),"BKK",IF(LEFT(I929,3)="LCH","LCH","OTHER")))</f>
        <v/>
      </c>
      <c r="AD929" s="4">
        <f>MAX(0,Q929-MAX(0,Z929))</f>
        <v/>
      </c>
      <c r="AE929" s="4">
        <f>MAX(0,R929-MAX(0,Z929-SUM(Q929:Q929)))</f>
        <v/>
      </c>
      <c r="AF929" s="4">
        <f>MAX(0,S929-MAX(0,Z929-SUM(Q929:R929)))</f>
        <v/>
      </c>
      <c r="AG929" s="4">
        <f>MAX(0,T929-MAX(0,Z929-SUM(Q929:S929)))</f>
        <v/>
      </c>
      <c r="AH929" s="4">
        <f>MAX(0,U929-MAX(0,Z929-SUM(Q929:T929)))</f>
        <v/>
      </c>
      <c r="AI929" s="4">
        <f>MAX(0,V929-MAX(0,Z929-SUM(Q929:U929)))</f>
        <v/>
      </c>
      <c r="AJ929" s="4">
        <f>MAX(0,W929-MAX(0,Z929-SUM(Q929:V929)))</f>
        <v/>
      </c>
      <c r="AK929" s="4">
        <f>MAX(0,X929-MAX(0,Z929-SUM(Q929:W929)))</f>
        <v/>
      </c>
      <c r="AL929" s="4">
        <f>MAX(0,Y929-MAX(0,Z929-SUM(Q929:X929)))</f>
        <v/>
      </c>
    </row>
    <row r="930">
      <c r="A930" s="4" t="inlineStr">
        <is>
          <t>HASLS22260900644</t>
        </is>
      </c>
      <c r="B930" s="4" t="inlineStr">
        <is>
          <t>SWDN</t>
        </is>
      </c>
      <c r="C930" s="4" t="inlineStr">
        <is>
          <t>2610N</t>
        </is>
      </c>
      <c r="D930" s="4" t="inlineStr">
        <is>
          <t>202610060900</t>
        </is>
      </c>
      <c r="E930" s="4" t="inlineStr"/>
      <c r="F930" s="4" t="inlineStr">
        <is>
          <t>THBKK</t>
        </is>
      </c>
      <c r="G930" s="4" t="inlineStr">
        <is>
          <t>HKHKG</t>
        </is>
      </c>
      <c r="H930" s="4" t="inlineStr">
        <is>
          <t xml:space="preserve">20'x1 </t>
        </is>
      </c>
      <c r="I930" s="4" t="inlineStr">
        <is>
          <t>BKK25</t>
        </is>
      </c>
      <c r="J930" s="4" t="inlineStr">
        <is>
          <t xml:space="preserve">Smart Logistics Service (Thailand ) Co.,Ltd. </t>
        </is>
      </c>
      <c r="K930" s="4" t="inlineStr">
        <is>
          <t>20260928</t>
        </is>
      </c>
      <c r="L930" s="4" t="inlineStr">
        <is>
          <t>ACCORD PILOT LOGISTICS (THAILAND) CO., LTD.</t>
        </is>
      </c>
      <c r="M930" s="4" t="inlineStr">
        <is>
          <t>THAI PLASPAC PUBLIC CO.,LTD.</t>
        </is>
      </c>
      <c r="N930" s="4" t="inlineStr">
        <is>
          <t>PLASTIC CAP</t>
        </is>
      </c>
      <c r="O930" s="4" t="inlineStr">
        <is>
          <t>REQUEST CLEAN AND GOOD CONTAINER **</t>
        </is>
      </c>
      <c r="P930" s="4" t="inlineStr">
        <is>
          <t>Pickup : 2026-09-28, Return : 2026-09-29</t>
        </is>
      </c>
      <c r="Q930" s="4" t="n">
        <v>1</v>
      </c>
      <c r="R930" s="4" t="n">
        <v>0</v>
      </c>
      <c r="S930" s="4" t="n">
        <v>0</v>
      </c>
      <c r="T930" s="4" t="n">
        <v>0</v>
      </c>
      <c r="U930" s="4" t="n">
        <v>0</v>
      </c>
      <c r="V930" s="4" t="n">
        <v>0</v>
      </c>
      <c r="W930" s="4" t="n">
        <v>0</v>
      </c>
      <c r="X930" s="4" t="n">
        <v>0</v>
      </c>
      <c r="Y930" s="4" t="n">
        <v>0</v>
      </c>
      <c r="Z930" s="4" t="n">
        <v>0</v>
      </c>
      <c r="AA930" s="4" t="n">
        <v>0</v>
      </c>
      <c r="AB930" s="4">
        <f>SUM(Q930:Y930)-Z930</f>
        <v/>
      </c>
      <c r="AC930" s="4">
        <f>IF(I930="","",IF(OR(LEFT(I930,3)="BKK",I930="LCH55"),"BKK",IF(LEFT(I930,3)="LCH","LCH","OTHER")))</f>
        <v/>
      </c>
      <c r="AD930" s="4">
        <f>MAX(0,Q930-MAX(0,Z930))</f>
        <v/>
      </c>
      <c r="AE930" s="4">
        <f>MAX(0,R930-MAX(0,Z930-SUM(Q930:Q930)))</f>
        <v/>
      </c>
      <c r="AF930" s="4">
        <f>MAX(0,S930-MAX(0,Z930-SUM(Q930:R930)))</f>
        <v/>
      </c>
      <c r="AG930" s="4">
        <f>MAX(0,T930-MAX(0,Z930-SUM(Q930:S930)))</f>
        <v/>
      </c>
      <c r="AH930" s="4">
        <f>MAX(0,U930-MAX(0,Z930-SUM(Q930:T930)))</f>
        <v/>
      </c>
      <c r="AI930" s="4">
        <f>MAX(0,V930-MAX(0,Z930-SUM(Q930:U930)))</f>
        <v/>
      </c>
      <c r="AJ930" s="4">
        <f>MAX(0,W930-MAX(0,Z930-SUM(Q930:V930)))</f>
        <v/>
      </c>
      <c r="AK930" s="4">
        <f>MAX(0,X930-MAX(0,Z930-SUM(Q930:W930)))</f>
        <v/>
      </c>
      <c r="AL930" s="4">
        <f>MAX(0,Y930-MAX(0,Z930-SUM(Q930:X930)))</f>
        <v/>
      </c>
    </row>
    <row r="931">
      <c r="A931" s="4" t="inlineStr">
        <is>
          <t>HASLS22260900653</t>
        </is>
      </c>
      <c r="B931" s="4" t="inlineStr">
        <is>
          <t>SWSR</t>
        </is>
      </c>
      <c r="C931" s="4" t="inlineStr">
        <is>
          <t>2611N</t>
        </is>
      </c>
      <c r="D931" s="4" t="inlineStr">
        <is>
          <t>202610110900</t>
        </is>
      </c>
      <c r="E931" s="4" t="inlineStr"/>
      <c r="F931" s="4" t="inlineStr">
        <is>
          <t>THBKK</t>
        </is>
      </c>
      <c r="G931" s="4" t="inlineStr">
        <is>
          <t>HKHKG</t>
        </is>
      </c>
      <c r="H931" s="4" t="inlineStr">
        <is>
          <t xml:space="preserve">20'x1 </t>
        </is>
      </c>
      <c r="I931" s="4" t="inlineStr">
        <is>
          <t>BKK25</t>
        </is>
      </c>
      <c r="J931" s="4" t="inlineStr">
        <is>
          <t xml:space="preserve">Smart Logistics Service (Thailand ) Co.,Ltd. </t>
        </is>
      </c>
      <c r="K931" s="4" t="inlineStr">
        <is>
          <t>20261006</t>
        </is>
      </c>
      <c r="L931" s="4" t="inlineStr">
        <is>
          <t>NIPPON EXPRESS LOGISTICS (THAILAND) CO., LTD.</t>
        </is>
      </c>
      <c r="M931" s="4" t="inlineStr">
        <is>
          <t>TOYO SEIKAN (THAILAND) CO., LTD.</t>
        </is>
      </c>
      <c r="N931" s="4" t="inlineStr">
        <is>
          <t>DYDO BLEND</t>
        </is>
      </c>
      <c r="O931" s="4" t="inlineStr">
        <is>
          <t>GOOD AND CLEAN CONTAINER</t>
        </is>
      </c>
      <c r="P931" s="4" t="inlineStr">
        <is>
          <t xml:space="preserve">Pickup : 2026-10-06, Return : 2026-10-07 </t>
        </is>
      </c>
      <c r="Q931" s="4" t="n">
        <v>1</v>
      </c>
      <c r="R931" s="4" t="n">
        <v>0</v>
      </c>
      <c r="S931" s="4" t="n">
        <v>0</v>
      </c>
      <c r="T931" s="4" t="n">
        <v>0</v>
      </c>
      <c r="U931" s="4" t="n">
        <v>0</v>
      </c>
      <c r="V931" s="4" t="n">
        <v>0</v>
      </c>
      <c r="W931" s="4" t="n">
        <v>0</v>
      </c>
      <c r="X931" s="4" t="n">
        <v>0</v>
      </c>
      <c r="Y931" s="4" t="n">
        <v>0</v>
      </c>
      <c r="Z931" s="4" t="n">
        <v>0</v>
      </c>
      <c r="AA931" s="4" t="n">
        <v>0</v>
      </c>
      <c r="AB931" s="4">
        <f>SUM(Q931:Y931)-Z931</f>
        <v/>
      </c>
      <c r="AC931" s="4">
        <f>IF(I931="","",IF(OR(LEFT(I931,3)="BKK",I931="LCH55"),"BKK",IF(LEFT(I931,3)="LCH","LCH","OTHER")))</f>
        <v/>
      </c>
      <c r="AD931" s="4">
        <f>MAX(0,Q931-MAX(0,Z931))</f>
        <v/>
      </c>
      <c r="AE931" s="4">
        <f>MAX(0,R931-MAX(0,Z931-SUM(Q931:Q931)))</f>
        <v/>
      </c>
      <c r="AF931" s="4">
        <f>MAX(0,S931-MAX(0,Z931-SUM(Q931:R931)))</f>
        <v/>
      </c>
      <c r="AG931" s="4">
        <f>MAX(0,T931-MAX(0,Z931-SUM(Q931:S931)))</f>
        <v/>
      </c>
      <c r="AH931" s="4">
        <f>MAX(0,U931-MAX(0,Z931-SUM(Q931:T931)))</f>
        <v/>
      </c>
      <c r="AI931" s="4">
        <f>MAX(0,V931-MAX(0,Z931-SUM(Q931:U931)))</f>
        <v/>
      </c>
      <c r="AJ931" s="4">
        <f>MAX(0,W931-MAX(0,Z931-SUM(Q931:V931)))</f>
        <v/>
      </c>
      <c r="AK931" s="4">
        <f>MAX(0,X931-MAX(0,Z931-SUM(Q931:W931)))</f>
        <v/>
      </c>
      <c r="AL931" s="4">
        <f>MAX(0,Y931-MAX(0,Z931-SUM(Q931:X931)))</f>
        <v/>
      </c>
    </row>
    <row r="932">
      <c r="A932" s="4" t="inlineStr">
        <is>
          <t>HASLS22260900654</t>
        </is>
      </c>
      <c r="B932" s="4" t="inlineStr">
        <is>
          <t>KMTP</t>
        </is>
      </c>
      <c r="C932" s="4" t="inlineStr">
        <is>
          <t>2612N</t>
        </is>
      </c>
      <c r="D932" s="4" t="inlineStr">
        <is>
          <t>202610120800</t>
        </is>
      </c>
      <c r="E932" s="4" t="inlineStr"/>
      <c r="F932" s="4" t="inlineStr">
        <is>
          <t>THBKK</t>
        </is>
      </c>
      <c r="G932" s="4" t="inlineStr">
        <is>
          <t>HKHKG</t>
        </is>
      </c>
      <c r="H932" s="4" t="inlineStr">
        <is>
          <t xml:space="preserve">20'x1 </t>
        </is>
      </c>
      <c r="I932" s="4" t="inlineStr">
        <is>
          <t>BKK25</t>
        </is>
      </c>
      <c r="J932" s="4" t="inlineStr">
        <is>
          <t xml:space="preserve">Smart Logistics Service (Thailand ) Co.,Ltd. </t>
        </is>
      </c>
      <c r="K932" s="4" t="inlineStr">
        <is>
          <t>20261006</t>
        </is>
      </c>
      <c r="L932" s="4" t="inlineStr">
        <is>
          <t>NIPPON EXPRESS LOGISTICS (THAILAND) CO., LTD.</t>
        </is>
      </c>
      <c r="M932" s="4" t="inlineStr">
        <is>
          <t>TOYO SEIKAN (THAILAND) CO., LTD.</t>
        </is>
      </c>
      <c r="N932" s="4" t="inlineStr">
        <is>
          <t>DYDO BLEND</t>
        </is>
      </c>
      <c r="O932" s="4" t="inlineStr">
        <is>
          <t>GOOD AND CLEAN CONTAINER</t>
        </is>
      </c>
      <c r="P932" s="4" t="inlineStr">
        <is>
          <t>Pickup : 2026-10-06, Return : 2026-10-07</t>
        </is>
      </c>
      <c r="Q932" s="4" t="n">
        <v>1</v>
      </c>
      <c r="R932" s="4" t="n">
        <v>0</v>
      </c>
      <c r="S932" s="4" t="n">
        <v>0</v>
      </c>
      <c r="T932" s="4" t="n">
        <v>0</v>
      </c>
      <c r="U932" s="4" t="n">
        <v>0</v>
      </c>
      <c r="V932" s="4" t="n">
        <v>0</v>
      </c>
      <c r="W932" s="4" t="n">
        <v>0</v>
      </c>
      <c r="X932" s="4" t="n">
        <v>0</v>
      </c>
      <c r="Y932" s="4" t="n">
        <v>0</v>
      </c>
      <c r="Z932" s="4" t="n">
        <v>0</v>
      </c>
      <c r="AA932" s="4" t="n">
        <v>0</v>
      </c>
      <c r="AB932" s="4">
        <f>SUM(Q932:Y932)-Z932</f>
        <v/>
      </c>
      <c r="AC932" s="4">
        <f>IF(I932="","",IF(OR(LEFT(I932,3)="BKK",I932="LCH55"),"BKK",IF(LEFT(I932,3)="LCH","LCH","OTHER")))</f>
        <v/>
      </c>
      <c r="AD932" s="4">
        <f>MAX(0,Q932-MAX(0,Z932))</f>
        <v/>
      </c>
      <c r="AE932" s="4">
        <f>MAX(0,R932-MAX(0,Z932-SUM(Q932:Q932)))</f>
        <v/>
      </c>
      <c r="AF932" s="4">
        <f>MAX(0,S932-MAX(0,Z932-SUM(Q932:R932)))</f>
        <v/>
      </c>
      <c r="AG932" s="4">
        <f>MAX(0,T932-MAX(0,Z932-SUM(Q932:S932)))</f>
        <v/>
      </c>
      <c r="AH932" s="4">
        <f>MAX(0,U932-MAX(0,Z932-SUM(Q932:T932)))</f>
        <v/>
      </c>
      <c r="AI932" s="4">
        <f>MAX(0,V932-MAX(0,Z932-SUM(Q932:U932)))</f>
        <v/>
      </c>
      <c r="AJ932" s="4">
        <f>MAX(0,W932-MAX(0,Z932-SUM(Q932:V932)))</f>
        <v/>
      </c>
      <c r="AK932" s="4">
        <f>MAX(0,X932-MAX(0,Z932-SUM(Q932:W932)))</f>
        <v/>
      </c>
      <c r="AL932" s="4">
        <f>MAX(0,Y932-MAX(0,Z932-SUM(Q932:X932)))</f>
        <v/>
      </c>
    </row>
    <row r="933">
      <c r="A933" s="4" t="inlineStr">
        <is>
          <t>HASLS22260900656</t>
        </is>
      </c>
      <c r="B933" s="4" t="inlineStr">
        <is>
          <t>SKOR</t>
        </is>
      </c>
      <c r="C933" s="4" t="inlineStr">
        <is>
          <t>2612N</t>
        </is>
      </c>
      <c r="D933" s="4" t="inlineStr">
        <is>
          <t>202610181700</t>
        </is>
      </c>
      <c r="E933" s="4" t="inlineStr"/>
      <c r="F933" s="4" t="inlineStr">
        <is>
          <t>THBKK</t>
        </is>
      </c>
      <c r="G933" s="4" t="inlineStr">
        <is>
          <t>HKHKG</t>
        </is>
      </c>
      <c r="H933" s="4" t="inlineStr">
        <is>
          <t xml:space="preserve">20'x1 </t>
        </is>
      </c>
      <c r="I933" s="4" t="inlineStr">
        <is>
          <t>BKK25</t>
        </is>
      </c>
      <c r="J933" s="4" t="inlineStr">
        <is>
          <t xml:space="preserve">Smart Logistics Service (Thailand ) Co.,Ltd. </t>
        </is>
      </c>
      <c r="K933" s="4" t="inlineStr">
        <is>
          <t>20261012</t>
        </is>
      </c>
      <c r="L933" s="4" t="inlineStr">
        <is>
          <t>NIPPON EXPRESS LOGISTICS (THAILAND) CO., LTD.</t>
        </is>
      </c>
      <c r="M933" s="4" t="inlineStr">
        <is>
          <t>TOYO SEIKAN (THAILAND) CO., LTD.</t>
        </is>
      </c>
      <c r="N933" s="4" t="inlineStr">
        <is>
          <t>DYDO BLEND</t>
        </is>
      </c>
      <c r="O933" s="4" t="inlineStr">
        <is>
          <t>GOOD AND CLEAN CONTAINER</t>
        </is>
      </c>
      <c r="P933" s="4" t="inlineStr">
        <is>
          <t>Pickup : 2026-10-12, Return : 2026-10-13</t>
        </is>
      </c>
      <c r="Q933" s="4" t="n">
        <v>1</v>
      </c>
      <c r="R933" s="4" t="n">
        <v>0</v>
      </c>
      <c r="S933" s="4" t="n">
        <v>0</v>
      </c>
      <c r="T933" s="4" t="n">
        <v>0</v>
      </c>
      <c r="U933" s="4" t="n">
        <v>0</v>
      </c>
      <c r="V933" s="4" t="n">
        <v>0</v>
      </c>
      <c r="W933" s="4" t="n">
        <v>0</v>
      </c>
      <c r="X933" s="4" t="n">
        <v>0</v>
      </c>
      <c r="Y933" s="4" t="n">
        <v>0</v>
      </c>
      <c r="Z933" s="4" t="n">
        <v>0</v>
      </c>
      <c r="AA933" s="4" t="n">
        <v>0</v>
      </c>
      <c r="AB933" s="4">
        <f>SUM(Q933:Y933)-Z933</f>
        <v/>
      </c>
      <c r="AC933" s="4">
        <f>IF(I933="","",IF(OR(LEFT(I933,3)="BKK",I933="LCH55"),"BKK",IF(LEFT(I933,3)="LCH","LCH","OTHER")))</f>
        <v/>
      </c>
      <c r="AD933" s="4">
        <f>MAX(0,Q933-MAX(0,Z933))</f>
        <v/>
      </c>
      <c r="AE933" s="4">
        <f>MAX(0,R933-MAX(0,Z933-SUM(Q933:Q933)))</f>
        <v/>
      </c>
      <c r="AF933" s="4">
        <f>MAX(0,S933-MAX(0,Z933-SUM(Q933:R933)))</f>
        <v/>
      </c>
      <c r="AG933" s="4">
        <f>MAX(0,T933-MAX(0,Z933-SUM(Q933:S933)))</f>
        <v/>
      </c>
      <c r="AH933" s="4">
        <f>MAX(0,U933-MAX(0,Z933-SUM(Q933:T933)))</f>
        <v/>
      </c>
      <c r="AI933" s="4">
        <f>MAX(0,V933-MAX(0,Z933-SUM(Q933:U933)))</f>
        <v/>
      </c>
      <c r="AJ933" s="4">
        <f>MAX(0,W933-MAX(0,Z933-SUM(Q933:V933)))</f>
        <v/>
      </c>
      <c r="AK933" s="4">
        <f>MAX(0,X933-MAX(0,Z933-SUM(Q933:W933)))</f>
        <v/>
      </c>
      <c r="AL933" s="4">
        <f>MAX(0,Y933-MAX(0,Z933-SUM(Q933:X933)))</f>
        <v/>
      </c>
    </row>
    <row r="934">
      <c r="A934" s="4" t="inlineStr">
        <is>
          <t>HASLS22260900657</t>
        </is>
      </c>
      <c r="B934" s="4" t="inlineStr">
        <is>
          <t>SWIC</t>
        </is>
      </c>
      <c r="C934" s="4" t="inlineStr">
        <is>
          <t>2611N</t>
        </is>
      </c>
      <c r="D934" s="4" t="inlineStr">
        <is>
          <t>202610130700</t>
        </is>
      </c>
      <c r="E934" s="4" t="inlineStr"/>
      <c r="F934" s="4" t="inlineStr">
        <is>
          <t>THBKK</t>
        </is>
      </c>
      <c r="G934" s="4" t="inlineStr">
        <is>
          <t>KRPUS</t>
        </is>
      </c>
      <c r="H934" s="4" t="inlineStr">
        <is>
          <t xml:space="preserve">20'x5 </t>
        </is>
      </c>
      <c r="I934" s="4" t="inlineStr">
        <is>
          <t>BKK25</t>
        </is>
      </c>
      <c r="J934" s="4" t="inlineStr">
        <is>
          <t xml:space="preserve">Smart Logistics Service (Thailand ) Co.,Ltd. </t>
        </is>
      </c>
      <c r="K934" s="4" t="inlineStr">
        <is>
          <t>20261002</t>
        </is>
      </c>
      <c r="L934" s="4" t="inlineStr">
        <is>
          <t>ORIENT STAR INTERNATIONAL LOGISTICS CO., LTD.</t>
        </is>
      </c>
      <c r="M934" s="4" t="inlineStr">
        <is>
          <t>WIDE WATER GATE CO.,LTD</t>
        </is>
      </c>
      <c r="N934" s="4" t="inlineStr">
        <is>
          <t>ALOE VERA GEL SAPS</t>
        </is>
      </c>
      <c r="O934" s="4" t="inlineStr">
        <is>
          <t>GOOD AND CLEAN CONTAINER</t>
        </is>
      </c>
      <c r="P934" s="4" t="inlineStr">
        <is>
          <t>Pickup : 2026-10-02, Return : 2026-10-06 // FM DJCF 0152N BY HAL DD.28/09
(1ST RETURN 06/10 W/O RENT)</t>
        </is>
      </c>
      <c r="Q934" s="4" t="n">
        <v>5</v>
      </c>
      <c r="R934" s="4" t="n">
        <v>0</v>
      </c>
      <c r="S934" s="4" t="n">
        <v>0</v>
      </c>
      <c r="T934" s="4" t="n">
        <v>0</v>
      </c>
      <c r="U934" s="4" t="n">
        <v>0</v>
      </c>
      <c r="V934" s="4" t="n">
        <v>0</v>
      </c>
      <c r="W934" s="4" t="n">
        <v>0</v>
      </c>
      <c r="X934" s="4" t="n">
        <v>0</v>
      </c>
      <c r="Y934" s="4" t="n">
        <v>0</v>
      </c>
      <c r="Z934" s="4" t="n">
        <v>0</v>
      </c>
      <c r="AA934" s="4" t="n">
        <v>0</v>
      </c>
      <c r="AB934" s="4">
        <f>SUM(Q934:Y934)-Z934</f>
        <v/>
      </c>
      <c r="AC934" s="4">
        <f>IF(I934="","",IF(OR(LEFT(I934,3)="BKK",I934="LCH55"),"BKK",IF(LEFT(I934,3)="LCH","LCH","OTHER")))</f>
        <v/>
      </c>
      <c r="AD934" s="4">
        <f>MAX(0,Q934-MAX(0,Z934))</f>
        <v/>
      </c>
      <c r="AE934" s="4">
        <f>MAX(0,R934-MAX(0,Z934-SUM(Q934:Q934)))</f>
        <v/>
      </c>
      <c r="AF934" s="4">
        <f>MAX(0,S934-MAX(0,Z934-SUM(Q934:R934)))</f>
        <v/>
      </c>
      <c r="AG934" s="4">
        <f>MAX(0,T934-MAX(0,Z934-SUM(Q934:S934)))</f>
        <v/>
      </c>
      <c r="AH934" s="4">
        <f>MAX(0,U934-MAX(0,Z934-SUM(Q934:T934)))</f>
        <v/>
      </c>
      <c r="AI934" s="4">
        <f>MAX(0,V934-MAX(0,Z934-SUM(Q934:U934)))</f>
        <v/>
      </c>
      <c r="AJ934" s="4">
        <f>MAX(0,W934-MAX(0,Z934-SUM(Q934:V934)))</f>
        <v/>
      </c>
      <c r="AK934" s="4">
        <f>MAX(0,X934-MAX(0,Z934-SUM(Q934:W934)))</f>
        <v/>
      </c>
      <c r="AL934" s="4">
        <f>MAX(0,Y934-MAX(0,Z934-SUM(Q934:X934)))</f>
        <v/>
      </c>
    </row>
    <row r="935">
      <c r="A935" s="4" t="inlineStr">
        <is>
          <t>HASLS22260900660</t>
        </is>
      </c>
      <c r="B935" s="4" t="inlineStr">
        <is>
          <t>SWMM</t>
        </is>
      </c>
      <c r="C935" s="4" t="inlineStr">
        <is>
          <t>2610N</t>
        </is>
      </c>
      <c r="D935" s="4" t="inlineStr">
        <is>
          <t>202610210400</t>
        </is>
      </c>
      <c r="E935" s="4" t="inlineStr"/>
      <c r="F935" s="4" t="inlineStr">
        <is>
          <t>THBKK</t>
        </is>
      </c>
      <c r="G935" s="4" t="inlineStr">
        <is>
          <t>JPKIJ</t>
        </is>
      </c>
      <c r="H935" s="4" t="inlineStr">
        <is>
          <t xml:space="preserve">40Hx1 </t>
        </is>
      </c>
      <c r="I935" s="4" t="inlineStr">
        <is>
          <t>BKK25</t>
        </is>
      </c>
      <c r="J935" s="4" t="inlineStr">
        <is>
          <t xml:space="preserve">Smart Logistics Service (Thailand ) Co.,Ltd. </t>
        </is>
      </c>
      <c r="K935" s="4" t="inlineStr">
        <is>
          <t>20261012</t>
        </is>
      </c>
      <c r="L935" s="4" t="inlineStr">
        <is>
          <t>GENERAL FOOD PRODUCTS CO., LTD.</t>
        </is>
      </c>
      <c r="M935" s="4" t="inlineStr">
        <is>
          <t>GENERAL FOOD PRODUCTS CO., LTD.</t>
        </is>
      </c>
      <c r="N935" s="4" t="inlineStr">
        <is>
          <t>FLOURS</t>
        </is>
      </c>
      <c r="O935" s="4" t="inlineStr">
        <is>
          <t>Container Grade A, Underdeck</t>
        </is>
      </c>
      <c r="P935" s="4" t="inlineStr">
        <is>
          <t xml:space="preserve">Pickup : 2026-10-12, Return : 2026-10-15 
 </t>
        </is>
      </c>
      <c r="Q935" s="4" t="n">
        <v>0</v>
      </c>
      <c r="R935" s="4" t="n">
        <v>0</v>
      </c>
      <c r="S935" s="4" t="n">
        <v>1</v>
      </c>
      <c r="T935" s="4" t="n">
        <v>0</v>
      </c>
      <c r="U935" s="4" t="n">
        <v>0</v>
      </c>
      <c r="V935" s="4" t="n">
        <v>0</v>
      </c>
      <c r="W935" s="4" t="n">
        <v>0</v>
      </c>
      <c r="X935" s="4" t="n">
        <v>0</v>
      </c>
      <c r="Y935" s="4" t="n">
        <v>0</v>
      </c>
      <c r="Z935" s="4" t="n">
        <v>0</v>
      </c>
      <c r="AA935" s="4" t="n">
        <v>0</v>
      </c>
      <c r="AB935" s="4">
        <f>SUM(Q935:Y935)-Z935</f>
        <v/>
      </c>
      <c r="AC935" s="4">
        <f>IF(I935="","",IF(OR(LEFT(I935,3)="BKK",I935="LCH55"),"BKK",IF(LEFT(I935,3)="LCH","LCH","OTHER")))</f>
        <v/>
      </c>
      <c r="AD935" s="4">
        <f>MAX(0,Q935-MAX(0,Z935))</f>
        <v/>
      </c>
      <c r="AE935" s="4">
        <f>MAX(0,R935-MAX(0,Z935-SUM(Q935:Q935)))</f>
        <v/>
      </c>
      <c r="AF935" s="4">
        <f>MAX(0,S935-MAX(0,Z935-SUM(Q935:R935)))</f>
        <v/>
      </c>
      <c r="AG935" s="4">
        <f>MAX(0,T935-MAX(0,Z935-SUM(Q935:S935)))</f>
        <v/>
      </c>
      <c r="AH935" s="4">
        <f>MAX(0,U935-MAX(0,Z935-SUM(Q935:T935)))</f>
        <v/>
      </c>
      <c r="AI935" s="4">
        <f>MAX(0,V935-MAX(0,Z935-SUM(Q935:U935)))</f>
        <v/>
      </c>
      <c r="AJ935" s="4">
        <f>MAX(0,W935-MAX(0,Z935-SUM(Q935:V935)))</f>
        <v/>
      </c>
      <c r="AK935" s="4">
        <f>MAX(0,X935-MAX(0,Z935-SUM(Q935:W935)))</f>
        <v/>
      </c>
      <c r="AL935" s="4">
        <f>MAX(0,Y935-MAX(0,Z935-SUM(Q935:X935)))</f>
        <v/>
      </c>
    </row>
    <row r="936">
      <c r="A936" s="4" t="inlineStr">
        <is>
          <t>HASLS22260900661</t>
        </is>
      </c>
      <c r="B936" s="4" t="inlineStr">
        <is>
          <t>SWMM</t>
        </is>
      </c>
      <c r="C936" s="4" t="inlineStr">
        <is>
          <t>2610N</t>
        </is>
      </c>
      <c r="D936" s="4" t="inlineStr">
        <is>
          <t>202610210400</t>
        </is>
      </c>
      <c r="E936" s="4" t="inlineStr"/>
      <c r="F936" s="4" t="inlineStr">
        <is>
          <t>THBKK</t>
        </is>
      </c>
      <c r="G936" s="4" t="inlineStr">
        <is>
          <t>JPKCZ</t>
        </is>
      </c>
      <c r="H936" s="4" t="inlineStr">
        <is>
          <t xml:space="preserve">20'x1 </t>
        </is>
      </c>
      <c r="I936" s="4" t="inlineStr">
        <is>
          <t>BKK25</t>
        </is>
      </c>
      <c r="J936" s="4" t="inlineStr">
        <is>
          <t xml:space="preserve">Smart Logistics Service (Thailand ) Co.,Ltd. </t>
        </is>
      </c>
      <c r="K936" s="4" t="inlineStr">
        <is>
          <t>20261014</t>
        </is>
      </c>
      <c r="L936" s="4" t="inlineStr">
        <is>
          <t>ACE LOGISTICS (THAILAND) CO., LTD.</t>
        </is>
      </c>
      <c r="M936" s="4" t="inlineStr">
        <is>
          <t>HYMOLD (THAILAND) LIMITED</t>
        </is>
      </c>
      <c r="N936" s="4" t="inlineStr">
        <is>
          <t>FERRO SILICON MAGNESIUM</t>
        </is>
      </c>
      <c r="O936" s="4" t="inlineStr">
        <is>
          <t>GOOD AND CLEAN CONTAINER</t>
        </is>
      </c>
      <c r="P936" s="4" t="inlineStr">
        <is>
          <t xml:space="preserve">Pickup : 2026-10-14, Return : 2026-10-15 
 </t>
        </is>
      </c>
      <c r="Q936" s="4" t="n">
        <v>1</v>
      </c>
      <c r="R936" s="4" t="n">
        <v>0</v>
      </c>
      <c r="S936" s="4" t="n">
        <v>0</v>
      </c>
      <c r="T936" s="4" t="n">
        <v>0</v>
      </c>
      <c r="U936" s="4" t="n">
        <v>0</v>
      </c>
      <c r="V936" s="4" t="n">
        <v>0</v>
      </c>
      <c r="W936" s="4" t="n">
        <v>0</v>
      </c>
      <c r="X936" s="4" t="n">
        <v>0</v>
      </c>
      <c r="Y936" s="4" t="n">
        <v>0</v>
      </c>
      <c r="Z936" s="4" t="n">
        <v>0</v>
      </c>
      <c r="AA936" s="4" t="n">
        <v>0</v>
      </c>
      <c r="AB936" s="4">
        <f>SUM(Q936:Y936)-Z936</f>
        <v/>
      </c>
      <c r="AC936" s="4">
        <f>IF(I936="","",IF(OR(LEFT(I936,3)="BKK",I936="LCH55"),"BKK",IF(LEFT(I936,3)="LCH","LCH","OTHER")))</f>
        <v/>
      </c>
      <c r="AD936" s="4">
        <f>MAX(0,Q936-MAX(0,Z936))</f>
        <v/>
      </c>
      <c r="AE936" s="4">
        <f>MAX(0,R936-MAX(0,Z936-SUM(Q936:Q936)))</f>
        <v/>
      </c>
      <c r="AF936" s="4">
        <f>MAX(0,S936-MAX(0,Z936-SUM(Q936:R936)))</f>
        <v/>
      </c>
      <c r="AG936" s="4">
        <f>MAX(0,T936-MAX(0,Z936-SUM(Q936:S936)))</f>
        <v/>
      </c>
      <c r="AH936" s="4">
        <f>MAX(0,U936-MAX(0,Z936-SUM(Q936:T936)))</f>
        <v/>
      </c>
      <c r="AI936" s="4">
        <f>MAX(0,V936-MAX(0,Z936-SUM(Q936:U936)))</f>
        <v/>
      </c>
      <c r="AJ936" s="4">
        <f>MAX(0,W936-MAX(0,Z936-SUM(Q936:V936)))</f>
        <v/>
      </c>
      <c r="AK936" s="4">
        <f>MAX(0,X936-MAX(0,Z936-SUM(Q936:W936)))</f>
        <v/>
      </c>
      <c r="AL936" s="4">
        <f>MAX(0,Y936-MAX(0,Z936-SUM(Q936:X936)))</f>
        <v/>
      </c>
    </row>
    <row r="937">
      <c r="A937" s="4" t="inlineStr">
        <is>
          <t>HASLS22260900664</t>
        </is>
      </c>
      <c r="B937" s="4" t="inlineStr">
        <is>
          <t>KMBK</t>
        </is>
      </c>
      <c r="C937" s="4" t="inlineStr">
        <is>
          <t>2612N</t>
        </is>
      </c>
      <c r="D937" s="4" t="inlineStr">
        <is>
          <t>202610240200</t>
        </is>
      </c>
      <c r="E937" s="4" t="inlineStr"/>
      <c r="F937" s="4" t="inlineStr">
        <is>
          <t>THBKK</t>
        </is>
      </c>
      <c r="G937" s="4" t="inlineStr">
        <is>
          <t>JPKIJ</t>
        </is>
      </c>
      <c r="H937" s="4" t="inlineStr">
        <is>
          <t xml:space="preserve">20'x5 </t>
        </is>
      </c>
      <c r="I937" s="4" t="inlineStr">
        <is>
          <t>BKK25</t>
        </is>
      </c>
      <c r="J937" s="4" t="inlineStr">
        <is>
          <t xml:space="preserve">Smart Logistics Service (Thailand ) Co.,Ltd. </t>
        </is>
      </c>
      <c r="K937" s="4" t="inlineStr">
        <is>
          <t>20261016</t>
        </is>
      </c>
      <c r="L937" s="4" t="inlineStr">
        <is>
          <t>GENERAL FOOD PRODUCTS CO., LTD.</t>
        </is>
      </c>
      <c r="M937" s="4" t="inlineStr">
        <is>
          <t>GENERAL FOOD PRODUCTS CO., LTD.</t>
        </is>
      </c>
      <c r="N937" s="4" t="inlineStr">
        <is>
          <t>FLOURS</t>
        </is>
      </c>
      <c r="O937" s="4" t="inlineStr">
        <is>
          <t>Container Grade A</t>
        </is>
      </c>
      <c r="P937" s="4" t="inlineStr">
        <is>
          <t>Pickup : 2026-10-16, Return : 2026-10-19</t>
        </is>
      </c>
      <c r="Q937" s="4" t="n">
        <v>5</v>
      </c>
      <c r="R937" s="4" t="n">
        <v>0</v>
      </c>
      <c r="S937" s="4" t="n">
        <v>0</v>
      </c>
      <c r="T937" s="4" t="n">
        <v>0</v>
      </c>
      <c r="U937" s="4" t="n">
        <v>0</v>
      </c>
      <c r="V937" s="4" t="n">
        <v>0</v>
      </c>
      <c r="W937" s="4" t="n">
        <v>0</v>
      </c>
      <c r="X937" s="4" t="n">
        <v>0</v>
      </c>
      <c r="Y937" s="4" t="n">
        <v>0</v>
      </c>
      <c r="Z937" s="4" t="n">
        <v>0</v>
      </c>
      <c r="AA937" s="4" t="n">
        <v>0</v>
      </c>
      <c r="AB937" s="4">
        <f>SUM(Q937:Y937)-Z937</f>
        <v/>
      </c>
      <c r="AC937" s="4">
        <f>IF(I937="","",IF(OR(LEFT(I937,3)="BKK",I937="LCH55"),"BKK",IF(LEFT(I937,3)="LCH","LCH","OTHER")))</f>
        <v/>
      </c>
      <c r="AD937" s="4">
        <f>MAX(0,Q937-MAX(0,Z937))</f>
        <v/>
      </c>
      <c r="AE937" s="4">
        <f>MAX(0,R937-MAX(0,Z937-SUM(Q937:Q937)))</f>
        <v/>
      </c>
      <c r="AF937" s="4">
        <f>MAX(0,S937-MAX(0,Z937-SUM(Q937:R937)))</f>
        <v/>
      </c>
      <c r="AG937" s="4">
        <f>MAX(0,T937-MAX(0,Z937-SUM(Q937:S937)))</f>
        <v/>
      </c>
      <c r="AH937" s="4">
        <f>MAX(0,U937-MAX(0,Z937-SUM(Q937:T937)))</f>
        <v/>
      </c>
      <c r="AI937" s="4">
        <f>MAX(0,V937-MAX(0,Z937-SUM(Q937:U937)))</f>
        <v/>
      </c>
      <c r="AJ937" s="4">
        <f>MAX(0,W937-MAX(0,Z937-SUM(Q937:V937)))</f>
        <v/>
      </c>
      <c r="AK937" s="4">
        <f>MAX(0,X937-MAX(0,Z937-SUM(Q937:W937)))</f>
        <v/>
      </c>
      <c r="AL937" s="4">
        <f>MAX(0,Y937-MAX(0,Z937-SUM(Q937:X937)))</f>
        <v/>
      </c>
    </row>
    <row r="938">
      <c r="A938" s="4" t="inlineStr">
        <is>
          <t>HASLS22260900665</t>
        </is>
      </c>
      <c r="B938" s="4" t="inlineStr">
        <is>
          <t>KMBK</t>
        </is>
      </c>
      <c r="C938" s="4" t="inlineStr">
        <is>
          <t>2612N</t>
        </is>
      </c>
      <c r="D938" s="4" t="inlineStr">
        <is>
          <t>202610240200</t>
        </is>
      </c>
      <c r="E938" s="4" t="inlineStr"/>
      <c r="F938" s="4" t="inlineStr">
        <is>
          <t>THBKK</t>
        </is>
      </c>
      <c r="G938" s="4" t="inlineStr">
        <is>
          <t>JPMYJ</t>
        </is>
      </c>
      <c r="H938" s="4" t="inlineStr">
        <is>
          <t xml:space="preserve">20'x1 </t>
        </is>
      </c>
      <c r="I938" s="4" t="inlineStr">
        <is>
          <t>BKK25</t>
        </is>
      </c>
      <c r="J938" s="4" t="inlineStr">
        <is>
          <t xml:space="preserve">Smart Logistics Service (Thailand ) Co.,Ltd. </t>
        </is>
      </c>
      <c r="K938" s="4" t="inlineStr">
        <is>
          <t>20261016</t>
        </is>
      </c>
      <c r="L938" s="4" t="inlineStr">
        <is>
          <t>GENERAL FOOD PRODUCTS CO., LTD.</t>
        </is>
      </c>
      <c r="M938" s="4" t="inlineStr">
        <is>
          <t>GENERAL FOOD PRODUCTS CO., LTD.</t>
        </is>
      </c>
      <c r="N938" s="4" t="inlineStr">
        <is>
          <t>FLOURS</t>
        </is>
      </c>
      <c r="O938" s="4" t="inlineStr">
        <is>
          <t>Container Grade A</t>
        </is>
      </c>
      <c r="P938" s="4" t="inlineStr">
        <is>
          <t xml:space="preserve">Pickup : 2026-10-16, Return : 2026-10-19 </t>
        </is>
      </c>
      <c r="Q938" s="4" t="n">
        <v>1</v>
      </c>
      <c r="R938" s="4" t="n">
        <v>0</v>
      </c>
      <c r="S938" s="4" t="n">
        <v>0</v>
      </c>
      <c r="T938" s="4" t="n">
        <v>0</v>
      </c>
      <c r="U938" s="4" t="n">
        <v>0</v>
      </c>
      <c r="V938" s="4" t="n">
        <v>0</v>
      </c>
      <c r="W938" s="4" t="n">
        <v>0</v>
      </c>
      <c r="X938" s="4" t="n">
        <v>0</v>
      </c>
      <c r="Y938" s="4" t="n">
        <v>0</v>
      </c>
      <c r="Z938" s="4" t="n">
        <v>0</v>
      </c>
      <c r="AA938" s="4" t="n">
        <v>0</v>
      </c>
      <c r="AB938" s="4">
        <f>SUM(Q938:Y938)-Z938</f>
        <v/>
      </c>
      <c r="AC938" s="4">
        <f>IF(I938="","",IF(OR(LEFT(I938,3)="BKK",I938="LCH55"),"BKK",IF(LEFT(I938,3)="LCH","LCH","OTHER")))</f>
        <v/>
      </c>
      <c r="AD938" s="4">
        <f>MAX(0,Q938-MAX(0,Z938))</f>
        <v/>
      </c>
      <c r="AE938" s="4">
        <f>MAX(0,R938-MAX(0,Z938-SUM(Q938:Q938)))</f>
        <v/>
      </c>
      <c r="AF938" s="4">
        <f>MAX(0,S938-MAX(0,Z938-SUM(Q938:R938)))</f>
        <v/>
      </c>
      <c r="AG938" s="4">
        <f>MAX(0,T938-MAX(0,Z938-SUM(Q938:S938)))</f>
        <v/>
      </c>
      <c r="AH938" s="4">
        <f>MAX(0,U938-MAX(0,Z938-SUM(Q938:T938)))</f>
        <v/>
      </c>
      <c r="AI938" s="4">
        <f>MAX(0,V938-MAX(0,Z938-SUM(Q938:U938)))</f>
        <v/>
      </c>
      <c r="AJ938" s="4">
        <f>MAX(0,W938-MAX(0,Z938-SUM(Q938:V938)))</f>
        <v/>
      </c>
      <c r="AK938" s="4">
        <f>MAX(0,X938-MAX(0,Z938-SUM(Q938:W938)))</f>
        <v/>
      </c>
      <c r="AL938" s="4">
        <f>MAX(0,Y938-MAX(0,Z938-SUM(Q938:X938)))</f>
        <v/>
      </c>
    </row>
    <row r="939">
      <c r="A939" s="4" t="inlineStr">
        <is>
          <t>HASLS22260900728</t>
        </is>
      </c>
      <c r="B939" s="4" t="inlineStr">
        <is>
          <t>SWVG</t>
        </is>
      </c>
      <c r="C939" s="4" t="inlineStr">
        <is>
          <t>2612N</t>
        </is>
      </c>
      <c r="D939" s="4" t="inlineStr">
        <is>
          <t>202610070330</t>
        </is>
      </c>
      <c r="E939" s="4" t="inlineStr">
        <is>
          <t>THSRP</t>
        </is>
      </c>
      <c r="F939" s="4" t="inlineStr">
        <is>
          <t>THLCH</t>
        </is>
      </c>
      <c r="G939" s="4" t="inlineStr">
        <is>
          <t>CNSHA</t>
        </is>
      </c>
      <c r="H939" s="4" t="inlineStr">
        <is>
          <t xml:space="preserve">20'x1 </t>
        </is>
      </c>
      <c r="I939" s="4" t="inlineStr">
        <is>
          <t>BKK25</t>
        </is>
      </c>
      <c r="J939" s="4" t="inlineStr">
        <is>
          <t xml:space="preserve">Smart Logistics Service (Thailand ) Co.,Ltd. </t>
        </is>
      </c>
      <c r="K939" s="4" t="inlineStr">
        <is>
          <t>20260929</t>
        </is>
      </c>
      <c r="L939" s="4" t="inlineStr">
        <is>
          <t>ROYAL MEDAL LOGISTICS CO., LTD.</t>
        </is>
      </c>
      <c r="M939" s="4" t="inlineStr">
        <is>
          <t>OSOTSPA PUBLIC COMPANY LIMITED</t>
        </is>
      </c>
      <c r="N939" s="4" t="inlineStr">
        <is>
          <t>GLASS BOTTLE</t>
        </is>
      </c>
      <c r="O939" s="4" t="inlineStr">
        <is>
          <t>GOOD AND CLEAN CONTAINER</t>
        </is>
      </c>
      <c r="P939" s="4" t="inlineStr">
        <is>
          <t xml:space="preserve">Pickup : 2026-09-29, Return : 2026-09-29 [PAPERLESS CODE : 2829] 
 CLS TIME @SRP : 30/09 @10.00 </t>
        </is>
      </c>
      <c r="Q939" s="4" t="n">
        <v>1</v>
      </c>
      <c r="R939" s="4" t="n">
        <v>0</v>
      </c>
      <c r="S939" s="4" t="n">
        <v>0</v>
      </c>
      <c r="T939" s="4" t="n">
        <v>0</v>
      </c>
      <c r="U939" s="4" t="n">
        <v>0</v>
      </c>
      <c r="V939" s="4" t="n">
        <v>0</v>
      </c>
      <c r="W939" s="4" t="n">
        <v>0</v>
      </c>
      <c r="X939" s="4" t="n">
        <v>0</v>
      </c>
      <c r="Y939" s="4" t="n">
        <v>0</v>
      </c>
      <c r="Z939" s="4" t="n">
        <v>0</v>
      </c>
      <c r="AA939" s="4" t="n">
        <v>0</v>
      </c>
      <c r="AB939" s="4">
        <f>SUM(Q939:Y939)-Z939</f>
        <v/>
      </c>
      <c r="AC939" s="4">
        <f>IF(I939="","",IF(OR(LEFT(I939,3)="BKK",I939="LCH55"),"BKK",IF(LEFT(I939,3)="LCH","LCH","OTHER")))</f>
        <v/>
      </c>
      <c r="AD939" s="4">
        <f>MAX(0,Q939-MAX(0,Z939))</f>
        <v/>
      </c>
      <c r="AE939" s="4">
        <f>MAX(0,R939-MAX(0,Z939-SUM(Q939:Q939)))</f>
        <v/>
      </c>
      <c r="AF939" s="4">
        <f>MAX(0,S939-MAX(0,Z939-SUM(Q939:R939)))</f>
        <v/>
      </c>
      <c r="AG939" s="4">
        <f>MAX(0,T939-MAX(0,Z939-SUM(Q939:S939)))</f>
        <v/>
      </c>
      <c r="AH939" s="4">
        <f>MAX(0,U939-MAX(0,Z939-SUM(Q939:T939)))</f>
        <v/>
      </c>
      <c r="AI939" s="4">
        <f>MAX(0,V939-MAX(0,Z939-SUM(Q939:U939)))</f>
        <v/>
      </c>
      <c r="AJ939" s="4">
        <f>MAX(0,W939-MAX(0,Z939-SUM(Q939:V939)))</f>
        <v/>
      </c>
      <c r="AK939" s="4">
        <f>MAX(0,X939-MAX(0,Z939-SUM(Q939:W939)))</f>
        <v/>
      </c>
      <c r="AL939" s="4">
        <f>MAX(0,Y939-MAX(0,Z939-SUM(Q939:X939)))</f>
        <v/>
      </c>
    </row>
    <row r="940">
      <c r="A940" s="4" t="inlineStr">
        <is>
          <t>HASLS22260900734</t>
        </is>
      </c>
      <c r="B940" s="4" t="inlineStr">
        <is>
          <t>SWSP</t>
        </is>
      </c>
      <c r="C940" s="4" t="inlineStr">
        <is>
          <t>2609N</t>
        </is>
      </c>
      <c r="D940" s="4" t="inlineStr">
        <is>
          <t>202610071530</t>
        </is>
      </c>
      <c r="E940" s="4" t="inlineStr"/>
      <c r="F940" s="4" t="inlineStr">
        <is>
          <t>THBKK</t>
        </is>
      </c>
      <c r="G940" s="4" t="inlineStr">
        <is>
          <t>VNSGN</t>
        </is>
      </c>
      <c r="H940" s="4" t="inlineStr">
        <is>
          <t xml:space="preserve">40Hx2 </t>
        </is>
      </c>
      <c r="I940" s="4" t="inlineStr">
        <is>
          <t>BKK25</t>
        </is>
      </c>
      <c r="J940" s="4" t="inlineStr">
        <is>
          <t xml:space="preserve">Smart Logistics Service (Thailand ) Co.,Ltd. </t>
        </is>
      </c>
      <c r="K940" s="4" t="inlineStr">
        <is>
          <t>20260930</t>
        </is>
      </c>
      <c r="L940" s="4" t="inlineStr">
        <is>
          <t>LOGMAN INTERNATIONAL CO., LTD.</t>
        </is>
      </c>
      <c r="M940" s="4" t="inlineStr">
        <is>
          <t>OTANI RADIAL CO., LTD.</t>
        </is>
      </c>
      <c r="N940" s="4" t="inlineStr">
        <is>
          <t>NEW TIRE</t>
        </is>
      </c>
      <c r="O940" s="4" t="inlineStr">
        <is>
          <t>REQUEST GOOD AND CLEAN CONTAINER</t>
        </is>
      </c>
      <c r="P940" s="4" t="inlineStr">
        <is>
          <t>Pickup : 2026-09-30, Return : 2026-10-01</t>
        </is>
      </c>
      <c r="Q940" s="4" t="n">
        <v>0</v>
      </c>
      <c r="R940" s="4" t="n">
        <v>0</v>
      </c>
      <c r="S940" s="4" t="n">
        <v>2</v>
      </c>
      <c r="T940" s="4" t="n">
        <v>0</v>
      </c>
      <c r="U940" s="4" t="n">
        <v>0</v>
      </c>
      <c r="V940" s="4" t="n">
        <v>0</v>
      </c>
      <c r="W940" s="4" t="n">
        <v>0</v>
      </c>
      <c r="X940" s="4" t="n">
        <v>0</v>
      </c>
      <c r="Y940" s="4" t="n">
        <v>0</v>
      </c>
      <c r="Z940" s="4" t="n">
        <v>0</v>
      </c>
      <c r="AA940" s="4" t="n">
        <v>0</v>
      </c>
      <c r="AB940" s="4">
        <f>SUM(Q940:Y940)-Z940</f>
        <v/>
      </c>
      <c r="AC940" s="4">
        <f>IF(I940="","",IF(OR(LEFT(I940,3)="BKK",I940="LCH55"),"BKK",IF(LEFT(I940,3)="LCH","LCH","OTHER")))</f>
        <v/>
      </c>
      <c r="AD940" s="4">
        <f>MAX(0,Q940-MAX(0,Z940))</f>
        <v/>
      </c>
      <c r="AE940" s="4">
        <f>MAX(0,R940-MAX(0,Z940-SUM(Q940:Q940)))</f>
        <v/>
      </c>
      <c r="AF940" s="4">
        <f>MAX(0,S940-MAX(0,Z940-SUM(Q940:R940)))</f>
        <v/>
      </c>
      <c r="AG940" s="4">
        <f>MAX(0,T940-MAX(0,Z940-SUM(Q940:S940)))</f>
        <v/>
      </c>
      <c r="AH940" s="4">
        <f>MAX(0,U940-MAX(0,Z940-SUM(Q940:T940)))</f>
        <v/>
      </c>
      <c r="AI940" s="4">
        <f>MAX(0,V940-MAX(0,Z940-SUM(Q940:U940)))</f>
        <v/>
      </c>
      <c r="AJ940" s="4">
        <f>MAX(0,W940-MAX(0,Z940-SUM(Q940:V940)))</f>
        <v/>
      </c>
      <c r="AK940" s="4">
        <f>MAX(0,X940-MAX(0,Z940-SUM(Q940:W940)))</f>
        <v/>
      </c>
      <c r="AL940" s="4">
        <f>MAX(0,Y940-MAX(0,Z940-SUM(Q940:X940)))</f>
        <v/>
      </c>
    </row>
    <row r="941">
      <c r="A941" s="4" t="inlineStr">
        <is>
          <t>HASLS22260900757</t>
        </is>
      </c>
      <c r="B941" s="4" t="inlineStr">
        <is>
          <t>SWAL</t>
        </is>
      </c>
      <c r="C941" s="4" t="inlineStr">
        <is>
          <t>2609N</t>
        </is>
      </c>
      <c r="D941" s="4" t="inlineStr">
        <is>
          <t>202610191500</t>
        </is>
      </c>
      <c r="E941" s="4" t="inlineStr"/>
      <c r="F941" s="4" t="inlineStr">
        <is>
          <t>THBKK</t>
        </is>
      </c>
      <c r="G941" s="4" t="inlineStr">
        <is>
          <t>VNSGN</t>
        </is>
      </c>
      <c r="H941" s="4" t="inlineStr">
        <is>
          <t xml:space="preserve">40Hx4 </t>
        </is>
      </c>
      <c r="I941" s="4" t="inlineStr">
        <is>
          <t>BKK25</t>
        </is>
      </c>
      <c r="J941" s="4" t="inlineStr">
        <is>
          <t xml:space="preserve">Smart Logistics Service (Thailand ) Co.,Ltd. </t>
        </is>
      </c>
      <c r="K941" s="4" t="inlineStr">
        <is>
          <t>20261015</t>
        </is>
      </c>
      <c r="L941" s="4" t="inlineStr">
        <is>
          <t>MARINE EXPRESS CO., LTD.</t>
        </is>
      </c>
      <c r="M941" s="4" t="inlineStr">
        <is>
          <t>R.J. LONDON CHEMICAL INDUSTRIES CO., LTD.</t>
        </is>
      </c>
      <c r="N941" s="4" t="inlineStr">
        <is>
          <t>AUTO ACCESSORIES</t>
        </is>
      </c>
      <c r="O941" s="4" t="inlineStr">
        <is>
          <t>REQUEST GOOD CONTAINER,NO LEAK,NO SCRATCHES,NO OIL, BECAUSE PRODUCT IN CARTON NO PALLET.</t>
        </is>
      </c>
      <c r="P941" s="4" t="inlineStr">
        <is>
          <t>Pickup : 2026-10-15, Return : 2026-10-16</t>
        </is>
      </c>
      <c r="Q941" s="4" t="n">
        <v>0</v>
      </c>
      <c r="R941" s="4" t="n">
        <v>0</v>
      </c>
      <c r="S941" s="4" t="n">
        <v>4</v>
      </c>
      <c r="T941" s="4" t="n">
        <v>0</v>
      </c>
      <c r="U941" s="4" t="n">
        <v>0</v>
      </c>
      <c r="V941" s="4" t="n">
        <v>0</v>
      </c>
      <c r="W941" s="4" t="n">
        <v>0</v>
      </c>
      <c r="X941" s="4" t="n">
        <v>0</v>
      </c>
      <c r="Y941" s="4" t="n">
        <v>0</v>
      </c>
      <c r="Z941" s="4" t="n">
        <v>0</v>
      </c>
      <c r="AA941" s="4" t="n">
        <v>0</v>
      </c>
      <c r="AB941" s="4">
        <f>SUM(Q941:Y941)-Z941</f>
        <v/>
      </c>
      <c r="AC941" s="4">
        <f>IF(I941="","",IF(OR(LEFT(I941,3)="BKK",I941="LCH55"),"BKK",IF(LEFT(I941,3)="LCH","LCH","OTHER")))</f>
        <v/>
      </c>
      <c r="AD941" s="4">
        <f>MAX(0,Q941-MAX(0,Z941))</f>
        <v/>
      </c>
      <c r="AE941" s="4">
        <f>MAX(0,R941-MAX(0,Z941-SUM(Q941:Q941)))</f>
        <v/>
      </c>
      <c r="AF941" s="4">
        <f>MAX(0,S941-MAX(0,Z941-SUM(Q941:R941)))</f>
        <v/>
      </c>
      <c r="AG941" s="4">
        <f>MAX(0,T941-MAX(0,Z941-SUM(Q941:S941)))</f>
        <v/>
      </c>
      <c r="AH941" s="4">
        <f>MAX(0,U941-MAX(0,Z941-SUM(Q941:T941)))</f>
        <v/>
      </c>
      <c r="AI941" s="4">
        <f>MAX(0,V941-MAX(0,Z941-SUM(Q941:U941)))</f>
        <v/>
      </c>
      <c r="AJ941" s="4">
        <f>MAX(0,W941-MAX(0,Z941-SUM(Q941:V941)))</f>
        <v/>
      </c>
      <c r="AK941" s="4">
        <f>MAX(0,X941-MAX(0,Z941-SUM(Q941:W941)))</f>
        <v/>
      </c>
      <c r="AL941" s="4">
        <f>MAX(0,Y941-MAX(0,Z941-SUM(Q941:X941)))</f>
        <v/>
      </c>
    </row>
    <row r="942">
      <c r="A942" s="4" t="inlineStr">
        <is>
          <t>HASLS22260900779</t>
        </is>
      </c>
      <c r="B942" s="4" t="inlineStr">
        <is>
          <t>KMTP</t>
        </is>
      </c>
      <c r="C942" s="4" t="inlineStr">
        <is>
          <t>2612N</t>
        </is>
      </c>
      <c r="D942" s="4" t="inlineStr">
        <is>
          <t>202610120800</t>
        </is>
      </c>
      <c r="E942" s="4" t="inlineStr"/>
      <c r="F942" s="4" t="inlineStr">
        <is>
          <t>THBKK</t>
        </is>
      </c>
      <c r="G942" s="4" t="inlineStr">
        <is>
          <t>HKHKG</t>
        </is>
      </c>
      <c r="H942" s="4" t="inlineStr">
        <is>
          <t xml:space="preserve">20'x1 </t>
        </is>
      </c>
      <c r="I942" s="4" t="inlineStr">
        <is>
          <t>BKK25</t>
        </is>
      </c>
      <c r="J942" s="4" t="inlineStr">
        <is>
          <t xml:space="preserve">Smart Logistics Service (Thailand ) Co.,Ltd. </t>
        </is>
      </c>
      <c r="K942" s="4" t="inlineStr">
        <is>
          <t>20261007</t>
        </is>
      </c>
      <c r="L942" s="4" t="inlineStr">
        <is>
          <t>CARGO CARE LOGISTICS CO., LTD.</t>
        </is>
      </c>
      <c r="M942" s="4" t="inlineStr">
        <is>
          <t>RIVER KWAI INTERNATIONAL FOOD INDUSTRY CO., LTD.</t>
        </is>
      </c>
      <c r="N942" s="4" t="inlineStr">
        <is>
          <t>SWEET CORN</t>
        </is>
      </c>
      <c r="O942" s="4" t="inlineStr">
        <is>
          <t>Good and clean Container (Food Grade)
(No leaks, no odors, and no oil stains.)</t>
        </is>
      </c>
      <c r="P942" s="4" t="inlineStr">
        <is>
          <t xml:space="preserve">Pickup : 2026-10-07, Return : 2026-10-08 </t>
        </is>
      </c>
      <c r="Q942" s="4" t="n">
        <v>1</v>
      </c>
      <c r="R942" s="4" t="n">
        <v>0</v>
      </c>
      <c r="S942" s="4" t="n">
        <v>0</v>
      </c>
      <c r="T942" s="4" t="n">
        <v>0</v>
      </c>
      <c r="U942" s="4" t="n">
        <v>0</v>
      </c>
      <c r="V942" s="4" t="n">
        <v>0</v>
      </c>
      <c r="W942" s="4" t="n">
        <v>0</v>
      </c>
      <c r="X942" s="4" t="n">
        <v>0</v>
      </c>
      <c r="Y942" s="4" t="n">
        <v>0</v>
      </c>
      <c r="Z942" s="4" t="n">
        <v>0</v>
      </c>
      <c r="AA942" s="4" t="n">
        <v>0</v>
      </c>
      <c r="AB942" s="4">
        <f>SUM(Q942:Y942)-Z942</f>
        <v/>
      </c>
      <c r="AC942" s="4">
        <f>IF(I942="","",IF(OR(LEFT(I942,3)="BKK",I942="LCH55"),"BKK",IF(LEFT(I942,3)="LCH","LCH","OTHER")))</f>
        <v/>
      </c>
      <c r="AD942" s="4">
        <f>MAX(0,Q942-MAX(0,Z942))</f>
        <v/>
      </c>
      <c r="AE942" s="4">
        <f>MAX(0,R942-MAX(0,Z942-SUM(Q942:Q942)))</f>
        <v/>
      </c>
      <c r="AF942" s="4">
        <f>MAX(0,S942-MAX(0,Z942-SUM(Q942:R942)))</f>
        <v/>
      </c>
      <c r="AG942" s="4">
        <f>MAX(0,T942-MAX(0,Z942-SUM(Q942:S942)))</f>
        <v/>
      </c>
      <c r="AH942" s="4">
        <f>MAX(0,U942-MAX(0,Z942-SUM(Q942:T942)))</f>
        <v/>
      </c>
      <c r="AI942" s="4">
        <f>MAX(0,V942-MAX(0,Z942-SUM(Q942:U942)))</f>
        <v/>
      </c>
      <c r="AJ942" s="4">
        <f>MAX(0,W942-MAX(0,Z942-SUM(Q942:V942)))</f>
        <v/>
      </c>
      <c r="AK942" s="4">
        <f>MAX(0,X942-MAX(0,Z942-SUM(Q942:W942)))</f>
        <v/>
      </c>
      <c r="AL942" s="4">
        <f>MAX(0,Y942-MAX(0,Z942-SUM(Q942:X942)))</f>
        <v/>
      </c>
    </row>
    <row r="943">
      <c r="A943" s="4" t="inlineStr">
        <is>
          <t>HASLS22260900781</t>
        </is>
      </c>
      <c r="B943" s="4" t="inlineStr">
        <is>
          <t>SWAT</t>
        </is>
      </c>
      <c r="C943" s="4" t="inlineStr">
        <is>
          <t>2610N</t>
        </is>
      </c>
      <c r="D943" s="4" t="inlineStr">
        <is>
          <t>202610071700</t>
        </is>
      </c>
      <c r="E943" s="4" t="inlineStr"/>
      <c r="F943" s="4" t="inlineStr">
        <is>
          <t>THBKK</t>
        </is>
      </c>
      <c r="G943" s="4" t="inlineStr">
        <is>
          <t>HKHKG</t>
        </is>
      </c>
      <c r="H943" s="4" t="inlineStr">
        <is>
          <t xml:space="preserve">20'x2 </t>
        </is>
      </c>
      <c r="I943" s="4" t="inlineStr">
        <is>
          <t>BKK25</t>
        </is>
      </c>
      <c r="J943" s="4" t="inlineStr">
        <is>
          <t xml:space="preserve">Smart Logistics Service (Thailand ) Co.,Ltd. </t>
        </is>
      </c>
      <c r="K943" s="4" t="inlineStr">
        <is>
          <t>20261002</t>
        </is>
      </c>
      <c r="L943" s="4" t="inlineStr">
        <is>
          <t>CARGO CARE LOGISTICS CO., LTD.</t>
        </is>
      </c>
      <c r="M943" s="4" t="inlineStr">
        <is>
          <t>RIVER KWAI INTERNATIONAL FOOD INDUSTRY CO., LTD.</t>
        </is>
      </c>
      <c r="N943" s="4" t="inlineStr">
        <is>
          <t>SWEET CORN</t>
        </is>
      </c>
      <c r="O943" s="4" t="inlineStr">
        <is>
          <t>Good and clean Container (Food Grade)
(No leaks, no odors, and no oil stains.)</t>
        </is>
      </c>
      <c r="P943" s="4" t="inlineStr">
        <is>
          <t>Pickup : 2026-10-02, Return : 2026-10-03</t>
        </is>
      </c>
      <c r="Q943" s="4" t="n">
        <v>2</v>
      </c>
      <c r="R943" s="4" t="n">
        <v>0</v>
      </c>
      <c r="S943" s="4" t="n">
        <v>0</v>
      </c>
      <c r="T943" s="4" t="n">
        <v>0</v>
      </c>
      <c r="U943" s="4" t="n">
        <v>0</v>
      </c>
      <c r="V943" s="4" t="n">
        <v>0</v>
      </c>
      <c r="W943" s="4" t="n">
        <v>0</v>
      </c>
      <c r="X943" s="4" t="n">
        <v>0</v>
      </c>
      <c r="Y943" s="4" t="n">
        <v>0</v>
      </c>
      <c r="Z943" s="4" t="n">
        <v>0</v>
      </c>
      <c r="AA943" s="4" t="n">
        <v>0</v>
      </c>
      <c r="AB943" s="4">
        <f>SUM(Q943:Y943)-Z943</f>
        <v/>
      </c>
      <c r="AC943" s="4">
        <f>IF(I943="","",IF(OR(LEFT(I943,3)="BKK",I943="LCH55"),"BKK",IF(LEFT(I943,3)="LCH","LCH","OTHER")))</f>
        <v/>
      </c>
      <c r="AD943" s="4">
        <f>MAX(0,Q943-MAX(0,Z943))</f>
        <v/>
      </c>
      <c r="AE943" s="4">
        <f>MAX(0,R943-MAX(0,Z943-SUM(Q943:Q943)))</f>
        <v/>
      </c>
      <c r="AF943" s="4">
        <f>MAX(0,S943-MAX(0,Z943-SUM(Q943:R943)))</f>
        <v/>
      </c>
      <c r="AG943" s="4">
        <f>MAX(0,T943-MAX(0,Z943-SUM(Q943:S943)))</f>
        <v/>
      </c>
      <c r="AH943" s="4">
        <f>MAX(0,U943-MAX(0,Z943-SUM(Q943:T943)))</f>
        <v/>
      </c>
      <c r="AI943" s="4">
        <f>MAX(0,V943-MAX(0,Z943-SUM(Q943:U943)))</f>
        <v/>
      </c>
      <c r="AJ943" s="4">
        <f>MAX(0,W943-MAX(0,Z943-SUM(Q943:V943)))</f>
        <v/>
      </c>
      <c r="AK943" s="4">
        <f>MAX(0,X943-MAX(0,Z943-SUM(Q943:W943)))</f>
        <v/>
      </c>
      <c r="AL943" s="4">
        <f>MAX(0,Y943-MAX(0,Z943-SUM(Q943:X943)))</f>
        <v/>
      </c>
    </row>
    <row r="944">
      <c r="A944" s="4" t="inlineStr">
        <is>
          <t>HASLS22260900787</t>
        </is>
      </c>
      <c r="B944" s="4" t="inlineStr">
        <is>
          <t>SWAT</t>
        </is>
      </c>
      <c r="C944" s="4" t="inlineStr">
        <is>
          <t>2610N</t>
        </is>
      </c>
      <c r="D944" s="4" t="inlineStr">
        <is>
          <t>202610071700</t>
        </is>
      </c>
      <c r="E944" s="4" t="inlineStr"/>
      <c r="F944" s="4" t="inlineStr">
        <is>
          <t>THBKK</t>
        </is>
      </c>
      <c r="G944" s="4" t="inlineStr">
        <is>
          <t>TWKEL</t>
        </is>
      </c>
      <c r="H944" s="4" t="inlineStr">
        <is>
          <t xml:space="preserve">20'x1 </t>
        </is>
      </c>
      <c r="I944" s="4" t="inlineStr">
        <is>
          <t>BKK25</t>
        </is>
      </c>
      <c r="J944" s="4" t="inlineStr">
        <is>
          <t xml:space="preserve">Smart Logistics Service (Thailand ) Co.,Ltd. </t>
        </is>
      </c>
      <c r="K944" s="4" t="inlineStr">
        <is>
          <t>20261001</t>
        </is>
      </c>
      <c r="L944" s="4" t="inlineStr">
        <is>
          <t>ASIA-PACIFIC LOGISTICS CO., LTD.</t>
        </is>
      </c>
      <c r="M944" s="4" t="inlineStr">
        <is>
          <t>UNICORD PUBLIC COMPANY LIMITED</t>
        </is>
      </c>
      <c r="N944" s="4" t="inlineStr">
        <is>
          <t>CANNED GOODS</t>
        </is>
      </c>
      <c r="O944" s="4" t="inlineStr">
        <is>
          <t>GOOD AND CLEAN CONTAINER</t>
        </is>
      </c>
      <c r="P944" s="4" t="inlineStr">
        <is>
          <t>Pickup : 2026-10-01, Return : 2026-10-02</t>
        </is>
      </c>
      <c r="Q944" s="4" t="n">
        <v>1</v>
      </c>
      <c r="R944" s="4" t="n">
        <v>0</v>
      </c>
      <c r="S944" s="4" t="n">
        <v>0</v>
      </c>
      <c r="T944" s="4" t="n">
        <v>0</v>
      </c>
      <c r="U944" s="4" t="n">
        <v>0</v>
      </c>
      <c r="V944" s="4" t="n">
        <v>0</v>
      </c>
      <c r="W944" s="4" t="n">
        <v>0</v>
      </c>
      <c r="X944" s="4" t="n">
        <v>0</v>
      </c>
      <c r="Y944" s="4" t="n">
        <v>0</v>
      </c>
      <c r="Z944" s="4" t="n">
        <v>0</v>
      </c>
      <c r="AA944" s="4" t="n">
        <v>0</v>
      </c>
      <c r="AB944" s="4">
        <f>SUM(Q944:Y944)-Z944</f>
        <v/>
      </c>
      <c r="AC944" s="4">
        <f>IF(I944="","",IF(OR(LEFT(I944,3)="BKK",I944="LCH55"),"BKK",IF(LEFT(I944,3)="LCH","LCH","OTHER")))</f>
        <v/>
      </c>
      <c r="AD944" s="4">
        <f>MAX(0,Q944-MAX(0,Z944))</f>
        <v/>
      </c>
      <c r="AE944" s="4">
        <f>MAX(0,R944-MAX(0,Z944-SUM(Q944:Q944)))</f>
        <v/>
      </c>
      <c r="AF944" s="4">
        <f>MAX(0,S944-MAX(0,Z944-SUM(Q944:R944)))</f>
        <v/>
      </c>
      <c r="AG944" s="4">
        <f>MAX(0,T944-MAX(0,Z944-SUM(Q944:S944)))</f>
        <v/>
      </c>
      <c r="AH944" s="4">
        <f>MAX(0,U944-MAX(0,Z944-SUM(Q944:T944)))</f>
        <v/>
      </c>
      <c r="AI944" s="4">
        <f>MAX(0,V944-MAX(0,Z944-SUM(Q944:U944)))</f>
        <v/>
      </c>
      <c r="AJ944" s="4">
        <f>MAX(0,W944-MAX(0,Z944-SUM(Q944:V944)))</f>
        <v/>
      </c>
      <c r="AK944" s="4">
        <f>MAX(0,X944-MAX(0,Z944-SUM(Q944:W944)))</f>
        <v/>
      </c>
      <c r="AL944" s="4">
        <f>MAX(0,Y944-MAX(0,Z944-SUM(Q944:X944)))</f>
        <v/>
      </c>
    </row>
    <row r="945">
      <c r="A945" s="4" t="inlineStr">
        <is>
          <t>HASLS22260900814</t>
        </is>
      </c>
      <c r="B945" s="4" t="inlineStr">
        <is>
          <t>KMTP</t>
        </is>
      </c>
      <c r="C945" s="4" t="inlineStr">
        <is>
          <t>2612N</t>
        </is>
      </c>
      <c r="D945" s="4" t="inlineStr">
        <is>
          <t>202610120800</t>
        </is>
      </c>
      <c r="E945" s="4" t="inlineStr"/>
      <c r="F945" s="4" t="inlineStr">
        <is>
          <t>THBKK</t>
        </is>
      </c>
      <c r="G945" s="4" t="inlineStr">
        <is>
          <t>HKHKG</t>
        </is>
      </c>
      <c r="H945" s="4" t="inlineStr">
        <is>
          <t xml:space="preserve">20'x1 </t>
        </is>
      </c>
      <c r="I945" s="4" t="inlineStr">
        <is>
          <t>BKK25</t>
        </is>
      </c>
      <c r="J945" s="4" t="inlineStr">
        <is>
          <t xml:space="preserve">Smart Logistics Service (Thailand ) Co.,Ltd. </t>
        </is>
      </c>
      <c r="K945" s="4" t="inlineStr">
        <is>
          <t>20261006</t>
        </is>
      </c>
      <c r="L945" s="4" t="inlineStr">
        <is>
          <t>RHENUS LOGISTICS CO., LTD.</t>
        </is>
      </c>
      <c r="M945" s="4" t="inlineStr">
        <is>
          <t>SOJITZ (THAILAND) CO., LTD.</t>
        </is>
      </c>
      <c r="N945" s="4" t="inlineStr">
        <is>
          <t>CANNED COCONUT MILK</t>
        </is>
      </c>
      <c r="O945" s="4" t="inlineStr">
        <is>
          <t>**REQ : Container dry and clean, no rust, no oil, no hole, no bur, no smell and wooden floor.</t>
        </is>
      </c>
      <c r="P945" s="4" t="inlineStr">
        <is>
          <t>Pickup : 2026-10-06, Return : 2026-10-07</t>
        </is>
      </c>
      <c r="Q945" s="4" t="n">
        <v>1</v>
      </c>
      <c r="R945" s="4" t="n">
        <v>0</v>
      </c>
      <c r="S945" s="4" t="n">
        <v>0</v>
      </c>
      <c r="T945" s="4" t="n">
        <v>0</v>
      </c>
      <c r="U945" s="4" t="n">
        <v>0</v>
      </c>
      <c r="V945" s="4" t="n">
        <v>0</v>
      </c>
      <c r="W945" s="4" t="n">
        <v>0</v>
      </c>
      <c r="X945" s="4" t="n">
        <v>0</v>
      </c>
      <c r="Y945" s="4" t="n">
        <v>0</v>
      </c>
      <c r="Z945" s="4" t="n">
        <v>0</v>
      </c>
      <c r="AA945" s="4" t="n">
        <v>0</v>
      </c>
      <c r="AB945" s="4">
        <f>SUM(Q945:Y945)-Z945</f>
        <v/>
      </c>
      <c r="AC945" s="4">
        <f>IF(I945="","",IF(OR(LEFT(I945,3)="BKK",I945="LCH55"),"BKK",IF(LEFT(I945,3)="LCH","LCH","OTHER")))</f>
        <v/>
      </c>
      <c r="AD945" s="4">
        <f>MAX(0,Q945-MAX(0,Z945))</f>
        <v/>
      </c>
      <c r="AE945" s="4">
        <f>MAX(0,R945-MAX(0,Z945-SUM(Q945:Q945)))</f>
        <v/>
      </c>
      <c r="AF945" s="4">
        <f>MAX(0,S945-MAX(0,Z945-SUM(Q945:R945)))</f>
        <v/>
      </c>
      <c r="AG945" s="4">
        <f>MAX(0,T945-MAX(0,Z945-SUM(Q945:S945)))</f>
        <v/>
      </c>
      <c r="AH945" s="4">
        <f>MAX(0,U945-MAX(0,Z945-SUM(Q945:T945)))</f>
        <v/>
      </c>
      <c r="AI945" s="4">
        <f>MAX(0,V945-MAX(0,Z945-SUM(Q945:U945)))</f>
        <v/>
      </c>
      <c r="AJ945" s="4">
        <f>MAX(0,W945-MAX(0,Z945-SUM(Q945:V945)))</f>
        <v/>
      </c>
      <c r="AK945" s="4">
        <f>MAX(0,X945-MAX(0,Z945-SUM(Q945:W945)))</f>
        <v/>
      </c>
      <c r="AL945" s="4">
        <f>MAX(0,Y945-MAX(0,Z945-SUM(Q945:X945)))</f>
        <v/>
      </c>
    </row>
    <row r="946">
      <c r="A946" s="4" t="inlineStr">
        <is>
          <t>HASLS22260900825</t>
        </is>
      </c>
      <c r="B946" s="4" t="inlineStr">
        <is>
          <t>SWDN</t>
        </is>
      </c>
      <c r="C946" s="4" t="inlineStr">
        <is>
          <t>2610N</t>
        </is>
      </c>
      <c r="D946" s="4" t="inlineStr">
        <is>
          <t>202610060900</t>
        </is>
      </c>
      <c r="E946" s="4" t="inlineStr"/>
      <c r="F946" s="4" t="inlineStr">
        <is>
          <t>THBKK</t>
        </is>
      </c>
      <c r="G946" s="4" t="inlineStr">
        <is>
          <t>HKHKG</t>
        </is>
      </c>
      <c r="H946" s="4" t="inlineStr">
        <is>
          <t xml:space="preserve">20'x3 </t>
        </is>
      </c>
      <c r="I946" s="4" t="inlineStr">
        <is>
          <t>BKK25</t>
        </is>
      </c>
      <c r="J946" s="4" t="inlineStr">
        <is>
          <t xml:space="preserve">Smart Logistics Service (Thailand ) Co.,Ltd. </t>
        </is>
      </c>
      <c r="K946" s="4" t="inlineStr">
        <is>
          <t>20260929</t>
        </is>
      </c>
      <c r="L946" s="4" t="inlineStr">
        <is>
          <t>KUEHNE + NAGEL LIMITED</t>
        </is>
      </c>
      <c r="M946" s="4" t="inlineStr">
        <is>
          <t>SINGHA WORLDWIDE INTERNATIONAL CO., LTD.</t>
        </is>
      </c>
      <c r="N946" s="4" t="inlineStr">
        <is>
          <t>SODA WATER</t>
        </is>
      </c>
      <c r="O946" s="4" t="inlineStr">
        <is>
          <t>Req underdesk cargo and food grade container</t>
        </is>
      </c>
      <c r="P946" s="4" t="inlineStr">
        <is>
          <t xml:space="preserve">Pickup : 2026-09-29, Return : 2026-10-02 </t>
        </is>
      </c>
      <c r="Q946" s="4" t="n">
        <v>3</v>
      </c>
      <c r="R946" s="4" t="n">
        <v>0</v>
      </c>
      <c r="S946" s="4" t="n">
        <v>0</v>
      </c>
      <c r="T946" s="4" t="n">
        <v>0</v>
      </c>
      <c r="U946" s="4" t="n">
        <v>0</v>
      </c>
      <c r="V946" s="4" t="n">
        <v>0</v>
      </c>
      <c r="W946" s="4" t="n">
        <v>0</v>
      </c>
      <c r="X946" s="4" t="n">
        <v>0</v>
      </c>
      <c r="Y946" s="4" t="n">
        <v>0</v>
      </c>
      <c r="Z946" s="4" t="n">
        <v>0</v>
      </c>
      <c r="AA946" s="4" t="n">
        <v>0</v>
      </c>
      <c r="AB946" s="4">
        <f>SUM(Q946:Y946)-Z946</f>
        <v/>
      </c>
      <c r="AC946" s="4">
        <f>IF(I946="","",IF(OR(LEFT(I946,3)="BKK",I946="LCH55"),"BKK",IF(LEFT(I946,3)="LCH","LCH","OTHER")))</f>
        <v/>
      </c>
      <c r="AD946" s="4">
        <f>MAX(0,Q946-MAX(0,Z946))</f>
        <v/>
      </c>
      <c r="AE946" s="4">
        <f>MAX(0,R946-MAX(0,Z946-SUM(Q946:Q946)))</f>
        <v/>
      </c>
      <c r="AF946" s="4">
        <f>MAX(0,S946-MAX(0,Z946-SUM(Q946:R946)))</f>
        <v/>
      </c>
      <c r="AG946" s="4">
        <f>MAX(0,T946-MAX(0,Z946-SUM(Q946:S946)))</f>
        <v/>
      </c>
      <c r="AH946" s="4">
        <f>MAX(0,U946-MAX(0,Z946-SUM(Q946:T946)))</f>
        <v/>
      </c>
      <c r="AI946" s="4">
        <f>MAX(0,V946-MAX(0,Z946-SUM(Q946:U946)))</f>
        <v/>
      </c>
      <c r="AJ946" s="4">
        <f>MAX(0,W946-MAX(0,Z946-SUM(Q946:V946)))</f>
        <v/>
      </c>
      <c r="AK946" s="4">
        <f>MAX(0,X946-MAX(0,Z946-SUM(Q946:W946)))</f>
        <v/>
      </c>
      <c r="AL946" s="4">
        <f>MAX(0,Y946-MAX(0,Z946-SUM(Q946:X946)))</f>
        <v/>
      </c>
    </row>
    <row r="947">
      <c r="A947" s="4" t="inlineStr">
        <is>
          <t>HASLS22260900826</t>
        </is>
      </c>
      <c r="B947" s="4" t="inlineStr">
        <is>
          <t>SWAT</t>
        </is>
      </c>
      <c r="C947" s="4" t="inlineStr">
        <is>
          <t>2610N</t>
        </is>
      </c>
      <c r="D947" s="4" t="inlineStr">
        <is>
          <t>202610071700</t>
        </is>
      </c>
      <c r="E947" s="4" t="inlineStr"/>
      <c r="F947" s="4" t="inlineStr">
        <is>
          <t>THBKK</t>
        </is>
      </c>
      <c r="G947" s="4" t="inlineStr">
        <is>
          <t>HKHKG</t>
        </is>
      </c>
      <c r="H947" s="4" t="inlineStr">
        <is>
          <t xml:space="preserve">40Hx1 </t>
        </is>
      </c>
      <c r="I947" s="4" t="inlineStr">
        <is>
          <t>BKK25</t>
        </is>
      </c>
      <c r="J947" s="4" t="inlineStr">
        <is>
          <t xml:space="preserve">Smart Logistics Service (Thailand ) Co.,Ltd. </t>
        </is>
      </c>
      <c r="K947" s="4" t="inlineStr">
        <is>
          <t>20260928</t>
        </is>
      </c>
      <c r="L947" s="4" t="inlineStr">
        <is>
          <t>FULL WELL FREIGHT (THAILAND) CO., LTD.</t>
        </is>
      </c>
      <c r="M947" s="4" t="inlineStr">
        <is>
          <t>ROFU (THAILAND) LTD.</t>
        </is>
      </c>
      <c r="N947" s="4" t="inlineStr">
        <is>
          <t>SHOE</t>
        </is>
      </c>
      <c r="O947" s="4" t="inlineStr">
        <is>
          <t>GOOD AND CLEAN CONTAINER</t>
        </is>
      </c>
      <c r="P947" s="4" t="inlineStr">
        <is>
          <t xml:space="preserve">Pickup : 2026-09-28, Return : 2026-09-29 
 </t>
        </is>
      </c>
      <c r="Q947" s="4" t="n">
        <v>0</v>
      </c>
      <c r="R947" s="4" t="n">
        <v>0</v>
      </c>
      <c r="S947" s="4" t="n">
        <v>1</v>
      </c>
      <c r="T947" s="4" t="n">
        <v>0</v>
      </c>
      <c r="U947" s="4" t="n">
        <v>0</v>
      </c>
      <c r="V947" s="4" t="n">
        <v>0</v>
      </c>
      <c r="W947" s="4" t="n">
        <v>0</v>
      </c>
      <c r="X947" s="4" t="n">
        <v>0</v>
      </c>
      <c r="Y947" s="4" t="n">
        <v>0</v>
      </c>
      <c r="Z947" s="4" t="n">
        <v>0</v>
      </c>
      <c r="AA947" s="4" t="n">
        <v>0</v>
      </c>
      <c r="AB947" s="4">
        <f>SUM(Q947:Y947)-Z947</f>
        <v/>
      </c>
      <c r="AC947" s="4">
        <f>IF(I947="","",IF(OR(LEFT(I947,3)="BKK",I947="LCH55"),"BKK",IF(LEFT(I947,3)="LCH","LCH","OTHER")))</f>
        <v/>
      </c>
      <c r="AD947" s="4">
        <f>MAX(0,Q947-MAX(0,Z947))</f>
        <v/>
      </c>
      <c r="AE947" s="4">
        <f>MAX(0,R947-MAX(0,Z947-SUM(Q947:Q947)))</f>
        <v/>
      </c>
      <c r="AF947" s="4">
        <f>MAX(0,S947-MAX(0,Z947-SUM(Q947:R947)))</f>
        <v/>
      </c>
      <c r="AG947" s="4">
        <f>MAX(0,T947-MAX(0,Z947-SUM(Q947:S947)))</f>
        <v/>
      </c>
      <c r="AH947" s="4">
        <f>MAX(0,U947-MAX(0,Z947-SUM(Q947:T947)))</f>
        <v/>
      </c>
      <c r="AI947" s="4">
        <f>MAX(0,V947-MAX(0,Z947-SUM(Q947:U947)))</f>
        <v/>
      </c>
      <c r="AJ947" s="4">
        <f>MAX(0,W947-MAX(0,Z947-SUM(Q947:V947)))</f>
        <v/>
      </c>
      <c r="AK947" s="4">
        <f>MAX(0,X947-MAX(0,Z947-SUM(Q947:W947)))</f>
        <v/>
      </c>
      <c r="AL947" s="4">
        <f>MAX(0,Y947-MAX(0,Z947-SUM(Q947:X947)))</f>
        <v/>
      </c>
    </row>
    <row r="948">
      <c r="A948" s="4" t="inlineStr">
        <is>
          <t>HASLS22260900834</t>
        </is>
      </c>
      <c r="B948" s="4" t="inlineStr">
        <is>
          <t>SWSP</t>
        </is>
      </c>
      <c r="C948" s="4" t="inlineStr">
        <is>
          <t>2609N</t>
        </is>
      </c>
      <c r="D948" s="4" t="inlineStr">
        <is>
          <t>202610071530</t>
        </is>
      </c>
      <c r="E948" s="4" t="inlineStr"/>
      <c r="F948" s="4" t="inlineStr">
        <is>
          <t>THBKK</t>
        </is>
      </c>
      <c r="G948" s="4" t="inlineStr">
        <is>
          <t>VNSGN</t>
        </is>
      </c>
      <c r="H948" s="4" t="inlineStr">
        <is>
          <t xml:space="preserve">40Hx2 </t>
        </is>
      </c>
      <c r="I948" s="4" t="inlineStr">
        <is>
          <t>BKK25</t>
        </is>
      </c>
      <c r="J948" s="4" t="inlineStr">
        <is>
          <t xml:space="preserve">Smart Logistics Service (Thailand ) Co.,Ltd. </t>
        </is>
      </c>
      <c r="K948" s="4" t="inlineStr">
        <is>
          <t>20261003</t>
        </is>
      </c>
      <c r="L948" s="4" t="inlineStr">
        <is>
          <t>CMS LOGISTICS GROUP (THAILAND) CO., LTD.</t>
        </is>
      </c>
      <c r="M948" s="4" t="inlineStr">
        <is>
          <t>TETRA PAK (THAILAND) LIMITED</t>
        </is>
      </c>
      <c r="N948" s="4" t="inlineStr">
        <is>
          <t>USED PLASTIC PALLET</t>
        </is>
      </c>
      <c r="O948" s="4" t="inlineStr">
        <is>
          <t>REQUEST CONTAINER GOODS &amp; CLEAN</t>
        </is>
      </c>
      <c r="P948" s="4" t="inlineStr">
        <is>
          <t>Pickup : 2026-10-03, Return : 2026-10-05</t>
        </is>
      </c>
      <c r="Q948" s="4" t="n">
        <v>0</v>
      </c>
      <c r="R948" s="4" t="n">
        <v>0</v>
      </c>
      <c r="S948" s="4" t="n">
        <v>2</v>
      </c>
      <c r="T948" s="4" t="n">
        <v>0</v>
      </c>
      <c r="U948" s="4" t="n">
        <v>0</v>
      </c>
      <c r="V948" s="4" t="n">
        <v>0</v>
      </c>
      <c r="W948" s="4" t="n">
        <v>0</v>
      </c>
      <c r="X948" s="4" t="n">
        <v>0</v>
      </c>
      <c r="Y948" s="4" t="n">
        <v>0</v>
      </c>
      <c r="Z948" s="4" t="n">
        <v>0</v>
      </c>
      <c r="AA948" s="4" t="n">
        <v>0</v>
      </c>
      <c r="AB948" s="4">
        <f>SUM(Q948:Y948)-Z948</f>
        <v/>
      </c>
      <c r="AC948" s="4">
        <f>IF(I948="","",IF(OR(LEFT(I948,3)="BKK",I948="LCH55"),"BKK",IF(LEFT(I948,3)="LCH","LCH","OTHER")))</f>
        <v/>
      </c>
      <c r="AD948" s="4">
        <f>MAX(0,Q948-MAX(0,Z948))</f>
        <v/>
      </c>
      <c r="AE948" s="4">
        <f>MAX(0,R948-MAX(0,Z948-SUM(Q948:Q948)))</f>
        <v/>
      </c>
      <c r="AF948" s="4">
        <f>MAX(0,S948-MAX(0,Z948-SUM(Q948:R948)))</f>
        <v/>
      </c>
      <c r="AG948" s="4">
        <f>MAX(0,T948-MAX(0,Z948-SUM(Q948:S948)))</f>
        <v/>
      </c>
      <c r="AH948" s="4">
        <f>MAX(0,U948-MAX(0,Z948-SUM(Q948:T948)))</f>
        <v/>
      </c>
      <c r="AI948" s="4">
        <f>MAX(0,V948-MAX(0,Z948-SUM(Q948:U948)))</f>
        <v/>
      </c>
      <c r="AJ948" s="4">
        <f>MAX(0,W948-MAX(0,Z948-SUM(Q948:V948)))</f>
        <v/>
      </c>
      <c r="AK948" s="4">
        <f>MAX(0,X948-MAX(0,Z948-SUM(Q948:W948)))</f>
        <v/>
      </c>
      <c r="AL948" s="4">
        <f>MAX(0,Y948-MAX(0,Z948-SUM(Q948:X948)))</f>
        <v/>
      </c>
    </row>
    <row r="949">
      <c r="A949" s="4" t="inlineStr">
        <is>
          <t>HASLS22260900835</t>
        </is>
      </c>
      <c r="B949" s="4" t="inlineStr">
        <is>
          <t>DJCF</t>
        </is>
      </c>
      <c r="C949" s="4" t="inlineStr">
        <is>
          <t>0152N</t>
        </is>
      </c>
      <c r="D949" s="4" t="inlineStr">
        <is>
          <t>202610111000</t>
        </is>
      </c>
      <c r="E949" s="4" t="inlineStr"/>
      <c r="F949" s="4" t="inlineStr">
        <is>
          <t>THBKK</t>
        </is>
      </c>
      <c r="G949" s="4" t="inlineStr">
        <is>
          <t>VNSGN</t>
        </is>
      </c>
      <c r="H949" s="4" t="inlineStr">
        <is>
          <t xml:space="preserve">20'x1 </t>
        </is>
      </c>
      <c r="I949" s="4" t="inlineStr">
        <is>
          <t>BKK25</t>
        </is>
      </c>
      <c r="J949" s="4" t="inlineStr">
        <is>
          <t xml:space="preserve">Smart Logistics Service (Thailand ) Co.,Ltd. </t>
        </is>
      </c>
      <c r="K949" s="4" t="inlineStr">
        <is>
          <t>20261005</t>
        </is>
      </c>
      <c r="L949" s="4" t="inlineStr">
        <is>
          <t>YAMATO UNYU (THAILAND) CO., LTD.</t>
        </is>
      </c>
      <c r="M949" s="4" t="inlineStr">
        <is>
          <t>LOGTHAI-OROTEX CO,LTD</t>
        </is>
      </c>
      <c r="N949" s="4" t="inlineStr">
        <is>
          <t>RUBBER PARTS</t>
        </is>
      </c>
      <c r="O949" s="4" t="inlineStr">
        <is>
          <t>Request good and clean container , not damage , none any hole , smooth floor , ceiling &amp; wall not deforme</t>
        </is>
      </c>
      <c r="P949" s="4" t="inlineStr">
        <is>
          <t>Pickup : 2026-10-05, Return : 2026-10-06</t>
        </is>
      </c>
      <c r="Q949" s="4" t="n">
        <v>1</v>
      </c>
      <c r="R949" s="4" t="n">
        <v>0</v>
      </c>
      <c r="S949" s="4" t="n">
        <v>0</v>
      </c>
      <c r="T949" s="4" t="n">
        <v>0</v>
      </c>
      <c r="U949" s="4" t="n">
        <v>0</v>
      </c>
      <c r="V949" s="4" t="n">
        <v>0</v>
      </c>
      <c r="W949" s="4" t="n">
        <v>0</v>
      </c>
      <c r="X949" s="4" t="n">
        <v>0</v>
      </c>
      <c r="Y949" s="4" t="n">
        <v>0</v>
      </c>
      <c r="Z949" s="4" t="n">
        <v>0</v>
      </c>
      <c r="AA949" s="4" t="n">
        <v>0</v>
      </c>
      <c r="AB949" s="4">
        <f>SUM(Q949:Y949)-Z949</f>
        <v/>
      </c>
      <c r="AC949" s="4">
        <f>IF(I949="","",IF(OR(LEFT(I949,3)="BKK",I949="LCH55"),"BKK",IF(LEFT(I949,3)="LCH","LCH","OTHER")))</f>
        <v/>
      </c>
      <c r="AD949" s="4">
        <f>MAX(0,Q949-MAX(0,Z949))</f>
        <v/>
      </c>
      <c r="AE949" s="4">
        <f>MAX(0,R949-MAX(0,Z949-SUM(Q949:Q949)))</f>
        <v/>
      </c>
      <c r="AF949" s="4">
        <f>MAX(0,S949-MAX(0,Z949-SUM(Q949:R949)))</f>
        <v/>
      </c>
      <c r="AG949" s="4">
        <f>MAX(0,T949-MAX(0,Z949-SUM(Q949:S949)))</f>
        <v/>
      </c>
      <c r="AH949" s="4">
        <f>MAX(0,U949-MAX(0,Z949-SUM(Q949:T949)))</f>
        <v/>
      </c>
      <c r="AI949" s="4">
        <f>MAX(0,V949-MAX(0,Z949-SUM(Q949:U949)))</f>
        <v/>
      </c>
      <c r="AJ949" s="4">
        <f>MAX(0,W949-MAX(0,Z949-SUM(Q949:V949)))</f>
        <v/>
      </c>
      <c r="AK949" s="4">
        <f>MAX(0,X949-MAX(0,Z949-SUM(Q949:W949)))</f>
        <v/>
      </c>
      <c r="AL949" s="4">
        <f>MAX(0,Y949-MAX(0,Z949-SUM(Q949:X949)))</f>
        <v/>
      </c>
    </row>
    <row r="950">
      <c r="A950" s="4" t="inlineStr">
        <is>
          <t>HASLS22260900837</t>
        </is>
      </c>
      <c r="B950" s="4" t="inlineStr">
        <is>
          <t>KMBK</t>
        </is>
      </c>
      <c r="C950" s="4" t="inlineStr">
        <is>
          <t>2611N</t>
        </is>
      </c>
      <c r="D950" s="4" t="inlineStr">
        <is>
          <t>202610030900</t>
        </is>
      </c>
      <c r="E950" s="4" t="inlineStr"/>
      <c r="F950" s="4" t="inlineStr">
        <is>
          <t>THBKK</t>
        </is>
      </c>
      <c r="G950" s="4" t="inlineStr">
        <is>
          <t>JPMYJ</t>
        </is>
      </c>
      <c r="H950" s="4" t="inlineStr">
        <is>
          <t xml:space="preserve">20'x1 </t>
        </is>
      </c>
      <c r="I950" s="4" t="inlineStr">
        <is>
          <t>BKK25</t>
        </is>
      </c>
      <c r="J950" s="4" t="inlineStr">
        <is>
          <t xml:space="preserve">Smart Logistics Service (Thailand ) Co.,Ltd. </t>
        </is>
      </c>
      <c r="K950" s="4" t="inlineStr">
        <is>
          <t>20260930</t>
        </is>
      </c>
      <c r="L950" s="4" t="inlineStr">
        <is>
          <t>ACCORD PILOT LOGISTICS (THAILAND) CO., LTD.</t>
        </is>
      </c>
      <c r="M950" s="4" t="inlineStr">
        <is>
          <t>MARUTO (THAILAND) CO., LTD.</t>
        </is>
      </c>
      <c r="N950" s="4" t="inlineStr">
        <is>
          <t xml:space="preserve">SHAMPOO, CONDITIONER, BODY SOAP </t>
        </is>
      </c>
      <c r="O950" s="4" t="inlineStr">
        <is>
          <t>REQ GOOD AND CLEAN CONTAINER</t>
        </is>
      </c>
      <c r="P950" s="4" t="inlineStr">
        <is>
          <t>Pickup : 2026-09-30, Return : 2026-09-30</t>
        </is>
      </c>
      <c r="Q950" s="4" t="n">
        <v>1</v>
      </c>
      <c r="R950" s="4" t="n">
        <v>0</v>
      </c>
      <c r="S950" s="4" t="n">
        <v>0</v>
      </c>
      <c r="T950" s="4" t="n">
        <v>0</v>
      </c>
      <c r="U950" s="4" t="n">
        <v>0</v>
      </c>
      <c r="V950" s="4" t="n">
        <v>0</v>
      </c>
      <c r="W950" s="4" t="n">
        <v>0</v>
      </c>
      <c r="X950" s="4" t="n">
        <v>0</v>
      </c>
      <c r="Y950" s="4" t="n">
        <v>0</v>
      </c>
      <c r="Z950" s="4" t="n">
        <v>0</v>
      </c>
      <c r="AA950" s="4" t="n">
        <v>0</v>
      </c>
      <c r="AB950" s="4">
        <f>SUM(Q950:Y950)-Z950</f>
        <v/>
      </c>
      <c r="AC950" s="4">
        <f>IF(I950="","",IF(OR(LEFT(I950,3)="BKK",I950="LCH55"),"BKK",IF(LEFT(I950,3)="LCH","LCH","OTHER")))</f>
        <v/>
      </c>
      <c r="AD950" s="4">
        <f>MAX(0,Q950-MAX(0,Z950))</f>
        <v/>
      </c>
      <c r="AE950" s="4">
        <f>MAX(0,R950-MAX(0,Z950-SUM(Q950:Q950)))</f>
        <v/>
      </c>
      <c r="AF950" s="4">
        <f>MAX(0,S950-MAX(0,Z950-SUM(Q950:R950)))</f>
        <v/>
      </c>
      <c r="AG950" s="4">
        <f>MAX(0,T950-MAX(0,Z950-SUM(Q950:S950)))</f>
        <v/>
      </c>
      <c r="AH950" s="4">
        <f>MAX(0,U950-MAX(0,Z950-SUM(Q950:T950)))</f>
        <v/>
      </c>
      <c r="AI950" s="4">
        <f>MAX(0,V950-MAX(0,Z950-SUM(Q950:U950)))</f>
        <v/>
      </c>
      <c r="AJ950" s="4">
        <f>MAX(0,W950-MAX(0,Z950-SUM(Q950:V950)))</f>
        <v/>
      </c>
      <c r="AK950" s="4">
        <f>MAX(0,X950-MAX(0,Z950-SUM(Q950:W950)))</f>
        <v/>
      </c>
      <c r="AL950" s="4">
        <f>MAX(0,Y950-MAX(0,Z950-SUM(Q950:X950)))</f>
        <v/>
      </c>
    </row>
    <row r="951">
      <c r="A951" s="4" t="inlineStr">
        <is>
          <t>HASLS22260900851</t>
        </is>
      </c>
      <c r="B951" s="4" t="inlineStr">
        <is>
          <t>SWAT</t>
        </is>
      </c>
      <c r="C951" s="4" t="inlineStr">
        <is>
          <t>2610N</t>
        </is>
      </c>
      <c r="D951" s="4" t="inlineStr">
        <is>
          <t>202610071700</t>
        </is>
      </c>
      <c r="E951" s="4" t="inlineStr"/>
      <c r="F951" s="4" t="inlineStr">
        <is>
          <t>THBKK</t>
        </is>
      </c>
      <c r="G951" s="4" t="inlineStr">
        <is>
          <t>HKHKG</t>
        </is>
      </c>
      <c r="H951" s="4" t="inlineStr">
        <is>
          <t xml:space="preserve">20'x1 </t>
        </is>
      </c>
      <c r="I951" s="4" t="inlineStr">
        <is>
          <t>BKK25</t>
        </is>
      </c>
      <c r="J951" s="4" t="inlineStr">
        <is>
          <t xml:space="preserve">Smart Logistics Service (Thailand ) Co.,Ltd. </t>
        </is>
      </c>
      <c r="K951" s="4" t="inlineStr">
        <is>
          <t>20260930</t>
        </is>
      </c>
      <c r="L951" s="4" t="inlineStr">
        <is>
          <t>LOGIMARK INTERNATIONAL LIMITED</t>
        </is>
      </c>
      <c r="M951" s="4" t="inlineStr">
        <is>
          <t>SOUTHEAST ASIAN PACKAGING AND CANNING LIMITED</t>
        </is>
      </c>
      <c r="N951" s="4" t="inlineStr">
        <is>
          <t>PET FOOD</t>
        </is>
      </c>
      <c r="O951" s="4" t="inlineStr">
        <is>
          <t>GOOD AND CLEAN CONTAINER</t>
        </is>
      </c>
      <c r="P951" s="4" t="inlineStr">
        <is>
          <t>Pickup : 2026-09-30, Return : 2026-10-02</t>
        </is>
      </c>
      <c r="Q951" s="4" t="n">
        <v>1</v>
      </c>
      <c r="R951" s="4" t="n">
        <v>0</v>
      </c>
      <c r="S951" s="4" t="n">
        <v>0</v>
      </c>
      <c r="T951" s="4" t="n">
        <v>0</v>
      </c>
      <c r="U951" s="4" t="n">
        <v>0</v>
      </c>
      <c r="V951" s="4" t="n">
        <v>0</v>
      </c>
      <c r="W951" s="4" t="n">
        <v>0</v>
      </c>
      <c r="X951" s="4" t="n">
        <v>0</v>
      </c>
      <c r="Y951" s="4" t="n">
        <v>0</v>
      </c>
      <c r="Z951" s="4" t="n">
        <v>0</v>
      </c>
      <c r="AA951" s="4" t="n">
        <v>0</v>
      </c>
      <c r="AB951" s="4">
        <f>SUM(Q951:Y951)-Z951</f>
        <v/>
      </c>
      <c r="AC951" s="4">
        <f>IF(I951="","",IF(OR(LEFT(I951,3)="BKK",I951="LCH55"),"BKK",IF(LEFT(I951,3)="LCH","LCH","OTHER")))</f>
        <v/>
      </c>
      <c r="AD951" s="4">
        <f>MAX(0,Q951-MAX(0,Z951))</f>
        <v/>
      </c>
      <c r="AE951" s="4">
        <f>MAX(0,R951-MAX(0,Z951-SUM(Q951:Q951)))</f>
        <v/>
      </c>
      <c r="AF951" s="4">
        <f>MAX(0,S951-MAX(0,Z951-SUM(Q951:R951)))</f>
        <v/>
      </c>
      <c r="AG951" s="4">
        <f>MAX(0,T951-MAX(0,Z951-SUM(Q951:S951)))</f>
        <v/>
      </c>
      <c r="AH951" s="4">
        <f>MAX(0,U951-MAX(0,Z951-SUM(Q951:T951)))</f>
        <v/>
      </c>
      <c r="AI951" s="4">
        <f>MAX(0,V951-MAX(0,Z951-SUM(Q951:U951)))</f>
        <v/>
      </c>
      <c r="AJ951" s="4">
        <f>MAX(0,W951-MAX(0,Z951-SUM(Q951:V951)))</f>
        <v/>
      </c>
      <c r="AK951" s="4">
        <f>MAX(0,X951-MAX(0,Z951-SUM(Q951:W951)))</f>
        <v/>
      </c>
      <c r="AL951" s="4">
        <f>MAX(0,Y951-MAX(0,Z951-SUM(Q951:X951)))</f>
        <v/>
      </c>
    </row>
    <row r="952">
      <c r="A952" s="4" t="inlineStr">
        <is>
          <t>HASLS22260900864</t>
        </is>
      </c>
      <c r="B952" s="4" t="inlineStr">
        <is>
          <t>SWSP</t>
        </is>
      </c>
      <c r="C952" s="4" t="inlineStr">
        <is>
          <t>2609N</t>
        </is>
      </c>
      <c r="D952" s="4" t="inlineStr">
        <is>
          <t>202610071530</t>
        </is>
      </c>
      <c r="E952" s="4" t="inlineStr"/>
      <c r="F952" s="4" t="inlineStr">
        <is>
          <t>THBKK</t>
        </is>
      </c>
      <c r="G952" s="4" t="inlineStr">
        <is>
          <t>VNSGN</t>
        </is>
      </c>
      <c r="H952" s="4" t="inlineStr">
        <is>
          <t xml:space="preserve">40Hx1 </t>
        </is>
      </c>
      <c r="I952" s="4" t="inlineStr">
        <is>
          <t>BKK25</t>
        </is>
      </c>
      <c r="J952" s="4" t="inlineStr">
        <is>
          <t xml:space="preserve">Smart Logistics Service (Thailand ) Co.,Ltd. </t>
        </is>
      </c>
      <c r="K952" s="4" t="inlineStr">
        <is>
          <t>20260930</t>
        </is>
      </c>
      <c r="L952" s="4" t="inlineStr">
        <is>
          <t>CNTRANS EXPRESS CO., LTD.</t>
        </is>
      </c>
      <c r="M952" s="4" t="inlineStr">
        <is>
          <t>HO CHEM CO., LTD</t>
        </is>
      </c>
      <c r="N952" s="4" t="inlineStr">
        <is>
          <t>PLASTIC BASKET</t>
        </is>
      </c>
      <c r="O952" s="4" t="inlineStr">
        <is>
          <t>GOOD AND CLEAN CONTAINER</t>
        </is>
      </c>
      <c r="P952" s="4" t="inlineStr">
        <is>
          <t xml:space="preserve">Pickup : 2026-09-30, Return : 2026-10-01 </t>
        </is>
      </c>
      <c r="Q952" s="4" t="n">
        <v>0</v>
      </c>
      <c r="R952" s="4" t="n">
        <v>0</v>
      </c>
      <c r="S952" s="4" t="n">
        <v>1</v>
      </c>
      <c r="T952" s="4" t="n">
        <v>0</v>
      </c>
      <c r="U952" s="4" t="n">
        <v>0</v>
      </c>
      <c r="V952" s="4" t="n">
        <v>0</v>
      </c>
      <c r="W952" s="4" t="n">
        <v>0</v>
      </c>
      <c r="X952" s="4" t="n">
        <v>0</v>
      </c>
      <c r="Y952" s="4" t="n">
        <v>0</v>
      </c>
      <c r="Z952" s="4" t="n">
        <v>0</v>
      </c>
      <c r="AA952" s="4" t="n">
        <v>0</v>
      </c>
      <c r="AB952" s="4">
        <f>SUM(Q952:Y952)-Z952</f>
        <v/>
      </c>
      <c r="AC952" s="4">
        <f>IF(I952="","",IF(OR(LEFT(I952,3)="BKK",I952="LCH55"),"BKK",IF(LEFT(I952,3)="LCH","LCH","OTHER")))</f>
        <v/>
      </c>
      <c r="AD952" s="4">
        <f>MAX(0,Q952-MAX(0,Z952))</f>
        <v/>
      </c>
      <c r="AE952" s="4">
        <f>MAX(0,R952-MAX(0,Z952-SUM(Q952:Q952)))</f>
        <v/>
      </c>
      <c r="AF952" s="4">
        <f>MAX(0,S952-MAX(0,Z952-SUM(Q952:R952)))</f>
        <v/>
      </c>
      <c r="AG952" s="4">
        <f>MAX(0,T952-MAX(0,Z952-SUM(Q952:S952)))</f>
        <v/>
      </c>
      <c r="AH952" s="4">
        <f>MAX(0,U952-MAX(0,Z952-SUM(Q952:T952)))</f>
        <v/>
      </c>
      <c r="AI952" s="4">
        <f>MAX(0,V952-MAX(0,Z952-SUM(Q952:U952)))</f>
        <v/>
      </c>
      <c r="AJ952" s="4">
        <f>MAX(0,W952-MAX(0,Z952-SUM(Q952:V952)))</f>
        <v/>
      </c>
      <c r="AK952" s="4">
        <f>MAX(0,X952-MAX(0,Z952-SUM(Q952:W952)))</f>
        <v/>
      </c>
      <c r="AL952" s="4">
        <f>MAX(0,Y952-MAX(0,Z952-SUM(Q952:X952)))</f>
        <v/>
      </c>
    </row>
    <row r="953">
      <c r="A953" s="4" t="inlineStr">
        <is>
          <t>HASLS22260900867</t>
        </is>
      </c>
      <c r="B953" s="4" t="inlineStr">
        <is>
          <t>HAHM</t>
        </is>
      </c>
      <c r="C953" s="4" t="inlineStr">
        <is>
          <t>2612N</t>
        </is>
      </c>
      <c r="D953" s="4" t="inlineStr">
        <is>
          <t>202610211800</t>
        </is>
      </c>
      <c r="E953" s="4" t="inlineStr"/>
      <c r="F953" s="4" t="inlineStr">
        <is>
          <t>THBKK</t>
        </is>
      </c>
      <c r="G953" s="4" t="inlineStr">
        <is>
          <t>VNSGN</t>
        </is>
      </c>
      <c r="H953" s="4" t="inlineStr">
        <is>
          <t xml:space="preserve">40Hx1 </t>
        </is>
      </c>
      <c r="I953" s="4" t="inlineStr">
        <is>
          <t>BKK25</t>
        </is>
      </c>
      <c r="J953" s="4" t="inlineStr">
        <is>
          <t xml:space="preserve">Smart Logistics Service (Thailand ) Co.,Ltd. </t>
        </is>
      </c>
      <c r="K953" s="4" t="inlineStr">
        <is>
          <t>20261009</t>
        </is>
      </c>
      <c r="L953" s="4" t="inlineStr">
        <is>
          <t>MARINE EXPRESS CO., LTD.</t>
        </is>
      </c>
      <c r="M953" s="4" t="inlineStr">
        <is>
          <t>R.J. LONDON CHEMICAL INDUSTRIES CO., LTD.</t>
        </is>
      </c>
      <c r="N953" s="4" t="inlineStr">
        <is>
          <t>AUTO ACCESSORIES</t>
        </is>
      </c>
      <c r="O953" s="4" t="inlineStr">
        <is>
          <t>REQUEST GOOD CONTAINER,NO LEAK,NO RUST,NO SCRATCHES,NO OIL,  BECAUSE PRODUCT IN CARTON NO PALLET.</t>
        </is>
      </c>
      <c r="P953" s="4" t="inlineStr">
        <is>
          <t>Pickup : 2026-10-09, Return : 2026-10-10 (1ST RTN DD: 11/10/26 WO/RENT)</t>
        </is>
      </c>
      <c r="Q953" s="4" t="n">
        <v>0</v>
      </c>
      <c r="R953" s="4" t="n">
        <v>0</v>
      </c>
      <c r="S953" s="4" t="n">
        <v>1</v>
      </c>
      <c r="T953" s="4" t="n">
        <v>0</v>
      </c>
      <c r="U953" s="4" t="n">
        <v>0</v>
      </c>
      <c r="V953" s="4" t="n">
        <v>0</v>
      </c>
      <c r="W953" s="4" t="n">
        <v>0</v>
      </c>
      <c r="X953" s="4" t="n">
        <v>0</v>
      </c>
      <c r="Y953" s="4" t="n">
        <v>0</v>
      </c>
      <c r="Z953" s="4" t="n">
        <v>0</v>
      </c>
      <c r="AA953" s="4" t="n">
        <v>0</v>
      </c>
      <c r="AB953" s="4">
        <f>SUM(Q953:Y953)-Z953</f>
        <v/>
      </c>
      <c r="AC953" s="4">
        <f>IF(I953="","",IF(OR(LEFT(I953,3)="BKK",I953="LCH55"),"BKK",IF(LEFT(I953,3)="LCH","LCH","OTHER")))</f>
        <v/>
      </c>
      <c r="AD953" s="4">
        <f>MAX(0,Q953-MAX(0,Z953))</f>
        <v/>
      </c>
      <c r="AE953" s="4">
        <f>MAX(0,R953-MAX(0,Z953-SUM(Q953:Q953)))</f>
        <v/>
      </c>
      <c r="AF953" s="4">
        <f>MAX(0,S953-MAX(0,Z953-SUM(Q953:R953)))</f>
        <v/>
      </c>
      <c r="AG953" s="4">
        <f>MAX(0,T953-MAX(0,Z953-SUM(Q953:S953)))</f>
        <v/>
      </c>
      <c r="AH953" s="4">
        <f>MAX(0,U953-MAX(0,Z953-SUM(Q953:T953)))</f>
        <v/>
      </c>
      <c r="AI953" s="4">
        <f>MAX(0,V953-MAX(0,Z953-SUM(Q953:U953)))</f>
        <v/>
      </c>
      <c r="AJ953" s="4">
        <f>MAX(0,W953-MAX(0,Z953-SUM(Q953:V953)))</f>
        <v/>
      </c>
      <c r="AK953" s="4">
        <f>MAX(0,X953-MAX(0,Z953-SUM(Q953:W953)))</f>
        <v/>
      </c>
      <c r="AL953" s="4">
        <f>MAX(0,Y953-MAX(0,Z953-SUM(Q953:X953)))</f>
        <v/>
      </c>
    </row>
    <row r="954">
      <c r="A954" s="4" t="inlineStr">
        <is>
          <t>HASLS22260900874</t>
        </is>
      </c>
      <c r="B954" s="4" t="inlineStr">
        <is>
          <t>SWAT</t>
        </is>
      </c>
      <c r="C954" s="4" t="inlineStr">
        <is>
          <t>2610N</t>
        </is>
      </c>
      <c r="D954" s="4" t="inlineStr">
        <is>
          <t>202610071700</t>
        </is>
      </c>
      <c r="E954" s="4" t="inlineStr"/>
      <c r="F954" s="4" t="inlineStr">
        <is>
          <t>THBKK</t>
        </is>
      </c>
      <c r="G954" s="4" t="inlineStr">
        <is>
          <t>HKHKG</t>
        </is>
      </c>
      <c r="H954" s="4" t="inlineStr">
        <is>
          <t xml:space="preserve">40Hx1 </t>
        </is>
      </c>
      <c r="I954" s="4" t="inlineStr">
        <is>
          <t>BKK25</t>
        </is>
      </c>
      <c r="J954" s="4" t="inlineStr">
        <is>
          <t xml:space="preserve">Smart Logistics Service (Thailand ) Co.,Ltd. </t>
        </is>
      </c>
      <c r="K954" s="4" t="inlineStr">
        <is>
          <t>20260928</t>
        </is>
      </c>
      <c r="L954" s="4" t="inlineStr">
        <is>
          <t>VICTOR RICHER TRANS CO., LTD.</t>
        </is>
      </c>
      <c r="M954" s="4" t="inlineStr">
        <is>
          <t>PROMPT PLUS  CO.,LTD.</t>
        </is>
      </c>
      <c r="N954" s="4" t="inlineStr">
        <is>
          <t>PRINTER</t>
        </is>
      </c>
      <c r="O954" s="4" t="inlineStr">
        <is>
          <t>GOOD AND CLEAN CONTAINER</t>
        </is>
      </c>
      <c r="P954" s="4" t="inlineStr">
        <is>
          <t>Pickup : 2026-09-28, Return : 2026-09-29</t>
        </is>
      </c>
      <c r="Q954" s="4" t="n">
        <v>0</v>
      </c>
      <c r="R954" s="4" t="n">
        <v>0</v>
      </c>
      <c r="S954" s="4" t="n">
        <v>1</v>
      </c>
      <c r="T954" s="4" t="n">
        <v>0</v>
      </c>
      <c r="U954" s="4" t="n">
        <v>0</v>
      </c>
      <c r="V954" s="4" t="n">
        <v>0</v>
      </c>
      <c r="W954" s="4" t="n">
        <v>0</v>
      </c>
      <c r="X954" s="4" t="n">
        <v>0</v>
      </c>
      <c r="Y954" s="4" t="n">
        <v>0</v>
      </c>
      <c r="Z954" s="4" t="n">
        <v>0</v>
      </c>
      <c r="AA954" s="4" t="n">
        <v>0</v>
      </c>
      <c r="AB954" s="4">
        <f>SUM(Q954:Y954)-Z954</f>
        <v/>
      </c>
      <c r="AC954" s="4">
        <f>IF(I954="","",IF(OR(LEFT(I954,3)="BKK",I954="LCH55"),"BKK",IF(LEFT(I954,3)="LCH","LCH","OTHER")))</f>
        <v/>
      </c>
      <c r="AD954" s="4">
        <f>MAX(0,Q954-MAX(0,Z954))</f>
        <v/>
      </c>
      <c r="AE954" s="4">
        <f>MAX(0,R954-MAX(0,Z954-SUM(Q954:Q954)))</f>
        <v/>
      </c>
      <c r="AF954" s="4">
        <f>MAX(0,S954-MAX(0,Z954-SUM(Q954:R954)))</f>
        <v/>
      </c>
      <c r="AG954" s="4">
        <f>MAX(0,T954-MAX(0,Z954-SUM(Q954:S954)))</f>
        <v/>
      </c>
      <c r="AH954" s="4">
        <f>MAX(0,U954-MAX(0,Z954-SUM(Q954:T954)))</f>
        <v/>
      </c>
      <c r="AI954" s="4">
        <f>MAX(0,V954-MAX(0,Z954-SUM(Q954:U954)))</f>
        <v/>
      </c>
      <c r="AJ954" s="4">
        <f>MAX(0,W954-MAX(0,Z954-SUM(Q954:V954)))</f>
        <v/>
      </c>
      <c r="AK954" s="4">
        <f>MAX(0,X954-MAX(0,Z954-SUM(Q954:W954)))</f>
        <v/>
      </c>
      <c r="AL954" s="4">
        <f>MAX(0,Y954-MAX(0,Z954-SUM(Q954:X954)))</f>
        <v/>
      </c>
    </row>
    <row r="955">
      <c r="A955" s="4" t="inlineStr">
        <is>
          <t>HASLS22260900875</t>
        </is>
      </c>
      <c r="B955" s="4" t="inlineStr">
        <is>
          <t>SWSP</t>
        </is>
      </c>
      <c r="C955" s="4" t="inlineStr">
        <is>
          <t>2609N</t>
        </is>
      </c>
      <c r="D955" s="4" t="inlineStr">
        <is>
          <t>202610071530</t>
        </is>
      </c>
      <c r="E955" s="4" t="inlineStr"/>
      <c r="F955" s="4" t="inlineStr">
        <is>
          <t>THBKK</t>
        </is>
      </c>
      <c r="G955" s="4" t="inlineStr">
        <is>
          <t>VNSGN</t>
        </is>
      </c>
      <c r="H955" s="4" t="inlineStr">
        <is>
          <t xml:space="preserve">20'x1 </t>
        </is>
      </c>
      <c r="I955" s="4" t="inlineStr">
        <is>
          <t>BKK25</t>
        </is>
      </c>
      <c r="J955" s="4" t="inlineStr">
        <is>
          <t xml:space="preserve">Smart Logistics Service (Thailand ) Co.,Ltd. </t>
        </is>
      </c>
      <c r="K955" s="4" t="inlineStr">
        <is>
          <t>20260930</t>
        </is>
      </c>
      <c r="L955" s="4" t="inlineStr">
        <is>
          <t>PACIFIC STAR ALLIANCE CO., LTD.</t>
        </is>
      </c>
      <c r="M955" s="4" t="inlineStr">
        <is>
          <t>PACIFIC STAR ALLIANCE CO., LTD.</t>
        </is>
      </c>
      <c r="N955" s="4" t="inlineStr">
        <is>
          <t>WATER TREATMENT</t>
        </is>
      </c>
      <c r="O955" s="4" t="inlineStr">
        <is>
          <t>GOOD &amp; CLEAN &amp; NO SMELL CONTAINER</t>
        </is>
      </c>
      <c r="P955" s="4" t="inlineStr">
        <is>
          <t>Pickup : 2026-09-30, Return : 2026-10-01</t>
        </is>
      </c>
      <c r="Q955" s="4" t="n">
        <v>1</v>
      </c>
      <c r="R955" s="4" t="n">
        <v>0</v>
      </c>
      <c r="S955" s="4" t="n">
        <v>0</v>
      </c>
      <c r="T955" s="4" t="n">
        <v>0</v>
      </c>
      <c r="U955" s="4" t="n">
        <v>0</v>
      </c>
      <c r="V955" s="4" t="n">
        <v>0</v>
      </c>
      <c r="W955" s="4" t="n">
        <v>0</v>
      </c>
      <c r="X955" s="4" t="n">
        <v>0</v>
      </c>
      <c r="Y955" s="4" t="n">
        <v>0</v>
      </c>
      <c r="Z955" s="4" t="n">
        <v>0</v>
      </c>
      <c r="AA955" s="4" t="n">
        <v>0</v>
      </c>
      <c r="AB955" s="4">
        <f>SUM(Q955:Y955)-Z955</f>
        <v/>
      </c>
      <c r="AC955" s="4">
        <f>IF(I955="","",IF(OR(LEFT(I955,3)="BKK",I955="LCH55"),"BKK",IF(LEFT(I955,3)="LCH","LCH","OTHER")))</f>
        <v/>
      </c>
      <c r="AD955" s="4">
        <f>MAX(0,Q955-MAX(0,Z955))</f>
        <v/>
      </c>
      <c r="AE955" s="4">
        <f>MAX(0,R955-MAX(0,Z955-SUM(Q955:Q955)))</f>
        <v/>
      </c>
      <c r="AF955" s="4">
        <f>MAX(0,S955-MAX(0,Z955-SUM(Q955:R955)))</f>
        <v/>
      </c>
      <c r="AG955" s="4">
        <f>MAX(0,T955-MAX(0,Z955-SUM(Q955:S955)))</f>
        <v/>
      </c>
      <c r="AH955" s="4">
        <f>MAX(0,U955-MAX(0,Z955-SUM(Q955:T955)))</f>
        <v/>
      </c>
      <c r="AI955" s="4">
        <f>MAX(0,V955-MAX(0,Z955-SUM(Q955:U955)))</f>
        <v/>
      </c>
      <c r="AJ955" s="4">
        <f>MAX(0,W955-MAX(0,Z955-SUM(Q955:V955)))</f>
        <v/>
      </c>
      <c r="AK955" s="4">
        <f>MAX(0,X955-MAX(0,Z955-SUM(Q955:W955)))</f>
        <v/>
      </c>
      <c r="AL955" s="4">
        <f>MAX(0,Y955-MAX(0,Z955-SUM(Q955:X955)))</f>
        <v/>
      </c>
    </row>
    <row r="956">
      <c r="A956" s="4" t="inlineStr">
        <is>
          <t>HASLS22260900876</t>
        </is>
      </c>
      <c r="B956" s="4" t="inlineStr">
        <is>
          <t>SWSR</t>
        </is>
      </c>
      <c r="C956" s="4" t="inlineStr">
        <is>
          <t>2611N</t>
        </is>
      </c>
      <c r="D956" s="4" t="inlineStr">
        <is>
          <t>202610110900</t>
        </is>
      </c>
      <c r="E956" s="4" t="inlineStr"/>
      <c r="F956" s="4" t="inlineStr">
        <is>
          <t>THBKK</t>
        </is>
      </c>
      <c r="G956" s="4" t="inlineStr">
        <is>
          <t>HKHKG</t>
        </is>
      </c>
      <c r="H956" s="4" t="inlineStr">
        <is>
          <t xml:space="preserve">40Hx1 </t>
        </is>
      </c>
      <c r="I956" s="4" t="inlineStr">
        <is>
          <t>BKK25</t>
        </is>
      </c>
      <c r="J956" s="4" t="inlineStr">
        <is>
          <t xml:space="preserve">Smart Logistics Service (Thailand ) Co.,Ltd. </t>
        </is>
      </c>
      <c r="K956" s="4" t="inlineStr">
        <is>
          <t>20261009</t>
        </is>
      </c>
      <c r="L956" s="4" t="inlineStr">
        <is>
          <t>VICTOR RICHER TRANS CO., LTD.</t>
        </is>
      </c>
      <c r="M956" s="4" t="inlineStr">
        <is>
          <t>PORNSUPAWADEE999 CO.,LTD.</t>
        </is>
      </c>
      <c r="N956" s="4" t="inlineStr">
        <is>
          <t>PRINTER</t>
        </is>
      </c>
      <c r="O956" s="4" t="inlineStr">
        <is>
          <t>GOOD AND CLEAN CONTAINER</t>
        </is>
      </c>
      <c r="P956" s="4" t="inlineStr">
        <is>
          <t>Pickup : 2026-10-09, Return : 2026-10-09</t>
        </is>
      </c>
      <c r="Q956" s="4" t="n">
        <v>0</v>
      </c>
      <c r="R956" s="4" t="n">
        <v>0</v>
      </c>
      <c r="S956" s="4" t="n">
        <v>1</v>
      </c>
      <c r="T956" s="4" t="n">
        <v>0</v>
      </c>
      <c r="U956" s="4" t="n">
        <v>0</v>
      </c>
      <c r="V956" s="4" t="n">
        <v>0</v>
      </c>
      <c r="W956" s="4" t="n">
        <v>0</v>
      </c>
      <c r="X956" s="4" t="n">
        <v>0</v>
      </c>
      <c r="Y956" s="4" t="n">
        <v>0</v>
      </c>
      <c r="Z956" s="4" t="n">
        <v>0</v>
      </c>
      <c r="AA956" s="4" t="n">
        <v>0</v>
      </c>
      <c r="AB956" s="4">
        <f>SUM(Q956:Y956)-Z956</f>
        <v/>
      </c>
      <c r="AC956" s="4">
        <f>IF(I956="","",IF(OR(LEFT(I956,3)="BKK",I956="LCH55"),"BKK",IF(LEFT(I956,3)="LCH","LCH","OTHER")))</f>
        <v/>
      </c>
      <c r="AD956" s="4">
        <f>MAX(0,Q956-MAX(0,Z956))</f>
        <v/>
      </c>
      <c r="AE956" s="4">
        <f>MAX(0,R956-MAX(0,Z956-SUM(Q956:Q956)))</f>
        <v/>
      </c>
      <c r="AF956" s="4">
        <f>MAX(0,S956-MAX(0,Z956-SUM(Q956:R956)))</f>
        <v/>
      </c>
      <c r="AG956" s="4">
        <f>MAX(0,T956-MAX(0,Z956-SUM(Q956:S956)))</f>
        <v/>
      </c>
      <c r="AH956" s="4">
        <f>MAX(0,U956-MAX(0,Z956-SUM(Q956:T956)))</f>
        <v/>
      </c>
      <c r="AI956" s="4">
        <f>MAX(0,V956-MAX(0,Z956-SUM(Q956:U956)))</f>
        <v/>
      </c>
      <c r="AJ956" s="4">
        <f>MAX(0,W956-MAX(0,Z956-SUM(Q956:V956)))</f>
        <v/>
      </c>
      <c r="AK956" s="4">
        <f>MAX(0,X956-MAX(0,Z956-SUM(Q956:W956)))</f>
        <v/>
      </c>
      <c r="AL956" s="4">
        <f>MAX(0,Y956-MAX(0,Z956-SUM(Q956:X956)))</f>
        <v/>
      </c>
    </row>
    <row r="957">
      <c r="A957" s="4" t="inlineStr">
        <is>
          <t>HASLS22260900903</t>
        </is>
      </c>
      <c r="B957" s="4" t="inlineStr">
        <is>
          <t>SWSP</t>
        </is>
      </c>
      <c r="C957" s="4" t="inlineStr">
        <is>
          <t>2609N</t>
        </is>
      </c>
      <c r="D957" s="4" t="inlineStr">
        <is>
          <t>202610071530</t>
        </is>
      </c>
      <c r="E957" s="4" t="inlineStr"/>
      <c r="F957" s="4" t="inlineStr">
        <is>
          <t>THBKK</t>
        </is>
      </c>
      <c r="G957" s="4" t="inlineStr">
        <is>
          <t>VNSGN</t>
        </is>
      </c>
      <c r="H957" s="4" t="inlineStr">
        <is>
          <t xml:space="preserve">20'x1 </t>
        </is>
      </c>
      <c r="I957" s="4" t="inlineStr">
        <is>
          <t>BKK25</t>
        </is>
      </c>
      <c r="J957" s="4" t="inlineStr">
        <is>
          <t xml:space="preserve">Smart Logistics Service (Thailand ) Co.,Ltd. </t>
        </is>
      </c>
      <c r="K957" s="4" t="inlineStr">
        <is>
          <t>20260929</t>
        </is>
      </c>
      <c r="L957" s="4" t="inlineStr">
        <is>
          <t>FIBS LOGISTICS CO., LTD.</t>
        </is>
      </c>
      <c r="M957" s="4" t="inlineStr">
        <is>
          <t>WORLD NATURAL FOOD CO., LTD.</t>
        </is>
      </c>
      <c r="N957" s="4" t="inlineStr">
        <is>
          <t>PICKLED GINGER</t>
        </is>
      </c>
      <c r="O957" s="4" t="inlineStr">
        <is>
          <t>REQUEST CLEAN CONTAINER AND GOOD CONDITION</t>
        </is>
      </c>
      <c r="P957" s="4" t="inlineStr">
        <is>
          <t>Pickup : 2026-09-29, Return : 2026-10-01</t>
        </is>
      </c>
      <c r="Q957" s="4" t="n">
        <v>1</v>
      </c>
      <c r="R957" s="4" t="n">
        <v>0</v>
      </c>
      <c r="S957" s="4" t="n">
        <v>0</v>
      </c>
      <c r="T957" s="4" t="n">
        <v>0</v>
      </c>
      <c r="U957" s="4" t="n">
        <v>0</v>
      </c>
      <c r="V957" s="4" t="n">
        <v>0</v>
      </c>
      <c r="W957" s="4" t="n">
        <v>0</v>
      </c>
      <c r="X957" s="4" t="n">
        <v>0</v>
      </c>
      <c r="Y957" s="4" t="n">
        <v>0</v>
      </c>
      <c r="Z957" s="4" t="n">
        <v>0</v>
      </c>
      <c r="AA957" s="4" t="n">
        <v>0</v>
      </c>
      <c r="AB957" s="4">
        <f>SUM(Q957:Y957)-Z957</f>
        <v/>
      </c>
      <c r="AC957" s="4">
        <f>IF(I957="","",IF(OR(LEFT(I957,3)="BKK",I957="LCH55"),"BKK",IF(LEFT(I957,3)="LCH","LCH","OTHER")))</f>
        <v/>
      </c>
      <c r="AD957" s="4">
        <f>MAX(0,Q957-MAX(0,Z957))</f>
        <v/>
      </c>
      <c r="AE957" s="4">
        <f>MAX(0,R957-MAX(0,Z957-SUM(Q957:Q957)))</f>
        <v/>
      </c>
      <c r="AF957" s="4">
        <f>MAX(0,S957-MAX(0,Z957-SUM(Q957:R957)))</f>
        <v/>
      </c>
      <c r="AG957" s="4">
        <f>MAX(0,T957-MAX(0,Z957-SUM(Q957:S957)))</f>
        <v/>
      </c>
      <c r="AH957" s="4">
        <f>MAX(0,U957-MAX(0,Z957-SUM(Q957:T957)))</f>
        <v/>
      </c>
      <c r="AI957" s="4">
        <f>MAX(0,V957-MAX(0,Z957-SUM(Q957:U957)))</f>
        <v/>
      </c>
      <c r="AJ957" s="4">
        <f>MAX(0,W957-MAX(0,Z957-SUM(Q957:V957)))</f>
        <v/>
      </c>
      <c r="AK957" s="4">
        <f>MAX(0,X957-MAX(0,Z957-SUM(Q957:W957)))</f>
        <v/>
      </c>
      <c r="AL957" s="4">
        <f>MAX(0,Y957-MAX(0,Z957-SUM(Q957:X957)))</f>
        <v/>
      </c>
    </row>
    <row r="958">
      <c r="A958" s="4" t="inlineStr">
        <is>
          <t>HASLS22260900904</t>
        </is>
      </c>
      <c r="B958" s="4" t="inlineStr">
        <is>
          <t>SWBT</t>
        </is>
      </c>
      <c r="C958" s="4" t="inlineStr">
        <is>
          <t>2616N</t>
        </is>
      </c>
      <c r="D958" s="4" t="inlineStr">
        <is>
          <t>202610130600</t>
        </is>
      </c>
      <c r="E958" s="4" t="inlineStr"/>
      <c r="F958" s="4" t="inlineStr">
        <is>
          <t>THBKK</t>
        </is>
      </c>
      <c r="G958" s="4" t="inlineStr">
        <is>
          <t>RUVVO</t>
        </is>
      </c>
      <c r="H958" s="4" t="inlineStr">
        <is>
          <t xml:space="preserve">40Hx1 20'x1 </t>
        </is>
      </c>
      <c r="I958" s="4" t="inlineStr">
        <is>
          <t>BKK25</t>
        </is>
      </c>
      <c r="J958" s="4" t="inlineStr">
        <is>
          <t xml:space="preserve">Smart Logistics Service (Thailand ) Co.,Ltd. </t>
        </is>
      </c>
      <c r="K958" s="4" t="inlineStr">
        <is>
          <t>20261008</t>
        </is>
      </c>
      <c r="L958" s="4" t="inlineStr">
        <is>
          <t>MJ LOGISTICS (THAILAND) CO., LTD.</t>
        </is>
      </c>
      <c r="M958" s="4" t="inlineStr">
        <is>
          <t>TAVEEPHOL PRODUCT CO.,LTD.</t>
        </is>
      </c>
      <c r="N958" s="4" t="inlineStr">
        <is>
          <t>ASSORTED FLAVOUR DRINK</t>
        </is>
      </c>
      <c r="O958" s="4" t="inlineStr">
        <is>
          <t>GOOD AND CLEAN CONTAINER</t>
        </is>
      </c>
      <c r="P958" s="4" t="inlineStr">
        <is>
          <t>Pickup : 2026-10-08, Return : 2026-10-10</t>
        </is>
      </c>
      <c r="Q958" s="4" t="n">
        <v>1</v>
      </c>
      <c r="R958" s="4" t="n">
        <v>0</v>
      </c>
      <c r="S958" s="4" t="n">
        <v>1</v>
      </c>
      <c r="T958" s="4" t="n">
        <v>0</v>
      </c>
      <c r="U958" s="4" t="n">
        <v>0</v>
      </c>
      <c r="V958" s="4" t="n">
        <v>0</v>
      </c>
      <c r="W958" s="4" t="n">
        <v>0</v>
      </c>
      <c r="X958" s="4" t="n">
        <v>0</v>
      </c>
      <c r="Y958" s="4" t="n">
        <v>0</v>
      </c>
      <c r="Z958" s="4" t="n">
        <v>0</v>
      </c>
      <c r="AA958" s="4" t="n">
        <v>0</v>
      </c>
      <c r="AB958" s="4">
        <f>SUM(Q958:Y958)-Z958</f>
        <v/>
      </c>
      <c r="AC958" s="4">
        <f>IF(I958="","",IF(OR(LEFT(I958,3)="BKK",I958="LCH55"),"BKK",IF(LEFT(I958,3)="LCH","LCH","OTHER")))</f>
        <v/>
      </c>
      <c r="AD958" s="4">
        <f>MAX(0,Q958-MAX(0,Z958))</f>
        <v/>
      </c>
      <c r="AE958" s="4">
        <f>MAX(0,R958-MAX(0,Z958-SUM(Q958:Q958)))</f>
        <v/>
      </c>
      <c r="AF958" s="4">
        <f>MAX(0,S958-MAX(0,Z958-SUM(Q958:R958)))</f>
        <v/>
      </c>
      <c r="AG958" s="4">
        <f>MAX(0,T958-MAX(0,Z958-SUM(Q958:S958)))</f>
        <v/>
      </c>
      <c r="AH958" s="4">
        <f>MAX(0,U958-MAX(0,Z958-SUM(Q958:T958)))</f>
        <v/>
      </c>
      <c r="AI958" s="4">
        <f>MAX(0,V958-MAX(0,Z958-SUM(Q958:U958)))</f>
        <v/>
      </c>
      <c r="AJ958" s="4">
        <f>MAX(0,W958-MAX(0,Z958-SUM(Q958:V958)))</f>
        <v/>
      </c>
      <c r="AK958" s="4">
        <f>MAX(0,X958-MAX(0,Z958-SUM(Q958:W958)))</f>
        <v/>
      </c>
      <c r="AL958" s="4">
        <f>MAX(0,Y958-MAX(0,Z958-SUM(Q958:X958)))</f>
        <v/>
      </c>
    </row>
    <row r="959">
      <c r="A959" s="4" t="inlineStr">
        <is>
          <t>HASLS22260900914</t>
        </is>
      </c>
      <c r="B959" s="4" t="inlineStr">
        <is>
          <t>PGPO</t>
        </is>
      </c>
      <c r="C959" s="4" t="inlineStr">
        <is>
          <t>2612N</t>
        </is>
      </c>
      <c r="D959" s="4" t="inlineStr">
        <is>
          <t>202610141800</t>
        </is>
      </c>
      <c r="E959" s="4" t="inlineStr"/>
      <c r="F959" s="4" t="inlineStr">
        <is>
          <t>THBKK</t>
        </is>
      </c>
      <c r="G959" s="4" t="inlineStr">
        <is>
          <t>JPTMK</t>
        </is>
      </c>
      <c r="H959" s="4" t="inlineStr">
        <is>
          <t xml:space="preserve">20'x3 </t>
        </is>
      </c>
      <c r="I959" s="4" t="inlineStr">
        <is>
          <t>BKK25</t>
        </is>
      </c>
      <c r="J959" s="4" t="inlineStr">
        <is>
          <t xml:space="preserve">Smart Logistics Service (Thailand ) Co.,Ltd. </t>
        </is>
      </c>
      <c r="K959" s="4" t="inlineStr">
        <is>
          <t>20261007</t>
        </is>
      </c>
      <c r="L959" s="4" t="inlineStr">
        <is>
          <t>ASIA MODIFIED STARCH CO., LTD.</t>
        </is>
      </c>
      <c r="M959" s="4" t="inlineStr">
        <is>
          <t>ASIA MODIFIED STARCH CO., LTD.</t>
        </is>
      </c>
      <c r="N959" s="4" t="inlineStr">
        <is>
          <t>STARCH</t>
        </is>
      </c>
      <c r="O959" s="4" t="inlineStr">
        <is>
          <t>CONTAINER GRADE A OR FOOD GRADE</t>
        </is>
      </c>
      <c r="P959" s="4" t="inlineStr">
        <is>
          <t>Pickup : 2026-10-07, Return : 2026-10-09 (1ST RTN DD: 14/09/26 WO/RENT)</t>
        </is>
      </c>
      <c r="Q959" s="4" t="n">
        <v>3</v>
      </c>
      <c r="R959" s="4" t="n">
        <v>0</v>
      </c>
      <c r="S959" s="4" t="n">
        <v>0</v>
      </c>
      <c r="T959" s="4" t="n">
        <v>0</v>
      </c>
      <c r="U959" s="4" t="n">
        <v>0</v>
      </c>
      <c r="V959" s="4" t="n">
        <v>0</v>
      </c>
      <c r="W959" s="4" t="n">
        <v>0</v>
      </c>
      <c r="X959" s="4" t="n">
        <v>0</v>
      </c>
      <c r="Y959" s="4" t="n">
        <v>0</v>
      </c>
      <c r="Z959" s="4" t="n">
        <v>0</v>
      </c>
      <c r="AA959" s="4" t="n">
        <v>0</v>
      </c>
      <c r="AB959" s="4">
        <f>SUM(Q959:Y959)-Z959</f>
        <v/>
      </c>
      <c r="AC959" s="4">
        <f>IF(I959="","",IF(OR(LEFT(I959,3)="BKK",I959="LCH55"),"BKK",IF(LEFT(I959,3)="LCH","LCH","OTHER")))</f>
        <v/>
      </c>
      <c r="AD959" s="4">
        <f>MAX(0,Q959-MAX(0,Z959))</f>
        <v/>
      </c>
      <c r="AE959" s="4">
        <f>MAX(0,R959-MAX(0,Z959-SUM(Q959:Q959)))</f>
        <v/>
      </c>
      <c r="AF959" s="4">
        <f>MAX(0,S959-MAX(0,Z959-SUM(Q959:R959)))</f>
        <v/>
      </c>
      <c r="AG959" s="4">
        <f>MAX(0,T959-MAX(0,Z959-SUM(Q959:S959)))</f>
        <v/>
      </c>
      <c r="AH959" s="4">
        <f>MAX(0,U959-MAX(0,Z959-SUM(Q959:T959)))</f>
        <v/>
      </c>
      <c r="AI959" s="4">
        <f>MAX(0,V959-MAX(0,Z959-SUM(Q959:U959)))</f>
        <v/>
      </c>
      <c r="AJ959" s="4">
        <f>MAX(0,W959-MAX(0,Z959-SUM(Q959:V959)))</f>
        <v/>
      </c>
      <c r="AK959" s="4">
        <f>MAX(0,X959-MAX(0,Z959-SUM(Q959:W959)))</f>
        <v/>
      </c>
      <c r="AL959" s="4">
        <f>MAX(0,Y959-MAX(0,Z959-SUM(Q959:X959)))</f>
        <v/>
      </c>
    </row>
    <row r="960">
      <c r="A960" s="4" t="inlineStr">
        <is>
          <t>HASLS22260900916</t>
        </is>
      </c>
      <c r="B960" s="4" t="inlineStr">
        <is>
          <t>SWSP</t>
        </is>
      </c>
      <c r="C960" s="4" t="inlineStr">
        <is>
          <t>2609N</t>
        </is>
      </c>
      <c r="D960" s="4" t="inlineStr">
        <is>
          <t>202610071530</t>
        </is>
      </c>
      <c r="E960" s="4" t="inlineStr"/>
      <c r="F960" s="4" t="inlineStr">
        <is>
          <t>THBKK</t>
        </is>
      </c>
      <c r="G960" s="4" t="inlineStr">
        <is>
          <t>RUVVO</t>
        </is>
      </c>
      <c r="H960" s="4" t="inlineStr">
        <is>
          <t xml:space="preserve">20'x1 </t>
        </is>
      </c>
      <c r="I960" s="4" t="inlineStr">
        <is>
          <t>BKK25</t>
        </is>
      </c>
      <c r="J960" s="4" t="inlineStr">
        <is>
          <t xml:space="preserve">Smart Logistics Service (Thailand ) Co.,Ltd. </t>
        </is>
      </c>
      <c r="K960" s="4" t="inlineStr">
        <is>
          <t>20261001</t>
        </is>
      </c>
      <c r="L960" s="4" t="inlineStr">
        <is>
          <t>MJ LOGISTICS (THAILAND) CO., LTD.</t>
        </is>
      </c>
      <c r="M960" s="4" t="inlineStr">
        <is>
          <t>RIVER KWAI INTERNATIONAL FOOD INDUSTRY CO., LTD.</t>
        </is>
      </c>
      <c r="N960" s="4" t="inlineStr">
        <is>
          <t>WHOLE KERNEL SWEET CORN</t>
        </is>
      </c>
      <c r="O960" s="4" t="inlineStr">
        <is>
          <t>GOOD AND CLEAN CONTAINER</t>
        </is>
      </c>
      <c r="P960" s="4" t="inlineStr">
        <is>
          <t>Pickup : 2026-10-01, Return : 2026-10-02</t>
        </is>
      </c>
      <c r="Q960" s="4" t="n">
        <v>1</v>
      </c>
      <c r="R960" s="4" t="n">
        <v>0</v>
      </c>
      <c r="S960" s="4" t="n">
        <v>0</v>
      </c>
      <c r="T960" s="4" t="n">
        <v>0</v>
      </c>
      <c r="U960" s="4" t="n">
        <v>0</v>
      </c>
      <c r="V960" s="4" t="n">
        <v>0</v>
      </c>
      <c r="W960" s="4" t="n">
        <v>0</v>
      </c>
      <c r="X960" s="4" t="n">
        <v>0</v>
      </c>
      <c r="Y960" s="4" t="n">
        <v>0</v>
      </c>
      <c r="Z960" s="4" t="n">
        <v>0</v>
      </c>
      <c r="AA960" s="4" t="n">
        <v>0</v>
      </c>
      <c r="AB960" s="4">
        <f>SUM(Q960:Y960)-Z960</f>
        <v/>
      </c>
      <c r="AC960" s="4">
        <f>IF(I960="","",IF(OR(LEFT(I960,3)="BKK",I960="LCH55"),"BKK",IF(LEFT(I960,3)="LCH","LCH","OTHER")))</f>
        <v/>
      </c>
      <c r="AD960" s="4">
        <f>MAX(0,Q960-MAX(0,Z960))</f>
        <v/>
      </c>
      <c r="AE960" s="4">
        <f>MAX(0,R960-MAX(0,Z960-SUM(Q960:Q960)))</f>
        <v/>
      </c>
      <c r="AF960" s="4">
        <f>MAX(0,S960-MAX(0,Z960-SUM(Q960:R960)))</f>
        <v/>
      </c>
      <c r="AG960" s="4">
        <f>MAX(0,T960-MAX(0,Z960-SUM(Q960:S960)))</f>
        <v/>
      </c>
      <c r="AH960" s="4">
        <f>MAX(0,U960-MAX(0,Z960-SUM(Q960:T960)))</f>
        <v/>
      </c>
      <c r="AI960" s="4">
        <f>MAX(0,V960-MAX(0,Z960-SUM(Q960:U960)))</f>
        <v/>
      </c>
      <c r="AJ960" s="4">
        <f>MAX(0,W960-MAX(0,Z960-SUM(Q960:V960)))</f>
        <v/>
      </c>
      <c r="AK960" s="4">
        <f>MAX(0,X960-MAX(0,Z960-SUM(Q960:W960)))</f>
        <v/>
      </c>
      <c r="AL960" s="4">
        <f>MAX(0,Y960-MAX(0,Z960-SUM(Q960:X960)))</f>
        <v/>
      </c>
    </row>
    <row r="961">
      <c r="A961" s="4" t="inlineStr">
        <is>
          <t>HASLS22260900960</t>
        </is>
      </c>
      <c r="B961" s="4" t="inlineStr">
        <is>
          <t>DJCF</t>
        </is>
      </c>
      <c r="C961" s="4" t="inlineStr">
        <is>
          <t>0152N</t>
        </is>
      </c>
      <c r="D961" s="4" t="inlineStr">
        <is>
          <t>202610111000</t>
        </is>
      </c>
      <c r="E961" s="4" t="inlineStr"/>
      <c r="F961" s="4" t="inlineStr">
        <is>
          <t>THBKK</t>
        </is>
      </c>
      <c r="G961" s="4" t="inlineStr">
        <is>
          <t>VNSGN</t>
        </is>
      </c>
      <c r="H961" s="4" t="inlineStr">
        <is>
          <t xml:space="preserve">20'x1 </t>
        </is>
      </c>
      <c r="I961" s="4" t="inlineStr">
        <is>
          <t>BKK25</t>
        </is>
      </c>
      <c r="J961" s="4" t="inlineStr">
        <is>
          <t xml:space="preserve">Smart Logistics Service (Thailand ) Co.,Ltd. </t>
        </is>
      </c>
      <c r="K961" s="4" t="inlineStr">
        <is>
          <t>20261006</t>
        </is>
      </c>
      <c r="L961" s="4" t="inlineStr">
        <is>
          <t>INITIAL FREIGHT CO., LTD.</t>
        </is>
      </c>
      <c r="M961" s="4" t="inlineStr">
        <is>
          <t>THAI SIN RUBBER INDUSTRY CO., LTD.</t>
        </is>
      </c>
      <c r="N961" s="4" t="inlineStr">
        <is>
          <t>MOTORCYCLE TYRES</t>
        </is>
      </c>
      <c r="O961" s="4" t="inlineStr">
        <is>
          <t>GOOD AND CLEAN CONTAINER</t>
        </is>
      </c>
      <c r="P961" s="4" t="inlineStr">
        <is>
          <t>Pickup : 2026-10-06, Return : 2026-10-07</t>
        </is>
      </c>
      <c r="Q961" s="4" t="n">
        <v>1</v>
      </c>
      <c r="R961" s="4" t="n">
        <v>0</v>
      </c>
      <c r="S961" s="4" t="n">
        <v>0</v>
      </c>
      <c r="T961" s="4" t="n">
        <v>0</v>
      </c>
      <c r="U961" s="4" t="n">
        <v>0</v>
      </c>
      <c r="V961" s="4" t="n">
        <v>0</v>
      </c>
      <c r="W961" s="4" t="n">
        <v>0</v>
      </c>
      <c r="X961" s="4" t="n">
        <v>0</v>
      </c>
      <c r="Y961" s="4" t="n">
        <v>0</v>
      </c>
      <c r="Z961" s="4" t="n">
        <v>0</v>
      </c>
      <c r="AA961" s="4" t="n">
        <v>0</v>
      </c>
      <c r="AB961" s="4">
        <f>SUM(Q961:Y961)-Z961</f>
        <v/>
      </c>
      <c r="AC961" s="4">
        <f>IF(I961="","",IF(OR(LEFT(I961,3)="BKK",I961="LCH55"),"BKK",IF(LEFT(I961,3)="LCH","LCH","OTHER")))</f>
        <v/>
      </c>
      <c r="AD961" s="4">
        <f>MAX(0,Q961-MAX(0,Z961))</f>
        <v/>
      </c>
      <c r="AE961" s="4">
        <f>MAX(0,R961-MAX(0,Z961-SUM(Q961:Q961)))</f>
        <v/>
      </c>
      <c r="AF961" s="4">
        <f>MAX(0,S961-MAX(0,Z961-SUM(Q961:R961)))</f>
        <v/>
      </c>
      <c r="AG961" s="4">
        <f>MAX(0,T961-MAX(0,Z961-SUM(Q961:S961)))</f>
        <v/>
      </c>
      <c r="AH961" s="4">
        <f>MAX(0,U961-MAX(0,Z961-SUM(Q961:T961)))</f>
        <v/>
      </c>
      <c r="AI961" s="4">
        <f>MAX(0,V961-MAX(0,Z961-SUM(Q961:U961)))</f>
        <v/>
      </c>
      <c r="AJ961" s="4">
        <f>MAX(0,W961-MAX(0,Z961-SUM(Q961:V961)))</f>
        <v/>
      </c>
      <c r="AK961" s="4">
        <f>MAX(0,X961-MAX(0,Z961-SUM(Q961:W961)))</f>
        <v/>
      </c>
      <c r="AL961" s="4">
        <f>MAX(0,Y961-MAX(0,Z961-SUM(Q961:X961)))</f>
        <v/>
      </c>
    </row>
    <row r="962">
      <c r="A962" s="4" t="inlineStr">
        <is>
          <t>HASLS22260901006</t>
        </is>
      </c>
      <c r="B962" s="4" t="inlineStr">
        <is>
          <t>SWMM</t>
        </is>
      </c>
      <c r="C962" s="4" t="inlineStr">
        <is>
          <t>2610N</t>
        </is>
      </c>
      <c r="D962" s="4" t="inlineStr">
        <is>
          <t>202610210400</t>
        </is>
      </c>
      <c r="E962" s="4" t="inlineStr"/>
      <c r="F962" s="4" t="inlineStr">
        <is>
          <t>THBKK</t>
        </is>
      </c>
      <c r="G962" s="4" t="inlineStr">
        <is>
          <t>KRPUS</t>
        </is>
      </c>
      <c r="H962" s="4" t="inlineStr">
        <is>
          <t xml:space="preserve">20'x2 </t>
        </is>
      </c>
      <c r="I962" s="4" t="inlineStr">
        <is>
          <t>BKK25</t>
        </is>
      </c>
      <c r="J962" s="4" t="inlineStr">
        <is>
          <t xml:space="preserve">Smart Logistics Service (Thailand ) Co.,Ltd. </t>
        </is>
      </c>
      <c r="K962" s="4" t="inlineStr">
        <is>
          <t>20261014</t>
        </is>
      </c>
      <c r="L962" s="4" t="inlineStr">
        <is>
          <t>ITL SERVICES AND LOGISTICS CO., LTD.</t>
        </is>
      </c>
      <c r="M962" s="4" t="inlineStr">
        <is>
          <t>TROPICAL PREMIUM FOODS CO., LTD</t>
        </is>
      </c>
      <c r="N962" s="4" t="inlineStr">
        <is>
          <t>SWEET CORN CANNED</t>
        </is>
      </c>
      <c r="O962" s="4" t="inlineStr">
        <is>
          <t>GOOD AND CLEAN CONTAINER</t>
        </is>
      </c>
      <c r="P962" s="4" t="inlineStr">
        <is>
          <t xml:space="preserve">Pickup : 2026-10-14, Return : 2026-10-14 </t>
        </is>
      </c>
      <c r="Q962" s="4" t="n">
        <v>2</v>
      </c>
      <c r="R962" s="4" t="n">
        <v>0</v>
      </c>
      <c r="S962" s="4" t="n">
        <v>0</v>
      </c>
      <c r="T962" s="4" t="n">
        <v>0</v>
      </c>
      <c r="U962" s="4" t="n">
        <v>0</v>
      </c>
      <c r="V962" s="4" t="n">
        <v>0</v>
      </c>
      <c r="W962" s="4" t="n">
        <v>0</v>
      </c>
      <c r="X962" s="4" t="n">
        <v>0</v>
      </c>
      <c r="Y962" s="4" t="n">
        <v>0</v>
      </c>
      <c r="Z962" s="4" t="n">
        <v>0</v>
      </c>
      <c r="AA962" s="4" t="n">
        <v>0</v>
      </c>
      <c r="AB962" s="4">
        <f>SUM(Q962:Y962)-Z962</f>
        <v/>
      </c>
      <c r="AC962" s="4">
        <f>IF(I962="","",IF(OR(LEFT(I962,3)="BKK",I962="LCH55"),"BKK",IF(LEFT(I962,3)="LCH","LCH","OTHER")))</f>
        <v/>
      </c>
      <c r="AD962" s="4">
        <f>MAX(0,Q962-MAX(0,Z962))</f>
        <v/>
      </c>
      <c r="AE962" s="4">
        <f>MAX(0,R962-MAX(0,Z962-SUM(Q962:Q962)))</f>
        <v/>
      </c>
      <c r="AF962" s="4">
        <f>MAX(0,S962-MAX(0,Z962-SUM(Q962:R962)))</f>
        <v/>
      </c>
      <c r="AG962" s="4">
        <f>MAX(0,T962-MAX(0,Z962-SUM(Q962:S962)))</f>
        <v/>
      </c>
      <c r="AH962" s="4">
        <f>MAX(0,U962-MAX(0,Z962-SUM(Q962:T962)))</f>
        <v/>
      </c>
      <c r="AI962" s="4">
        <f>MAX(0,V962-MAX(0,Z962-SUM(Q962:U962)))</f>
        <v/>
      </c>
      <c r="AJ962" s="4">
        <f>MAX(0,W962-MAX(0,Z962-SUM(Q962:V962)))</f>
        <v/>
      </c>
      <c r="AK962" s="4">
        <f>MAX(0,X962-MAX(0,Z962-SUM(Q962:W962)))</f>
        <v/>
      </c>
      <c r="AL962" s="4">
        <f>MAX(0,Y962-MAX(0,Z962-SUM(Q962:X962)))</f>
        <v/>
      </c>
    </row>
    <row r="963">
      <c r="A963" s="4" t="inlineStr">
        <is>
          <t>HASLS22260901024</t>
        </is>
      </c>
      <c r="B963" s="4" t="inlineStr">
        <is>
          <t>SWSP</t>
        </is>
      </c>
      <c r="C963" s="4" t="inlineStr">
        <is>
          <t>2609N</t>
        </is>
      </c>
      <c r="D963" s="4" t="inlineStr">
        <is>
          <t>202610071530</t>
        </is>
      </c>
      <c r="E963" s="4" t="inlineStr"/>
      <c r="F963" s="4" t="inlineStr">
        <is>
          <t>THBKK</t>
        </is>
      </c>
      <c r="G963" s="4" t="inlineStr">
        <is>
          <t>RUVVO</t>
        </is>
      </c>
      <c r="H963" s="4" t="inlineStr">
        <is>
          <t xml:space="preserve">40Hx1 </t>
        </is>
      </c>
      <c r="I963" s="4" t="inlineStr">
        <is>
          <t>BKK25</t>
        </is>
      </c>
      <c r="J963" s="4" t="inlineStr">
        <is>
          <t xml:space="preserve">Smart Logistics Service (Thailand ) Co.,Ltd. </t>
        </is>
      </c>
      <c r="K963" s="4" t="inlineStr">
        <is>
          <t>20260926</t>
        </is>
      </c>
      <c r="L963" s="4" t="inlineStr">
        <is>
          <t>MJ LOGISTICS (THAILAND) CO., LTD.</t>
        </is>
      </c>
      <c r="M963" s="4" t="inlineStr">
        <is>
          <t>SINGHA WORLDWIDE INTERNATIONAL CO., LTD.</t>
        </is>
      </c>
      <c r="N963" s="4" t="inlineStr">
        <is>
          <t>BEER ALC 5%</t>
        </is>
      </c>
      <c r="O963" s="4" t="inlineStr">
        <is>
          <t>GOOD AND CLEAN CONTAINER</t>
        </is>
      </c>
      <c r="P963" s="4" t="inlineStr">
        <is>
          <t>Pickup : 2026-09-26, Return : 2026-09-28</t>
        </is>
      </c>
      <c r="Q963" s="4" t="n">
        <v>0</v>
      </c>
      <c r="R963" s="4" t="n">
        <v>0</v>
      </c>
      <c r="S963" s="4" t="n">
        <v>1</v>
      </c>
      <c r="T963" s="4" t="n">
        <v>0</v>
      </c>
      <c r="U963" s="4" t="n">
        <v>0</v>
      </c>
      <c r="V963" s="4" t="n">
        <v>0</v>
      </c>
      <c r="W963" s="4" t="n">
        <v>0</v>
      </c>
      <c r="X963" s="4" t="n">
        <v>0</v>
      </c>
      <c r="Y963" s="4" t="n">
        <v>0</v>
      </c>
      <c r="Z963" s="4" t="n">
        <v>0</v>
      </c>
      <c r="AA963" s="4" t="n">
        <v>0</v>
      </c>
      <c r="AB963" s="4">
        <f>SUM(Q963:Y963)-Z963</f>
        <v/>
      </c>
      <c r="AC963" s="4">
        <f>IF(I963="","",IF(OR(LEFT(I963,3)="BKK",I963="LCH55"),"BKK",IF(LEFT(I963,3)="LCH","LCH","OTHER")))</f>
        <v/>
      </c>
      <c r="AD963" s="4">
        <f>MAX(0,Q963-MAX(0,Z963))</f>
        <v/>
      </c>
      <c r="AE963" s="4">
        <f>MAX(0,R963-MAX(0,Z963-SUM(Q963:Q963)))</f>
        <v/>
      </c>
      <c r="AF963" s="4">
        <f>MAX(0,S963-MAX(0,Z963-SUM(Q963:R963)))</f>
        <v/>
      </c>
      <c r="AG963" s="4">
        <f>MAX(0,T963-MAX(0,Z963-SUM(Q963:S963)))</f>
        <v/>
      </c>
      <c r="AH963" s="4">
        <f>MAX(0,U963-MAX(0,Z963-SUM(Q963:T963)))</f>
        <v/>
      </c>
      <c r="AI963" s="4">
        <f>MAX(0,V963-MAX(0,Z963-SUM(Q963:U963)))</f>
        <v/>
      </c>
      <c r="AJ963" s="4">
        <f>MAX(0,W963-MAX(0,Z963-SUM(Q963:V963)))</f>
        <v/>
      </c>
      <c r="AK963" s="4">
        <f>MAX(0,X963-MAX(0,Z963-SUM(Q963:W963)))</f>
        <v/>
      </c>
      <c r="AL963" s="4">
        <f>MAX(0,Y963-MAX(0,Z963-SUM(Q963:X963)))</f>
        <v/>
      </c>
    </row>
    <row r="964">
      <c r="A964" s="4" t="inlineStr">
        <is>
          <t>HASLS22260901036</t>
        </is>
      </c>
      <c r="B964" s="4" t="inlineStr">
        <is>
          <t>SWSP</t>
        </is>
      </c>
      <c r="C964" s="4" t="inlineStr">
        <is>
          <t>2609N</t>
        </is>
      </c>
      <c r="D964" s="4" t="inlineStr">
        <is>
          <t>202610071530</t>
        </is>
      </c>
      <c r="E964" s="4" t="inlineStr"/>
      <c r="F964" s="4" t="inlineStr">
        <is>
          <t>THBKK</t>
        </is>
      </c>
      <c r="G964" s="4" t="inlineStr">
        <is>
          <t>VNSGN</t>
        </is>
      </c>
      <c r="H964" s="4" t="inlineStr">
        <is>
          <t xml:space="preserve">40Hx8 </t>
        </is>
      </c>
      <c r="I964" s="4" t="inlineStr">
        <is>
          <t>BKK25</t>
        </is>
      </c>
      <c r="J964" s="4" t="inlineStr">
        <is>
          <t xml:space="preserve">Smart Logistics Service (Thailand ) Co.,Ltd. </t>
        </is>
      </c>
      <c r="K964" s="4" t="inlineStr">
        <is>
          <t>20261001</t>
        </is>
      </c>
      <c r="L964" s="4" t="inlineStr">
        <is>
          <t>PISIA INTERFREIGHT CO.,LTD.</t>
        </is>
      </c>
      <c r="M964" s="4" t="inlineStr">
        <is>
          <t>KANGWAL POLYESTER CO., LTD.</t>
        </is>
      </c>
      <c r="N964" s="4" t="inlineStr">
        <is>
          <t>POLYESTER</t>
        </is>
      </c>
      <c r="O964" s="4" t="inlineStr">
        <is>
          <t>GOOD AND CLEAN CONTAINER</t>
        </is>
      </c>
      <c r="P964" s="4" t="inlineStr">
        <is>
          <t>Pickup : 2026-10-01, Return : 2026-10-02</t>
        </is>
      </c>
      <c r="Q964" s="4" t="n">
        <v>0</v>
      </c>
      <c r="R964" s="4" t="n">
        <v>0</v>
      </c>
      <c r="S964" s="4" t="n">
        <v>8</v>
      </c>
      <c r="T964" s="4" t="n">
        <v>0</v>
      </c>
      <c r="U964" s="4" t="n">
        <v>0</v>
      </c>
      <c r="V964" s="4" t="n">
        <v>0</v>
      </c>
      <c r="W964" s="4" t="n">
        <v>0</v>
      </c>
      <c r="X964" s="4" t="n">
        <v>0</v>
      </c>
      <c r="Y964" s="4" t="n">
        <v>0</v>
      </c>
      <c r="Z964" s="4" t="n">
        <v>0</v>
      </c>
      <c r="AA964" s="4" t="n">
        <v>0</v>
      </c>
      <c r="AB964" s="4">
        <f>SUM(Q964:Y964)-Z964</f>
        <v/>
      </c>
      <c r="AC964" s="4">
        <f>IF(I964="","",IF(OR(LEFT(I964,3)="BKK",I964="LCH55"),"BKK",IF(LEFT(I964,3)="LCH","LCH","OTHER")))</f>
        <v/>
      </c>
      <c r="AD964" s="4">
        <f>MAX(0,Q964-MAX(0,Z964))</f>
        <v/>
      </c>
      <c r="AE964" s="4">
        <f>MAX(0,R964-MAX(0,Z964-SUM(Q964:Q964)))</f>
        <v/>
      </c>
      <c r="AF964" s="4">
        <f>MAX(0,S964-MAX(0,Z964-SUM(Q964:R964)))</f>
        <v/>
      </c>
      <c r="AG964" s="4">
        <f>MAX(0,T964-MAX(0,Z964-SUM(Q964:S964)))</f>
        <v/>
      </c>
      <c r="AH964" s="4">
        <f>MAX(0,U964-MAX(0,Z964-SUM(Q964:T964)))</f>
        <v/>
      </c>
      <c r="AI964" s="4">
        <f>MAX(0,V964-MAX(0,Z964-SUM(Q964:U964)))</f>
        <v/>
      </c>
      <c r="AJ964" s="4">
        <f>MAX(0,W964-MAX(0,Z964-SUM(Q964:V964)))</f>
        <v/>
      </c>
      <c r="AK964" s="4">
        <f>MAX(0,X964-MAX(0,Z964-SUM(Q964:W964)))</f>
        <v/>
      </c>
      <c r="AL964" s="4">
        <f>MAX(0,Y964-MAX(0,Z964-SUM(Q964:X964)))</f>
        <v/>
      </c>
    </row>
    <row r="965">
      <c r="A965" s="4" t="inlineStr">
        <is>
          <t>HASLS22260901037</t>
        </is>
      </c>
      <c r="B965" s="4" t="inlineStr">
        <is>
          <t>DJCF</t>
        </is>
      </c>
      <c r="C965" s="4" t="inlineStr">
        <is>
          <t>0152N</t>
        </is>
      </c>
      <c r="D965" s="4" t="inlineStr">
        <is>
          <t>202610111000</t>
        </is>
      </c>
      <c r="E965" s="4" t="inlineStr"/>
      <c r="F965" s="4" t="inlineStr">
        <is>
          <t>THBKK</t>
        </is>
      </c>
      <c r="G965" s="4" t="inlineStr">
        <is>
          <t>VNSGN</t>
        </is>
      </c>
      <c r="H965" s="4" t="inlineStr">
        <is>
          <t xml:space="preserve">40Hx4 </t>
        </is>
      </c>
      <c r="I965" s="4" t="inlineStr">
        <is>
          <t>BKK25</t>
        </is>
      </c>
      <c r="J965" s="4" t="inlineStr">
        <is>
          <t xml:space="preserve">Smart Logistics Service (Thailand ) Co.,Ltd. </t>
        </is>
      </c>
      <c r="K965" s="4" t="inlineStr">
        <is>
          <t>20261006</t>
        </is>
      </c>
      <c r="L965" s="4" t="inlineStr">
        <is>
          <t>PISIA INTERFREIGHT CO.,LTD.</t>
        </is>
      </c>
      <c r="M965" s="4" t="inlineStr">
        <is>
          <t>KANGWAL POLYESTER CO., LTD.</t>
        </is>
      </c>
      <c r="N965" s="4" t="inlineStr">
        <is>
          <t>POLYESTER</t>
        </is>
      </c>
      <c r="O965" s="4" t="inlineStr">
        <is>
          <t>GOOD AND CLEAN CONTAINER</t>
        </is>
      </c>
      <c r="P965" s="4" t="inlineStr">
        <is>
          <t>Pickup : 2026-10-06, Return : 2026-10-07</t>
        </is>
      </c>
      <c r="Q965" s="4" t="n">
        <v>0</v>
      </c>
      <c r="R965" s="4" t="n">
        <v>0</v>
      </c>
      <c r="S965" s="4" t="n">
        <v>4</v>
      </c>
      <c r="T965" s="4" t="n">
        <v>0</v>
      </c>
      <c r="U965" s="4" t="n">
        <v>0</v>
      </c>
      <c r="V965" s="4" t="n">
        <v>0</v>
      </c>
      <c r="W965" s="4" t="n">
        <v>0</v>
      </c>
      <c r="X965" s="4" t="n">
        <v>0</v>
      </c>
      <c r="Y965" s="4" t="n">
        <v>0</v>
      </c>
      <c r="Z965" s="4" t="n">
        <v>0</v>
      </c>
      <c r="AA965" s="4" t="n">
        <v>0</v>
      </c>
      <c r="AB965" s="4">
        <f>SUM(Q965:Y965)-Z965</f>
        <v/>
      </c>
      <c r="AC965" s="4">
        <f>IF(I965="","",IF(OR(LEFT(I965,3)="BKK",I965="LCH55"),"BKK",IF(LEFT(I965,3)="LCH","LCH","OTHER")))</f>
        <v/>
      </c>
      <c r="AD965" s="4">
        <f>MAX(0,Q965-MAX(0,Z965))</f>
        <v/>
      </c>
      <c r="AE965" s="4">
        <f>MAX(0,R965-MAX(0,Z965-SUM(Q965:Q965)))</f>
        <v/>
      </c>
      <c r="AF965" s="4">
        <f>MAX(0,S965-MAX(0,Z965-SUM(Q965:R965)))</f>
        <v/>
      </c>
      <c r="AG965" s="4">
        <f>MAX(0,T965-MAX(0,Z965-SUM(Q965:S965)))</f>
        <v/>
      </c>
      <c r="AH965" s="4">
        <f>MAX(0,U965-MAX(0,Z965-SUM(Q965:T965)))</f>
        <v/>
      </c>
      <c r="AI965" s="4">
        <f>MAX(0,V965-MAX(0,Z965-SUM(Q965:U965)))</f>
        <v/>
      </c>
      <c r="AJ965" s="4">
        <f>MAX(0,W965-MAX(0,Z965-SUM(Q965:V965)))</f>
        <v/>
      </c>
      <c r="AK965" s="4">
        <f>MAX(0,X965-MAX(0,Z965-SUM(Q965:W965)))</f>
        <v/>
      </c>
      <c r="AL965" s="4">
        <f>MAX(0,Y965-MAX(0,Z965-SUM(Q965:X965)))</f>
        <v/>
      </c>
    </row>
    <row r="966">
      <c r="A966" s="4" t="inlineStr">
        <is>
          <t>HASLS22260901038</t>
        </is>
      </c>
      <c r="B966" s="4" t="inlineStr">
        <is>
          <t>KMBK</t>
        </is>
      </c>
      <c r="C966" s="4" t="inlineStr">
        <is>
          <t>2611N</t>
        </is>
      </c>
      <c r="D966" s="4" t="inlineStr">
        <is>
          <t>202610030900</t>
        </is>
      </c>
      <c r="E966" s="4" t="inlineStr"/>
      <c r="F966" s="4" t="inlineStr">
        <is>
          <t>THBKK</t>
        </is>
      </c>
      <c r="G966" s="4" t="inlineStr">
        <is>
          <t>JPMYJ</t>
        </is>
      </c>
      <c r="H966" s="4" t="inlineStr">
        <is>
          <t xml:space="preserve">40Hx1 </t>
        </is>
      </c>
      <c r="I966" s="4" t="inlineStr">
        <is>
          <t>BKK25</t>
        </is>
      </c>
      <c r="J966" s="4" t="inlineStr">
        <is>
          <t xml:space="preserve">Smart Logistics Service (Thailand ) Co.,Ltd. </t>
        </is>
      </c>
      <c r="K966" s="4" t="inlineStr">
        <is>
          <t>20260929</t>
        </is>
      </c>
      <c r="L966" s="4" t="inlineStr">
        <is>
          <t>C.P. INTERTRADE CO., LTD.</t>
        </is>
      </c>
      <c r="M966" s="4" t="inlineStr">
        <is>
          <t>PERFECT COMPANION GROUP CO., LTD.</t>
        </is>
      </c>
      <c r="N966" s="4" t="inlineStr">
        <is>
          <t>PET FOOD</t>
        </is>
      </c>
      <c r="O966" s="4" t="inlineStr">
        <is>
          <t>GOOD AND CLEAN CONTAINER</t>
        </is>
      </c>
      <c r="P966" s="4" t="inlineStr">
        <is>
          <t>Pickup : 2026-09-29, Return : 2026-09-29</t>
        </is>
      </c>
      <c r="Q966" s="4" t="n">
        <v>0</v>
      </c>
      <c r="R966" s="4" t="n">
        <v>0</v>
      </c>
      <c r="S966" s="4" t="n">
        <v>1</v>
      </c>
      <c r="T966" s="4" t="n">
        <v>0</v>
      </c>
      <c r="U966" s="4" t="n">
        <v>0</v>
      </c>
      <c r="V966" s="4" t="n">
        <v>0</v>
      </c>
      <c r="W966" s="4" t="n">
        <v>0</v>
      </c>
      <c r="X966" s="4" t="n">
        <v>0</v>
      </c>
      <c r="Y966" s="4" t="n">
        <v>0</v>
      </c>
      <c r="Z966" s="4" t="n">
        <v>0</v>
      </c>
      <c r="AA966" s="4" t="n">
        <v>0</v>
      </c>
      <c r="AB966" s="4">
        <f>SUM(Q966:Y966)-Z966</f>
        <v/>
      </c>
      <c r="AC966" s="4">
        <f>IF(I966="","",IF(OR(LEFT(I966,3)="BKK",I966="LCH55"),"BKK",IF(LEFT(I966,3)="LCH","LCH","OTHER")))</f>
        <v/>
      </c>
      <c r="AD966" s="4">
        <f>MAX(0,Q966-MAX(0,Z966))</f>
        <v/>
      </c>
      <c r="AE966" s="4">
        <f>MAX(0,R966-MAX(0,Z966-SUM(Q966:Q966)))</f>
        <v/>
      </c>
      <c r="AF966" s="4">
        <f>MAX(0,S966-MAX(0,Z966-SUM(Q966:R966)))</f>
        <v/>
      </c>
      <c r="AG966" s="4">
        <f>MAX(0,T966-MAX(0,Z966-SUM(Q966:S966)))</f>
        <v/>
      </c>
      <c r="AH966" s="4">
        <f>MAX(0,U966-MAX(0,Z966-SUM(Q966:T966)))</f>
        <v/>
      </c>
      <c r="AI966" s="4">
        <f>MAX(0,V966-MAX(0,Z966-SUM(Q966:U966)))</f>
        <v/>
      </c>
      <c r="AJ966" s="4">
        <f>MAX(0,W966-MAX(0,Z966-SUM(Q966:V966)))</f>
        <v/>
      </c>
      <c r="AK966" s="4">
        <f>MAX(0,X966-MAX(0,Z966-SUM(Q966:W966)))</f>
        <v/>
      </c>
      <c r="AL966" s="4">
        <f>MAX(0,Y966-MAX(0,Z966-SUM(Q966:X966)))</f>
        <v/>
      </c>
    </row>
    <row r="967">
      <c r="A967" s="4" t="inlineStr">
        <is>
          <t>HASLS22260901039</t>
        </is>
      </c>
      <c r="B967" s="4" t="inlineStr">
        <is>
          <t>DJCF</t>
        </is>
      </c>
      <c r="C967" s="4" t="inlineStr">
        <is>
          <t>0152N</t>
        </is>
      </c>
      <c r="D967" s="4" t="inlineStr">
        <is>
          <t>202610111000</t>
        </is>
      </c>
      <c r="E967" s="4" t="inlineStr"/>
      <c r="F967" s="4" t="inlineStr">
        <is>
          <t>THBKK</t>
        </is>
      </c>
      <c r="G967" s="4" t="inlineStr">
        <is>
          <t>JPMYJ</t>
        </is>
      </c>
      <c r="H967" s="4" t="inlineStr">
        <is>
          <t xml:space="preserve">40Hx1 </t>
        </is>
      </c>
      <c r="I967" s="4" t="inlineStr">
        <is>
          <t>BKK25</t>
        </is>
      </c>
      <c r="J967" s="4" t="inlineStr">
        <is>
          <t xml:space="preserve">Smart Logistics Service (Thailand ) Co.,Ltd. </t>
        </is>
      </c>
      <c r="K967" s="4" t="inlineStr">
        <is>
          <t>20261005</t>
        </is>
      </c>
      <c r="L967" s="4" t="inlineStr">
        <is>
          <t>C.P. INTERTRADE CO., LTD.</t>
        </is>
      </c>
      <c r="M967" s="4" t="inlineStr">
        <is>
          <t>PERFECT COMPANION GROUP CO., LTD.</t>
        </is>
      </c>
      <c r="N967" s="4" t="inlineStr">
        <is>
          <t>PET FOOD</t>
        </is>
      </c>
      <c r="O967" s="4" t="inlineStr">
        <is>
          <t>GOOD AND CLEAN CONTAINER</t>
        </is>
      </c>
      <c r="P967" s="4" t="inlineStr">
        <is>
          <t>Pickup : 2026-10-05, Return : 2026-10-07</t>
        </is>
      </c>
      <c r="Q967" s="4" t="n">
        <v>0</v>
      </c>
      <c r="R967" s="4" t="n">
        <v>0</v>
      </c>
      <c r="S967" s="4" t="n">
        <v>1</v>
      </c>
      <c r="T967" s="4" t="n">
        <v>0</v>
      </c>
      <c r="U967" s="4" t="n">
        <v>0</v>
      </c>
      <c r="V967" s="4" t="n">
        <v>0</v>
      </c>
      <c r="W967" s="4" t="n">
        <v>0</v>
      </c>
      <c r="X967" s="4" t="n">
        <v>0</v>
      </c>
      <c r="Y967" s="4" t="n">
        <v>0</v>
      </c>
      <c r="Z967" s="4" t="n">
        <v>0</v>
      </c>
      <c r="AA967" s="4" t="n">
        <v>0</v>
      </c>
      <c r="AB967" s="4">
        <f>SUM(Q967:Y967)-Z967</f>
        <v/>
      </c>
      <c r="AC967" s="4">
        <f>IF(I967="","",IF(OR(LEFT(I967,3)="BKK",I967="LCH55"),"BKK",IF(LEFT(I967,3)="LCH","LCH","OTHER")))</f>
        <v/>
      </c>
      <c r="AD967" s="4">
        <f>MAX(0,Q967-MAX(0,Z967))</f>
        <v/>
      </c>
      <c r="AE967" s="4">
        <f>MAX(0,R967-MAX(0,Z967-SUM(Q967:Q967)))</f>
        <v/>
      </c>
      <c r="AF967" s="4">
        <f>MAX(0,S967-MAX(0,Z967-SUM(Q967:R967)))</f>
        <v/>
      </c>
      <c r="AG967" s="4">
        <f>MAX(0,T967-MAX(0,Z967-SUM(Q967:S967)))</f>
        <v/>
      </c>
      <c r="AH967" s="4">
        <f>MAX(0,U967-MAX(0,Z967-SUM(Q967:T967)))</f>
        <v/>
      </c>
      <c r="AI967" s="4">
        <f>MAX(0,V967-MAX(0,Z967-SUM(Q967:U967)))</f>
        <v/>
      </c>
      <c r="AJ967" s="4">
        <f>MAX(0,W967-MAX(0,Z967-SUM(Q967:V967)))</f>
        <v/>
      </c>
      <c r="AK967" s="4">
        <f>MAX(0,X967-MAX(0,Z967-SUM(Q967:W967)))</f>
        <v/>
      </c>
      <c r="AL967" s="4">
        <f>MAX(0,Y967-MAX(0,Z967-SUM(Q967:X967)))</f>
        <v/>
      </c>
    </row>
    <row r="968">
      <c r="A968" s="4" t="inlineStr">
        <is>
          <t>HASLS22260901047</t>
        </is>
      </c>
      <c r="B968" s="4" t="inlineStr">
        <is>
          <t>KMBK</t>
        </is>
      </c>
      <c r="C968" s="4" t="inlineStr">
        <is>
          <t>2611N</t>
        </is>
      </c>
      <c r="D968" s="4" t="inlineStr">
        <is>
          <t>202610030900</t>
        </is>
      </c>
      <c r="E968" s="4" t="inlineStr"/>
      <c r="F968" s="4" t="inlineStr">
        <is>
          <t>THBKK</t>
        </is>
      </c>
      <c r="G968" s="4" t="inlineStr">
        <is>
          <t>VNSGN</t>
        </is>
      </c>
      <c r="H968" s="4" t="inlineStr">
        <is>
          <t xml:space="preserve">40Hx1 </t>
        </is>
      </c>
      <c r="I968" s="4" t="inlineStr">
        <is>
          <t>BKK25</t>
        </is>
      </c>
      <c r="J968" s="4" t="inlineStr">
        <is>
          <t xml:space="preserve">Smart Logistics Service (Thailand ) Co.,Ltd. </t>
        </is>
      </c>
      <c r="K968" s="4" t="inlineStr">
        <is>
          <t>20260929</t>
        </is>
      </c>
      <c r="L968" s="4" t="inlineStr">
        <is>
          <t>SANKYU-THAI CO., LTD.</t>
        </is>
      </c>
      <c r="M968" s="4" t="inlineStr">
        <is>
          <t>NIPRO (THAILAND) CORPORATION LIMITED</t>
        </is>
      </c>
      <c r="N968" s="4" t="inlineStr">
        <is>
          <t>MEDICAL PRODUCT</t>
        </is>
      </c>
      <c r="O968" s="4" t="inlineStr">
        <is>
          <t>GOOD AND CLEAN CONTAINER</t>
        </is>
      </c>
      <c r="P968" s="4" t="inlineStr">
        <is>
          <t>Pickup : 2026-09-29, Return : 2026-09-30 (EXTEND CLSOING DD.28/09/26@12.00)</t>
        </is>
      </c>
      <c r="Q968" s="4" t="n">
        <v>0</v>
      </c>
      <c r="R968" s="4" t="n">
        <v>0</v>
      </c>
      <c r="S968" s="4" t="n">
        <v>1</v>
      </c>
      <c r="T968" s="4" t="n">
        <v>0</v>
      </c>
      <c r="U968" s="4" t="n">
        <v>0</v>
      </c>
      <c r="V968" s="4" t="n">
        <v>0</v>
      </c>
      <c r="W968" s="4" t="n">
        <v>0</v>
      </c>
      <c r="X968" s="4" t="n">
        <v>0</v>
      </c>
      <c r="Y968" s="4" t="n">
        <v>0</v>
      </c>
      <c r="Z968" s="4" t="n">
        <v>0</v>
      </c>
      <c r="AA968" s="4" t="n">
        <v>0</v>
      </c>
      <c r="AB968" s="4">
        <f>SUM(Q968:Y968)-Z968</f>
        <v/>
      </c>
      <c r="AC968" s="4">
        <f>IF(I968="","",IF(OR(LEFT(I968,3)="BKK",I968="LCH55"),"BKK",IF(LEFT(I968,3)="LCH","LCH","OTHER")))</f>
        <v/>
      </c>
      <c r="AD968" s="4">
        <f>MAX(0,Q968-MAX(0,Z968))</f>
        <v/>
      </c>
      <c r="AE968" s="4">
        <f>MAX(0,R968-MAX(0,Z968-SUM(Q968:Q968)))</f>
        <v/>
      </c>
      <c r="AF968" s="4">
        <f>MAX(0,S968-MAX(0,Z968-SUM(Q968:R968)))</f>
        <v/>
      </c>
      <c r="AG968" s="4">
        <f>MAX(0,T968-MAX(0,Z968-SUM(Q968:S968)))</f>
        <v/>
      </c>
      <c r="AH968" s="4">
        <f>MAX(0,U968-MAX(0,Z968-SUM(Q968:T968)))</f>
        <v/>
      </c>
      <c r="AI968" s="4">
        <f>MAX(0,V968-MAX(0,Z968-SUM(Q968:U968)))</f>
        <v/>
      </c>
      <c r="AJ968" s="4">
        <f>MAX(0,W968-MAX(0,Z968-SUM(Q968:V968)))</f>
        <v/>
      </c>
      <c r="AK968" s="4">
        <f>MAX(0,X968-MAX(0,Z968-SUM(Q968:W968)))</f>
        <v/>
      </c>
      <c r="AL968" s="4">
        <f>MAX(0,Y968-MAX(0,Z968-SUM(Q968:X968)))</f>
        <v/>
      </c>
    </row>
    <row r="969">
      <c r="A969" s="4" t="inlineStr">
        <is>
          <t>HASLS22260901048</t>
        </is>
      </c>
      <c r="B969" s="4" t="inlineStr">
        <is>
          <t>SKOR</t>
        </is>
      </c>
      <c r="C969" s="4" t="inlineStr">
        <is>
          <t>2612N</t>
        </is>
      </c>
      <c r="D969" s="4" t="inlineStr">
        <is>
          <t>202610181700</t>
        </is>
      </c>
      <c r="E969" s="4" t="inlineStr"/>
      <c r="F969" s="4" t="inlineStr">
        <is>
          <t>THBKK</t>
        </is>
      </c>
      <c r="G969" s="4" t="inlineStr">
        <is>
          <t>HKHKG</t>
        </is>
      </c>
      <c r="H969" s="4" t="inlineStr">
        <is>
          <t xml:space="preserve">20'x1 </t>
        </is>
      </c>
      <c r="I969" s="4" t="inlineStr">
        <is>
          <t>BKK25</t>
        </is>
      </c>
      <c r="J969" s="4" t="inlineStr">
        <is>
          <t xml:space="preserve">Smart Logistics Service (Thailand ) Co.,Ltd. </t>
        </is>
      </c>
      <c r="K969" s="4" t="inlineStr">
        <is>
          <t>20261010</t>
        </is>
      </c>
      <c r="L969" s="4" t="inlineStr">
        <is>
          <t>DSV AIR &amp; SEA LTD.</t>
        </is>
      </c>
      <c r="M969" s="4" t="inlineStr">
        <is>
          <t>CHEVRON (THAILAND) LIMITED</t>
        </is>
      </c>
      <c r="N969" s="4" t="inlineStr">
        <is>
          <t>LUBE OIL</t>
        </is>
      </c>
      <c r="O969" s="4" t="inlineStr">
        <is>
          <t>Container condition  GRADE B+ CNTR / CLEAN CNTR WITH GOOD CONDITION / NO SMELL/NODAMAGES / STRONG &amp; SMOOTH FLOOR / NO NAILS / LOAD UNDERDECK</t>
        </is>
      </c>
      <c r="P969" s="4" t="inlineStr">
        <is>
          <t>Pickup : 2026-10-10, Return : 2026-10-12</t>
        </is>
      </c>
      <c r="Q969" s="4" t="n">
        <v>1</v>
      </c>
      <c r="R969" s="4" t="n">
        <v>0</v>
      </c>
      <c r="S969" s="4" t="n">
        <v>0</v>
      </c>
      <c r="T969" s="4" t="n">
        <v>0</v>
      </c>
      <c r="U969" s="4" t="n">
        <v>0</v>
      </c>
      <c r="V969" s="4" t="n">
        <v>0</v>
      </c>
      <c r="W969" s="4" t="n">
        <v>0</v>
      </c>
      <c r="X969" s="4" t="n">
        <v>0</v>
      </c>
      <c r="Y969" s="4" t="n">
        <v>0</v>
      </c>
      <c r="Z969" s="4" t="n">
        <v>0</v>
      </c>
      <c r="AA969" s="4" t="n">
        <v>0</v>
      </c>
      <c r="AB969" s="4">
        <f>SUM(Q969:Y969)-Z969</f>
        <v/>
      </c>
      <c r="AC969" s="4">
        <f>IF(I969="","",IF(OR(LEFT(I969,3)="BKK",I969="LCH55"),"BKK",IF(LEFT(I969,3)="LCH","LCH","OTHER")))</f>
        <v/>
      </c>
      <c r="AD969" s="4">
        <f>MAX(0,Q969-MAX(0,Z969))</f>
        <v/>
      </c>
      <c r="AE969" s="4">
        <f>MAX(0,R969-MAX(0,Z969-SUM(Q969:Q969)))</f>
        <v/>
      </c>
      <c r="AF969" s="4">
        <f>MAX(0,S969-MAX(0,Z969-SUM(Q969:R969)))</f>
        <v/>
      </c>
      <c r="AG969" s="4">
        <f>MAX(0,T969-MAX(0,Z969-SUM(Q969:S969)))</f>
        <v/>
      </c>
      <c r="AH969" s="4">
        <f>MAX(0,U969-MAX(0,Z969-SUM(Q969:T969)))</f>
        <v/>
      </c>
      <c r="AI969" s="4">
        <f>MAX(0,V969-MAX(0,Z969-SUM(Q969:U969)))</f>
        <v/>
      </c>
      <c r="AJ969" s="4">
        <f>MAX(0,W969-MAX(0,Z969-SUM(Q969:V969)))</f>
        <v/>
      </c>
      <c r="AK969" s="4">
        <f>MAX(0,X969-MAX(0,Z969-SUM(Q969:W969)))</f>
        <v/>
      </c>
      <c r="AL969" s="4">
        <f>MAX(0,Y969-MAX(0,Z969-SUM(Q969:X969)))</f>
        <v/>
      </c>
    </row>
    <row r="970">
      <c r="A970" s="4" t="inlineStr">
        <is>
          <t>HASLS22260901049</t>
        </is>
      </c>
      <c r="B970" s="4" t="inlineStr">
        <is>
          <t>SKOR</t>
        </is>
      </c>
      <c r="C970" s="4" t="inlineStr">
        <is>
          <t>2612N</t>
        </is>
      </c>
      <c r="D970" s="4" t="inlineStr">
        <is>
          <t>202610181700</t>
        </is>
      </c>
      <c r="E970" s="4" t="inlineStr"/>
      <c r="F970" s="4" t="inlineStr">
        <is>
          <t>THBKK</t>
        </is>
      </c>
      <c r="G970" s="4" t="inlineStr">
        <is>
          <t>HKHKG</t>
        </is>
      </c>
      <c r="H970" s="4" t="inlineStr">
        <is>
          <t xml:space="preserve">20'x3 </t>
        </is>
      </c>
      <c r="I970" s="4" t="inlineStr">
        <is>
          <t>BKK25</t>
        </is>
      </c>
      <c r="J970" s="4" t="inlineStr">
        <is>
          <t xml:space="preserve">Smart Logistics Service (Thailand ) Co.,Ltd. </t>
        </is>
      </c>
      <c r="K970" s="4" t="inlineStr">
        <is>
          <t>20261010</t>
        </is>
      </c>
      <c r="L970" s="4" t="inlineStr">
        <is>
          <t>DSV AIR &amp; SEA LTD.</t>
        </is>
      </c>
      <c r="M970" s="4" t="inlineStr">
        <is>
          <t>CHEVRON (THAILAND) LIMITED</t>
        </is>
      </c>
      <c r="N970" s="4" t="inlineStr">
        <is>
          <t>LUBE OIL</t>
        </is>
      </c>
      <c r="O970" s="4" t="inlineStr">
        <is>
          <t>Container condition  GRADE B+ CNTR / CLEAN CNTR WITH GOOD CONDITION / NO SMELL/NODAMAGES / STRONG &amp; SMOOTH FLOOR / NO NAILS / LOAD UNDERDECK</t>
        </is>
      </c>
      <c r="P970" s="4" t="inlineStr">
        <is>
          <t>Pickup : 2026-10-10, Return : 2026-10-12</t>
        </is>
      </c>
      <c r="Q970" s="4" t="n">
        <v>3</v>
      </c>
      <c r="R970" s="4" t="n">
        <v>0</v>
      </c>
      <c r="S970" s="4" t="n">
        <v>0</v>
      </c>
      <c r="T970" s="4" t="n">
        <v>0</v>
      </c>
      <c r="U970" s="4" t="n">
        <v>0</v>
      </c>
      <c r="V970" s="4" t="n">
        <v>0</v>
      </c>
      <c r="W970" s="4" t="n">
        <v>0</v>
      </c>
      <c r="X970" s="4" t="n">
        <v>0</v>
      </c>
      <c r="Y970" s="4" t="n">
        <v>0</v>
      </c>
      <c r="Z970" s="4" t="n">
        <v>0</v>
      </c>
      <c r="AA970" s="4" t="n">
        <v>0</v>
      </c>
      <c r="AB970" s="4">
        <f>SUM(Q970:Y970)-Z970</f>
        <v/>
      </c>
      <c r="AC970" s="4">
        <f>IF(I970="","",IF(OR(LEFT(I970,3)="BKK",I970="LCH55"),"BKK",IF(LEFT(I970,3)="LCH","LCH","OTHER")))</f>
        <v/>
      </c>
      <c r="AD970" s="4">
        <f>MAX(0,Q970-MAX(0,Z970))</f>
        <v/>
      </c>
      <c r="AE970" s="4">
        <f>MAX(0,R970-MAX(0,Z970-SUM(Q970:Q970)))</f>
        <v/>
      </c>
      <c r="AF970" s="4">
        <f>MAX(0,S970-MAX(0,Z970-SUM(Q970:R970)))</f>
        <v/>
      </c>
      <c r="AG970" s="4">
        <f>MAX(0,T970-MAX(0,Z970-SUM(Q970:S970)))</f>
        <v/>
      </c>
      <c r="AH970" s="4">
        <f>MAX(0,U970-MAX(0,Z970-SUM(Q970:T970)))</f>
        <v/>
      </c>
      <c r="AI970" s="4">
        <f>MAX(0,V970-MAX(0,Z970-SUM(Q970:U970)))</f>
        <v/>
      </c>
      <c r="AJ970" s="4">
        <f>MAX(0,W970-MAX(0,Z970-SUM(Q970:V970)))</f>
        <v/>
      </c>
      <c r="AK970" s="4">
        <f>MAX(0,X970-MAX(0,Z970-SUM(Q970:W970)))</f>
        <v/>
      </c>
      <c r="AL970" s="4">
        <f>MAX(0,Y970-MAX(0,Z970-SUM(Q970:X970)))</f>
        <v/>
      </c>
    </row>
    <row r="971">
      <c r="A971" s="4" t="inlineStr">
        <is>
          <t>HASLS22260901076</t>
        </is>
      </c>
      <c r="B971" s="4" t="inlineStr">
        <is>
          <t>SWSP</t>
        </is>
      </c>
      <c r="C971" s="4" t="inlineStr">
        <is>
          <t>2609N</t>
        </is>
      </c>
      <c r="D971" s="4" t="inlineStr">
        <is>
          <t>202610071530</t>
        </is>
      </c>
      <c r="E971" s="4" t="inlineStr"/>
      <c r="F971" s="4" t="inlineStr">
        <is>
          <t>THBKK</t>
        </is>
      </c>
      <c r="G971" s="4" t="inlineStr">
        <is>
          <t>VNSGN</t>
        </is>
      </c>
      <c r="H971" s="4" t="inlineStr">
        <is>
          <t xml:space="preserve">20'x1 </t>
        </is>
      </c>
      <c r="I971" s="4" t="inlineStr">
        <is>
          <t>BKK25</t>
        </is>
      </c>
      <c r="J971" s="4" t="inlineStr">
        <is>
          <t xml:space="preserve">Smart Logistics Service (Thailand ) Co.,Ltd. </t>
        </is>
      </c>
      <c r="K971" s="4" t="inlineStr">
        <is>
          <t>20261001</t>
        </is>
      </c>
      <c r="L971" s="4" t="inlineStr">
        <is>
          <t>EAST-LINK CORPORATION CO., LTD.</t>
        </is>
      </c>
      <c r="M971" s="4" t="inlineStr">
        <is>
          <t>AROMATECH FLAVOURS CO., LTD.</t>
        </is>
      </c>
      <c r="N971" s="4" t="inlineStr">
        <is>
          <t>COFFEE FLAVOUR</t>
        </is>
      </c>
      <c r="O971" s="4" t="inlineStr">
        <is>
          <t>RQS CONTAINER GRADE-A</t>
        </is>
      </c>
      <c r="P971" s="4" t="inlineStr">
        <is>
          <t xml:space="preserve">Pickup : 2026-10-01, Return : 2026-10-02 
 </t>
        </is>
      </c>
      <c r="Q971" s="4" t="n">
        <v>1</v>
      </c>
      <c r="R971" s="4" t="n">
        <v>0</v>
      </c>
      <c r="S971" s="4" t="n">
        <v>0</v>
      </c>
      <c r="T971" s="4" t="n">
        <v>0</v>
      </c>
      <c r="U971" s="4" t="n">
        <v>0</v>
      </c>
      <c r="V971" s="4" t="n">
        <v>0</v>
      </c>
      <c r="W971" s="4" t="n">
        <v>0</v>
      </c>
      <c r="X971" s="4" t="n">
        <v>0</v>
      </c>
      <c r="Y971" s="4" t="n">
        <v>0</v>
      </c>
      <c r="Z971" s="4" t="n">
        <v>0</v>
      </c>
      <c r="AA971" s="4" t="n">
        <v>0</v>
      </c>
      <c r="AB971" s="4">
        <f>SUM(Q971:Y971)-Z971</f>
        <v/>
      </c>
      <c r="AC971" s="4">
        <f>IF(I971="","",IF(OR(LEFT(I971,3)="BKK",I971="LCH55"),"BKK",IF(LEFT(I971,3)="LCH","LCH","OTHER")))</f>
        <v/>
      </c>
      <c r="AD971" s="4">
        <f>MAX(0,Q971-MAX(0,Z971))</f>
        <v/>
      </c>
      <c r="AE971" s="4">
        <f>MAX(0,R971-MAX(0,Z971-SUM(Q971:Q971)))</f>
        <v/>
      </c>
      <c r="AF971" s="4">
        <f>MAX(0,S971-MAX(0,Z971-SUM(Q971:R971)))</f>
        <v/>
      </c>
      <c r="AG971" s="4">
        <f>MAX(0,T971-MAX(0,Z971-SUM(Q971:S971)))</f>
        <v/>
      </c>
      <c r="AH971" s="4">
        <f>MAX(0,U971-MAX(0,Z971-SUM(Q971:T971)))</f>
        <v/>
      </c>
      <c r="AI971" s="4">
        <f>MAX(0,V971-MAX(0,Z971-SUM(Q971:U971)))</f>
        <v/>
      </c>
      <c r="AJ971" s="4">
        <f>MAX(0,W971-MAX(0,Z971-SUM(Q971:V971)))</f>
        <v/>
      </c>
      <c r="AK971" s="4">
        <f>MAX(0,X971-MAX(0,Z971-SUM(Q971:W971)))</f>
        <v/>
      </c>
      <c r="AL971" s="4">
        <f>MAX(0,Y971-MAX(0,Z971-SUM(Q971:X971)))</f>
        <v/>
      </c>
    </row>
    <row r="972">
      <c r="A972" s="4" t="inlineStr">
        <is>
          <t>HASLS22260901077</t>
        </is>
      </c>
      <c r="B972" s="4" t="inlineStr">
        <is>
          <t>SWSP</t>
        </is>
      </c>
      <c r="C972" s="4" t="inlineStr">
        <is>
          <t>2609N</t>
        </is>
      </c>
      <c r="D972" s="4" t="inlineStr">
        <is>
          <t>202610071530</t>
        </is>
      </c>
      <c r="E972" s="4" t="inlineStr"/>
      <c r="F972" s="4" t="inlineStr">
        <is>
          <t>THBKK</t>
        </is>
      </c>
      <c r="G972" s="4" t="inlineStr">
        <is>
          <t>VNSGN</t>
        </is>
      </c>
      <c r="H972" s="4" t="inlineStr">
        <is>
          <t xml:space="preserve">20'x1 </t>
        </is>
      </c>
      <c r="I972" s="4" t="inlineStr">
        <is>
          <t>BKK25</t>
        </is>
      </c>
      <c r="J972" s="4" t="inlineStr">
        <is>
          <t xml:space="preserve">Smart Logistics Service (Thailand ) Co.,Ltd. </t>
        </is>
      </c>
      <c r="K972" s="4" t="inlineStr">
        <is>
          <t>20261001</t>
        </is>
      </c>
      <c r="L972" s="4" t="inlineStr">
        <is>
          <t>EAST-LINK CORPORATION CO., LTD.</t>
        </is>
      </c>
      <c r="M972" s="4" t="inlineStr">
        <is>
          <t>SIAM FUKOKU CO.,LTD.</t>
        </is>
      </c>
      <c r="N972" s="4" t="inlineStr">
        <is>
          <t>BLADE RUBBER</t>
        </is>
      </c>
      <c r="O972" s="4" t="inlineStr">
        <is>
          <t>RQS CLEAN &amp; GOOD CONTAINER CONDITION.</t>
        </is>
      </c>
      <c r="P972" s="4" t="inlineStr">
        <is>
          <t>Pickup : 2026-10-01, Return : 2026-10-02</t>
        </is>
      </c>
      <c r="Q972" s="4" t="n">
        <v>1</v>
      </c>
      <c r="R972" s="4" t="n">
        <v>0</v>
      </c>
      <c r="S972" s="4" t="n">
        <v>0</v>
      </c>
      <c r="T972" s="4" t="n">
        <v>0</v>
      </c>
      <c r="U972" s="4" t="n">
        <v>0</v>
      </c>
      <c r="V972" s="4" t="n">
        <v>0</v>
      </c>
      <c r="W972" s="4" t="n">
        <v>0</v>
      </c>
      <c r="X972" s="4" t="n">
        <v>0</v>
      </c>
      <c r="Y972" s="4" t="n">
        <v>0</v>
      </c>
      <c r="Z972" s="4" t="n">
        <v>0</v>
      </c>
      <c r="AA972" s="4" t="n">
        <v>0</v>
      </c>
      <c r="AB972" s="4">
        <f>SUM(Q972:Y972)-Z972</f>
        <v/>
      </c>
      <c r="AC972" s="4">
        <f>IF(I972="","",IF(OR(LEFT(I972,3)="BKK",I972="LCH55"),"BKK",IF(LEFT(I972,3)="LCH","LCH","OTHER")))</f>
        <v/>
      </c>
      <c r="AD972" s="4">
        <f>MAX(0,Q972-MAX(0,Z972))</f>
        <v/>
      </c>
      <c r="AE972" s="4">
        <f>MAX(0,R972-MAX(0,Z972-SUM(Q972:Q972)))</f>
        <v/>
      </c>
      <c r="AF972" s="4">
        <f>MAX(0,S972-MAX(0,Z972-SUM(Q972:R972)))</f>
        <v/>
      </c>
      <c r="AG972" s="4">
        <f>MAX(0,T972-MAX(0,Z972-SUM(Q972:S972)))</f>
        <v/>
      </c>
      <c r="AH972" s="4">
        <f>MAX(0,U972-MAX(0,Z972-SUM(Q972:T972)))</f>
        <v/>
      </c>
      <c r="AI972" s="4">
        <f>MAX(0,V972-MAX(0,Z972-SUM(Q972:U972)))</f>
        <v/>
      </c>
      <c r="AJ972" s="4">
        <f>MAX(0,W972-MAX(0,Z972-SUM(Q972:V972)))</f>
        <v/>
      </c>
      <c r="AK972" s="4">
        <f>MAX(0,X972-MAX(0,Z972-SUM(Q972:W972)))</f>
        <v/>
      </c>
      <c r="AL972" s="4">
        <f>MAX(0,Y972-MAX(0,Z972-SUM(Q972:X972)))</f>
        <v/>
      </c>
    </row>
    <row r="973">
      <c r="A973" s="4" t="inlineStr">
        <is>
          <t>HASLS22260901078</t>
        </is>
      </c>
      <c r="B973" s="4" t="inlineStr">
        <is>
          <t>DJCF</t>
        </is>
      </c>
      <c r="C973" s="4" t="inlineStr">
        <is>
          <t>0152N</t>
        </is>
      </c>
      <c r="D973" s="4" t="inlineStr">
        <is>
          <t>202610111000</t>
        </is>
      </c>
      <c r="E973" s="4" t="inlineStr"/>
      <c r="F973" s="4" t="inlineStr">
        <is>
          <t>THBKK</t>
        </is>
      </c>
      <c r="G973" s="4" t="inlineStr">
        <is>
          <t>VNSGN</t>
        </is>
      </c>
      <c r="H973" s="4" t="inlineStr">
        <is>
          <t xml:space="preserve">40Hx1 </t>
        </is>
      </c>
      <c r="I973" s="4" t="inlineStr">
        <is>
          <t>BKK25</t>
        </is>
      </c>
      <c r="J973" s="4" t="inlineStr">
        <is>
          <t xml:space="preserve">Smart Logistics Service (Thailand ) Co.,Ltd. </t>
        </is>
      </c>
      <c r="K973" s="4" t="inlineStr">
        <is>
          <t>20261006</t>
        </is>
      </c>
      <c r="L973" s="4" t="inlineStr">
        <is>
          <t>EAST-LINK CORPORATION CO., LTD.</t>
        </is>
      </c>
      <c r="M973" s="4" t="inlineStr">
        <is>
          <t>SIAM FUKOKU CO.,LTD.</t>
        </is>
      </c>
      <c r="N973" s="4" t="inlineStr">
        <is>
          <t>BLADE RUBBER</t>
        </is>
      </c>
      <c r="O973" s="4" t="inlineStr">
        <is>
          <t>RQS CLEAN &amp; GOOD CONTAINER CONDITION.</t>
        </is>
      </c>
      <c r="P973" s="4" t="inlineStr">
        <is>
          <t xml:space="preserve">Pickup : 2026-10-06, Return : 2026-10-06 </t>
        </is>
      </c>
      <c r="Q973" s="4" t="n">
        <v>0</v>
      </c>
      <c r="R973" s="4" t="n">
        <v>0</v>
      </c>
      <c r="S973" s="4" t="n">
        <v>1</v>
      </c>
      <c r="T973" s="4" t="n">
        <v>0</v>
      </c>
      <c r="U973" s="4" t="n">
        <v>0</v>
      </c>
      <c r="V973" s="4" t="n">
        <v>0</v>
      </c>
      <c r="W973" s="4" t="n">
        <v>0</v>
      </c>
      <c r="X973" s="4" t="n">
        <v>0</v>
      </c>
      <c r="Y973" s="4" t="n">
        <v>0</v>
      </c>
      <c r="Z973" s="4" t="n">
        <v>0</v>
      </c>
      <c r="AA973" s="4" t="n">
        <v>0</v>
      </c>
      <c r="AB973" s="4">
        <f>SUM(Q973:Y973)-Z973</f>
        <v/>
      </c>
      <c r="AC973" s="4">
        <f>IF(I973="","",IF(OR(LEFT(I973,3)="BKK",I973="LCH55"),"BKK",IF(LEFT(I973,3)="LCH","LCH","OTHER")))</f>
        <v/>
      </c>
      <c r="AD973" s="4">
        <f>MAX(0,Q973-MAX(0,Z973))</f>
        <v/>
      </c>
      <c r="AE973" s="4">
        <f>MAX(0,R973-MAX(0,Z973-SUM(Q973:Q973)))</f>
        <v/>
      </c>
      <c r="AF973" s="4">
        <f>MAX(0,S973-MAX(0,Z973-SUM(Q973:R973)))</f>
        <v/>
      </c>
      <c r="AG973" s="4">
        <f>MAX(0,T973-MAX(0,Z973-SUM(Q973:S973)))</f>
        <v/>
      </c>
      <c r="AH973" s="4">
        <f>MAX(0,U973-MAX(0,Z973-SUM(Q973:T973)))</f>
        <v/>
      </c>
      <c r="AI973" s="4">
        <f>MAX(0,V973-MAX(0,Z973-SUM(Q973:U973)))</f>
        <v/>
      </c>
      <c r="AJ973" s="4">
        <f>MAX(0,W973-MAX(0,Z973-SUM(Q973:V973)))</f>
        <v/>
      </c>
      <c r="AK973" s="4">
        <f>MAX(0,X973-MAX(0,Z973-SUM(Q973:W973)))</f>
        <v/>
      </c>
      <c r="AL973" s="4">
        <f>MAX(0,Y973-MAX(0,Z973-SUM(Q973:X973)))</f>
        <v/>
      </c>
    </row>
    <row r="974">
      <c r="A974" s="4" t="inlineStr">
        <is>
          <t>HASLS22260901079</t>
        </is>
      </c>
      <c r="B974" s="4" t="inlineStr">
        <is>
          <t>KUS</t>
        </is>
      </c>
      <c r="C974" s="4" t="inlineStr">
        <is>
          <t>2616N</t>
        </is>
      </c>
      <c r="D974" s="4" t="inlineStr">
        <is>
          <t>202610141100</t>
        </is>
      </c>
      <c r="E974" s="4" t="inlineStr"/>
      <c r="F974" s="4" t="inlineStr">
        <is>
          <t>THBKK</t>
        </is>
      </c>
      <c r="G974" s="4" t="inlineStr">
        <is>
          <t>VNSGN</t>
        </is>
      </c>
      <c r="H974" s="4" t="inlineStr">
        <is>
          <t xml:space="preserve">40Hx1 </t>
        </is>
      </c>
      <c r="I974" s="4" t="inlineStr">
        <is>
          <t>BKK25</t>
        </is>
      </c>
      <c r="J974" s="4" t="inlineStr">
        <is>
          <t xml:space="preserve">Smart Logistics Service (Thailand ) Co.,Ltd. </t>
        </is>
      </c>
      <c r="K974" s="4" t="inlineStr">
        <is>
          <t>20261008</t>
        </is>
      </c>
      <c r="L974" s="4" t="inlineStr">
        <is>
          <t>EAST-LINK CORPORATION CO., LTD.</t>
        </is>
      </c>
      <c r="M974" s="4" t="inlineStr">
        <is>
          <t>SIAM FUKOKU CO.,LTD.</t>
        </is>
      </c>
      <c r="N974" s="4" t="inlineStr">
        <is>
          <t>BLADE RUBBER</t>
        </is>
      </c>
      <c r="O974" s="4" t="inlineStr">
        <is>
          <t>RQS CLEAN &amp; GOOD CONTAINER CONDITION.</t>
        </is>
      </c>
      <c r="P974" s="4" t="inlineStr">
        <is>
          <t>Pickup : 2026-10-08, Return : 2026-10-09</t>
        </is>
      </c>
      <c r="Q974" s="4" t="n">
        <v>0</v>
      </c>
      <c r="R974" s="4" t="n">
        <v>0</v>
      </c>
      <c r="S974" s="4" t="n">
        <v>1</v>
      </c>
      <c r="T974" s="4" t="n">
        <v>0</v>
      </c>
      <c r="U974" s="4" t="n">
        <v>0</v>
      </c>
      <c r="V974" s="4" t="n">
        <v>0</v>
      </c>
      <c r="W974" s="4" t="n">
        <v>0</v>
      </c>
      <c r="X974" s="4" t="n">
        <v>0</v>
      </c>
      <c r="Y974" s="4" t="n">
        <v>0</v>
      </c>
      <c r="Z974" s="4" t="n">
        <v>0</v>
      </c>
      <c r="AA974" s="4" t="n">
        <v>0</v>
      </c>
      <c r="AB974" s="4">
        <f>SUM(Q974:Y974)-Z974</f>
        <v/>
      </c>
      <c r="AC974" s="4">
        <f>IF(I974="","",IF(OR(LEFT(I974,3)="BKK",I974="LCH55"),"BKK",IF(LEFT(I974,3)="LCH","LCH","OTHER")))</f>
        <v/>
      </c>
      <c r="AD974" s="4">
        <f>MAX(0,Q974-MAX(0,Z974))</f>
        <v/>
      </c>
      <c r="AE974" s="4">
        <f>MAX(0,R974-MAX(0,Z974-SUM(Q974:Q974)))</f>
        <v/>
      </c>
      <c r="AF974" s="4">
        <f>MAX(0,S974-MAX(0,Z974-SUM(Q974:R974)))</f>
        <v/>
      </c>
      <c r="AG974" s="4">
        <f>MAX(0,T974-MAX(0,Z974-SUM(Q974:S974)))</f>
        <v/>
      </c>
      <c r="AH974" s="4">
        <f>MAX(0,U974-MAX(0,Z974-SUM(Q974:T974)))</f>
        <v/>
      </c>
      <c r="AI974" s="4">
        <f>MAX(0,V974-MAX(0,Z974-SUM(Q974:U974)))</f>
        <v/>
      </c>
      <c r="AJ974" s="4">
        <f>MAX(0,W974-MAX(0,Z974-SUM(Q974:V974)))</f>
        <v/>
      </c>
      <c r="AK974" s="4">
        <f>MAX(0,X974-MAX(0,Z974-SUM(Q974:W974)))</f>
        <v/>
      </c>
      <c r="AL974" s="4">
        <f>MAX(0,Y974-MAX(0,Z974-SUM(Q974:X974)))</f>
        <v/>
      </c>
    </row>
    <row r="975">
      <c r="A975" s="4" t="inlineStr">
        <is>
          <t>HASLS22260901080</t>
        </is>
      </c>
      <c r="B975" s="4" t="inlineStr">
        <is>
          <t>SWAL</t>
        </is>
      </c>
      <c r="C975" s="4" t="inlineStr">
        <is>
          <t>2609N</t>
        </is>
      </c>
      <c r="D975" s="4" t="inlineStr">
        <is>
          <t>202610191500</t>
        </is>
      </c>
      <c r="E975" s="4" t="inlineStr"/>
      <c r="F975" s="4" t="inlineStr">
        <is>
          <t>THBKK</t>
        </is>
      </c>
      <c r="G975" s="4" t="inlineStr">
        <is>
          <t>VNSGN</t>
        </is>
      </c>
      <c r="H975" s="4" t="inlineStr">
        <is>
          <t xml:space="preserve">40Hx1 </t>
        </is>
      </c>
      <c r="I975" s="4" t="inlineStr">
        <is>
          <t>BKK25</t>
        </is>
      </c>
      <c r="J975" s="4" t="inlineStr">
        <is>
          <t xml:space="preserve">Smart Logistics Service (Thailand ) Co.,Ltd. </t>
        </is>
      </c>
      <c r="K975" s="4" t="inlineStr">
        <is>
          <t>20261015</t>
        </is>
      </c>
      <c r="L975" s="4" t="inlineStr">
        <is>
          <t>EAST-LINK CORPORATION CO., LTD.</t>
        </is>
      </c>
      <c r="M975" s="4" t="inlineStr">
        <is>
          <t>SIAM FUKOKU CO.,LTD.</t>
        </is>
      </c>
      <c r="N975" s="4" t="inlineStr">
        <is>
          <t>BLADE RUBBER</t>
        </is>
      </c>
      <c r="O975" s="4" t="inlineStr">
        <is>
          <t>RQS CLEAN &amp; GOOD CONTAINER CONDITION.</t>
        </is>
      </c>
      <c r="P975" s="4" t="inlineStr">
        <is>
          <t>Pickup : 2026-10-15, Return : 2026-10-16</t>
        </is>
      </c>
      <c r="Q975" s="4" t="n">
        <v>0</v>
      </c>
      <c r="R975" s="4" t="n">
        <v>0</v>
      </c>
      <c r="S975" s="4" t="n">
        <v>1</v>
      </c>
      <c r="T975" s="4" t="n">
        <v>0</v>
      </c>
      <c r="U975" s="4" t="n">
        <v>0</v>
      </c>
      <c r="V975" s="4" t="n">
        <v>0</v>
      </c>
      <c r="W975" s="4" t="n">
        <v>0</v>
      </c>
      <c r="X975" s="4" t="n">
        <v>0</v>
      </c>
      <c r="Y975" s="4" t="n">
        <v>0</v>
      </c>
      <c r="Z975" s="4" t="n">
        <v>0</v>
      </c>
      <c r="AA975" s="4" t="n">
        <v>0</v>
      </c>
      <c r="AB975" s="4">
        <f>SUM(Q975:Y975)-Z975</f>
        <v/>
      </c>
      <c r="AC975" s="4">
        <f>IF(I975="","",IF(OR(LEFT(I975,3)="BKK",I975="LCH55"),"BKK",IF(LEFT(I975,3)="LCH","LCH","OTHER")))</f>
        <v/>
      </c>
      <c r="AD975" s="4">
        <f>MAX(0,Q975-MAX(0,Z975))</f>
        <v/>
      </c>
      <c r="AE975" s="4">
        <f>MAX(0,R975-MAX(0,Z975-SUM(Q975:Q975)))</f>
        <v/>
      </c>
      <c r="AF975" s="4">
        <f>MAX(0,S975-MAX(0,Z975-SUM(Q975:R975)))</f>
        <v/>
      </c>
      <c r="AG975" s="4">
        <f>MAX(0,T975-MAX(0,Z975-SUM(Q975:S975)))</f>
        <v/>
      </c>
      <c r="AH975" s="4">
        <f>MAX(0,U975-MAX(0,Z975-SUM(Q975:T975)))</f>
        <v/>
      </c>
      <c r="AI975" s="4">
        <f>MAX(0,V975-MAX(0,Z975-SUM(Q975:U975)))</f>
        <v/>
      </c>
      <c r="AJ975" s="4">
        <f>MAX(0,W975-MAX(0,Z975-SUM(Q975:V975)))</f>
        <v/>
      </c>
      <c r="AK975" s="4">
        <f>MAX(0,X975-MAX(0,Z975-SUM(Q975:W975)))</f>
        <v/>
      </c>
      <c r="AL975" s="4">
        <f>MAX(0,Y975-MAX(0,Z975-SUM(Q975:X975)))</f>
        <v/>
      </c>
    </row>
    <row r="976">
      <c r="A976" s="4" t="inlineStr">
        <is>
          <t>HASLS22260901116</t>
        </is>
      </c>
      <c r="B976" s="4" t="inlineStr">
        <is>
          <t>KMBK</t>
        </is>
      </c>
      <c r="C976" s="4" t="inlineStr">
        <is>
          <t>2611N</t>
        </is>
      </c>
      <c r="D976" s="4" t="inlineStr">
        <is>
          <t>202610030900</t>
        </is>
      </c>
      <c r="E976" s="4" t="inlineStr"/>
      <c r="F976" s="4" t="inlineStr">
        <is>
          <t>THBKK</t>
        </is>
      </c>
      <c r="G976" s="4" t="inlineStr">
        <is>
          <t>RUVVO</t>
        </is>
      </c>
      <c r="H976" s="4" t="inlineStr">
        <is>
          <t xml:space="preserve">20'x1 </t>
        </is>
      </c>
      <c r="I976" s="4" t="inlineStr">
        <is>
          <t>BKK25</t>
        </is>
      </c>
      <c r="J976" s="4" t="inlineStr">
        <is>
          <t xml:space="preserve">Smart Logistics Service (Thailand ) Co.,Ltd. </t>
        </is>
      </c>
      <c r="K976" s="4" t="inlineStr">
        <is>
          <t>20260929</t>
        </is>
      </c>
      <c r="L976" s="4" t="inlineStr">
        <is>
          <t>THAI AGRI FOODS PUBLIC COMPANY LIMITED</t>
        </is>
      </c>
      <c r="M976" s="4" t="inlineStr">
        <is>
          <t>THAI AGRI FOODS PUBLIC COMPANY LIMITED</t>
        </is>
      </c>
      <c r="N976" s="4" t="inlineStr">
        <is>
          <t>SWEET CHILLI SAUCE FOR CHICKEN</t>
        </is>
      </c>
      <c r="O976" s="4" t="inlineStr">
        <is>
          <t>GOOD AND CLEAN CONTAINER</t>
        </is>
      </c>
      <c r="P976" s="4" t="inlineStr">
        <is>
          <t xml:space="preserve">Pickup : 2026-09-29, Return : 2026-09-30 *EXTEND CLS TME : 30/09/2026 @20.00* </t>
        </is>
      </c>
      <c r="Q976" s="4" t="n">
        <v>1</v>
      </c>
      <c r="R976" s="4" t="n">
        <v>0</v>
      </c>
      <c r="S976" s="4" t="n">
        <v>0</v>
      </c>
      <c r="T976" s="4" t="n">
        <v>0</v>
      </c>
      <c r="U976" s="4" t="n">
        <v>0</v>
      </c>
      <c r="V976" s="4" t="n">
        <v>0</v>
      </c>
      <c r="W976" s="4" t="n">
        <v>0</v>
      </c>
      <c r="X976" s="4" t="n">
        <v>0</v>
      </c>
      <c r="Y976" s="4" t="n">
        <v>0</v>
      </c>
      <c r="Z976" s="4" t="n">
        <v>0</v>
      </c>
      <c r="AA976" s="4" t="n">
        <v>0</v>
      </c>
      <c r="AB976" s="4">
        <f>SUM(Q976:Y976)-Z976</f>
        <v/>
      </c>
      <c r="AC976" s="4">
        <f>IF(I976="","",IF(OR(LEFT(I976,3)="BKK",I976="LCH55"),"BKK",IF(LEFT(I976,3)="LCH","LCH","OTHER")))</f>
        <v/>
      </c>
      <c r="AD976" s="4">
        <f>MAX(0,Q976-MAX(0,Z976))</f>
        <v/>
      </c>
      <c r="AE976" s="4">
        <f>MAX(0,R976-MAX(0,Z976-SUM(Q976:Q976)))</f>
        <v/>
      </c>
      <c r="AF976" s="4">
        <f>MAX(0,S976-MAX(0,Z976-SUM(Q976:R976)))</f>
        <v/>
      </c>
      <c r="AG976" s="4">
        <f>MAX(0,T976-MAX(0,Z976-SUM(Q976:S976)))</f>
        <v/>
      </c>
      <c r="AH976" s="4">
        <f>MAX(0,U976-MAX(0,Z976-SUM(Q976:T976)))</f>
        <v/>
      </c>
      <c r="AI976" s="4">
        <f>MAX(0,V976-MAX(0,Z976-SUM(Q976:U976)))</f>
        <v/>
      </c>
      <c r="AJ976" s="4">
        <f>MAX(0,W976-MAX(0,Z976-SUM(Q976:V976)))</f>
        <v/>
      </c>
      <c r="AK976" s="4">
        <f>MAX(0,X976-MAX(0,Z976-SUM(Q976:W976)))</f>
        <v/>
      </c>
      <c r="AL976" s="4">
        <f>MAX(0,Y976-MAX(0,Z976-SUM(Q976:X976)))</f>
        <v/>
      </c>
    </row>
    <row r="977">
      <c r="A977" s="4" t="inlineStr">
        <is>
          <t>HASLS22260901121</t>
        </is>
      </c>
      <c r="B977" s="4" t="inlineStr">
        <is>
          <t>SWAT</t>
        </is>
      </c>
      <c r="C977" s="4" t="inlineStr">
        <is>
          <t>2610N</t>
        </is>
      </c>
      <c r="D977" s="4" t="inlineStr">
        <is>
          <t>202610071700</t>
        </is>
      </c>
      <c r="E977" s="4" t="inlineStr"/>
      <c r="F977" s="4" t="inlineStr">
        <is>
          <t>THBKK</t>
        </is>
      </c>
      <c r="G977" s="4" t="inlineStr">
        <is>
          <t>RUVVO</t>
        </is>
      </c>
      <c r="H977" s="4" t="inlineStr">
        <is>
          <t xml:space="preserve">20'x1 </t>
        </is>
      </c>
      <c r="I977" s="4" t="inlineStr">
        <is>
          <t>BKK25</t>
        </is>
      </c>
      <c r="J977" s="4" t="inlineStr">
        <is>
          <t xml:space="preserve">Smart Logistics Service (Thailand ) Co.,Ltd. </t>
        </is>
      </c>
      <c r="K977" s="4" t="inlineStr">
        <is>
          <t>20261001</t>
        </is>
      </c>
      <c r="L977" s="4" t="inlineStr">
        <is>
          <t>THAI AGRI FOODS PUBLIC COMPANY LIMITED</t>
        </is>
      </c>
      <c r="M977" s="4" t="inlineStr">
        <is>
          <t>THAI AGRI FOODS PUBLIC COMPANY LIMITED</t>
        </is>
      </c>
      <c r="N977" s="4" t="inlineStr">
        <is>
          <t>SWEET CHILLI SAUCE FOR CHICKEN</t>
        </is>
      </c>
      <c r="O977" s="4" t="inlineStr">
        <is>
          <t>GOOD AND CLEAN CONTAINER</t>
        </is>
      </c>
      <c r="P977" s="4" t="inlineStr">
        <is>
          <t>Pickup : 2026-10-01, Return : 2026-10-02</t>
        </is>
      </c>
      <c r="Q977" s="4" t="n">
        <v>1</v>
      </c>
      <c r="R977" s="4" t="n">
        <v>0</v>
      </c>
      <c r="S977" s="4" t="n">
        <v>0</v>
      </c>
      <c r="T977" s="4" t="n">
        <v>0</v>
      </c>
      <c r="U977" s="4" t="n">
        <v>0</v>
      </c>
      <c r="V977" s="4" t="n">
        <v>0</v>
      </c>
      <c r="W977" s="4" t="n">
        <v>0</v>
      </c>
      <c r="X977" s="4" t="n">
        <v>0</v>
      </c>
      <c r="Y977" s="4" t="n">
        <v>0</v>
      </c>
      <c r="Z977" s="4" t="n">
        <v>0</v>
      </c>
      <c r="AA977" s="4" t="n">
        <v>0</v>
      </c>
      <c r="AB977" s="4">
        <f>SUM(Q977:Y977)-Z977</f>
        <v/>
      </c>
      <c r="AC977" s="4">
        <f>IF(I977="","",IF(OR(LEFT(I977,3)="BKK",I977="LCH55"),"BKK",IF(LEFT(I977,3)="LCH","LCH","OTHER")))</f>
        <v/>
      </c>
      <c r="AD977" s="4">
        <f>MAX(0,Q977-MAX(0,Z977))</f>
        <v/>
      </c>
      <c r="AE977" s="4">
        <f>MAX(0,R977-MAX(0,Z977-SUM(Q977:Q977)))</f>
        <v/>
      </c>
      <c r="AF977" s="4">
        <f>MAX(0,S977-MAX(0,Z977-SUM(Q977:R977)))</f>
        <v/>
      </c>
      <c r="AG977" s="4">
        <f>MAX(0,T977-MAX(0,Z977-SUM(Q977:S977)))</f>
        <v/>
      </c>
      <c r="AH977" s="4">
        <f>MAX(0,U977-MAX(0,Z977-SUM(Q977:T977)))</f>
        <v/>
      </c>
      <c r="AI977" s="4">
        <f>MAX(0,V977-MAX(0,Z977-SUM(Q977:U977)))</f>
        <v/>
      </c>
      <c r="AJ977" s="4">
        <f>MAX(0,W977-MAX(0,Z977-SUM(Q977:V977)))</f>
        <v/>
      </c>
      <c r="AK977" s="4">
        <f>MAX(0,X977-MAX(0,Z977-SUM(Q977:W977)))</f>
        <v/>
      </c>
      <c r="AL977" s="4">
        <f>MAX(0,Y977-MAX(0,Z977-SUM(Q977:X977)))</f>
        <v/>
      </c>
    </row>
    <row r="978">
      <c r="A978" s="4" t="inlineStr">
        <is>
          <t>HASLS22260901131</t>
        </is>
      </c>
      <c r="B978" s="4" t="inlineStr">
        <is>
          <t>SWSR</t>
        </is>
      </c>
      <c r="C978" s="4" t="inlineStr">
        <is>
          <t>2611N</t>
        </is>
      </c>
      <c r="D978" s="4" t="inlineStr">
        <is>
          <t>202610110900</t>
        </is>
      </c>
      <c r="E978" s="4" t="inlineStr"/>
      <c r="F978" s="4" t="inlineStr">
        <is>
          <t>THBKK</t>
        </is>
      </c>
      <c r="G978" s="4" t="inlineStr">
        <is>
          <t>KRKAN</t>
        </is>
      </c>
      <c r="H978" s="4" t="inlineStr">
        <is>
          <t xml:space="preserve">40Hx1 </t>
        </is>
      </c>
      <c r="I978" s="4" t="inlineStr">
        <is>
          <t>BKK25</t>
        </is>
      </c>
      <c r="J978" s="4" t="inlineStr">
        <is>
          <t xml:space="preserve">Smart Logistics Service (Thailand ) Co.,Ltd. </t>
        </is>
      </c>
      <c r="K978" s="4" t="inlineStr">
        <is>
          <t>20261003</t>
        </is>
      </c>
      <c r="L978" s="4" t="inlineStr">
        <is>
          <t>BANGKOK STARCH INDUSTRIAL CO., LTD.</t>
        </is>
      </c>
      <c r="M978" s="4" t="inlineStr">
        <is>
          <t>BANGKOK STARCH INDUSTRIAL CO., LTD.</t>
        </is>
      </c>
      <c r="N978" s="4" t="inlineStr">
        <is>
          <t xml:space="preserve">STARCH </t>
        </is>
      </c>
      <c r="O978" s="4" t="inlineStr">
        <is>
          <t>CONTAINER :  PLS. RELEASE CTNR  FOOD GRADE CONDITION ( FOR LOADING FOODS ) ONLY.</t>
        </is>
      </c>
      <c r="P978" s="4" t="inlineStr">
        <is>
          <t>Pickup : 2026-10-03, Return : 2026-10-04</t>
        </is>
      </c>
      <c r="Q978" s="4" t="n">
        <v>0</v>
      </c>
      <c r="R978" s="4" t="n">
        <v>0</v>
      </c>
      <c r="S978" s="4" t="n">
        <v>1</v>
      </c>
      <c r="T978" s="4" t="n">
        <v>0</v>
      </c>
      <c r="U978" s="4" t="n">
        <v>0</v>
      </c>
      <c r="V978" s="4" t="n">
        <v>0</v>
      </c>
      <c r="W978" s="4" t="n">
        <v>0</v>
      </c>
      <c r="X978" s="4" t="n">
        <v>0</v>
      </c>
      <c r="Y978" s="4" t="n">
        <v>0</v>
      </c>
      <c r="Z978" s="4" t="n">
        <v>0</v>
      </c>
      <c r="AA978" s="4" t="n">
        <v>0</v>
      </c>
      <c r="AB978" s="4">
        <f>SUM(Q978:Y978)-Z978</f>
        <v/>
      </c>
      <c r="AC978" s="4">
        <f>IF(I978="","",IF(OR(LEFT(I978,3)="BKK",I978="LCH55"),"BKK",IF(LEFT(I978,3)="LCH","LCH","OTHER")))</f>
        <v/>
      </c>
      <c r="AD978" s="4">
        <f>MAX(0,Q978-MAX(0,Z978))</f>
        <v/>
      </c>
      <c r="AE978" s="4">
        <f>MAX(0,R978-MAX(0,Z978-SUM(Q978:Q978)))</f>
        <v/>
      </c>
      <c r="AF978" s="4">
        <f>MAX(0,S978-MAX(0,Z978-SUM(Q978:R978)))</f>
        <v/>
      </c>
      <c r="AG978" s="4">
        <f>MAX(0,T978-MAX(0,Z978-SUM(Q978:S978)))</f>
        <v/>
      </c>
      <c r="AH978" s="4">
        <f>MAX(0,U978-MAX(0,Z978-SUM(Q978:T978)))</f>
        <v/>
      </c>
      <c r="AI978" s="4">
        <f>MAX(0,V978-MAX(0,Z978-SUM(Q978:U978)))</f>
        <v/>
      </c>
      <c r="AJ978" s="4">
        <f>MAX(0,W978-MAX(0,Z978-SUM(Q978:V978)))</f>
        <v/>
      </c>
      <c r="AK978" s="4">
        <f>MAX(0,X978-MAX(0,Z978-SUM(Q978:W978)))</f>
        <v/>
      </c>
      <c r="AL978" s="4">
        <f>MAX(0,Y978-MAX(0,Z978-SUM(Q978:X978)))</f>
        <v/>
      </c>
    </row>
    <row r="979">
      <c r="A979" s="4" t="inlineStr">
        <is>
          <t>HASLS22260901138</t>
        </is>
      </c>
      <c r="B979" s="4" t="inlineStr">
        <is>
          <t>KMTP</t>
        </is>
      </c>
      <c r="C979" s="4" t="inlineStr">
        <is>
          <t>2612N</t>
        </is>
      </c>
      <c r="D979" s="4" t="inlineStr">
        <is>
          <t>202610120800</t>
        </is>
      </c>
      <c r="E979" s="4" t="inlineStr"/>
      <c r="F979" s="4" t="inlineStr">
        <is>
          <t>THBKK</t>
        </is>
      </c>
      <c r="G979" s="4" t="inlineStr">
        <is>
          <t>HKHKG</t>
        </is>
      </c>
      <c r="H979" s="4" t="inlineStr">
        <is>
          <t xml:space="preserve">20'x1 </t>
        </is>
      </c>
      <c r="I979" s="4" t="inlineStr">
        <is>
          <t>BKK25</t>
        </is>
      </c>
      <c r="J979" s="4" t="inlineStr">
        <is>
          <t xml:space="preserve">Smart Logistics Service (Thailand ) Co.,Ltd. </t>
        </is>
      </c>
      <c r="K979" s="4" t="inlineStr">
        <is>
          <t>20261007</t>
        </is>
      </c>
      <c r="L979" s="4" t="inlineStr">
        <is>
          <t>ACCORD PILOT LOGISTICS (THAILAND) CO., LTD.</t>
        </is>
      </c>
      <c r="M979" s="4" t="inlineStr">
        <is>
          <t>THAI PLASPAC PUBLIC CO.,LTD.</t>
        </is>
      </c>
      <c r="N979" s="4" t="inlineStr">
        <is>
          <t>PLATIC CAP</t>
        </is>
      </c>
      <c r="O979" s="4" t="inlineStr">
        <is>
          <t>GOOD AND CLEAN CONTAINER</t>
        </is>
      </c>
      <c r="P979" s="4" t="inlineStr">
        <is>
          <t xml:space="preserve">Pickup : 2026-10-07, Return : 2026-10-08 
REQUEST GOOD &amp; CLEAN CONTAINER </t>
        </is>
      </c>
      <c r="Q979" s="4" t="n">
        <v>1</v>
      </c>
      <c r="R979" s="4" t="n">
        <v>0</v>
      </c>
      <c r="S979" s="4" t="n">
        <v>0</v>
      </c>
      <c r="T979" s="4" t="n">
        <v>0</v>
      </c>
      <c r="U979" s="4" t="n">
        <v>0</v>
      </c>
      <c r="V979" s="4" t="n">
        <v>0</v>
      </c>
      <c r="W979" s="4" t="n">
        <v>0</v>
      </c>
      <c r="X979" s="4" t="n">
        <v>0</v>
      </c>
      <c r="Y979" s="4" t="n">
        <v>0</v>
      </c>
      <c r="Z979" s="4" t="n">
        <v>0</v>
      </c>
      <c r="AA979" s="4" t="n">
        <v>0</v>
      </c>
      <c r="AB979" s="4">
        <f>SUM(Q979:Y979)-Z979</f>
        <v/>
      </c>
      <c r="AC979" s="4">
        <f>IF(I979="","",IF(OR(LEFT(I979,3)="BKK",I979="LCH55"),"BKK",IF(LEFT(I979,3)="LCH","LCH","OTHER")))</f>
        <v/>
      </c>
      <c r="AD979" s="4">
        <f>MAX(0,Q979-MAX(0,Z979))</f>
        <v/>
      </c>
      <c r="AE979" s="4">
        <f>MAX(0,R979-MAX(0,Z979-SUM(Q979:Q979)))</f>
        <v/>
      </c>
      <c r="AF979" s="4">
        <f>MAX(0,S979-MAX(0,Z979-SUM(Q979:R979)))</f>
        <v/>
      </c>
      <c r="AG979" s="4">
        <f>MAX(0,T979-MAX(0,Z979-SUM(Q979:S979)))</f>
        <v/>
      </c>
      <c r="AH979" s="4">
        <f>MAX(0,U979-MAX(0,Z979-SUM(Q979:T979)))</f>
        <v/>
      </c>
      <c r="AI979" s="4">
        <f>MAX(0,V979-MAX(0,Z979-SUM(Q979:U979)))</f>
        <v/>
      </c>
      <c r="AJ979" s="4">
        <f>MAX(0,W979-MAX(0,Z979-SUM(Q979:V979)))</f>
        <v/>
      </c>
      <c r="AK979" s="4">
        <f>MAX(0,X979-MAX(0,Z979-SUM(Q979:W979)))</f>
        <v/>
      </c>
      <c r="AL979" s="4">
        <f>MAX(0,Y979-MAX(0,Z979-SUM(Q979:X979)))</f>
        <v/>
      </c>
    </row>
    <row r="980">
      <c r="A980" s="4" t="inlineStr">
        <is>
          <t>HASLS22260901156</t>
        </is>
      </c>
      <c r="B980" s="4" t="inlineStr">
        <is>
          <t>SWMM</t>
        </is>
      </c>
      <c r="C980" s="4" t="inlineStr">
        <is>
          <t>2610N</t>
        </is>
      </c>
      <c r="D980" s="4" t="inlineStr">
        <is>
          <t>202610210400</t>
        </is>
      </c>
      <c r="E980" s="4" t="inlineStr"/>
      <c r="F980" s="4" t="inlineStr">
        <is>
          <t>THBKK</t>
        </is>
      </c>
      <c r="G980" s="4" t="inlineStr">
        <is>
          <t>KRPUS</t>
        </is>
      </c>
      <c r="H980" s="4" t="inlineStr">
        <is>
          <t xml:space="preserve">40Hx1 </t>
        </is>
      </c>
      <c r="I980" s="4" t="inlineStr">
        <is>
          <t>BKK25</t>
        </is>
      </c>
      <c r="J980" s="4" t="inlineStr">
        <is>
          <t xml:space="preserve">Smart Logistics Service (Thailand ) Co.,Ltd. </t>
        </is>
      </c>
      <c r="K980" s="4" t="inlineStr">
        <is>
          <t>20261014</t>
        </is>
      </c>
      <c r="L980" s="4" t="inlineStr">
        <is>
          <t>COS LOGISTICS COMPANY LIMITED</t>
        </is>
      </c>
      <c r="M980" s="4" t="inlineStr">
        <is>
          <t>EQUATOR PURE NATURE CO., LTD</t>
        </is>
      </c>
      <c r="N980" s="4" t="inlineStr">
        <is>
          <t>CLEANING PRODUCT</t>
        </is>
      </c>
      <c r="O980" s="4" t="inlineStr">
        <is>
          <t>REQUEST GOOD AND CLEAN THE CONTAINER</t>
        </is>
      </c>
      <c r="P980" s="4" t="inlineStr">
        <is>
          <t>Pickup : 2026-10-14, Return : 2026-10-15</t>
        </is>
      </c>
      <c r="Q980" s="4" t="n">
        <v>0</v>
      </c>
      <c r="R980" s="4" t="n">
        <v>0</v>
      </c>
      <c r="S980" s="4" t="n">
        <v>1</v>
      </c>
      <c r="T980" s="4" t="n">
        <v>0</v>
      </c>
      <c r="U980" s="4" t="n">
        <v>0</v>
      </c>
      <c r="V980" s="4" t="n">
        <v>0</v>
      </c>
      <c r="W980" s="4" t="n">
        <v>0</v>
      </c>
      <c r="X980" s="4" t="n">
        <v>0</v>
      </c>
      <c r="Y980" s="4" t="n">
        <v>0</v>
      </c>
      <c r="Z980" s="4" t="n">
        <v>0</v>
      </c>
      <c r="AA980" s="4" t="n">
        <v>0</v>
      </c>
      <c r="AB980" s="4">
        <f>SUM(Q980:Y980)-Z980</f>
        <v/>
      </c>
      <c r="AC980" s="4">
        <f>IF(I980="","",IF(OR(LEFT(I980,3)="BKK",I980="LCH55"),"BKK",IF(LEFT(I980,3)="LCH","LCH","OTHER")))</f>
        <v/>
      </c>
      <c r="AD980" s="4">
        <f>MAX(0,Q980-MAX(0,Z980))</f>
        <v/>
      </c>
      <c r="AE980" s="4">
        <f>MAX(0,R980-MAX(0,Z980-SUM(Q980:Q980)))</f>
        <v/>
      </c>
      <c r="AF980" s="4">
        <f>MAX(0,S980-MAX(0,Z980-SUM(Q980:R980)))</f>
        <v/>
      </c>
      <c r="AG980" s="4">
        <f>MAX(0,T980-MAX(0,Z980-SUM(Q980:S980)))</f>
        <v/>
      </c>
      <c r="AH980" s="4">
        <f>MAX(0,U980-MAX(0,Z980-SUM(Q980:T980)))</f>
        <v/>
      </c>
      <c r="AI980" s="4">
        <f>MAX(0,V980-MAX(0,Z980-SUM(Q980:U980)))</f>
        <v/>
      </c>
      <c r="AJ980" s="4">
        <f>MAX(0,W980-MAX(0,Z980-SUM(Q980:V980)))</f>
        <v/>
      </c>
      <c r="AK980" s="4">
        <f>MAX(0,X980-MAX(0,Z980-SUM(Q980:W980)))</f>
        <v/>
      </c>
      <c r="AL980" s="4">
        <f>MAX(0,Y980-MAX(0,Z980-SUM(Q980:X980)))</f>
        <v/>
      </c>
    </row>
    <row r="981">
      <c r="A981" s="4" t="inlineStr">
        <is>
          <t>HASLS22260901166</t>
        </is>
      </c>
      <c r="B981" s="4" t="inlineStr">
        <is>
          <t>SWSR</t>
        </is>
      </c>
      <c r="C981" s="4" t="inlineStr">
        <is>
          <t>2611N</t>
        </is>
      </c>
      <c r="D981" s="4" t="inlineStr">
        <is>
          <t>202610110900</t>
        </is>
      </c>
      <c r="E981" s="4" t="inlineStr"/>
      <c r="F981" s="4" t="inlineStr">
        <is>
          <t>THBKK</t>
        </is>
      </c>
      <c r="G981" s="4" t="inlineStr">
        <is>
          <t>HKHKG</t>
        </is>
      </c>
      <c r="H981" s="4" t="inlineStr">
        <is>
          <t xml:space="preserve">20'x2 </t>
        </is>
      </c>
      <c r="I981" s="4" t="inlineStr">
        <is>
          <t>BKK25</t>
        </is>
      </c>
      <c r="J981" s="4" t="inlineStr">
        <is>
          <t xml:space="preserve">Smart Logistics Service (Thailand ) Co.,Ltd. </t>
        </is>
      </c>
      <c r="K981" s="4" t="inlineStr">
        <is>
          <t>20261005</t>
        </is>
      </c>
      <c r="L981" s="4" t="inlineStr">
        <is>
          <t>KUEHNE + NAGEL LIMITED</t>
        </is>
      </c>
      <c r="M981" s="4" t="inlineStr">
        <is>
          <t>SINGHA WORLDWIDE INTERNATIONAL CO., LTD.</t>
        </is>
      </c>
      <c r="N981" s="4" t="inlineStr">
        <is>
          <t>SODA WATER</t>
        </is>
      </c>
      <c r="O981" s="4" t="inlineStr">
        <is>
          <t>REQ under desk cargo and food grade container</t>
        </is>
      </c>
      <c r="P981" s="4" t="inlineStr">
        <is>
          <t>Pickup : 2026-10-05, Return : 2026-10-06</t>
        </is>
      </c>
      <c r="Q981" s="4" t="n">
        <v>2</v>
      </c>
      <c r="R981" s="4" t="n">
        <v>0</v>
      </c>
      <c r="S981" s="4" t="n">
        <v>0</v>
      </c>
      <c r="T981" s="4" t="n">
        <v>0</v>
      </c>
      <c r="U981" s="4" t="n">
        <v>0</v>
      </c>
      <c r="V981" s="4" t="n">
        <v>0</v>
      </c>
      <c r="W981" s="4" t="n">
        <v>0</v>
      </c>
      <c r="X981" s="4" t="n">
        <v>0</v>
      </c>
      <c r="Y981" s="4" t="n">
        <v>0</v>
      </c>
      <c r="Z981" s="4" t="n">
        <v>0</v>
      </c>
      <c r="AA981" s="4" t="n">
        <v>0</v>
      </c>
      <c r="AB981" s="4">
        <f>SUM(Q981:Y981)-Z981</f>
        <v/>
      </c>
      <c r="AC981" s="4">
        <f>IF(I981="","",IF(OR(LEFT(I981,3)="BKK",I981="LCH55"),"BKK",IF(LEFT(I981,3)="LCH","LCH","OTHER")))</f>
        <v/>
      </c>
      <c r="AD981" s="4">
        <f>MAX(0,Q981-MAX(0,Z981))</f>
        <v/>
      </c>
      <c r="AE981" s="4">
        <f>MAX(0,R981-MAX(0,Z981-SUM(Q981:Q981)))</f>
        <v/>
      </c>
      <c r="AF981" s="4">
        <f>MAX(0,S981-MAX(0,Z981-SUM(Q981:R981)))</f>
        <v/>
      </c>
      <c r="AG981" s="4">
        <f>MAX(0,T981-MAX(0,Z981-SUM(Q981:S981)))</f>
        <v/>
      </c>
      <c r="AH981" s="4">
        <f>MAX(0,U981-MAX(0,Z981-SUM(Q981:T981)))</f>
        <v/>
      </c>
      <c r="AI981" s="4">
        <f>MAX(0,V981-MAX(0,Z981-SUM(Q981:U981)))</f>
        <v/>
      </c>
      <c r="AJ981" s="4">
        <f>MAX(0,W981-MAX(0,Z981-SUM(Q981:V981)))</f>
        <v/>
      </c>
      <c r="AK981" s="4">
        <f>MAX(0,X981-MAX(0,Z981-SUM(Q981:W981)))</f>
        <v/>
      </c>
      <c r="AL981" s="4">
        <f>MAX(0,Y981-MAX(0,Z981-SUM(Q981:X981)))</f>
        <v/>
      </c>
    </row>
    <row r="982">
      <c r="A982" s="4" t="inlineStr">
        <is>
          <t>HASLS22260901175</t>
        </is>
      </c>
      <c r="B982" s="4" t="inlineStr">
        <is>
          <t>SWBT</t>
        </is>
      </c>
      <c r="C982" s="4" t="inlineStr">
        <is>
          <t>2616N</t>
        </is>
      </c>
      <c r="D982" s="4" t="inlineStr">
        <is>
          <t>202610130600</t>
        </is>
      </c>
      <c r="E982" s="4" t="inlineStr"/>
      <c r="F982" s="4" t="inlineStr">
        <is>
          <t>THBKK</t>
        </is>
      </c>
      <c r="G982" s="4" t="inlineStr">
        <is>
          <t>VNSGN</t>
        </is>
      </c>
      <c r="H982" s="4" t="inlineStr">
        <is>
          <t xml:space="preserve">20'x1 </t>
        </is>
      </c>
      <c r="I982" s="4" t="inlineStr">
        <is>
          <t>BKK25</t>
        </is>
      </c>
      <c r="J982" s="4" t="inlineStr">
        <is>
          <t xml:space="preserve">Smart Logistics Service (Thailand ) Co.,Ltd. </t>
        </is>
      </c>
      <c r="K982" s="4" t="inlineStr">
        <is>
          <t>20261007</t>
        </is>
      </c>
      <c r="L982" s="4" t="inlineStr">
        <is>
          <t>INTER NETWORK TRANSPORT CO., LTD.</t>
        </is>
      </c>
      <c r="M982" s="4" t="inlineStr">
        <is>
          <t>SIAM SANITARY WARE INDUSTRY CO., LTD.</t>
        </is>
      </c>
      <c r="N982" s="4" t="inlineStr">
        <is>
          <t>SANITARY WARE</t>
        </is>
      </c>
      <c r="O982" s="4" t="inlineStr">
        <is>
          <t>GOOD AND CLEAN CONTAINER</t>
        </is>
      </c>
      <c r="P982" s="4" t="inlineStr">
        <is>
          <t xml:space="preserve">Pickup : 2026-10-07, Return : 2026-10-08 </t>
        </is>
      </c>
      <c r="Q982" s="4" t="n">
        <v>1</v>
      </c>
      <c r="R982" s="4" t="n">
        <v>0</v>
      </c>
      <c r="S982" s="4" t="n">
        <v>0</v>
      </c>
      <c r="T982" s="4" t="n">
        <v>0</v>
      </c>
      <c r="U982" s="4" t="n">
        <v>0</v>
      </c>
      <c r="V982" s="4" t="n">
        <v>0</v>
      </c>
      <c r="W982" s="4" t="n">
        <v>0</v>
      </c>
      <c r="X982" s="4" t="n">
        <v>0</v>
      </c>
      <c r="Y982" s="4" t="n">
        <v>0</v>
      </c>
      <c r="Z982" s="4" t="n">
        <v>0</v>
      </c>
      <c r="AA982" s="4" t="n">
        <v>0</v>
      </c>
      <c r="AB982" s="4">
        <f>SUM(Q982:Y982)-Z982</f>
        <v/>
      </c>
      <c r="AC982" s="4">
        <f>IF(I982="","",IF(OR(LEFT(I982,3)="BKK",I982="LCH55"),"BKK",IF(LEFT(I982,3)="LCH","LCH","OTHER")))</f>
        <v/>
      </c>
      <c r="AD982" s="4">
        <f>MAX(0,Q982-MAX(0,Z982))</f>
        <v/>
      </c>
      <c r="AE982" s="4">
        <f>MAX(0,R982-MAX(0,Z982-SUM(Q982:Q982)))</f>
        <v/>
      </c>
      <c r="AF982" s="4">
        <f>MAX(0,S982-MAX(0,Z982-SUM(Q982:R982)))</f>
        <v/>
      </c>
      <c r="AG982" s="4">
        <f>MAX(0,T982-MAX(0,Z982-SUM(Q982:S982)))</f>
        <v/>
      </c>
      <c r="AH982" s="4">
        <f>MAX(0,U982-MAX(0,Z982-SUM(Q982:T982)))</f>
        <v/>
      </c>
      <c r="AI982" s="4">
        <f>MAX(0,V982-MAX(0,Z982-SUM(Q982:U982)))</f>
        <v/>
      </c>
      <c r="AJ982" s="4">
        <f>MAX(0,W982-MAX(0,Z982-SUM(Q982:V982)))</f>
        <v/>
      </c>
      <c r="AK982" s="4">
        <f>MAX(0,X982-MAX(0,Z982-SUM(Q982:W982)))</f>
        <v/>
      </c>
      <c r="AL982" s="4">
        <f>MAX(0,Y982-MAX(0,Z982-SUM(Q982:X982)))</f>
        <v/>
      </c>
    </row>
    <row r="983">
      <c r="A983" s="4" t="inlineStr">
        <is>
          <t>HASLS22260901182</t>
        </is>
      </c>
      <c r="B983" s="4" t="inlineStr">
        <is>
          <t>SWAL</t>
        </is>
      </c>
      <c r="C983" s="4" t="inlineStr">
        <is>
          <t>2609N</t>
        </is>
      </c>
      <c r="D983" s="4" t="inlineStr">
        <is>
          <t>202610191500</t>
        </is>
      </c>
      <c r="E983" s="4" t="inlineStr"/>
      <c r="F983" s="4" t="inlineStr">
        <is>
          <t>THBKK</t>
        </is>
      </c>
      <c r="G983" s="4" t="inlineStr">
        <is>
          <t>VNSGN</t>
        </is>
      </c>
      <c r="H983" s="4" t="inlineStr">
        <is>
          <t xml:space="preserve">20'x2 </t>
        </is>
      </c>
      <c r="I983" s="4" t="inlineStr">
        <is>
          <t>BKK25</t>
        </is>
      </c>
      <c r="J983" s="4" t="inlineStr">
        <is>
          <t xml:space="preserve">Smart Logistics Service (Thailand ) Co.,Ltd. </t>
        </is>
      </c>
      <c r="K983" s="4" t="inlineStr">
        <is>
          <t>20261012</t>
        </is>
      </c>
      <c r="L983" s="4" t="inlineStr">
        <is>
          <t>WICE LOGISTICS PUBLIC COMPANY LIMITED</t>
        </is>
      </c>
      <c r="M983" s="4" t="inlineStr">
        <is>
          <t>F.M.T. (THAILAND) CO., LTD. (HEAD OFFICE)</t>
        </is>
      </c>
      <c r="N983" s="4" t="inlineStr">
        <is>
          <t>CALCIUM CARBONATE / HS CODE : 2836.50.90</t>
        </is>
      </c>
      <c r="O983" s="4" t="inlineStr">
        <is>
          <t>Survey : 2026-10-12, Pickup : 2026-10-14 
REQ GOOD AND CLEAN CONTAINER</t>
        </is>
      </c>
      <c r="P983" s="4" t="inlineStr">
        <is>
          <t>Survey : 2026-10-12, Pickup : 2026-10-14, Return : 2026-10-15</t>
        </is>
      </c>
      <c r="Q983" s="4" t="n">
        <v>2</v>
      </c>
      <c r="R983" s="4" t="n">
        <v>0</v>
      </c>
      <c r="S983" s="4" t="n">
        <v>0</v>
      </c>
      <c r="T983" s="4" t="n">
        <v>0</v>
      </c>
      <c r="U983" s="4" t="n">
        <v>0</v>
      </c>
      <c r="V983" s="4" t="n">
        <v>0</v>
      </c>
      <c r="W983" s="4" t="n">
        <v>0</v>
      </c>
      <c r="X983" s="4" t="n">
        <v>0</v>
      </c>
      <c r="Y983" s="4" t="n">
        <v>0</v>
      </c>
      <c r="Z983" s="4" t="n">
        <v>0</v>
      </c>
      <c r="AA983" s="4" t="n">
        <v>0</v>
      </c>
      <c r="AB983" s="4">
        <f>SUM(Q983:Y983)-Z983</f>
        <v/>
      </c>
      <c r="AC983" s="4">
        <f>IF(I983="","",IF(OR(LEFT(I983,3)="BKK",I983="LCH55"),"BKK",IF(LEFT(I983,3)="LCH","LCH","OTHER")))</f>
        <v/>
      </c>
      <c r="AD983" s="4">
        <f>MAX(0,Q983-MAX(0,Z983))</f>
        <v/>
      </c>
      <c r="AE983" s="4">
        <f>MAX(0,R983-MAX(0,Z983-SUM(Q983:Q983)))</f>
        <v/>
      </c>
      <c r="AF983" s="4">
        <f>MAX(0,S983-MAX(0,Z983-SUM(Q983:R983)))</f>
        <v/>
      </c>
      <c r="AG983" s="4">
        <f>MAX(0,T983-MAX(0,Z983-SUM(Q983:S983)))</f>
        <v/>
      </c>
      <c r="AH983" s="4">
        <f>MAX(0,U983-MAX(0,Z983-SUM(Q983:T983)))</f>
        <v/>
      </c>
      <c r="AI983" s="4">
        <f>MAX(0,V983-MAX(0,Z983-SUM(Q983:U983)))</f>
        <v/>
      </c>
      <c r="AJ983" s="4">
        <f>MAX(0,W983-MAX(0,Z983-SUM(Q983:V983)))</f>
        <v/>
      </c>
      <c r="AK983" s="4">
        <f>MAX(0,X983-MAX(0,Z983-SUM(Q983:W983)))</f>
        <v/>
      </c>
      <c r="AL983" s="4">
        <f>MAX(0,Y983-MAX(0,Z983-SUM(Q983:X983)))</f>
        <v/>
      </c>
    </row>
    <row r="984">
      <c r="A984" s="4" t="inlineStr">
        <is>
          <t>HASLS22260901191</t>
        </is>
      </c>
      <c r="B984" s="4" t="inlineStr">
        <is>
          <t>DJCF</t>
        </is>
      </c>
      <c r="C984" s="4" t="inlineStr">
        <is>
          <t>0152N</t>
        </is>
      </c>
      <c r="D984" s="4" t="inlineStr">
        <is>
          <t>202610111000</t>
        </is>
      </c>
      <c r="E984" s="4" t="inlineStr"/>
      <c r="F984" s="4" t="inlineStr">
        <is>
          <t>THBKK</t>
        </is>
      </c>
      <c r="G984" s="4" t="inlineStr">
        <is>
          <t>KRINC</t>
        </is>
      </c>
      <c r="H984" s="4" t="inlineStr">
        <is>
          <t xml:space="preserve">20'x1 </t>
        </is>
      </c>
      <c r="I984" s="4" t="inlineStr">
        <is>
          <t>BKK25</t>
        </is>
      </c>
      <c r="J984" s="4" t="inlineStr">
        <is>
          <t xml:space="preserve">Smart Logistics Service (Thailand ) Co.,Ltd. </t>
        </is>
      </c>
      <c r="K984" s="4" t="inlineStr">
        <is>
          <t>20261005</t>
        </is>
      </c>
      <c r="L984" s="4" t="inlineStr">
        <is>
          <t>CELESTIAL XPRESS LOGISTICS (THAILAND) CO., LTD.</t>
        </is>
      </c>
      <c r="M984" s="4" t="inlineStr">
        <is>
          <t>I-TAIL CORPORATION PUBLIC COMPANY LIMITED</t>
        </is>
      </c>
      <c r="N984" s="4" t="inlineStr">
        <is>
          <t>PET FOOD</t>
        </is>
      </c>
      <c r="O984" s="4" t="inlineStr">
        <is>
          <t>GOOD AND CLEAN CONTAINER</t>
        </is>
      </c>
      <c r="P984" s="4" t="inlineStr">
        <is>
          <t>Pickup : 2026-10-05, Return : 2026-10-06</t>
        </is>
      </c>
      <c r="Q984" s="4" t="n">
        <v>1</v>
      </c>
      <c r="R984" s="4" t="n">
        <v>0</v>
      </c>
      <c r="S984" s="4" t="n">
        <v>0</v>
      </c>
      <c r="T984" s="4" t="n">
        <v>0</v>
      </c>
      <c r="U984" s="4" t="n">
        <v>0</v>
      </c>
      <c r="V984" s="4" t="n">
        <v>0</v>
      </c>
      <c r="W984" s="4" t="n">
        <v>0</v>
      </c>
      <c r="X984" s="4" t="n">
        <v>0</v>
      </c>
      <c r="Y984" s="4" t="n">
        <v>0</v>
      </c>
      <c r="Z984" s="4" t="n">
        <v>0</v>
      </c>
      <c r="AA984" s="4" t="n">
        <v>0</v>
      </c>
      <c r="AB984" s="4">
        <f>SUM(Q984:Y984)-Z984</f>
        <v/>
      </c>
      <c r="AC984" s="4">
        <f>IF(I984="","",IF(OR(LEFT(I984,3)="BKK",I984="LCH55"),"BKK",IF(LEFT(I984,3)="LCH","LCH","OTHER")))</f>
        <v/>
      </c>
      <c r="AD984" s="4">
        <f>MAX(0,Q984-MAX(0,Z984))</f>
        <v/>
      </c>
      <c r="AE984" s="4">
        <f>MAX(0,R984-MAX(0,Z984-SUM(Q984:Q984)))</f>
        <v/>
      </c>
      <c r="AF984" s="4">
        <f>MAX(0,S984-MAX(0,Z984-SUM(Q984:R984)))</f>
        <v/>
      </c>
      <c r="AG984" s="4">
        <f>MAX(0,T984-MAX(0,Z984-SUM(Q984:S984)))</f>
        <v/>
      </c>
      <c r="AH984" s="4">
        <f>MAX(0,U984-MAX(0,Z984-SUM(Q984:T984)))</f>
        <v/>
      </c>
      <c r="AI984" s="4">
        <f>MAX(0,V984-MAX(0,Z984-SUM(Q984:U984)))</f>
        <v/>
      </c>
      <c r="AJ984" s="4">
        <f>MAX(0,W984-MAX(0,Z984-SUM(Q984:V984)))</f>
        <v/>
      </c>
      <c r="AK984" s="4">
        <f>MAX(0,X984-MAX(0,Z984-SUM(Q984:W984)))</f>
        <v/>
      </c>
      <c r="AL984" s="4">
        <f>MAX(0,Y984-MAX(0,Z984-SUM(Q984:X984)))</f>
        <v/>
      </c>
    </row>
    <row r="985">
      <c r="A985" s="4" t="inlineStr">
        <is>
          <t>HASLS22260901200</t>
        </is>
      </c>
      <c r="B985" s="4" t="inlineStr">
        <is>
          <t>SWAT</t>
        </is>
      </c>
      <c r="C985" s="4" t="inlineStr">
        <is>
          <t>2610N</t>
        </is>
      </c>
      <c r="D985" s="4" t="inlineStr">
        <is>
          <t>202610071700</t>
        </is>
      </c>
      <c r="E985" s="4" t="inlineStr"/>
      <c r="F985" s="4" t="inlineStr">
        <is>
          <t>THBKK</t>
        </is>
      </c>
      <c r="G985" s="4" t="inlineStr">
        <is>
          <t>CNSHK</t>
        </is>
      </c>
      <c r="H985" s="4" t="inlineStr">
        <is>
          <t xml:space="preserve">40Hx1 20'x1 </t>
        </is>
      </c>
      <c r="I985" s="4" t="inlineStr">
        <is>
          <t>BKK25</t>
        </is>
      </c>
      <c r="J985" s="4" t="inlineStr">
        <is>
          <t xml:space="preserve">Smart Logistics Service (Thailand ) Co.,Ltd. </t>
        </is>
      </c>
      <c r="K985" s="4" t="inlineStr">
        <is>
          <t>20261001</t>
        </is>
      </c>
      <c r="L985" s="4" t="inlineStr">
        <is>
          <t>NIPPON KONPO (THAILAND) CO., LTD.</t>
        </is>
      </c>
      <c r="M985" s="4" t="inlineStr">
        <is>
          <t>SINFONIA TECHNOLOGY (THAILAND) CO.,LTD</t>
        </is>
      </c>
      <c r="N985" s="4" t="inlineStr">
        <is>
          <t>DRIVE UNIT OF PARTS FEEDER</t>
        </is>
      </c>
      <c r="O985" s="4" t="inlineStr">
        <is>
          <t>RQ : GOOD AND CLEAN CONTAINE</t>
        </is>
      </c>
      <c r="P985" s="4" t="inlineStr">
        <is>
          <t>Pickup : 2026-10-01, Return : 2026-10-02</t>
        </is>
      </c>
      <c r="Q985" s="4" t="n">
        <v>1</v>
      </c>
      <c r="R985" s="4" t="n">
        <v>0</v>
      </c>
      <c r="S985" s="4" t="n">
        <v>1</v>
      </c>
      <c r="T985" s="4" t="n">
        <v>0</v>
      </c>
      <c r="U985" s="4" t="n">
        <v>0</v>
      </c>
      <c r="V985" s="4" t="n">
        <v>0</v>
      </c>
      <c r="W985" s="4" t="n">
        <v>0</v>
      </c>
      <c r="X985" s="4" t="n">
        <v>0</v>
      </c>
      <c r="Y985" s="4" t="n">
        <v>0</v>
      </c>
      <c r="Z985" s="4" t="n">
        <v>0</v>
      </c>
      <c r="AA985" s="4" t="n">
        <v>0</v>
      </c>
      <c r="AB985" s="4">
        <f>SUM(Q985:Y985)-Z985</f>
        <v/>
      </c>
      <c r="AC985" s="4">
        <f>IF(I985="","",IF(OR(LEFT(I985,3)="BKK",I985="LCH55"),"BKK",IF(LEFT(I985,3)="LCH","LCH","OTHER")))</f>
        <v/>
      </c>
      <c r="AD985" s="4">
        <f>MAX(0,Q985-MAX(0,Z985))</f>
        <v/>
      </c>
      <c r="AE985" s="4">
        <f>MAX(0,R985-MAX(0,Z985-SUM(Q985:Q985)))</f>
        <v/>
      </c>
      <c r="AF985" s="4">
        <f>MAX(0,S985-MAX(0,Z985-SUM(Q985:R985)))</f>
        <v/>
      </c>
      <c r="AG985" s="4">
        <f>MAX(0,T985-MAX(0,Z985-SUM(Q985:S985)))</f>
        <v/>
      </c>
      <c r="AH985" s="4">
        <f>MAX(0,U985-MAX(0,Z985-SUM(Q985:T985)))</f>
        <v/>
      </c>
      <c r="AI985" s="4">
        <f>MAX(0,V985-MAX(0,Z985-SUM(Q985:U985)))</f>
        <v/>
      </c>
      <c r="AJ985" s="4">
        <f>MAX(0,W985-MAX(0,Z985-SUM(Q985:V985)))</f>
        <v/>
      </c>
      <c r="AK985" s="4">
        <f>MAX(0,X985-MAX(0,Z985-SUM(Q985:W985)))</f>
        <v/>
      </c>
      <c r="AL985" s="4">
        <f>MAX(0,Y985-MAX(0,Z985-SUM(Q985:X985)))</f>
        <v/>
      </c>
    </row>
    <row r="986">
      <c r="A986" s="4" t="inlineStr">
        <is>
          <t>HASLS22260901205</t>
        </is>
      </c>
      <c r="B986" s="4" t="inlineStr">
        <is>
          <t>SWSR</t>
        </is>
      </c>
      <c r="C986" s="4" t="inlineStr">
        <is>
          <t>2611N</t>
        </is>
      </c>
      <c r="D986" s="4" t="inlineStr">
        <is>
          <t>202610110900</t>
        </is>
      </c>
      <c r="E986" s="4" t="inlineStr"/>
      <c r="F986" s="4" t="inlineStr">
        <is>
          <t>THBKK</t>
        </is>
      </c>
      <c r="G986" s="4" t="inlineStr">
        <is>
          <t>HKHKG</t>
        </is>
      </c>
      <c r="H986" s="4" t="inlineStr">
        <is>
          <t xml:space="preserve">20'x1 </t>
        </is>
      </c>
      <c r="I986" s="4" t="inlineStr">
        <is>
          <t>BKK25</t>
        </is>
      </c>
      <c r="J986" s="4" t="inlineStr">
        <is>
          <t xml:space="preserve">Smart Logistics Service (Thailand ) Co.,Ltd. </t>
        </is>
      </c>
      <c r="K986" s="4" t="inlineStr">
        <is>
          <t>20261006</t>
        </is>
      </c>
      <c r="L986" s="4" t="inlineStr">
        <is>
          <t>YUSEN LOGISTICS (THAILAND) CO., LTD.</t>
        </is>
      </c>
      <c r="M986" s="4" t="inlineStr">
        <is>
          <t>BEER THIP BREWERY (1991) CO., LTD</t>
        </is>
      </c>
      <c r="N986" s="4" t="inlineStr">
        <is>
          <t xml:space="preserve">ROCK MOUNTAIN SODA </t>
        </is>
      </c>
      <c r="O986" s="4" t="inlineStr">
        <is>
          <t>RQST GOOD CLEAN AND DRY CONTAINER GRADE 'A'</t>
        </is>
      </c>
      <c r="P986" s="4" t="inlineStr">
        <is>
          <t>Pickup : 2026-10-06, Return : 2026-10-07 *PLS ADJUST CY/RTN DATE*</t>
        </is>
      </c>
      <c r="Q986" s="4" t="n">
        <v>1</v>
      </c>
      <c r="R986" s="4" t="n">
        <v>0</v>
      </c>
      <c r="S986" s="4" t="n">
        <v>0</v>
      </c>
      <c r="T986" s="4" t="n">
        <v>0</v>
      </c>
      <c r="U986" s="4" t="n">
        <v>0</v>
      </c>
      <c r="V986" s="4" t="n">
        <v>0</v>
      </c>
      <c r="W986" s="4" t="n">
        <v>0</v>
      </c>
      <c r="X986" s="4" t="n">
        <v>0</v>
      </c>
      <c r="Y986" s="4" t="n">
        <v>0</v>
      </c>
      <c r="Z986" s="4" t="n">
        <v>0</v>
      </c>
      <c r="AA986" s="4" t="n">
        <v>0</v>
      </c>
      <c r="AB986" s="4">
        <f>SUM(Q986:Y986)-Z986</f>
        <v/>
      </c>
      <c r="AC986" s="4">
        <f>IF(I986="","",IF(OR(LEFT(I986,3)="BKK",I986="LCH55"),"BKK",IF(LEFT(I986,3)="LCH","LCH","OTHER")))</f>
        <v/>
      </c>
      <c r="AD986" s="4">
        <f>MAX(0,Q986-MAX(0,Z986))</f>
        <v/>
      </c>
      <c r="AE986" s="4">
        <f>MAX(0,R986-MAX(0,Z986-SUM(Q986:Q986)))</f>
        <v/>
      </c>
      <c r="AF986" s="4">
        <f>MAX(0,S986-MAX(0,Z986-SUM(Q986:R986)))</f>
        <v/>
      </c>
      <c r="AG986" s="4">
        <f>MAX(0,T986-MAX(0,Z986-SUM(Q986:S986)))</f>
        <v/>
      </c>
      <c r="AH986" s="4">
        <f>MAX(0,U986-MAX(0,Z986-SUM(Q986:T986)))</f>
        <v/>
      </c>
      <c r="AI986" s="4">
        <f>MAX(0,V986-MAX(0,Z986-SUM(Q986:U986)))</f>
        <v/>
      </c>
      <c r="AJ986" s="4">
        <f>MAX(0,W986-MAX(0,Z986-SUM(Q986:V986)))</f>
        <v/>
      </c>
      <c r="AK986" s="4">
        <f>MAX(0,X986-MAX(0,Z986-SUM(Q986:W986)))</f>
        <v/>
      </c>
      <c r="AL986" s="4">
        <f>MAX(0,Y986-MAX(0,Z986-SUM(Q986:X986)))</f>
        <v/>
      </c>
    </row>
    <row r="987">
      <c r="A987" s="4" t="inlineStr">
        <is>
          <t>HASLS22260901244</t>
        </is>
      </c>
      <c r="B987" s="4" t="inlineStr">
        <is>
          <t>KUS</t>
        </is>
      </c>
      <c r="C987" s="4" t="inlineStr">
        <is>
          <t>2616N</t>
        </is>
      </c>
      <c r="D987" s="4" t="inlineStr">
        <is>
          <t>202610141100</t>
        </is>
      </c>
      <c r="E987" s="4" t="inlineStr"/>
      <c r="F987" s="4" t="inlineStr">
        <is>
          <t>THBKK</t>
        </is>
      </c>
      <c r="G987" s="4" t="inlineStr">
        <is>
          <t>VNSGN</t>
        </is>
      </c>
      <c r="H987" s="4" t="inlineStr">
        <is>
          <t xml:space="preserve">40Hx1 </t>
        </is>
      </c>
      <c r="I987" s="4" t="inlineStr">
        <is>
          <t>BKK25</t>
        </is>
      </c>
      <c r="J987" s="4" t="inlineStr">
        <is>
          <t xml:space="preserve">Smart Logistics Service (Thailand ) Co.,Ltd. </t>
        </is>
      </c>
      <c r="K987" s="4" t="inlineStr">
        <is>
          <t>20261009</t>
        </is>
      </c>
      <c r="L987" s="4" t="inlineStr">
        <is>
          <t>BRIO LOGISTICS (THAILAND) CO., LTD.</t>
        </is>
      </c>
      <c r="M987" s="4" t="inlineStr">
        <is>
          <t>GRIFFITH FOODS LTD.</t>
        </is>
      </c>
      <c r="N987" s="4" t="inlineStr">
        <is>
          <t>SAUCES (HS CODE : 2103.90)</t>
        </is>
      </c>
      <c r="O987" s="4" t="inlineStr">
        <is>
          <t>NEED FOOD GRADE / ODORLESS / CLEANED CONTAINER.</t>
        </is>
      </c>
      <c r="P987" s="4" t="inlineStr">
        <is>
          <t>Pickup : 2026-10-09, Return : 2026-10-09</t>
        </is>
      </c>
      <c r="Q987" s="4" t="n">
        <v>0</v>
      </c>
      <c r="R987" s="4" t="n">
        <v>0</v>
      </c>
      <c r="S987" s="4" t="n">
        <v>1</v>
      </c>
      <c r="T987" s="4" t="n">
        <v>0</v>
      </c>
      <c r="U987" s="4" t="n">
        <v>0</v>
      </c>
      <c r="V987" s="4" t="n">
        <v>0</v>
      </c>
      <c r="W987" s="4" t="n">
        <v>0</v>
      </c>
      <c r="X987" s="4" t="n">
        <v>0</v>
      </c>
      <c r="Y987" s="4" t="n">
        <v>0</v>
      </c>
      <c r="Z987" s="4" t="n">
        <v>0</v>
      </c>
      <c r="AA987" s="4" t="n">
        <v>0</v>
      </c>
      <c r="AB987" s="4">
        <f>SUM(Q987:Y987)-Z987</f>
        <v/>
      </c>
      <c r="AC987" s="4">
        <f>IF(I987="","",IF(OR(LEFT(I987,3)="BKK",I987="LCH55"),"BKK",IF(LEFT(I987,3)="LCH","LCH","OTHER")))</f>
        <v/>
      </c>
      <c r="AD987" s="4">
        <f>MAX(0,Q987-MAX(0,Z987))</f>
        <v/>
      </c>
      <c r="AE987" s="4">
        <f>MAX(0,R987-MAX(0,Z987-SUM(Q987:Q987)))</f>
        <v/>
      </c>
      <c r="AF987" s="4">
        <f>MAX(0,S987-MAX(0,Z987-SUM(Q987:R987)))</f>
        <v/>
      </c>
      <c r="AG987" s="4">
        <f>MAX(0,T987-MAX(0,Z987-SUM(Q987:S987)))</f>
        <v/>
      </c>
      <c r="AH987" s="4">
        <f>MAX(0,U987-MAX(0,Z987-SUM(Q987:T987)))</f>
        <v/>
      </c>
      <c r="AI987" s="4">
        <f>MAX(0,V987-MAX(0,Z987-SUM(Q987:U987)))</f>
        <v/>
      </c>
      <c r="AJ987" s="4">
        <f>MAX(0,W987-MAX(0,Z987-SUM(Q987:V987)))</f>
        <v/>
      </c>
      <c r="AK987" s="4">
        <f>MAX(0,X987-MAX(0,Z987-SUM(Q987:W987)))</f>
        <v/>
      </c>
      <c r="AL987" s="4">
        <f>MAX(0,Y987-MAX(0,Z987-SUM(Q987:X987)))</f>
        <v/>
      </c>
    </row>
    <row r="988">
      <c r="A988" s="4" t="inlineStr">
        <is>
          <t>HASLS22260901247</t>
        </is>
      </c>
      <c r="B988" s="4" t="inlineStr">
        <is>
          <t>DJCF</t>
        </is>
      </c>
      <c r="C988" s="4" t="inlineStr">
        <is>
          <t>0152N</t>
        </is>
      </c>
      <c r="D988" s="4" t="inlineStr">
        <is>
          <t>202610111000</t>
        </is>
      </c>
      <c r="E988" s="4" t="inlineStr"/>
      <c r="F988" s="4" t="inlineStr">
        <is>
          <t>THBKK</t>
        </is>
      </c>
      <c r="G988" s="4" t="inlineStr">
        <is>
          <t>VNSGN</t>
        </is>
      </c>
      <c r="H988" s="4" t="inlineStr">
        <is>
          <t xml:space="preserve">40Hx1 </t>
        </is>
      </c>
      <c r="I988" s="4" t="inlineStr">
        <is>
          <t>BKK25</t>
        </is>
      </c>
      <c r="J988" s="4" t="inlineStr">
        <is>
          <t xml:space="preserve">Smart Logistics Service (Thailand ) Co.,Ltd. </t>
        </is>
      </c>
      <c r="K988" s="4" t="inlineStr">
        <is>
          <t>20261008</t>
        </is>
      </c>
      <c r="L988" s="4" t="inlineStr">
        <is>
          <t>OPENSEA CARGO SERVICE CO., LTD.</t>
        </is>
      </c>
      <c r="M988" s="4" t="inlineStr">
        <is>
          <t>SRINANAPORN MARKETING PUBLIC COMPANY LIMITED</t>
        </is>
      </c>
      <c r="N988" s="4" t="inlineStr">
        <is>
          <t>FOODSTUFF</t>
        </is>
      </c>
      <c r="O988" s="4" t="inlineStr">
        <is>
          <t>CONTAINER CLEAN GOODS BCZ THE CARGO IS FOODS</t>
        </is>
      </c>
      <c r="P988" s="4" t="inlineStr">
        <is>
          <t>Pickup : 2026-10-08, Return : 2026-10-08</t>
        </is>
      </c>
      <c r="Q988" s="4" t="n">
        <v>0</v>
      </c>
      <c r="R988" s="4" t="n">
        <v>0</v>
      </c>
      <c r="S988" s="4" t="n">
        <v>1</v>
      </c>
      <c r="T988" s="4" t="n">
        <v>0</v>
      </c>
      <c r="U988" s="4" t="n">
        <v>0</v>
      </c>
      <c r="V988" s="4" t="n">
        <v>0</v>
      </c>
      <c r="W988" s="4" t="n">
        <v>0</v>
      </c>
      <c r="X988" s="4" t="n">
        <v>0</v>
      </c>
      <c r="Y988" s="4" t="n">
        <v>0</v>
      </c>
      <c r="Z988" s="4" t="n">
        <v>0</v>
      </c>
      <c r="AA988" s="4" t="n">
        <v>0</v>
      </c>
      <c r="AB988" s="4">
        <f>SUM(Q988:Y988)-Z988</f>
        <v/>
      </c>
      <c r="AC988" s="4">
        <f>IF(I988="","",IF(OR(LEFT(I988,3)="BKK",I988="LCH55"),"BKK",IF(LEFT(I988,3)="LCH","LCH","OTHER")))</f>
        <v/>
      </c>
      <c r="AD988" s="4">
        <f>MAX(0,Q988-MAX(0,Z988))</f>
        <v/>
      </c>
      <c r="AE988" s="4">
        <f>MAX(0,R988-MAX(0,Z988-SUM(Q988:Q988)))</f>
        <v/>
      </c>
      <c r="AF988" s="4">
        <f>MAX(0,S988-MAX(0,Z988-SUM(Q988:R988)))</f>
        <v/>
      </c>
      <c r="AG988" s="4">
        <f>MAX(0,T988-MAX(0,Z988-SUM(Q988:S988)))</f>
        <v/>
      </c>
      <c r="AH988" s="4">
        <f>MAX(0,U988-MAX(0,Z988-SUM(Q988:T988)))</f>
        <v/>
      </c>
      <c r="AI988" s="4">
        <f>MAX(0,V988-MAX(0,Z988-SUM(Q988:U988)))</f>
        <v/>
      </c>
      <c r="AJ988" s="4">
        <f>MAX(0,W988-MAX(0,Z988-SUM(Q988:V988)))</f>
        <v/>
      </c>
      <c r="AK988" s="4">
        <f>MAX(0,X988-MAX(0,Z988-SUM(Q988:W988)))</f>
        <v/>
      </c>
      <c r="AL988" s="4">
        <f>MAX(0,Y988-MAX(0,Z988-SUM(Q988:X988)))</f>
        <v/>
      </c>
    </row>
    <row r="989">
      <c r="A989" s="4" t="inlineStr">
        <is>
          <t>HASLS22260901297</t>
        </is>
      </c>
      <c r="B989" s="4" t="inlineStr">
        <is>
          <t>SWDN</t>
        </is>
      </c>
      <c r="C989" s="4" t="inlineStr">
        <is>
          <t>2610N</t>
        </is>
      </c>
      <c r="D989" s="4" t="inlineStr">
        <is>
          <t>202610060900</t>
        </is>
      </c>
      <c r="E989" s="4" t="inlineStr"/>
      <c r="F989" s="4" t="inlineStr">
        <is>
          <t>THBKK</t>
        </is>
      </c>
      <c r="G989" s="4" t="inlineStr">
        <is>
          <t>HKHKG</t>
        </is>
      </c>
      <c r="H989" s="4" t="inlineStr">
        <is>
          <t xml:space="preserve">20'x1 </t>
        </is>
      </c>
      <c r="I989" s="4" t="inlineStr">
        <is>
          <t>BKK25</t>
        </is>
      </c>
      <c r="J989" s="4" t="inlineStr">
        <is>
          <t xml:space="preserve">Smart Logistics Service (Thailand ) Co.,Ltd. </t>
        </is>
      </c>
      <c r="K989" s="4" t="inlineStr">
        <is>
          <t>20260929</t>
        </is>
      </c>
      <c r="L989" s="4" t="inlineStr">
        <is>
          <t>SAVINO DEL BENE (THAILAND) LTD.</t>
        </is>
      </c>
      <c r="M989" s="4" t="inlineStr">
        <is>
          <t>HUA THAI MANUFACTURING PUBLIC CO., LTD.</t>
        </is>
      </c>
      <c r="N989" s="4" t="inlineStr">
        <is>
          <t>GARMENT</t>
        </is>
      </c>
      <c r="O989" s="4" t="inlineStr">
        <is>
          <t>CONTAINER GOOD, CLEAN AND NO SMELL</t>
        </is>
      </c>
      <c r="P989" s="4" t="inlineStr">
        <is>
          <t xml:space="preserve">Pickup : 2026-09-29, Return : 2026-09-30 (1ST RTN 02/10 W/O RENT) 
</t>
        </is>
      </c>
      <c r="Q989" s="4" t="n">
        <v>1</v>
      </c>
      <c r="R989" s="4" t="n">
        <v>0</v>
      </c>
      <c r="S989" s="4" t="n">
        <v>0</v>
      </c>
      <c r="T989" s="4" t="n">
        <v>0</v>
      </c>
      <c r="U989" s="4" t="n">
        <v>0</v>
      </c>
      <c r="V989" s="4" t="n">
        <v>0</v>
      </c>
      <c r="W989" s="4" t="n">
        <v>0</v>
      </c>
      <c r="X989" s="4" t="n">
        <v>0</v>
      </c>
      <c r="Y989" s="4" t="n">
        <v>0</v>
      </c>
      <c r="Z989" s="4" t="n">
        <v>0</v>
      </c>
      <c r="AA989" s="4" t="n">
        <v>0</v>
      </c>
      <c r="AB989" s="4">
        <f>SUM(Q989:Y989)-Z989</f>
        <v/>
      </c>
      <c r="AC989" s="4">
        <f>IF(I989="","",IF(OR(LEFT(I989,3)="BKK",I989="LCH55"),"BKK",IF(LEFT(I989,3)="LCH","LCH","OTHER")))</f>
        <v/>
      </c>
      <c r="AD989" s="4">
        <f>MAX(0,Q989-MAX(0,Z989))</f>
        <v/>
      </c>
      <c r="AE989" s="4">
        <f>MAX(0,R989-MAX(0,Z989-SUM(Q989:Q989)))</f>
        <v/>
      </c>
      <c r="AF989" s="4">
        <f>MAX(0,S989-MAX(0,Z989-SUM(Q989:R989)))</f>
        <v/>
      </c>
      <c r="AG989" s="4">
        <f>MAX(0,T989-MAX(0,Z989-SUM(Q989:S989)))</f>
        <v/>
      </c>
      <c r="AH989" s="4">
        <f>MAX(0,U989-MAX(0,Z989-SUM(Q989:T989)))</f>
        <v/>
      </c>
      <c r="AI989" s="4">
        <f>MAX(0,V989-MAX(0,Z989-SUM(Q989:U989)))</f>
        <v/>
      </c>
      <c r="AJ989" s="4">
        <f>MAX(0,W989-MAX(0,Z989-SUM(Q989:V989)))</f>
        <v/>
      </c>
      <c r="AK989" s="4">
        <f>MAX(0,X989-MAX(0,Z989-SUM(Q989:W989)))</f>
        <v/>
      </c>
      <c r="AL989" s="4">
        <f>MAX(0,Y989-MAX(0,Z989-SUM(Q989:X989)))</f>
        <v/>
      </c>
    </row>
    <row r="990">
      <c r="A990" s="4" t="inlineStr">
        <is>
          <t>HASLS22260901298</t>
        </is>
      </c>
      <c r="B990" s="4" t="inlineStr">
        <is>
          <t>SWAT</t>
        </is>
      </c>
      <c r="C990" s="4" t="inlineStr">
        <is>
          <t>2610N</t>
        </is>
      </c>
      <c r="D990" s="4" t="inlineStr">
        <is>
          <t>202610071700</t>
        </is>
      </c>
      <c r="E990" s="4" t="inlineStr"/>
      <c r="F990" s="4" t="inlineStr">
        <is>
          <t>THBKK</t>
        </is>
      </c>
      <c r="G990" s="4" t="inlineStr">
        <is>
          <t>TWKEL</t>
        </is>
      </c>
      <c r="H990" s="4" t="inlineStr">
        <is>
          <t xml:space="preserve">20'x1 </t>
        </is>
      </c>
      <c r="I990" s="4" t="inlineStr">
        <is>
          <t>BKK25</t>
        </is>
      </c>
      <c r="J990" s="4" t="inlineStr">
        <is>
          <t xml:space="preserve">Smart Logistics Service (Thailand ) Co.,Ltd. </t>
        </is>
      </c>
      <c r="K990" s="4" t="inlineStr">
        <is>
          <t>20261002</t>
        </is>
      </c>
      <c r="L990" s="4" t="inlineStr">
        <is>
          <t>YUSEN LOGISTICS (THAILAND) CO., LTD.</t>
        </is>
      </c>
      <c r="M990" s="4" t="inlineStr">
        <is>
          <t>YUSEN LOGISTICS (THAILAND) CO., LTD.</t>
        </is>
      </c>
      <c r="N990" s="4" t="inlineStr">
        <is>
          <t>PRINTING FOR INDUSTRY</t>
        </is>
      </c>
      <c r="O990" s="4" t="inlineStr">
        <is>
          <t>GOOD AND CLEAN CONTAINER</t>
        </is>
      </c>
      <c r="P990" s="4" t="inlineStr">
        <is>
          <t>CY-RTN : 02-02/10/2026[1ST RTN 02/10/2026 W/OL RENT]</t>
        </is>
      </c>
      <c r="Q990" s="4" t="n">
        <v>1</v>
      </c>
      <c r="R990" s="4" t="n">
        <v>0</v>
      </c>
      <c r="S990" s="4" t="n">
        <v>0</v>
      </c>
      <c r="T990" s="4" t="n">
        <v>0</v>
      </c>
      <c r="U990" s="4" t="n">
        <v>0</v>
      </c>
      <c r="V990" s="4" t="n">
        <v>0</v>
      </c>
      <c r="W990" s="4" t="n">
        <v>0</v>
      </c>
      <c r="X990" s="4" t="n">
        <v>0</v>
      </c>
      <c r="Y990" s="4" t="n">
        <v>0</v>
      </c>
      <c r="Z990" s="4" t="n">
        <v>0</v>
      </c>
      <c r="AA990" s="4" t="n">
        <v>0</v>
      </c>
      <c r="AB990" s="4">
        <f>SUM(Q990:Y990)-Z990</f>
        <v/>
      </c>
      <c r="AC990" s="4">
        <f>IF(I990="","",IF(OR(LEFT(I990,3)="BKK",I990="LCH55"),"BKK",IF(LEFT(I990,3)="LCH","LCH","OTHER")))</f>
        <v/>
      </c>
      <c r="AD990" s="4">
        <f>MAX(0,Q990-MAX(0,Z990))</f>
        <v/>
      </c>
      <c r="AE990" s="4">
        <f>MAX(0,R990-MAX(0,Z990-SUM(Q990:Q990)))</f>
        <v/>
      </c>
      <c r="AF990" s="4">
        <f>MAX(0,S990-MAX(0,Z990-SUM(Q990:R990)))</f>
        <v/>
      </c>
      <c r="AG990" s="4">
        <f>MAX(0,T990-MAX(0,Z990-SUM(Q990:S990)))</f>
        <v/>
      </c>
      <c r="AH990" s="4">
        <f>MAX(0,U990-MAX(0,Z990-SUM(Q990:T990)))</f>
        <v/>
      </c>
      <c r="AI990" s="4">
        <f>MAX(0,V990-MAX(0,Z990-SUM(Q990:U990)))</f>
        <v/>
      </c>
      <c r="AJ990" s="4">
        <f>MAX(0,W990-MAX(0,Z990-SUM(Q990:V990)))</f>
        <v/>
      </c>
      <c r="AK990" s="4">
        <f>MAX(0,X990-MAX(0,Z990-SUM(Q990:W990)))</f>
        <v/>
      </c>
      <c r="AL990" s="4">
        <f>MAX(0,Y990-MAX(0,Z990-SUM(Q990:X990)))</f>
        <v/>
      </c>
    </row>
    <row r="991">
      <c r="A991" s="4" t="inlineStr">
        <is>
          <t>HASLS22260901299</t>
        </is>
      </c>
      <c r="B991" s="4" t="inlineStr">
        <is>
          <t>KMBK</t>
        </is>
      </c>
      <c r="C991" s="4" t="inlineStr">
        <is>
          <t>2611N</t>
        </is>
      </c>
      <c r="D991" s="4" t="inlineStr">
        <is>
          <t>202610030900</t>
        </is>
      </c>
      <c r="E991" s="4" t="inlineStr"/>
      <c r="F991" s="4" t="inlineStr">
        <is>
          <t>THBKK</t>
        </is>
      </c>
      <c r="G991" s="4" t="inlineStr">
        <is>
          <t>VNSGN</t>
        </is>
      </c>
      <c r="H991" s="4" t="inlineStr">
        <is>
          <t xml:space="preserve">20'x1 </t>
        </is>
      </c>
      <c r="I991" s="4" t="inlineStr">
        <is>
          <t>BKK25</t>
        </is>
      </c>
      <c r="J991" s="4" t="inlineStr">
        <is>
          <t xml:space="preserve">Smart Logistics Service (Thailand ) Co.,Ltd. </t>
        </is>
      </c>
      <c r="K991" s="4" t="inlineStr">
        <is>
          <t>20260929</t>
        </is>
      </c>
      <c r="L991" s="4" t="inlineStr">
        <is>
          <t>CONAIR INTERTRAFFIC CO., LTD.</t>
        </is>
      </c>
      <c r="M991" s="4" t="inlineStr">
        <is>
          <t>SIAM THAI TECH CO., LTD.</t>
        </is>
      </c>
      <c r="N991" s="4" t="inlineStr">
        <is>
          <t>WATER TREATMENT &amp; FEED SUPPLEMENT</t>
        </is>
      </c>
      <c r="O991" s="4" t="inlineStr">
        <is>
          <t>GOOD AND CLEAN CONTAINER</t>
        </is>
      </c>
      <c r="P991" s="4" t="inlineStr">
        <is>
          <t>Pickup : 2026-09-29, Return : 2026-09-30</t>
        </is>
      </c>
      <c r="Q991" s="4" t="n">
        <v>1</v>
      </c>
      <c r="R991" s="4" t="n">
        <v>0</v>
      </c>
      <c r="S991" s="4" t="n">
        <v>0</v>
      </c>
      <c r="T991" s="4" t="n">
        <v>0</v>
      </c>
      <c r="U991" s="4" t="n">
        <v>0</v>
      </c>
      <c r="V991" s="4" t="n">
        <v>0</v>
      </c>
      <c r="W991" s="4" t="n">
        <v>0</v>
      </c>
      <c r="X991" s="4" t="n">
        <v>0</v>
      </c>
      <c r="Y991" s="4" t="n">
        <v>0</v>
      </c>
      <c r="Z991" s="4" t="n">
        <v>0</v>
      </c>
      <c r="AA991" s="4" t="n">
        <v>0</v>
      </c>
      <c r="AB991" s="4">
        <f>SUM(Q991:Y991)-Z991</f>
        <v/>
      </c>
      <c r="AC991" s="4">
        <f>IF(I991="","",IF(OR(LEFT(I991,3)="BKK",I991="LCH55"),"BKK",IF(LEFT(I991,3)="LCH","LCH","OTHER")))</f>
        <v/>
      </c>
      <c r="AD991" s="4">
        <f>MAX(0,Q991-MAX(0,Z991))</f>
        <v/>
      </c>
      <c r="AE991" s="4">
        <f>MAX(0,R991-MAX(0,Z991-SUM(Q991:Q991)))</f>
        <v/>
      </c>
      <c r="AF991" s="4">
        <f>MAX(0,S991-MAX(0,Z991-SUM(Q991:R991)))</f>
        <v/>
      </c>
      <c r="AG991" s="4">
        <f>MAX(0,T991-MAX(0,Z991-SUM(Q991:S991)))</f>
        <v/>
      </c>
      <c r="AH991" s="4">
        <f>MAX(0,U991-MAX(0,Z991-SUM(Q991:T991)))</f>
        <v/>
      </c>
      <c r="AI991" s="4">
        <f>MAX(0,V991-MAX(0,Z991-SUM(Q991:U991)))</f>
        <v/>
      </c>
      <c r="AJ991" s="4">
        <f>MAX(0,W991-MAX(0,Z991-SUM(Q991:V991)))</f>
        <v/>
      </c>
      <c r="AK991" s="4">
        <f>MAX(0,X991-MAX(0,Z991-SUM(Q991:W991)))</f>
        <v/>
      </c>
      <c r="AL991" s="4">
        <f>MAX(0,Y991-MAX(0,Z991-SUM(Q991:X991)))</f>
        <v/>
      </c>
    </row>
    <row r="992">
      <c r="A992" s="4" t="inlineStr">
        <is>
          <t>HASLS22260901303</t>
        </is>
      </c>
      <c r="B992" s="4" t="inlineStr">
        <is>
          <t>SWMM</t>
        </is>
      </c>
      <c r="C992" s="4" t="inlineStr">
        <is>
          <t>2610N</t>
        </is>
      </c>
      <c r="D992" s="4" t="inlineStr">
        <is>
          <t>202610210400</t>
        </is>
      </c>
      <c r="E992" s="4" t="inlineStr"/>
      <c r="F992" s="4" t="inlineStr">
        <is>
          <t>THBKK</t>
        </is>
      </c>
      <c r="G992" s="4" t="inlineStr">
        <is>
          <t>JPIMI</t>
        </is>
      </c>
      <c r="H992" s="4" t="inlineStr">
        <is>
          <t xml:space="preserve">40Hx2 </t>
        </is>
      </c>
      <c r="I992" s="4" t="inlineStr">
        <is>
          <t>BKK25</t>
        </is>
      </c>
      <c r="J992" s="4" t="inlineStr">
        <is>
          <t xml:space="preserve">Smart Logistics Service (Thailand ) Co.,Ltd. </t>
        </is>
      </c>
      <c r="K992" s="4" t="inlineStr">
        <is>
          <t>20261014</t>
        </is>
      </c>
      <c r="L992" s="4" t="inlineStr">
        <is>
          <t>WOODWORKS THAI CO., LTD. (1980)</t>
        </is>
      </c>
      <c r="M992" s="4" t="inlineStr">
        <is>
          <t>WOODWORKS THAI CO., LTD. (1980)</t>
        </is>
      </c>
      <c r="N992" s="4" t="inlineStr">
        <is>
          <t>FURNITURE (STUDY DESK)</t>
        </is>
      </c>
      <c r="O992" s="4" t="inlineStr">
        <is>
          <t>GOOD AND CLEAN CONTAINER</t>
        </is>
      </c>
      <c r="P992" s="4" t="inlineStr">
        <is>
          <t xml:space="preserve">Pickup : 2026-10-14, Return : 2026-10-15 </t>
        </is>
      </c>
      <c r="Q992" s="4" t="n">
        <v>0</v>
      </c>
      <c r="R992" s="4" t="n">
        <v>0</v>
      </c>
      <c r="S992" s="4" t="n">
        <v>2</v>
      </c>
      <c r="T992" s="4" t="n">
        <v>0</v>
      </c>
      <c r="U992" s="4" t="n">
        <v>0</v>
      </c>
      <c r="V992" s="4" t="n">
        <v>0</v>
      </c>
      <c r="W992" s="4" t="n">
        <v>0</v>
      </c>
      <c r="X992" s="4" t="n">
        <v>0</v>
      </c>
      <c r="Y992" s="4" t="n">
        <v>0</v>
      </c>
      <c r="Z992" s="4" t="n">
        <v>0</v>
      </c>
      <c r="AA992" s="4" t="n">
        <v>0</v>
      </c>
      <c r="AB992" s="4">
        <f>SUM(Q992:Y992)-Z992</f>
        <v/>
      </c>
      <c r="AC992" s="4">
        <f>IF(I992="","",IF(OR(LEFT(I992,3)="BKK",I992="LCH55"),"BKK",IF(LEFT(I992,3)="LCH","LCH","OTHER")))</f>
        <v/>
      </c>
      <c r="AD992" s="4">
        <f>MAX(0,Q992-MAX(0,Z992))</f>
        <v/>
      </c>
      <c r="AE992" s="4">
        <f>MAX(0,R992-MAX(0,Z992-SUM(Q992:Q992)))</f>
        <v/>
      </c>
      <c r="AF992" s="4">
        <f>MAX(0,S992-MAX(0,Z992-SUM(Q992:R992)))</f>
        <v/>
      </c>
      <c r="AG992" s="4">
        <f>MAX(0,T992-MAX(0,Z992-SUM(Q992:S992)))</f>
        <v/>
      </c>
      <c r="AH992" s="4">
        <f>MAX(0,U992-MAX(0,Z992-SUM(Q992:T992)))</f>
        <v/>
      </c>
      <c r="AI992" s="4">
        <f>MAX(0,V992-MAX(0,Z992-SUM(Q992:U992)))</f>
        <v/>
      </c>
      <c r="AJ992" s="4">
        <f>MAX(0,W992-MAX(0,Z992-SUM(Q992:V992)))</f>
        <v/>
      </c>
      <c r="AK992" s="4">
        <f>MAX(0,X992-MAX(0,Z992-SUM(Q992:W992)))</f>
        <v/>
      </c>
      <c r="AL992" s="4">
        <f>MAX(0,Y992-MAX(0,Z992-SUM(Q992:X992)))</f>
        <v/>
      </c>
    </row>
    <row r="993">
      <c r="A993" s="4" t="inlineStr">
        <is>
          <t>HASLS22260901312</t>
        </is>
      </c>
      <c r="B993" s="4" t="inlineStr">
        <is>
          <t>DJCF</t>
        </is>
      </c>
      <c r="C993" s="4" t="inlineStr">
        <is>
          <t>0152N</t>
        </is>
      </c>
      <c r="D993" s="4" t="inlineStr">
        <is>
          <t>202610111000</t>
        </is>
      </c>
      <c r="E993" s="4" t="inlineStr"/>
      <c r="F993" s="4" t="inlineStr">
        <is>
          <t>THBKK</t>
        </is>
      </c>
      <c r="G993" s="4" t="inlineStr">
        <is>
          <t>VNSGN</t>
        </is>
      </c>
      <c r="H993" s="4" t="inlineStr">
        <is>
          <t xml:space="preserve">40Hx1 </t>
        </is>
      </c>
      <c r="I993" s="4" t="inlineStr">
        <is>
          <t>BKK25</t>
        </is>
      </c>
      <c r="J993" s="4" t="inlineStr">
        <is>
          <t xml:space="preserve">Smart Logistics Service (Thailand ) Co.,Ltd. </t>
        </is>
      </c>
      <c r="K993" s="4" t="inlineStr">
        <is>
          <t>20261005</t>
        </is>
      </c>
      <c r="L993" s="4" t="inlineStr">
        <is>
          <t>SDS-ACUTECH CO., LTD.</t>
        </is>
      </c>
      <c r="M993" s="4" t="inlineStr">
        <is>
          <t>APEX CIRCUIT (THAILAND) CO., LTD.</t>
        </is>
      </c>
      <c r="N993" s="4" t="inlineStr">
        <is>
          <t>PRINTED CIRCUIT BOARD</t>
        </is>
      </c>
      <c r="O993" s="4" t="inlineStr">
        <is>
          <t>GOOD AND CLEAN CONTAINER</t>
        </is>
      </c>
      <c r="P993" s="4" t="inlineStr">
        <is>
          <t>Pickup : 2026-10-05, Return : 2026-10-06</t>
        </is>
      </c>
      <c r="Q993" s="4" t="n">
        <v>0</v>
      </c>
      <c r="R993" s="4" t="n">
        <v>0</v>
      </c>
      <c r="S993" s="4" t="n">
        <v>1</v>
      </c>
      <c r="T993" s="4" t="n">
        <v>0</v>
      </c>
      <c r="U993" s="4" t="n">
        <v>0</v>
      </c>
      <c r="V993" s="4" t="n">
        <v>0</v>
      </c>
      <c r="W993" s="4" t="n">
        <v>0</v>
      </c>
      <c r="X993" s="4" t="n">
        <v>0</v>
      </c>
      <c r="Y993" s="4" t="n">
        <v>0</v>
      </c>
      <c r="Z993" s="4" t="n">
        <v>0</v>
      </c>
      <c r="AA993" s="4" t="n">
        <v>0</v>
      </c>
      <c r="AB993" s="4">
        <f>SUM(Q993:Y993)-Z993</f>
        <v/>
      </c>
      <c r="AC993" s="4">
        <f>IF(I993="","",IF(OR(LEFT(I993,3)="BKK",I993="LCH55"),"BKK",IF(LEFT(I993,3)="LCH","LCH","OTHER")))</f>
        <v/>
      </c>
      <c r="AD993" s="4">
        <f>MAX(0,Q993-MAX(0,Z993))</f>
        <v/>
      </c>
      <c r="AE993" s="4">
        <f>MAX(0,R993-MAX(0,Z993-SUM(Q993:Q993)))</f>
        <v/>
      </c>
      <c r="AF993" s="4">
        <f>MAX(0,S993-MAX(0,Z993-SUM(Q993:R993)))</f>
        <v/>
      </c>
      <c r="AG993" s="4">
        <f>MAX(0,T993-MAX(0,Z993-SUM(Q993:S993)))</f>
        <v/>
      </c>
      <c r="AH993" s="4">
        <f>MAX(0,U993-MAX(0,Z993-SUM(Q993:T993)))</f>
        <v/>
      </c>
      <c r="AI993" s="4">
        <f>MAX(0,V993-MAX(0,Z993-SUM(Q993:U993)))</f>
        <v/>
      </c>
      <c r="AJ993" s="4">
        <f>MAX(0,W993-MAX(0,Z993-SUM(Q993:V993)))</f>
        <v/>
      </c>
      <c r="AK993" s="4">
        <f>MAX(0,X993-MAX(0,Z993-SUM(Q993:W993)))</f>
        <v/>
      </c>
      <c r="AL993" s="4">
        <f>MAX(0,Y993-MAX(0,Z993-SUM(Q993:X993)))</f>
        <v/>
      </c>
    </row>
    <row r="994">
      <c r="A994" s="4" t="inlineStr">
        <is>
          <t>HASLS22260901313</t>
        </is>
      </c>
      <c r="B994" s="4" t="inlineStr">
        <is>
          <t>DJCF</t>
        </is>
      </c>
      <c r="C994" s="4" t="inlineStr">
        <is>
          <t>0152N</t>
        </is>
      </c>
      <c r="D994" s="4" t="inlineStr">
        <is>
          <t>202610111000</t>
        </is>
      </c>
      <c r="E994" s="4" t="inlineStr"/>
      <c r="F994" s="4" t="inlineStr">
        <is>
          <t>THBKK</t>
        </is>
      </c>
      <c r="G994" s="4" t="inlineStr">
        <is>
          <t>VNSGN</t>
        </is>
      </c>
      <c r="H994" s="4" t="inlineStr">
        <is>
          <t xml:space="preserve">40Hx1 </t>
        </is>
      </c>
      <c r="I994" s="4" t="inlineStr">
        <is>
          <t>BKK25</t>
        </is>
      </c>
      <c r="J994" s="4" t="inlineStr">
        <is>
          <t xml:space="preserve">Smart Logistics Service (Thailand ) Co.,Ltd. </t>
        </is>
      </c>
      <c r="K994" s="4" t="inlineStr">
        <is>
          <t>20261005</t>
        </is>
      </c>
      <c r="L994" s="4" t="inlineStr">
        <is>
          <t>SDS-ACUTECH CO., LTD.</t>
        </is>
      </c>
      <c r="M994" s="4" t="inlineStr">
        <is>
          <t>APEX CIRCUIT (THAILAND) CO., LTD.</t>
        </is>
      </c>
      <c r="N994" s="4" t="inlineStr">
        <is>
          <t>PRINTED CIRCUIT BOARD</t>
        </is>
      </c>
      <c r="O994" s="4" t="inlineStr">
        <is>
          <t>GOOD AND CLEAN CONTAINER</t>
        </is>
      </c>
      <c r="P994" s="4" t="inlineStr">
        <is>
          <t>Pickup : 2026-10-05, Return : 2026-10-06</t>
        </is>
      </c>
      <c r="Q994" s="4" t="n">
        <v>0</v>
      </c>
      <c r="R994" s="4" t="n">
        <v>0</v>
      </c>
      <c r="S994" s="4" t="n">
        <v>1</v>
      </c>
      <c r="T994" s="4" t="n">
        <v>0</v>
      </c>
      <c r="U994" s="4" t="n">
        <v>0</v>
      </c>
      <c r="V994" s="4" t="n">
        <v>0</v>
      </c>
      <c r="W994" s="4" t="n">
        <v>0</v>
      </c>
      <c r="X994" s="4" t="n">
        <v>0</v>
      </c>
      <c r="Y994" s="4" t="n">
        <v>0</v>
      </c>
      <c r="Z994" s="4" t="n">
        <v>0</v>
      </c>
      <c r="AA994" s="4" t="n">
        <v>0</v>
      </c>
      <c r="AB994" s="4">
        <f>SUM(Q994:Y994)-Z994</f>
        <v/>
      </c>
      <c r="AC994" s="4">
        <f>IF(I994="","",IF(OR(LEFT(I994,3)="BKK",I994="LCH55"),"BKK",IF(LEFT(I994,3)="LCH","LCH","OTHER")))</f>
        <v/>
      </c>
      <c r="AD994" s="4">
        <f>MAX(0,Q994-MAX(0,Z994))</f>
        <v/>
      </c>
      <c r="AE994" s="4">
        <f>MAX(0,R994-MAX(0,Z994-SUM(Q994:Q994)))</f>
        <v/>
      </c>
      <c r="AF994" s="4">
        <f>MAX(0,S994-MAX(0,Z994-SUM(Q994:R994)))</f>
        <v/>
      </c>
      <c r="AG994" s="4">
        <f>MAX(0,T994-MAX(0,Z994-SUM(Q994:S994)))</f>
        <v/>
      </c>
      <c r="AH994" s="4">
        <f>MAX(0,U994-MAX(0,Z994-SUM(Q994:T994)))</f>
        <v/>
      </c>
      <c r="AI994" s="4">
        <f>MAX(0,V994-MAX(0,Z994-SUM(Q994:U994)))</f>
        <v/>
      </c>
      <c r="AJ994" s="4">
        <f>MAX(0,W994-MAX(0,Z994-SUM(Q994:V994)))</f>
        <v/>
      </c>
      <c r="AK994" s="4">
        <f>MAX(0,X994-MAX(0,Z994-SUM(Q994:W994)))</f>
        <v/>
      </c>
      <c r="AL994" s="4">
        <f>MAX(0,Y994-MAX(0,Z994-SUM(Q994:X994)))</f>
        <v/>
      </c>
    </row>
    <row r="995">
      <c r="A995" s="4" t="inlineStr">
        <is>
          <t>HASLS22260901314</t>
        </is>
      </c>
      <c r="B995" s="4" t="inlineStr">
        <is>
          <t>DJCF</t>
        </is>
      </c>
      <c r="C995" s="4" t="inlineStr">
        <is>
          <t>0152N</t>
        </is>
      </c>
      <c r="D995" s="4" t="inlineStr">
        <is>
          <t>202610111000</t>
        </is>
      </c>
      <c r="E995" s="4" t="inlineStr"/>
      <c r="F995" s="4" t="inlineStr">
        <is>
          <t>THBKK</t>
        </is>
      </c>
      <c r="G995" s="4" t="inlineStr">
        <is>
          <t>VNSGN</t>
        </is>
      </c>
      <c r="H995" s="4" t="inlineStr">
        <is>
          <t xml:space="preserve">40Hx1 </t>
        </is>
      </c>
      <c r="I995" s="4" t="inlineStr">
        <is>
          <t>BKK25</t>
        </is>
      </c>
      <c r="J995" s="4" t="inlineStr">
        <is>
          <t xml:space="preserve">Smart Logistics Service (Thailand ) Co.,Ltd. </t>
        </is>
      </c>
      <c r="K995" s="4" t="inlineStr">
        <is>
          <t>20261005</t>
        </is>
      </c>
      <c r="L995" s="4" t="inlineStr">
        <is>
          <t>SDS-ACUTECH CO., LTD.</t>
        </is>
      </c>
      <c r="M995" s="4" t="inlineStr">
        <is>
          <t>APEX CIRCUIT (THAILAND) CO., LTD.</t>
        </is>
      </c>
      <c r="N995" s="4" t="inlineStr">
        <is>
          <t>PRINTED CIRCUIT BOARD</t>
        </is>
      </c>
      <c r="O995" s="4" t="inlineStr">
        <is>
          <t>GOOD AND CLEAN CONTAINER</t>
        </is>
      </c>
      <c r="P995" s="4" t="inlineStr">
        <is>
          <t>Pickup : 2026-10-05, Return : 2026-10-06</t>
        </is>
      </c>
      <c r="Q995" s="4" t="n">
        <v>0</v>
      </c>
      <c r="R995" s="4" t="n">
        <v>0</v>
      </c>
      <c r="S995" s="4" t="n">
        <v>1</v>
      </c>
      <c r="T995" s="4" t="n">
        <v>0</v>
      </c>
      <c r="U995" s="4" t="n">
        <v>0</v>
      </c>
      <c r="V995" s="4" t="n">
        <v>0</v>
      </c>
      <c r="W995" s="4" t="n">
        <v>0</v>
      </c>
      <c r="X995" s="4" t="n">
        <v>0</v>
      </c>
      <c r="Y995" s="4" t="n">
        <v>0</v>
      </c>
      <c r="Z995" s="4" t="n">
        <v>0</v>
      </c>
      <c r="AA995" s="4" t="n">
        <v>0</v>
      </c>
      <c r="AB995" s="4">
        <f>SUM(Q995:Y995)-Z995</f>
        <v/>
      </c>
      <c r="AC995" s="4">
        <f>IF(I995="","",IF(OR(LEFT(I995,3)="BKK",I995="LCH55"),"BKK",IF(LEFT(I995,3)="LCH","LCH","OTHER")))</f>
        <v/>
      </c>
      <c r="AD995" s="4">
        <f>MAX(0,Q995-MAX(0,Z995))</f>
        <v/>
      </c>
      <c r="AE995" s="4">
        <f>MAX(0,R995-MAX(0,Z995-SUM(Q995:Q995)))</f>
        <v/>
      </c>
      <c r="AF995" s="4">
        <f>MAX(0,S995-MAX(0,Z995-SUM(Q995:R995)))</f>
        <v/>
      </c>
      <c r="AG995" s="4">
        <f>MAX(0,T995-MAX(0,Z995-SUM(Q995:S995)))</f>
        <v/>
      </c>
      <c r="AH995" s="4">
        <f>MAX(0,U995-MAX(0,Z995-SUM(Q995:T995)))</f>
        <v/>
      </c>
      <c r="AI995" s="4">
        <f>MAX(0,V995-MAX(0,Z995-SUM(Q995:U995)))</f>
        <v/>
      </c>
      <c r="AJ995" s="4">
        <f>MAX(0,W995-MAX(0,Z995-SUM(Q995:V995)))</f>
        <v/>
      </c>
      <c r="AK995" s="4">
        <f>MAX(0,X995-MAX(0,Z995-SUM(Q995:W995)))</f>
        <v/>
      </c>
      <c r="AL995" s="4">
        <f>MAX(0,Y995-MAX(0,Z995-SUM(Q995:X995)))</f>
        <v/>
      </c>
    </row>
    <row r="996">
      <c r="A996" s="4" t="inlineStr">
        <is>
          <t>HASLS22260901315</t>
        </is>
      </c>
      <c r="B996" s="4" t="inlineStr">
        <is>
          <t>DJCF</t>
        </is>
      </c>
      <c r="C996" s="4" t="inlineStr">
        <is>
          <t>0152N</t>
        </is>
      </c>
      <c r="D996" s="4" t="inlineStr">
        <is>
          <t>202610111000</t>
        </is>
      </c>
      <c r="E996" s="4" t="inlineStr"/>
      <c r="F996" s="4" t="inlineStr">
        <is>
          <t>THBKK</t>
        </is>
      </c>
      <c r="G996" s="4" t="inlineStr">
        <is>
          <t>VNSGN</t>
        </is>
      </c>
      <c r="H996" s="4" t="inlineStr">
        <is>
          <t xml:space="preserve">40Hx1 </t>
        </is>
      </c>
      <c r="I996" s="4" t="inlineStr">
        <is>
          <t>BKK25</t>
        </is>
      </c>
      <c r="J996" s="4" t="inlineStr">
        <is>
          <t xml:space="preserve">Smart Logistics Service (Thailand ) Co.,Ltd. </t>
        </is>
      </c>
      <c r="K996" s="4" t="inlineStr">
        <is>
          <t>20261005</t>
        </is>
      </c>
      <c r="L996" s="4" t="inlineStr">
        <is>
          <t>SDS-ACUTECH CO., LTD.</t>
        </is>
      </c>
      <c r="M996" s="4" t="inlineStr">
        <is>
          <t>APEX CIRCUIT (THAILAND) CO., LTD.</t>
        </is>
      </c>
      <c r="N996" s="4" t="inlineStr">
        <is>
          <t>PRINTED CIRCUIT BOARD</t>
        </is>
      </c>
      <c r="O996" s="4" t="inlineStr">
        <is>
          <t>GOOD AND CLEAN CONTAINER</t>
        </is>
      </c>
      <c r="P996" s="4" t="inlineStr">
        <is>
          <t>Pickup : 2026-10-05, Return : 2026-10-06</t>
        </is>
      </c>
      <c r="Q996" s="4" t="n">
        <v>0</v>
      </c>
      <c r="R996" s="4" t="n">
        <v>0</v>
      </c>
      <c r="S996" s="4" t="n">
        <v>1</v>
      </c>
      <c r="T996" s="4" t="n">
        <v>0</v>
      </c>
      <c r="U996" s="4" t="n">
        <v>0</v>
      </c>
      <c r="V996" s="4" t="n">
        <v>0</v>
      </c>
      <c r="W996" s="4" t="n">
        <v>0</v>
      </c>
      <c r="X996" s="4" t="n">
        <v>0</v>
      </c>
      <c r="Y996" s="4" t="n">
        <v>0</v>
      </c>
      <c r="Z996" s="4" t="n">
        <v>0</v>
      </c>
      <c r="AA996" s="4" t="n">
        <v>0</v>
      </c>
      <c r="AB996" s="4">
        <f>SUM(Q996:Y996)-Z996</f>
        <v/>
      </c>
      <c r="AC996" s="4">
        <f>IF(I996="","",IF(OR(LEFT(I996,3)="BKK",I996="LCH55"),"BKK",IF(LEFT(I996,3)="LCH","LCH","OTHER")))</f>
        <v/>
      </c>
      <c r="AD996" s="4">
        <f>MAX(0,Q996-MAX(0,Z996))</f>
        <v/>
      </c>
      <c r="AE996" s="4">
        <f>MAX(0,R996-MAX(0,Z996-SUM(Q996:Q996)))</f>
        <v/>
      </c>
      <c r="AF996" s="4">
        <f>MAX(0,S996-MAX(0,Z996-SUM(Q996:R996)))</f>
        <v/>
      </c>
      <c r="AG996" s="4">
        <f>MAX(0,T996-MAX(0,Z996-SUM(Q996:S996)))</f>
        <v/>
      </c>
      <c r="AH996" s="4">
        <f>MAX(0,U996-MAX(0,Z996-SUM(Q996:T996)))</f>
        <v/>
      </c>
      <c r="AI996" s="4">
        <f>MAX(0,V996-MAX(0,Z996-SUM(Q996:U996)))</f>
        <v/>
      </c>
      <c r="AJ996" s="4">
        <f>MAX(0,W996-MAX(0,Z996-SUM(Q996:V996)))</f>
        <v/>
      </c>
      <c r="AK996" s="4">
        <f>MAX(0,X996-MAX(0,Z996-SUM(Q996:W996)))</f>
        <v/>
      </c>
      <c r="AL996" s="4">
        <f>MAX(0,Y996-MAX(0,Z996-SUM(Q996:X996)))</f>
        <v/>
      </c>
    </row>
    <row r="997">
      <c r="A997" s="4" t="inlineStr">
        <is>
          <t>HASLS22260901316</t>
        </is>
      </c>
      <c r="B997" s="4" t="inlineStr">
        <is>
          <t>DJCF</t>
        </is>
      </c>
      <c r="C997" s="4" t="inlineStr">
        <is>
          <t>0152N</t>
        </is>
      </c>
      <c r="D997" s="4" t="inlineStr">
        <is>
          <t>202610111000</t>
        </is>
      </c>
      <c r="E997" s="4" t="inlineStr"/>
      <c r="F997" s="4" t="inlineStr">
        <is>
          <t>THBKK</t>
        </is>
      </c>
      <c r="G997" s="4" t="inlineStr">
        <is>
          <t>VNSGN</t>
        </is>
      </c>
      <c r="H997" s="4" t="inlineStr">
        <is>
          <t xml:space="preserve">20'x1 </t>
        </is>
      </c>
      <c r="I997" s="4" t="inlineStr">
        <is>
          <t>BKK25</t>
        </is>
      </c>
      <c r="J997" s="4" t="inlineStr">
        <is>
          <t xml:space="preserve">Smart Logistics Service (Thailand ) Co.,Ltd. </t>
        </is>
      </c>
      <c r="K997" s="4" t="inlineStr">
        <is>
          <t>20261005</t>
        </is>
      </c>
      <c r="L997" s="4" t="inlineStr">
        <is>
          <t>SDS-ACUTECH CO., LTD.</t>
        </is>
      </c>
      <c r="M997" s="4" t="inlineStr">
        <is>
          <t>APEX CIRCUIT (THAILAND) CO., LTD.</t>
        </is>
      </c>
      <c r="N997" s="4" t="inlineStr">
        <is>
          <t>PRINTED CIRCUIT BOARD</t>
        </is>
      </c>
      <c r="O997" s="4" t="inlineStr">
        <is>
          <t>GOOD AND CLEAN CONTAINER</t>
        </is>
      </c>
      <c r="P997" s="4" t="inlineStr">
        <is>
          <t>Pickup : 2026-10-05, Return : 2026-10-06</t>
        </is>
      </c>
      <c r="Q997" s="4" t="n">
        <v>1</v>
      </c>
      <c r="R997" s="4" t="n">
        <v>0</v>
      </c>
      <c r="S997" s="4" t="n">
        <v>0</v>
      </c>
      <c r="T997" s="4" t="n">
        <v>0</v>
      </c>
      <c r="U997" s="4" t="n">
        <v>0</v>
      </c>
      <c r="V997" s="4" t="n">
        <v>0</v>
      </c>
      <c r="W997" s="4" t="n">
        <v>0</v>
      </c>
      <c r="X997" s="4" t="n">
        <v>0</v>
      </c>
      <c r="Y997" s="4" t="n">
        <v>0</v>
      </c>
      <c r="Z997" s="4" t="n">
        <v>0</v>
      </c>
      <c r="AA997" s="4" t="n">
        <v>0</v>
      </c>
      <c r="AB997" s="4">
        <f>SUM(Q997:Y997)-Z997</f>
        <v/>
      </c>
      <c r="AC997" s="4">
        <f>IF(I997="","",IF(OR(LEFT(I997,3)="BKK",I997="LCH55"),"BKK",IF(LEFT(I997,3)="LCH","LCH","OTHER")))</f>
        <v/>
      </c>
      <c r="AD997" s="4">
        <f>MAX(0,Q997-MAX(0,Z997))</f>
        <v/>
      </c>
      <c r="AE997" s="4">
        <f>MAX(0,R997-MAX(0,Z997-SUM(Q997:Q997)))</f>
        <v/>
      </c>
      <c r="AF997" s="4">
        <f>MAX(0,S997-MAX(0,Z997-SUM(Q997:R997)))</f>
        <v/>
      </c>
      <c r="AG997" s="4">
        <f>MAX(0,T997-MAX(0,Z997-SUM(Q997:S997)))</f>
        <v/>
      </c>
      <c r="AH997" s="4">
        <f>MAX(0,U997-MAX(0,Z997-SUM(Q997:T997)))</f>
        <v/>
      </c>
      <c r="AI997" s="4">
        <f>MAX(0,V997-MAX(0,Z997-SUM(Q997:U997)))</f>
        <v/>
      </c>
      <c r="AJ997" s="4">
        <f>MAX(0,W997-MAX(0,Z997-SUM(Q997:V997)))</f>
        <v/>
      </c>
      <c r="AK997" s="4">
        <f>MAX(0,X997-MAX(0,Z997-SUM(Q997:W997)))</f>
        <v/>
      </c>
      <c r="AL997" s="4">
        <f>MAX(0,Y997-MAX(0,Z997-SUM(Q997:X997)))</f>
        <v/>
      </c>
    </row>
    <row r="998">
      <c r="A998" s="4" t="inlineStr">
        <is>
          <t>HASLS22260901317</t>
        </is>
      </c>
      <c r="B998" s="4" t="inlineStr">
        <is>
          <t>DJCF</t>
        </is>
      </c>
      <c r="C998" s="4" t="inlineStr">
        <is>
          <t>0152N</t>
        </is>
      </c>
      <c r="D998" s="4" t="inlineStr">
        <is>
          <t>202610111000</t>
        </is>
      </c>
      <c r="E998" s="4" t="inlineStr"/>
      <c r="F998" s="4" t="inlineStr">
        <is>
          <t>THBKK</t>
        </is>
      </c>
      <c r="G998" s="4" t="inlineStr">
        <is>
          <t>VNSGN</t>
        </is>
      </c>
      <c r="H998" s="4" t="inlineStr">
        <is>
          <t xml:space="preserve">20'x1 </t>
        </is>
      </c>
      <c r="I998" s="4" t="inlineStr">
        <is>
          <t>BKK25</t>
        </is>
      </c>
      <c r="J998" s="4" t="inlineStr">
        <is>
          <t xml:space="preserve">Smart Logistics Service (Thailand ) Co.,Ltd. </t>
        </is>
      </c>
      <c r="K998" s="4" t="inlineStr">
        <is>
          <t>20261005</t>
        </is>
      </c>
      <c r="L998" s="4" t="inlineStr">
        <is>
          <t>SDS-ACUTECH CO., LTD.</t>
        </is>
      </c>
      <c r="M998" s="4" t="inlineStr">
        <is>
          <t>APEX CIRCUIT (THAILAND) CO., LTD.</t>
        </is>
      </c>
      <c r="N998" s="4" t="inlineStr">
        <is>
          <t>PRINTED CIRCUIT BOARD</t>
        </is>
      </c>
      <c r="O998" s="4" t="inlineStr">
        <is>
          <t>GOOD AND CLEAN CONTAINER</t>
        </is>
      </c>
      <c r="P998" s="4" t="inlineStr">
        <is>
          <t>Pickup : 2026-10-05, Return : 2026-10-06</t>
        </is>
      </c>
      <c r="Q998" s="4" t="n">
        <v>1</v>
      </c>
      <c r="R998" s="4" t="n">
        <v>0</v>
      </c>
      <c r="S998" s="4" t="n">
        <v>0</v>
      </c>
      <c r="T998" s="4" t="n">
        <v>0</v>
      </c>
      <c r="U998" s="4" t="n">
        <v>0</v>
      </c>
      <c r="V998" s="4" t="n">
        <v>0</v>
      </c>
      <c r="W998" s="4" t="n">
        <v>0</v>
      </c>
      <c r="X998" s="4" t="n">
        <v>0</v>
      </c>
      <c r="Y998" s="4" t="n">
        <v>0</v>
      </c>
      <c r="Z998" s="4" t="n">
        <v>0</v>
      </c>
      <c r="AA998" s="4" t="n">
        <v>0</v>
      </c>
      <c r="AB998" s="4">
        <f>SUM(Q998:Y998)-Z998</f>
        <v/>
      </c>
      <c r="AC998" s="4">
        <f>IF(I998="","",IF(OR(LEFT(I998,3)="BKK",I998="LCH55"),"BKK",IF(LEFT(I998,3)="LCH","LCH","OTHER")))</f>
        <v/>
      </c>
      <c r="AD998" s="4">
        <f>MAX(0,Q998-MAX(0,Z998))</f>
        <v/>
      </c>
      <c r="AE998" s="4">
        <f>MAX(0,R998-MAX(0,Z998-SUM(Q998:Q998)))</f>
        <v/>
      </c>
      <c r="AF998" s="4">
        <f>MAX(0,S998-MAX(0,Z998-SUM(Q998:R998)))</f>
        <v/>
      </c>
      <c r="AG998" s="4">
        <f>MAX(0,T998-MAX(0,Z998-SUM(Q998:S998)))</f>
        <v/>
      </c>
      <c r="AH998" s="4">
        <f>MAX(0,U998-MAX(0,Z998-SUM(Q998:T998)))</f>
        <v/>
      </c>
      <c r="AI998" s="4">
        <f>MAX(0,V998-MAX(0,Z998-SUM(Q998:U998)))</f>
        <v/>
      </c>
      <c r="AJ998" s="4">
        <f>MAX(0,W998-MAX(0,Z998-SUM(Q998:V998)))</f>
        <v/>
      </c>
      <c r="AK998" s="4">
        <f>MAX(0,X998-MAX(0,Z998-SUM(Q998:W998)))</f>
        <v/>
      </c>
      <c r="AL998" s="4">
        <f>MAX(0,Y998-MAX(0,Z998-SUM(Q998:X998)))</f>
        <v/>
      </c>
    </row>
    <row r="999">
      <c r="A999" s="4" t="inlineStr">
        <is>
          <t>HASLS22260901323</t>
        </is>
      </c>
      <c r="B999" s="4" t="inlineStr">
        <is>
          <t>KMTP</t>
        </is>
      </c>
      <c r="C999" s="4" t="inlineStr">
        <is>
          <t>2612N</t>
        </is>
      </c>
      <c r="D999" s="4" t="inlineStr">
        <is>
          <t>202610120800</t>
        </is>
      </c>
      <c r="E999" s="4" t="inlineStr"/>
      <c r="F999" s="4" t="inlineStr">
        <is>
          <t>THBKK</t>
        </is>
      </c>
      <c r="G999" s="4" t="inlineStr">
        <is>
          <t>HKHKG</t>
        </is>
      </c>
      <c r="H999" s="4" t="inlineStr">
        <is>
          <t xml:space="preserve">20'x1 </t>
        </is>
      </c>
      <c r="I999" s="4" t="inlineStr">
        <is>
          <t>BKK25</t>
        </is>
      </c>
      <c r="J999" s="4" t="inlineStr">
        <is>
          <t xml:space="preserve">Smart Logistics Service (Thailand ) Co.,Ltd. </t>
        </is>
      </c>
      <c r="K999" s="4" t="inlineStr">
        <is>
          <t>20261007</t>
        </is>
      </c>
      <c r="L999" s="4" t="inlineStr">
        <is>
          <t>YUSEN LOGISTICS (THAILAND) CO., LTD.</t>
        </is>
      </c>
      <c r="M999" s="4" t="inlineStr">
        <is>
          <t>BEER THIP BREWERY (1991) CO., LTD</t>
        </is>
      </c>
      <c r="N999" s="4" t="inlineStr">
        <is>
          <t xml:space="preserve">CHANG SODA WATER </t>
        </is>
      </c>
      <c r="O999" s="4" t="inlineStr">
        <is>
          <t>RQST GOOD CLEAN AND DRY CONTAINER GRADE 'A'</t>
        </is>
      </c>
      <c r="P999" s="4" t="inlineStr">
        <is>
          <t xml:space="preserve">Pickup : 2026-10-07, Return : 2026-10-08  </t>
        </is>
      </c>
      <c r="Q999" s="4" t="n">
        <v>1</v>
      </c>
      <c r="R999" s="4" t="n">
        <v>0</v>
      </c>
      <c r="S999" s="4" t="n">
        <v>0</v>
      </c>
      <c r="T999" s="4" t="n">
        <v>0</v>
      </c>
      <c r="U999" s="4" t="n">
        <v>0</v>
      </c>
      <c r="V999" s="4" t="n">
        <v>0</v>
      </c>
      <c r="W999" s="4" t="n">
        <v>0</v>
      </c>
      <c r="X999" s="4" t="n">
        <v>0</v>
      </c>
      <c r="Y999" s="4" t="n">
        <v>0</v>
      </c>
      <c r="Z999" s="4" t="n">
        <v>0</v>
      </c>
      <c r="AA999" s="4" t="n">
        <v>0</v>
      </c>
      <c r="AB999" s="4">
        <f>SUM(Q999:Y999)-Z999</f>
        <v/>
      </c>
      <c r="AC999" s="4">
        <f>IF(I999="","",IF(OR(LEFT(I999,3)="BKK",I999="LCH55"),"BKK",IF(LEFT(I999,3)="LCH","LCH","OTHER")))</f>
        <v/>
      </c>
      <c r="AD999" s="4">
        <f>MAX(0,Q999-MAX(0,Z999))</f>
        <v/>
      </c>
      <c r="AE999" s="4">
        <f>MAX(0,R999-MAX(0,Z999-SUM(Q999:Q999)))</f>
        <v/>
      </c>
      <c r="AF999" s="4">
        <f>MAX(0,S999-MAX(0,Z999-SUM(Q999:R999)))</f>
        <v/>
      </c>
      <c r="AG999" s="4">
        <f>MAX(0,T999-MAX(0,Z999-SUM(Q999:S999)))</f>
        <v/>
      </c>
      <c r="AH999" s="4">
        <f>MAX(0,U999-MAX(0,Z999-SUM(Q999:T999)))</f>
        <v/>
      </c>
      <c r="AI999" s="4">
        <f>MAX(0,V999-MAX(0,Z999-SUM(Q999:U999)))</f>
        <v/>
      </c>
      <c r="AJ999" s="4">
        <f>MAX(0,W999-MAX(0,Z999-SUM(Q999:V999)))</f>
        <v/>
      </c>
      <c r="AK999" s="4">
        <f>MAX(0,X999-MAX(0,Z999-SUM(Q999:W999)))</f>
        <v/>
      </c>
      <c r="AL999" s="4">
        <f>MAX(0,Y999-MAX(0,Z999-SUM(Q999:X999)))</f>
        <v/>
      </c>
    </row>
    <row r="1000">
      <c r="A1000" s="4" t="inlineStr">
        <is>
          <t>HASLS22260901326</t>
        </is>
      </c>
      <c r="B1000" s="4" t="inlineStr">
        <is>
          <t>SKOR</t>
        </is>
      </c>
      <c r="C1000" s="4" t="inlineStr">
        <is>
          <t>2612N</t>
        </is>
      </c>
      <c r="D1000" s="4" t="inlineStr">
        <is>
          <t>202610181700</t>
        </is>
      </c>
      <c r="E1000" s="4" t="inlineStr"/>
      <c r="F1000" s="4" t="inlineStr">
        <is>
          <t>THBKK</t>
        </is>
      </c>
      <c r="G1000" s="4" t="inlineStr">
        <is>
          <t>HKHKG</t>
        </is>
      </c>
      <c r="H1000" s="4" t="inlineStr">
        <is>
          <t xml:space="preserve">20'x1 </t>
        </is>
      </c>
      <c r="I1000" s="4" t="inlineStr">
        <is>
          <t>BKK25</t>
        </is>
      </c>
      <c r="J1000" s="4" t="inlineStr">
        <is>
          <t xml:space="preserve">Smart Logistics Service (Thailand ) Co.,Ltd. </t>
        </is>
      </c>
      <c r="K1000" s="4" t="inlineStr">
        <is>
          <t>20261014</t>
        </is>
      </c>
      <c r="L1000" s="4" t="inlineStr">
        <is>
          <t>YUSEN LOGISTICS (THAILAND) CO., LTD.</t>
        </is>
      </c>
      <c r="M1000" s="4" t="inlineStr">
        <is>
          <t>BEER THIP BREWERY (1991) CO., LTD</t>
        </is>
      </c>
      <c r="N1000" s="4" t="inlineStr">
        <is>
          <t xml:space="preserve">CHANG SODA WATER </t>
        </is>
      </c>
      <c r="O1000" s="4" t="inlineStr">
        <is>
          <t>RQST GOOD CLEAN AND DRY CONTAINER GRADE 'A'</t>
        </is>
      </c>
      <c r="P1000" s="4" t="inlineStr">
        <is>
          <t>Pickup : 2026-10-14, Return : 2026-10-15 // EXTEND CLS TIME 15/10 @12.00 ONLY.</t>
        </is>
      </c>
      <c r="Q1000" s="4" t="n">
        <v>1</v>
      </c>
      <c r="R1000" s="4" t="n">
        <v>0</v>
      </c>
      <c r="S1000" s="4" t="n">
        <v>0</v>
      </c>
      <c r="T1000" s="4" t="n">
        <v>0</v>
      </c>
      <c r="U1000" s="4" t="n">
        <v>0</v>
      </c>
      <c r="V1000" s="4" t="n">
        <v>0</v>
      </c>
      <c r="W1000" s="4" t="n">
        <v>0</v>
      </c>
      <c r="X1000" s="4" t="n">
        <v>0</v>
      </c>
      <c r="Y1000" s="4" t="n">
        <v>0</v>
      </c>
      <c r="Z1000" s="4" t="n">
        <v>0</v>
      </c>
      <c r="AA1000" s="4" t="n">
        <v>0</v>
      </c>
      <c r="AB1000" s="4">
        <f>SUM(Q1000:Y1000)-Z1000</f>
        <v/>
      </c>
      <c r="AC1000" s="4">
        <f>IF(I1000="","",IF(OR(LEFT(I1000,3)="BKK",I1000="LCH55"),"BKK",IF(LEFT(I1000,3)="LCH","LCH","OTHER")))</f>
        <v/>
      </c>
      <c r="AD1000" s="4">
        <f>MAX(0,Q1000-MAX(0,Z1000))</f>
        <v/>
      </c>
      <c r="AE1000" s="4">
        <f>MAX(0,R1000-MAX(0,Z1000-SUM(Q1000:Q1000)))</f>
        <v/>
      </c>
      <c r="AF1000" s="4">
        <f>MAX(0,S1000-MAX(0,Z1000-SUM(Q1000:R1000)))</f>
        <v/>
      </c>
      <c r="AG1000" s="4">
        <f>MAX(0,T1000-MAX(0,Z1000-SUM(Q1000:S1000)))</f>
        <v/>
      </c>
      <c r="AH1000" s="4">
        <f>MAX(0,U1000-MAX(0,Z1000-SUM(Q1000:T1000)))</f>
        <v/>
      </c>
      <c r="AI1000" s="4">
        <f>MAX(0,V1000-MAX(0,Z1000-SUM(Q1000:U1000)))</f>
        <v/>
      </c>
      <c r="AJ1000" s="4">
        <f>MAX(0,W1000-MAX(0,Z1000-SUM(Q1000:V1000)))</f>
        <v/>
      </c>
      <c r="AK1000" s="4">
        <f>MAX(0,X1000-MAX(0,Z1000-SUM(Q1000:W1000)))</f>
        <v/>
      </c>
      <c r="AL1000" s="4">
        <f>MAX(0,Y1000-MAX(0,Z1000-SUM(Q1000:X1000)))</f>
        <v/>
      </c>
    </row>
    <row r="1001">
      <c r="A1001" s="4" t="inlineStr">
        <is>
          <t>HASLS22260901328</t>
        </is>
      </c>
      <c r="B1001" s="4" t="inlineStr">
        <is>
          <t>SWDN</t>
        </is>
      </c>
      <c r="C1001" s="4" t="inlineStr">
        <is>
          <t>2611N</t>
        </is>
      </c>
      <c r="D1001" s="4" t="inlineStr">
        <is>
          <t>202610270900</t>
        </is>
      </c>
      <c r="E1001" s="4" t="inlineStr"/>
      <c r="F1001" s="4" t="inlineStr">
        <is>
          <t>THBKK</t>
        </is>
      </c>
      <c r="G1001" s="4" t="inlineStr">
        <is>
          <t>HKHKG</t>
        </is>
      </c>
      <c r="H1001" s="4" t="inlineStr">
        <is>
          <t xml:space="preserve">20'x1 </t>
        </is>
      </c>
      <c r="I1001" s="4" t="inlineStr">
        <is>
          <t>BKK25</t>
        </is>
      </c>
      <c r="J1001" s="4" t="inlineStr">
        <is>
          <t xml:space="preserve">Smart Logistics Service (Thailand ) Co.,Ltd. </t>
        </is>
      </c>
      <c r="K1001" s="4" t="inlineStr">
        <is>
          <t>20261017</t>
        </is>
      </c>
      <c r="L1001" s="4" t="inlineStr">
        <is>
          <t>YUSEN LOGISTICS (THAILAND) CO., LTD.</t>
        </is>
      </c>
      <c r="M1001" s="4" t="inlineStr">
        <is>
          <t>BEER THIP BREWERY (1991) CO., LTD</t>
        </is>
      </c>
      <c r="N1001" s="4" t="inlineStr">
        <is>
          <t xml:space="preserve">CHANG SODA WATER </t>
        </is>
      </c>
      <c r="O1001" s="4" t="inlineStr">
        <is>
          <t>RQST GOOD CLEAN AND DRY CONTAINER GRADE 'A'</t>
        </is>
      </c>
      <c r="P1001" s="4" t="inlineStr">
        <is>
          <t>Pickup : 2026-10-17, Return : 2026-10-19 (CLOSING DATE DD.19/10/26 @12.00)</t>
        </is>
      </c>
      <c r="Q1001" s="4" t="n">
        <v>1</v>
      </c>
      <c r="R1001" s="4" t="n">
        <v>0</v>
      </c>
      <c r="S1001" s="4" t="n">
        <v>0</v>
      </c>
      <c r="T1001" s="4" t="n">
        <v>0</v>
      </c>
      <c r="U1001" s="4" t="n">
        <v>0</v>
      </c>
      <c r="V1001" s="4" t="n">
        <v>0</v>
      </c>
      <c r="W1001" s="4" t="n">
        <v>0</v>
      </c>
      <c r="X1001" s="4" t="n">
        <v>0</v>
      </c>
      <c r="Y1001" s="4" t="n">
        <v>0</v>
      </c>
      <c r="Z1001" s="4" t="n">
        <v>0</v>
      </c>
      <c r="AA1001" s="4" t="n">
        <v>0</v>
      </c>
      <c r="AB1001" s="4">
        <f>SUM(Q1001:Y1001)-Z1001</f>
        <v/>
      </c>
      <c r="AC1001" s="4">
        <f>IF(I1001="","",IF(OR(LEFT(I1001,3)="BKK",I1001="LCH55"),"BKK",IF(LEFT(I1001,3)="LCH","LCH","OTHER")))</f>
        <v/>
      </c>
      <c r="AD1001" s="4">
        <f>MAX(0,Q1001-MAX(0,Z1001))</f>
        <v/>
      </c>
      <c r="AE1001" s="4">
        <f>MAX(0,R1001-MAX(0,Z1001-SUM(Q1001:Q1001)))</f>
        <v/>
      </c>
      <c r="AF1001" s="4">
        <f>MAX(0,S1001-MAX(0,Z1001-SUM(Q1001:R1001)))</f>
        <v/>
      </c>
      <c r="AG1001" s="4">
        <f>MAX(0,T1001-MAX(0,Z1001-SUM(Q1001:S1001)))</f>
        <v/>
      </c>
      <c r="AH1001" s="4">
        <f>MAX(0,U1001-MAX(0,Z1001-SUM(Q1001:T1001)))</f>
        <v/>
      </c>
      <c r="AI1001" s="4">
        <f>MAX(0,V1001-MAX(0,Z1001-SUM(Q1001:U1001)))</f>
        <v/>
      </c>
      <c r="AJ1001" s="4">
        <f>MAX(0,W1001-MAX(0,Z1001-SUM(Q1001:V1001)))</f>
        <v/>
      </c>
      <c r="AK1001" s="4">
        <f>MAX(0,X1001-MAX(0,Z1001-SUM(Q1001:W1001)))</f>
        <v/>
      </c>
      <c r="AL1001" s="4">
        <f>MAX(0,Y1001-MAX(0,Z1001-SUM(Q1001:X1001)))</f>
        <v/>
      </c>
    </row>
    <row r="1002">
      <c r="A1002" s="4" t="inlineStr">
        <is>
          <t>HASLS22260901332</t>
        </is>
      </c>
      <c r="B1002" s="4" t="inlineStr">
        <is>
          <t>SWDN</t>
        </is>
      </c>
      <c r="C1002" s="4" t="inlineStr">
        <is>
          <t>2610N</t>
        </is>
      </c>
      <c r="D1002" s="4" t="inlineStr">
        <is>
          <t>202610060900</t>
        </is>
      </c>
      <c r="E1002" s="4" t="inlineStr"/>
      <c r="F1002" s="4" t="inlineStr">
        <is>
          <t>THBKK</t>
        </is>
      </c>
      <c r="G1002" s="4" t="inlineStr">
        <is>
          <t>KRINC</t>
        </is>
      </c>
      <c r="H1002" s="4" t="inlineStr">
        <is>
          <t xml:space="preserve">40Hx1 </t>
        </is>
      </c>
      <c r="I1002" s="4" t="inlineStr">
        <is>
          <t>BKK25</t>
        </is>
      </c>
      <c r="J1002" s="4" t="inlineStr">
        <is>
          <t xml:space="preserve">Smart Logistics Service (Thailand ) Co.,Ltd. </t>
        </is>
      </c>
      <c r="K1002" s="4" t="inlineStr">
        <is>
          <t>20261001</t>
        </is>
      </c>
      <c r="L1002" s="4" t="inlineStr">
        <is>
          <t>H &amp; FRIENDS GTL (THAILAND) CO., LTD.</t>
        </is>
      </c>
      <c r="M1002" s="4" t="inlineStr">
        <is>
          <t>AUTOLIV (THAILAND) LIMITED</t>
        </is>
      </c>
      <c r="N1002" s="4" t="inlineStr">
        <is>
          <t>SEAT BELT</t>
        </is>
      </c>
      <c r="O1002" s="4" t="inlineStr">
        <is>
          <t>** APPROVAL IN SYSTEM DD.25/09/2026 ** DG45GPx1 (CLS 9 / UN 3268)</t>
        </is>
      </c>
      <c r="P1002" s="4" t="inlineStr">
        <is>
          <t xml:space="preserve">** APPROVAL IN SYSTEM DD.25/09/2026 ** DG45GPx1 (CLS 9 / UN 3268) 
Pickup : 2026-10-01, Return : 2026-10-01 </t>
        </is>
      </c>
      <c r="Q1002" s="4" t="n">
        <v>0</v>
      </c>
      <c r="R1002" s="4" t="n">
        <v>0</v>
      </c>
      <c r="S1002" s="4" t="n">
        <v>1</v>
      </c>
      <c r="T1002" s="4" t="n">
        <v>0</v>
      </c>
      <c r="U1002" s="4" t="n">
        <v>0</v>
      </c>
      <c r="V1002" s="4" t="n">
        <v>0</v>
      </c>
      <c r="W1002" s="4" t="n">
        <v>0</v>
      </c>
      <c r="X1002" s="4" t="n">
        <v>0</v>
      </c>
      <c r="Y1002" s="4" t="n">
        <v>0</v>
      </c>
      <c r="Z1002" s="4" t="n">
        <v>0</v>
      </c>
      <c r="AA1002" s="4" t="n">
        <v>0</v>
      </c>
      <c r="AB1002" s="4">
        <f>SUM(Q1002:Y1002)-Z1002</f>
        <v/>
      </c>
      <c r="AC1002" s="4">
        <f>IF(I1002="","",IF(OR(LEFT(I1002,3)="BKK",I1002="LCH55"),"BKK",IF(LEFT(I1002,3)="LCH","LCH","OTHER")))</f>
        <v/>
      </c>
      <c r="AD1002" s="4">
        <f>MAX(0,Q1002-MAX(0,Z1002))</f>
        <v/>
      </c>
      <c r="AE1002" s="4">
        <f>MAX(0,R1002-MAX(0,Z1002-SUM(Q1002:Q1002)))</f>
        <v/>
      </c>
      <c r="AF1002" s="4">
        <f>MAX(0,S1002-MAX(0,Z1002-SUM(Q1002:R1002)))</f>
        <v/>
      </c>
      <c r="AG1002" s="4">
        <f>MAX(0,T1002-MAX(0,Z1002-SUM(Q1002:S1002)))</f>
        <v/>
      </c>
      <c r="AH1002" s="4">
        <f>MAX(0,U1002-MAX(0,Z1002-SUM(Q1002:T1002)))</f>
        <v/>
      </c>
      <c r="AI1002" s="4">
        <f>MAX(0,V1002-MAX(0,Z1002-SUM(Q1002:U1002)))</f>
        <v/>
      </c>
      <c r="AJ1002" s="4">
        <f>MAX(0,W1002-MAX(0,Z1002-SUM(Q1002:V1002)))</f>
        <v/>
      </c>
      <c r="AK1002" s="4">
        <f>MAX(0,X1002-MAX(0,Z1002-SUM(Q1002:W1002)))</f>
        <v/>
      </c>
      <c r="AL1002" s="4">
        <f>MAX(0,Y1002-MAX(0,Z1002-SUM(Q1002:X1002)))</f>
        <v/>
      </c>
    </row>
    <row r="1003">
      <c r="A1003" s="4" t="inlineStr">
        <is>
          <t>HASLS22260901350</t>
        </is>
      </c>
      <c r="B1003" s="4" t="inlineStr">
        <is>
          <t>SWSR</t>
        </is>
      </c>
      <c r="C1003" s="4" t="inlineStr">
        <is>
          <t>2611N</t>
        </is>
      </c>
      <c r="D1003" s="4" t="inlineStr">
        <is>
          <t>202610110900</t>
        </is>
      </c>
      <c r="E1003" s="4" t="inlineStr"/>
      <c r="F1003" s="4" t="inlineStr">
        <is>
          <t>THBKK</t>
        </is>
      </c>
      <c r="G1003" s="4" t="inlineStr">
        <is>
          <t>CNXMN</t>
        </is>
      </c>
      <c r="H1003" s="4" t="inlineStr">
        <is>
          <t xml:space="preserve">20'x5 </t>
        </is>
      </c>
      <c r="I1003" s="4" t="inlineStr">
        <is>
          <t>BKK25</t>
        </is>
      </c>
      <c r="J1003" s="4" t="inlineStr">
        <is>
          <t xml:space="preserve">Smart Logistics Service (Thailand ) Co.,Ltd. </t>
        </is>
      </c>
      <c r="K1003" s="4" t="inlineStr">
        <is>
          <t>20261005</t>
        </is>
      </c>
      <c r="L1003" s="4" t="inlineStr">
        <is>
          <t>MARCH LOGISTICS CO., LTD.</t>
        </is>
      </c>
      <c r="M1003" s="4" t="inlineStr">
        <is>
          <t>STARPRO STARCH (THAILAND) CO., LTD.</t>
        </is>
      </c>
      <c r="N1003" s="4" t="inlineStr">
        <is>
          <t>STARCH</t>
        </is>
      </c>
      <c r="O1003" s="4" t="inlineStr">
        <is>
          <t>GOOD AND CLEAN CONTAINER</t>
        </is>
      </c>
      <c r="P1003" s="4" t="inlineStr">
        <is>
          <t>Pickup : 2026-10-05, Return : 2026-10-07</t>
        </is>
      </c>
      <c r="Q1003" s="4" t="n">
        <v>5</v>
      </c>
      <c r="R1003" s="4" t="n">
        <v>0</v>
      </c>
      <c r="S1003" s="4" t="n">
        <v>0</v>
      </c>
      <c r="T1003" s="4" t="n">
        <v>0</v>
      </c>
      <c r="U1003" s="4" t="n">
        <v>0</v>
      </c>
      <c r="V1003" s="4" t="n">
        <v>0</v>
      </c>
      <c r="W1003" s="4" t="n">
        <v>0</v>
      </c>
      <c r="X1003" s="4" t="n">
        <v>0</v>
      </c>
      <c r="Y1003" s="4" t="n">
        <v>0</v>
      </c>
      <c r="Z1003" s="4" t="n">
        <v>0</v>
      </c>
      <c r="AA1003" s="4" t="n">
        <v>0</v>
      </c>
      <c r="AB1003" s="4">
        <f>SUM(Q1003:Y1003)-Z1003</f>
        <v/>
      </c>
      <c r="AC1003" s="4">
        <f>IF(I1003="","",IF(OR(LEFT(I1003,3)="BKK",I1003="LCH55"),"BKK",IF(LEFT(I1003,3)="LCH","LCH","OTHER")))</f>
        <v/>
      </c>
      <c r="AD1003" s="4">
        <f>MAX(0,Q1003-MAX(0,Z1003))</f>
        <v/>
      </c>
      <c r="AE1003" s="4">
        <f>MAX(0,R1003-MAX(0,Z1003-SUM(Q1003:Q1003)))</f>
        <v/>
      </c>
      <c r="AF1003" s="4">
        <f>MAX(0,S1003-MAX(0,Z1003-SUM(Q1003:R1003)))</f>
        <v/>
      </c>
      <c r="AG1003" s="4">
        <f>MAX(0,T1003-MAX(0,Z1003-SUM(Q1003:S1003)))</f>
        <v/>
      </c>
      <c r="AH1003" s="4">
        <f>MAX(0,U1003-MAX(0,Z1003-SUM(Q1003:T1003)))</f>
        <v/>
      </c>
      <c r="AI1003" s="4">
        <f>MAX(0,V1003-MAX(0,Z1003-SUM(Q1003:U1003)))</f>
        <v/>
      </c>
      <c r="AJ1003" s="4">
        <f>MAX(0,W1003-MAX(0,Z1003-SUM(Q1003:V1003)))</f>
        <v/>
      </c>
      <c r="AK1003" s="4">
        <f>MAX(0,X1003-MAX(0,Z1003-SUM(Q1003:W1003)))</f>
        <v/>
      </c>
      <c r="AL1003" s="4">
        <f>MAX(0,Y1003-MAX(0,Z1003-SUM(Q1003:X1003)))</f>
        <v/>
      </c>
    </row>
    <row r="1004">
      <c r="A1004" s="4" t="inlineStr">
        <is>
          <t>HASLS22260901351</t>
        </is>
      </c>
      <c r="B1004" s="4" t="inlineStr">
        <is>
          <t>TSXM</t>
        </is>
      </c>
      <c r="C1004" s="4" t="inlineStr">
        <is>
          <t>2618N</t>
        </is>
      </c>
      <c r="D1004" s="4" t="inlineStr">
        <is>
          <t>202610192100</t>
        </is>
      </c>
      <c r="E1004" s="4" t="inlineStr"/>
      <c r="F1004" s="4" t="inlineStr">
        <is>
          <t>THBKK</t>
        </is>
      </c>
      <c r="G1004" s="4" t="inlineStr">
        <is>
          <t>CNXMN</t>
        </is>
      </c>
      <c r="H1004" s="4" t="inlineStr">
        <is>
          <t xml:space="preserve">20'x6 </t>
        </is>
      </c>
      <c r="I1004" s="4" t="inlineStr">
        <is>
          <t>BKK25</t>
        </is>
      </c>
      <c r="J1004" s="4" t="inlineStr">
        <is>
          <t xml:space="preserve">Smart Logistics Service (Thailand ) Co.,Ltd. </t>
        </is>
      </c>
      <c r="K1004" s="4" t="inlineStr">
        <is>
          <t>20261015</t>
        </is>
      </c>
      <c r="L1004" s="4" t="inlineStr">
        <is>
          <t>MARCH LOGISTICS CO., LTD.</t>
        </is>
      </c>
      <c r="M1004" s="4" t="inlineStr">
        <is>
          <t>STARPRO STARCH (THAILAND) CO., LTD.</t>
        </is>
      </c>
      <c r="N1004" s="4" t="inlineStr">
        <is>
          <t>STARCH</t>
        </is>
      </c>
      <c r="O1004" s="4" t="inlineStr">
        <is>
          <t>GOOD AND CLEAN CONTAINER</t>
        </is>
      </c>
      <c r="P1004" s="4" t="inlineStr">
        <is>
          <t>Pickup : 2026-10-15, Return : 2026-10-17</t>
        </is>
      </c>
      <c r="Q1004" s="4" t="n">
        <v>6</v>
      </c>
      <c r="R1004" s="4" t="n">
        <v>0</v>
      </c>
      <c r="S1004" s="4" t="n">
        <v>0</v>
      </c>
      <c r="T1004" s="4" t="n">
        <v>0</v>
      </c>
      <c r="U1004" s="4" t="n">
        <v>0</v>
      </c>
      <c r="V1004" s="4" t="n">
        <v>0</v>
      </c>
      <c r="W1004" s="4" t="n">
        <v>0</v>
      </c>
      <c r="X1004" s="4" t="n">
        <v>0</v>
      </c>
      <c r="Y1004" s="4" t="n">
        <v>0</v>
      </c>
      <c r="Z1004" s="4" t="n">
        <v>0</v>
      </c>
      <c r="AA1004" s="4" t="n">
        <v>0</v>
      </c>
      <c r="AB1004" s="4">
        <f>SUM(Q1004:Y1004)-Z1004</f>
        <v/>
      </c>
      <c r="AC1004" s="4">
        <f>IF(I1004="","",IF(OR(LEFT(I1004,3)="BKK",I1004="LCH55"),"BKK",IF(LEFT(I1004,3)="LCH","LCH","OTHER")))</f>
        <v/>
      </c>
      <c r="AD1004" s="4">
        <f>MAX(0,Q1004-MAX(0,Z1004))</f>
        <v/>
      </c>
      <c r="AE1004" s="4">
        <f>MAX(0,R1004-MAX(0,Z1004-SUM(Q1004:Q1004)))</f>
        <v/>
      </c>
      <c r="AF1004" s="4">
        <f>MAX(0,S1004-MAX(0,Z1004-SUM(Q1004:R1004)))</f>
        <v/>
      </c>
      <c r="AG1004" s="4">
        <f>MAX(0,T1004-MAX(0,Z1004-SUM(Q1004:S1004)))</f>
        <v/>
      </c>
      <c r="AH1004" s="4">
        <f>MAX(0,U1004-MAX(0,Z1004-SUM(Q1004:T1004)))</f>
        <v/>
      </c>
      <c r="AI1004" s="4">
        <f>MAX(0,V1004-MAX(0,Z1004-SUM(Q1004:U1004)))</f>
        <v/>
      </c>
      <c r="AJ1004" s="4">
        <f>MAX(0,W1004-MAX(0,Z1004-SUM(Q1004:V1004)))</f>
        <v/>
      </c>
      <c r="AK1004" s="4">
        <f>MAX(0,X1004-MAX(0,Z1004-SUM(Q1004:W1004)))</f>
        <v/>
      </c>
      <c r="AL1004" s="4">
        <f>MAX(0,Y1004-MAX(0,Z1004-SUM(Q1004:X1004)))</f>
        <v/>
      </c>
    </row>
    <row r="1005">
      <c r="A1005" s="4" t="inlineStr">
        <is>
          <t>HASLS22260901354</t>
        </is>
      </c>
      <c r="B1005" s="4" t="inlineStr">
        <is>
          <t>DJCF</t>
        </is>
      </c>
      <c r="C1005" s="4" t="inlineStr">
        <is>
          <t>0152N</t>
        </is>
      </c>
      <c r="D1005" s="4" t="inlineStr">
        <is>
          <t>202610111000</t>
        </is>
      </c>
      <c r="E1005" s="4" t="inlineStr"/>
      <c r="F1005" s="4" t="inlineStr">
        <is>
          <t>THBKK</t>
        </is>
      </c>
      <c r="G1005" s="4" t="inlineStr">
        <is>
          <t>KRINC</t>
        </is>
      </c>
      <c r="H1005" s="4" t="inlineStr">
        <is>
          <t xml:space="preserve">20'x1 </t>
        </is>
      </c>
      <c r="I1005" s="4" t="inlineStr">
        <is>
          <t>BKK25</t>
        </is>
      </c>
      <c r="J1005" s="4" t="inlineStr">
        <is>
          <t xml:space="preserve">Smart Logistics Service (Thailand ) Co.,Ltd. </t>
        </is>
      </c>
      <c r="K1005" s="4" t="inlineStr">
        <is>
          <t>20261006</t>
        </is>
      </c>
      <c r="L1005" s="4" t="inlineStr">
        <is>
          <t>KORCHINA FREIGHT (THAILAND) CO., LTD.</t>
        </is>
      </c>
      <c r="M1005" s="4" t="inlineStr">
        <is>
          <t>ORIENTAL FOODS LIMITED PARTNERSHIP</t>
        </is>
      </c>
      <c r="N1005" s="4" t="inlineStr">
        <is>
          <t>RICE STICK</t>
        </is>
      </c>
      <c r="O1005" s="4" t="inlineStr">
        <is>
          <t>GOOD AND CLEAN CONTAINER</t>
        </is>
      </c>
      <c r="P1005" s="4" t="inlineStr">
        <is>
          <t>Pickup : 2026-10-06, Return : 2026-10-07</t>
        </is>
      </c>
      <c r="Q1005" s="4" t="n">
        <v>1</v>
      </c>
      <c r="R1005" s="4" t="n">
        <v>0</v>
      </c>
      <c r="S1005" s="4" t="n">
        <v>0</v>
      </c>
      <c r="T1005" s="4" t="n">
        <v>0</v>
      </c>
      <c r="U1005" s="4" t="n">
        <v>0</v>
      </c>
      <c r="V1005" s="4" t="n">
        <v>0</v>
      </c>
      <c r="W1005" s="4" t="n">
        <v>0</v>
      </c>
      <c r="X1005" s="4" t="n">
        <v>0</v>
      </c>
      <c r="Y1005" s="4" t="n">
        <v>0</v>
      </c>
      <c r="Z1005" s="4" t="n">
        <v>0</v>
      </c>
      <c r="AA1005" s="4" t="n">
        <v>0</v>
      </c>
      <c r="AB1005" s="4">
        <f>SUM(Q1005:Y1005)-Z1005</f>
        <v/>
      </c>
      <c r="AC1005" s="4">
        <f>IF(I1005="","",IF(OR(LEFT(I1005,3)="BKK",I1005="LCH55"),"BKK",IF(LEFT(I1005,3)="LCH","LCH","OTHER")))</f>
        <v/>
      </c>
      <c r="AD1005" s="4">
        <f>MAX(0,Q1005-MAX(0,Z1005))</f>
        <v/>
      </c>
      <c r="AE1005" s="4">
        <f>MAX(0,R1005-MAX(0,Z1005-SUM(Q1005:Q1005)))</f>
        <v/>
      </c>
      <c r="AF1005" s="4">
        <f>MAX(0,S1005-MAX(0,Z1005-SUM(Q1005:R1005)))</f>
        <v/>
      </c>
      <c r="AG1005" s="4">
        <f>MAX(0,T1005-MAX(0,Z1005-SUM(Q1005:S1005)))</f>
        <v/>
      </c>
      <c r="AH1005" s="4">
        <f>MAX(0,U1005-MAX(0,Z1005-SUM(Q1005:T1005)))</f>
        <v/>
      </c>
      <c r="AI1005" s="4">
        <f>MAX(0,V1005-MAX(0,Z1005-SUM(Q1005:U1005)))</f>
        <v/>
      </c>
      <c r="AJ1005" s="4">
        <f>MAX(0,W1005-MAX(0,Z1005-SUM(Q1005:V1005)))</f>
        <v/>
      </c>
      <c r="AK1005" s="4">
        <f>MAX(0,X1005-MAX(0,Z1005-SUM(Q1005:W1005)))</f>
        <v/>
      </c>
      <c r="AL1005" s="4">
        <f>MAX(0,Y1005-MAX(0,Z1005-SUM(Q1005:X1005)))</f>
        <v/>
      </c>
    </row>
    <row r="1006">
      <c r="A1006" s="4" t="inlineStr">
        <is>
          <t>HASLS22260901357</t>
        </is>
      </c>
      <c r="B1006" s="4" t="inlineStr">
        <is>
          <t>SWIC</t>
        </is>
      </c>
      <c r="C1006" s="4" t="inlineStr">
        <is>
          <t>2611N</t>
        </is>
      </c>
      <c r="D1006" s="4" t="inlineStr">
        <is>
          <t>202610130700</t>
        </is>
      </c>
      <c r="E1006" s="4" t="inlineStr"/>
      <c r="F1006" s="4" t="inlineStr">
        <is>
          <t>THBKK</t>
        </is>
      </c>
      <c r="G1006" s="4" t="inlineStr">
        <is>
          <t>VNSGN</t>
        </is>
      </c>
      <c r="H1006" s="4" t="inlineStr">
        <is>
          <t xml:space="preserve">40Hx1 </t>
        </is>
      </c>
      <c r="I1006" s="4" t="inlineStr">
        <is>
          <t>BKK25</t>
        </is>
      </c>
      <c r="J1006" s="4" t="inlineStr">
        <is>
          <t xml:space="preserve">Smart Logistics Service (Thailand ) Co.,Ltd. </t>
        </is>
      </c>
      <c r="K1006" s="4" t="inlineStr">
        <is>
          <t>20261009</t>
        </is>
      </c>
      <c r="L1006" s="4" t="inlineStr">
        <is>
          <t>LEO GLOBAL LOGISTICS PUBLIC COMPANY LIMITED</t>
        </is>
      </c>
      <c r="M1006" s="4" t="inlineStr">
        <is>
          <t>KORN THAI CO., LTD.</t>
        </is>
      </c>
      <c r="N1006" s="4" t="inlineStr">
        <is>
          <t>NON- DAIRY CREAMER</t>
        </is>
      </c>
      <c r="O1006" s="4" t="inlineStr">
        <is>
          <t>Good, Dry, Clean, No smell, No rust, No dust,
No bugs/ants, No cracked and good container for
contain food stuff</t>
        </is>
      </c>
      <c r="P1006" s="4" t="inlineStr">
        <is>
          <t>Pickup : 2026-10-09, Return : 2026-10-10</t>
        </is>
      </c>
      <c r="Q1006" s="4" t="n">
        <v>0</v>
      </c>
      <c r="R1006" s="4" t="n">
        <v>0</v>
      </c>
      <c r="S1006" s="4" t="n">
        <v>1</v>
      </c>
      <c r="T1006" s="4" t="n">
        <v>0</v>
      </c>
      <c r="U1006" s="4" t="n">
        <v>0</v>
      </c>
      <c r="V1006" s="4" t="n">
        <v>0</v>
      </c>
      <c r="W1006" s="4" t="n">
        <v>0</v>
      </c>
      <c r="X1006" s="4" t="n">
        <v>0</v>
      </c>
      <c r="Y1006" s="4" t="n">
        <v>0</v>
      </c>
      <c r="Z1006" s="4" t="n">
        <v>0</v>
      </c>
      <c r="AA1006" s="4" t="n">
        <v>0</v>
      </c>
      <c r="AB1006" s="4">
        <f>SUM(Q1006:Y1006)-Z1006</f>
        <v/>
      </c>
      <c r="AC1006" s="4">
        <f>IF(I1006="","",IF(OR(LEFT(I1006,3)="BKK",I1006="LCH55"),"BKK",IF(LEFT(I1006,3)="LCH","LCH","OTHER")))</f>
        <v/>
      </c>
      <c r="AD1006" s="4">
        <f>MAX(0,Q1006-MAX(0,Z1006))</f>
        <v/>
      </c>
      <c r="AE1006" s="4">
        <f>MAX(0,R1006-MAX(0,Z1006-SUM(Q1006:Q1006)))</f>
        <v/>
      </c>
      <c r="AF1006" s="4">
        <f>MAX(0,S1006-MAX(0,Z1006-SUM(Q1006:R1006)))</f>
        <v/>
      </c>
      <c r="AG1006" s="4">
        <f>MAX(0,T1006-MAX(0,Z1006-SUM(Q1006:S1006)))</f>
        <v/>
      </c>
      <c r="AH1006" s="4">
        <f>MAX(0,U1006-MAX(0,Z1006-SUM(Q1006:T1006)))</f>
        <v/>
      </c>
      <c r="AI1006" s="4">
        <f>MAX(0,V1006-MAX(0,Z1006-SUM(Q1006:U1006)))</f>
        <v/>
      </c>
      <c r="AJ1006" s="4">
        <f>MAX(0,W1006-MAX(0,Z1006-SUM(Q1006:V1006)))</f>
        <v/>
      </c>
      <c r="AK1006" s="4">
        <f>MAX(0,X1006-MAX(0,Z1006-SUM(Q1006:W1006)))</f>
        <v/>
      </c>
      <c r="AL1006" s="4">
        <f>MAX(0,Y1006-MAX(0,Z1006-SUM(Q1006:X1006)))</f>
        <v/>
      </c>
    </row>
    <row r="1007">
      <c r="A1007" s="4" t="inlineStr">
        <is>
          <t>HASLS22260901358</t>
        </is>
      </c>
      <c r="B1007" s="4" t="inlineStr">
        <is>
          <t>SWSR</t>
        </is>
      </c>
      <c r="C1007" s="4" t="inlineStr">
        <is>
          <t>2611N</t>
        </is>
      </c>
      <c r="D1007" s="4" t="inlineStr">
        <is>
          <t>202610110900</t>
        </is>
      </c>
      <c r="E1007" s="4" t="inlineStr"/>
      <c r="F1007" s="4" t="inlineStr">
        <is>
          <t>THBKK</t>
        </is>
      </c>
      <c r="G1007" s="4" t="inlineStr">
        <is>
          <t>HKHKG</t>
        </is>
      </c>
      <c r="H1007" s="4" t="inlineStr">
        <is>
          <t xml:space="preserve">20'x1 </t>
        </is>
      </c>
      <c r="I1007" s="4" t="inlineStr">
        <is>
          <t>BKK25</t>
        </is>
      </c>
      <c r="J1007" s="4" t="inlineStr">
        <is>
          <t xml:space="preserve">Smart Logistics Service (Thailand ) Co.,Ltd. </t>
        </is>
      </c>
      <c r="K1007" s="4" t="inlineStr">
        <is>
          <t>20261005</t>
        </is>
      </c>
      <c r="L1007" s="4" t="inlineStr">
        <is>
          <t>DYNAMIC INTERTRANSPORT CO., LTD.</t>
        </is>
      </c>
      <c r="M1007" s="4" t="inlineStr">
        <is>
          <t>FRUIT ORGANIC CO., LTD.</t>
        </is>
      </c>
      <c r="N1007" s="4" t="inlineStr">
        <is>
          <t>SNACK</t>
        </is>
      </c>
      <c r="O1007" s="4" t="inlineStr">
        <is>
          <t>CLEAN AND GRADE A CTNR</t>
        </is>
      </c>
      <c r="P1007" s="4" t="inlineStr">
        <is>
          <t xml:space="preserve">Pickup : 2026-10-05, Return : 2026-10-06 </t>
        </is>
      </c>
      <c r="Q1007" s="4" t="n">
        <v>1</v>
      </c>
      <c r="R1007" s="4" t="n">
        <v>0</v>
      </c>
      <c r="S1007" s="4" t="n">
        <v>0</v>
      </c>
      <c r="T1007" s="4" t="n">
        <v>0</v>
      </c>
      <c r="U1007" s="4" t="n">
        <v>0</v>
      </c>
      <c r="V1007" s="4" t="n">
        <v>0</v>
      </c>
      <c r="W1007" s="4" t="n">
        <v>0</v>
      </c>
      <c r="X1007" s="4" t="n">
        <v>0</v>
      </c>
      <c r="Y1007" s="4" t="n">
        <v>0</v>
      </c>
      <c r="Z1007" s="4" t="n">
        <v>0</v>
      </c>
      <c r="AA1007" s="4" t="n">
        <v>0</v>
      </c>
      <c r="AB1007" s="4">
        <f>SUM(Q1007:Y1007)-Z1007</f>
        <v/>
      </c>
      <c r="AC1007" s="4">
        <f>IF(I1007="","",IF(OR(LEFT(I1007,3)="BKK",I1007="LCH55"),"BKK",IF(LEFT(I1007,3)="LCH","LCH","OTHER")))</f>
        <v/>
      </c>
      <c r="AD1007" s="4">
        <f>MAX(0,Q1007-MAX(0,Z1007))</f>
        <v/>
      </c>
      <c r="AE1007" s="4">
        <f>MAX(0,R1007-MAX(0,Z1007-SUM(Q1007:Q1007)))</f>
        <v/>
      </c>
      <c r="AF1007" s="4">
        <f>MAX(0,S1007-MAX(0,Z1007-SUM(Q1007:R1007)))</f>
        <v/>
      </c>
      <c r="AG1007" s="4">
        <f>MAX(0,T1007-MAX(0,Z1007-SUM(Q1007:S1007)))</f>
        <v/>
      </c>
      <c r="AH1007" s="4">
        <f>MAX(0,U1007-MAX(0,Z1007-SUM(Q1007:T1007)))</f>
        <v/>
      </c>
      <c r="AI1007" s="4">
        <f>MAX(0,V1007-MAX(0,Z1007-SUM(Q1007:U1007)))</f>
        <v/>
      </c>
      <c r="AJ1007" s="4">
        <f>MAX(0,W1007-MAX(0,Z1007-SUM(Q1007:V1007)))</f>
        <v/>
      </c>
      <c r="AK1007" s="4">
        <f>MAX(0,X1007-MAX(0,Z1007-SUM(Q1007:W1007)))</f>
        <v/>
      </c>
      <c r="AL1007" s="4">
        <f>MAX(0,Y1007-MAX(0,Z1007-SUM(Q1007:X1007)))</f>
        <v/>
      </c>
    </row>
    <row r="1008">
      <c r="A1008" s="4" t="inlineStr">
        <is>
          <t>HASLS22260901365</t>
        </is>
      </c>
      <c r="B1008" s="4" t="inlineStr">
        <is>
          <t>SWIC</t>
        </is>
      </c>
      <c r="C1008" s="4" t="inlineStr">
        <is>
          <t>2611N</t>
        </is>
      </c>
      <c r="D1008" s="4" t="inlineStr">
        <is>
          <t>202610130700</t>
        </is>
      </c>
      <c r="E1008" s="4" t="inlineStr"/>
      <c r="F1008" s="4" t="inlineStr">
        <is>
          <t>THBKK</t>
        </is>
      </c>
      <c r="G1008" s="4" t="inlineStr">
        <is>
          <t>VNSGN</t>
        </is>
      </c>
      <c r="H1008" s="4" t="inlineStr">
        <is>
          <t xml:space="preserve">40Hx6 </t>
        </is>
      </c>
      <c r="I1008" s="4" t="inlineStr">
        <is>
          <t>BKK25</t>
        </is>
      </c>
      <c r="J1008" s="4" t="inlineStr">
        <is>
          <t xml:space="preserve">Smart Logistics Service (Thailand ) Co.,Ltd. </t>
        </is>
      </c>
      <c r="K1008" s="4" t="inlineStr">
        <is>
          <t>20261007</t>
        </is>
      </c>
      <c r="L1008" s="4" t="inlineStr">
        <is>
          <t>LOTUS FREIGHT AND SERVICES CORP.,LTD.</t>
        </is>
      </c>
      <c r="M1008" s="4" t="inlineStr">
        <is>
          <t>EXCEL ENTECH CO.,LTD.</t>
        </is>
      </c>
      <c r="N1008" s="4" t="inlineStr">
        <is>
          <t>PARTS OF MACHINERY</t>
        </is>
      </c>
      <c r="O1008" s="4" t="inlineStr">
        <is>
          <t>GOOD AND CLEAN CONTAINER</t>
        </is>
      </c>
      <c r="P1008" s="4" t="inlineStr">
        <is>
          <t xml:space="preserve">Pickup : 2026-10-07, Return : 2026-10-10 </t>
        </is>
      </c>
      <c r="Q1008" s="4" t="n">
        <v>0</v>
      </c>
      <c r="R1008" s="4" t="n">
        <v>0</v>
      </c>
      <c r="S1008" s="4" t="n">
        <v>6</v>
      </c>
      <c r="T1008" s="4" t="n">
        <v>0</v>
      </c>
      <c r="U1008" s="4" t="n">
        <v>0</v>
      </c>
      <c r="V1008" s="4" t="n">
        <v>0</v>
      </c>
      <c r="W1008" s="4" t="n">
        <v>0</v>
      </c>
      <c r="X1008" s="4" t="n">
        <v>0</v>
      </c>
      <c r="Y1008" s="4" t="n">
        <v>0</v>
      </c>
      <c r="Z1008" s="4" t="n">
        <v>0</v>
      </c>
      <c r="AA1008" s="4" t="n">
        <v>0</v>
      </c>
      <c r="AB1008" s="4">
        <f>SUM(Q1008:Y1008)-Z1008</f>
        <v/>
      </c>
      <c r="AC1008" s="4">
        <f>IF(I1008="","",IF(OR(LEFT(I1008,3)="BKK",I1008="LCH55"),"BKK",IF(LEFT(I1008,3)="LCH","LCH","OTHER")))</f>
        <v/>
      </c>
      <c r="AD1008" s="4">
        <f>MAX(0,Q1008-MAX(0,Z1008))</f>
        <v/>
      </c>
      <c r="AE1008" s="4">
        <f>MAX(0,R1008-MAX(0,Z1008-SUM(Q1008:Q1008)))</f>
        <v/>
      </c>
      <c r="AF1008" s="4">
        <f>MAX(0,S1008-MAX(0,Z1008-SUM(Q1008:R1008)))</f>
        <v/>
      </c>
      <c r="AG1008" s="4">
        <f>MAX(0,T1008-MAX(0,Z1008-SUM(Q1008:S1008)))</f>
        <v/>
      </c>
      <c r="AH1008" s="4">
        <f>MAX(0,U1008-MAX(0,Z1008-SUM(Q1008:T1008)))</f>
        <v/>
      </c>
      <c r="AI1008" s="4">
        <f>MAX(0,V1008-MAX(0,Z1008-SUM(Q1008:U1008)))</f>
        <v/>
      </c>
      <c r="AJ1008" s="4">
        <f>MAX(0,W1008-MAX(0,Z1008-SUM(Q1008:V1008)))</f>
        <v/>
      </c>
      <c r="AK1008" s="4">
        <f>MAX(0,X1008-MAX(0,Z1008-SUM(Q1008:W1008)))</f>
        <v/>
      </c>
      <c r="AL1008" s="4">
        <f>MAX(0,Y1008-MAX(0,Z1008-SUM(Q1008:X1008)))</f>
        <v/>
      </c>
    </row>
    <row r="1009">
      <c r="A1009" s="4" t="inlineStr">
        <is>
          <t>HASLS22260901387</t>
        </is>
      </c>
      <c r="B1009" s="4" t="inlineStr">
        <is>
          <t>SWSR</t>
        </is>
      </c>
      <c r="C1009" s="4" t="inlineStr">
        <is>
          <t>2611N</t>
        </is>
      </c>
      <c r="D1009" s="4" t="inlineStr">
        <is>
          <t>202610110900</t>
        </is>
      </c>
      <c r="E1009" s="4" t="inlineStr"/>
      <c r="F1009" s="4" t="inlineStr">
        <is>
          <t>THBKK</t>
        </is>
      </c>
      <c r="G1009" s="4" t="inlineStr">
        <is>
          <t>CNXMN</t>
        </is>
      </c>
      <c r="H1009" s="4" t="inlineStr">
        <is>
          <t xml:space="preserve">40Hx3 </t>
        </is>
      </c>
      <c r="I1009" s="4" t="inlineStr">
        <is>
          <t>BKK25</t>
        </is>
      </c>
      <c r="J1009" s="4" t="inlineStr">
        <is>
          <t xml:space="preserve">Smart Logistics Service (Thailand ) Co.,Ltd. </t>
        </is>
      </c>
      <c r="K1009" s="4" t="inlineStr">
        <is>
          <t>20261005</t>
        </is>
      </c>
      <c r="L1009" s="4" t="inlineStr">
        <is>
          <t>ACCORD PILOT LOGISTICS (THAILAND) CO., LTD.</t>
        </is>
      </c>
      <c r="M1009" s="4" t="inlineStr">
        <is>
          <t>SUKIJ TANNERY LTD., PART.</t>
        </is>
      </c>
      <c r="N1009" s="4" t="inlineStr">
        <is>
          <t>WET BLUE PIG SKINS</t>
        </is>
      </c>
      <c r="O1009" s="4" t="inlineStr">
        <is>
          <t>GOOD AND CLEAN CONTAINER</t>
        </is>
      </c>
      <c r="P1009" s="4" t="inlineStr">
        <is>
          <t>Pickup : 2026-10-05, Return : 2026-10-06</t>
        </is>
      </c>
      <c r="Q1009" s="4" t="n">
        <v>0</v>
      </c>
      <c r="R1009" s="4" t="n">
        <v>0</v>
      </c>
      <c r="S1009" s="4" t="n">
        <v>3</v>
      </c>
      <c r="T1009" s="4" t="n">
        <v>0</v>
      </c>
      <c r="U1009" s="4" t="n">
        <v>0</v>
      </c>
      <c r="V1009" s="4" t="n">
        <v>0</v>
      </c>
      <c r="W1009" s="4" t="n">
        <v>0</v>
      </c>
      <c r="X1009" s="4" t="n">
        <v>0</v>
      </c>
      <c r="Y1009" s="4" t="n">
        <v>0</v>
      </c>
      <c r="Z1009" s="4" t="n">
        <v>0</v>
      </c>
      <c r="AA1009" s="4" t="n">
        <v>0</v>
      </c>
      <c r="AB1009" s="4">
        <f>SUM(Q1009:Y1009)-Z1009</f>
        <v/>
      </c>
      <c r="AC1009" s="4">
        <f>IF(I1009="","",IF(OR(LEFT(I1009,3)="BKK",I1009="LCH55"),"BKK",IF(LEFT(I1009,3)="LCH","LCH","OTHER")))</f>
        <v/>
      </c>
      <c r="AD1009" s="4">
        <f>MAX(0,Q1009-MAX(0,Z1009))</f>
        <v/>
      </c>
      <c r="AE1009" s="4">
        <f>MAX(0,R1009-MAX(0,Z1009-SUM(Q1009:Q1009)))</f>
        <v/>
      </c>
      <c r="AF1009" s="4">
        <f>MAX(0,S1009-MAX(0,Z1009-SUM(Q1009:R1009)))</f>
        <v/>
      </c>
      <c r="AG1009" s="4">
        <f>MAX(0,T1009-MAX(0,Z1009-SUM(Q1009:S1009)))</f>
        <v/>
      </c>
      <c r="AH1009" s="4">
        <f>MAX(0,U1009-MAX(0,Z1009-SUM(Q1009:T1009)))</f>
        <v/>
      </c>
      <c r="AI1009" s="4">
        <f>MAX(0,V1009-MAX(0,Z1009-SUM(Q1009:U1009)))</f>
        <v/>
      </c>
      <c r="AJ1009" s="4">
        <f>MAX(0,W1009-MAX(0,Z1009-SUM(Q1009:V1009)))</f>
        <v/>
      </c>
      <c r="AK1009" s="4">
        <f>MAX(0,X1009-MAX(0,Z1009-SUM(Q1009:W1009)))</f>
        <v/>
      </c>
      <c r="AL1009" s="4">
        <f>MAX(0,Y1009-MAX(0,Z1009-SUM(Q1009:X1009)))</f>
        <v/>
      </c>
    </row>
    <row r="1010">
      <c r="A1010" s="4" t="inlineStr">
        <is>
          <t>HASLS22260901388</t>
        </is>
      </c>
      <c r="B1010" s="4" t="inlineStr">
        <is>
          <t>KMTP</t>
        </is>
      </c>
      <c r="C1010" s="4" t="inlineStr">
        <is>
          <t>2612N</t>
        </is>
      </c>
      <c r="D1010" s="4" t="inlineStr">
        <is>
          <t>202610120800</t>
        </is>
      </c>
      <c r="E1010" s="4" t="inlineStr"/>
      <c r="F1010" s="4" t="inlineStr">
        <is>
          <t>THBKK</t>
        </is>
      </c>
      <c r="G1010" s="4" t="inlineStr">
        <is>
          <t>CNXMN</t>
        </is>
      </c>
      <c r="H1010" s="4" t="inlineStr">
        <is>
          <t xml:space="preserve">40Hx3 </t>
        </is>
      </c>
      <c r="I1010" s="4" t="inlineStr">
        <is>
          <t>BKK25</t>
        </is>
      </c>
      <c r="J1010" s="4" t="inlineStr">
        <is>
          <t xml:space="preserve">Smart Logistics Service (Thailand ) Co.,Ltd. </t>
        </is>
      </c>
      <c r="K1010" s="4" t="inlineStr">
        <is>
          <t>20261007</t>
        </is>
      </c>
      <c r="L1010" s="4" t="inlineStr">
        <is>
          <t>ACCORD PILOT LOGISTICS (THAILAND) CO., LTD.</t>
        </is>
      </c>
      <c r="M1010" s="4" t="inlineStr">
        <is>
          <t>SUKIJ TANNERY LTD., PART.</t>
        </is>
      </c>
      <c r="N1010" s="4" t="inlineStr">
        <is>
          <t>WET BLUE PIG SKINS</t>
        </is>
      </c>
      <c r="O1010" s="4" t="inlineStr">
        <is>
          <t>GOOD AND CLEAN CONTAINER</t>
        </is>
      </c>
      <c r="P1010" s="4" t="inlineStr">
        <is>
          <t>Pickup : 2026-10-07, Return : 2026-10-08</t>
        </is>
      </c>
      <c r="Q1010" s="4" t="n">
        <v>0</v>
      </c>
      <c r="R1010" s="4" t="n">
        <v>0</v>
      </c>
      <c r="S1010" s="4" t="n">
        <v>3</v>
      </c>
      <c r="T1010" s="4" t="n">
        <v>0</v>
      </c>
      <c r="U1010" s="4" t="n">
        <v>0</v>
      </c>
      <c r="V1010" s="4" t="n">
        <v>0</v>
      </c>
      <c r="W1010" s="4" t="n">
        <v>0</v>
      </c>
      <c r="X1010" s="4" t="n">
        <v>0</v>
      </c>
      <c r="Y1010" s="4" t="n">
        <v>0</v>
      </c>
      <c r="Z1010" s="4" t="n">
        <v>0</v>
      </c>
      <c r="AA1010" s="4" t="n">
        <v>0</v>
      </c>
      <c r="AB1010" s="4">
        <f>SUM(Q1010:Y1010)-Z1010</f>
        <v/>
      </c>
      <c r="AC1010" s="4">
        <f>IF(I1010="","",IF(OR(LEFT(I1010,3)="BKK",I1010="LCH55"),"BKK",IF(LEFT(I1010,3)="LCH","LCH","OTHER")))</f>
        <v/>
      </c>
      <c r="AD1010" s="4">
        <f>MAX(0,Q1010-MAX(0,Z1010))</f>
        <v/>
      </c>
      <c r="AE1010" s="4">
        <f>MAX(0,R1010-MAX(0,Z1010-SUM(Q1010:Q1010)))</f>
        <v/>
      </c>
      <c r="AF1010" s="4">
        <f>MAX(0,S1010-MAX(0,Z1010-SUM(Q1010:R1010)))</f>
        <v/>
      </c>
      <c r="AG1010" s="4">
        <f>MAX(0,T1010-MAX(0,Z1010-SUM(Q1010:S1010)))</f>
        <v/>
      </c>
      <c r="AH1010" s="4">
        <f>MAX(0,U1010-MAX(0,Z1010-SUM(Q1010:T1010)))</f>
        <v/>
      </c>
      <c r="AI1010" s="4">
        <f>MAX(0,V1010-MAX(0,Z1010-SUM(Q1010:U1010)))</f>
        <v/>
      </c>
      <c r="AJ1010" s="4">
        <f>MAX(0,W1010-MAX(0,Z1010-SUM(Q1010:V1010)))</f>
        <v/>
      </c>
      <c r="AK1010" s="4">
        <f>MAX(0,X1010-MAX(0,Z1010-SUM(Q1010:W1010)))</f>
        <v/>
      </c>
      <c r="AL1010" s="4">
        <f>MAX(0,Y1010-MAX(0,Z1010-SUM(Q1010:X1010)))</f>
        <v/>
      </c>
    </row>
    <row r="1011">
      <c r="A1011" s="4" t="inlineStr">
        <is>
          <t>HASLS22260901389</t>
        </is>
      </c>
      <c r="B1011" s="4" t="inlineStr">
        <is>
          <t>SKOR</t>
        </is>
      </c>
      <c r="C1011" s="4" t="inlineStr">
        <is>
          <t>2612N</t>
        </is>
      </c>
      <c r="D1011" s="4" t="inlineStr">
        <is>
          <t>202610181700</t>
        </is>
      </c>
      <c r="E1011" s="4" t="inlineStr"/>
      <c r="F1011" s="4" t="inlineStr">
        <is>
          <t>THBKK</t>
        </is>
      </c>
      <c r="G1011" s="4" t="inlineStr">
        <is>
          <t>CNXMN</t>
        </is>
      </c>
      <c r="H1011" s="4" t="inlineStr">
        <is>
          <t xml:space="preserve">40Hx3 </t>
        </is>
      </c>
      <c r="I1011" s="4" t="inlineStr">
        <is>
          <t>BKK25</t>
        </is>
      </c>
      <c r="J1011" s="4" t="inlineStr">
        <is>
          <t xml:space="preserve">Smart Logistics Service (Thailand ) Co.,Ltd. </t>
        </is>
      </c>
      <c r="K1011" s="4" t="inlineStr">
        <is>
          <t>20261010</t>
        </is>
      </c>
      <c r="L1011" s="4" t="inlineStr">
        <is>
          <t>ACCORD PILOT LOGISTICS (THAILAND) CO., LTD.</t>
        </is>
      </c>
      <c r="M1011" s="4" t="inlineStr">
        <is>
          <t>SUKIJ TANNERY LTD., PART.</t>
        </is>
      </c>
      <c r="N1011" s="4" t="inlineStr">
        <is>
          <t>WET BLUE PIG SKINS</t>
        </is>
      </c>
      <c r="O1011" s="4" t="inlineStr">
        <is>
          <t>GOOD AND CLEAN CONTAINER</t>
        </is>
      </c>
      <c r="P1011" s="4" t="inlineStr">
        <is>
          <t xml:space="preserve">Pickup : 2026-10-10, Return : 2026-10-12 </t>
        </is>
      </c>
      <c r="Q1011" s="4" t="n">
        <v>0</v>
      </c>
      <c r="R1011" s="4" t="n">
        <v>0</v>
      </c>
      <c r="S1011" s="4" t="n">
        <v>3</v>
      </c>
      <c r="T1011" s="4" t="n">
        <v>0</v>
      </c>
      <c r="U1011" s="4" t="n">
        <v>0</v>
      </c>
      <c r="V1011" s="4" t="n">
        <v>0</v>
      </c>
      <c r="W1011" s="4" t="n">
        <v>0</v>
      </c>
      <c r="X1011" s="4" t="n">
        <v>0</v>
      </c>
      <c r="Y1011" s="4" t="n">
        <v>0</v>
      </c>
      <c r="Z1011" s="4" t="n">
        <v>0</v>
      </c>
      <c r="AA1011" s="4" t="n">
        <v>0</v>
      </c>
      <c r="AB1011" s="4">
        <f>SUM(Q1011:Y1011)-Z1011</f>
        <v/>
      </c>
      <c r="AC1011" s="4">
        <f>IF(I1011="","",IF(OR(LEFT(I1011,3)="BKK",I1011="LCH55"),"BKK",IF(LEFT(I1011,3)="LCH","LCH","OTHER")))</f>
        <v/>
      </c>
      <c r="AD1011" s="4">
        <f>MAX(0,Q1011-MAX(0,Z1011))</f>
        <v/>
      </c>
      <c r="AE1011" s="4">
        <f>MAX(0,R1011-MAX(0,Z1011-SUM(Q1011:Q1011)))</f>
        <v/>
      </c>
      <c r="AF1011" s="4">
        <f>MAX(0,S1011-MAX(0,Z1011-SUM(Q1011:R1011)))</f>
        <v/>
      </c>
      <c r="AG1011" s="4">
        <f>MAX(0,T1011-MAX(0,Z1011-SUM(Q1011:S1011)))</f>
        <v/>
      </c>
      <c r="AH1011" s="4">
        <f>MAX(0,U1011-MAX(0,Z1011-SUM(Q1011:T1011)))</f>
        <v/>
      </c>
      <c r="AI1011" s="4">
        <f>MAX(0,V1011-MAX(0,Z1011-SUM(Q1011:U1011)))</f>
        <v/>
      </c>
      <c r="AJ1011" s="4">
        <f>MAX(0,W1011-MAX(0,Z1011-SUM(Q1011:V1011)))</f>
        <v/>
      </c>
      <c r="AK1011" s="4">
        <f>MAX(0,X1011-MAX(0,Z1011-SUM(Q1011:W1011)))</f>
        <v/>
      </c>
      <c r="AL1011" s="4">
        <f>MAX(0,Y1011-MAX(0,Z1011-SUM(Q1011:X1011)))</f>
        <v/>
      </c>
    </row>
    <row r="1012">
      <c r="A1012" s="4" t="inlineStr">
        <is>
          <t>HASLS22260901390</t>
        </is>
      </c>
      <c r="B1012" s="4" t="inlineStr">
        <is>
          <t>KMGY</t>
        </is>
      </c>
      <c r="C1012" s="4" t="inlineStr">
        <is>
          <t>2611N</t>
        </is>
      </c>
      <c r="D1012" s="4" t="inlineStr">
        <is>
          <t>202610201000</t>
        </is>
      </c>
      <c r="E1012" s="4" t="inlineStr"/>
      <c r="F1012" s="4" t="inlineStr">
        <is>
          <t>THBKK</t>
        </is>
      </c>
      <c r="G1012" s="4" t="inlineStr">
        <is>
          <t>CNXMN</t>
        </is>
      </c>
      <c r="H1012" s="4" t="inlineStr">
        <is>
          <t xml:space="preserve">40Hx3 </t>
        </is>
      </c>
      <c r="I1012" s="4" t="inlineStr">
        <is>
          <t>BKK25</t>
        </is>
      </c>
      <c r="J1012" s="4" t="inlineStr">
        <is>
          <t xml:space="preserve">Smart Logistics Service (Thailand ) Co.,Ltd. </t>
        </is>
      </c>
      <c r="K1012" s="4" t="inlineStr">
        <is>
          <t>20261014</t>
        </is>
      </c>
      <c r="L1012" s="4" t="inlineStr">
        <is>
          <t>ACCORD PILOT LOGISTICS (THAILAND) CO., LTD.</t>
        </is>
      </c>
      <c r="M1012" s="4" t="inlineStr">
        <is>
          <t>SUKIJ TANNERY LTD., PART.</t>
        </is>
      </c>
      <c r="N1012" s="4" t="inlineStr">
        <is>
          <t>WET BLUE PIG SKINS</t>
        </is>
      </c>
      <c r="O1012" s="4" t="inlineStr">
        <is>
          <t>GOOD AND CLEAN CONTAINER</t>
        </is>
      </c>
      <c r="P1012" s="4" t="inlineStr">
        <is>
          <t xml:space="preserve">Pickup : 2026-10-14, Return : 2026-10-15 </t>
        </is>
      </c>
      <c r="Q1012" s="4" t="n">
        <v>0</v>
      </c>
      <c r="R1012" s="4" t="n">
        <v>0</v>
      </c>
      <c r="S1012" s="4" t="n">
        <v>3</v>
      </c>
      <c r="T1012" s="4" t="n">
        <v>0</v>
      </c>
      <c r="U1012" s="4" t="n">
        <v>0</v>
      </c>
      <c r="V1012" s="4" t="n">
        <v>0</v>
      </c>
      <c r="W1012" s="4" t="n">
        <v>0</v>
      </c>
      <c r="X1012" s="4" t="n">
        <v>0</v>
      </c>
      <c r="Y1012" s="4" t="n">
        <v>0</v>
      </c>
      <c r="Z1012" s="4" t="n">
        <v>0</v>
      </c>
      <c r="AA1012" s="4" t="n">
        <v>0</v>
      </c>
      <c r="AB1012" s="4">
        <f>SUM(Q1012:Y1012)-Z1012</f>
        <v/>
      </c>
      <c r="AC1012" s="4">
        <f>IF(I1012="","",IF(OR(LEFT(I1012,3)="BKK",I1012="LCH55"),"BKK",IF(LEFT(I1012,3)="LCH","LCH","OTHER")))</f>
        <v/>
      </c>
      <c r="AD1012" s="4">
        <f>MAX(0,Q1012-MAX(0,Z1012))</f>
        <v/>
      </c>
      <c r="AE1012" s="4">
        <f>MAX(0,R1012-MAX(0,Z1012-SUM(Q1012:Q1012)))</f>
        <v/>
      </c>
      <c r="AF1012" s="4">
        <f>MAX(0,S1012-MAX(0,Z1012-SUM(Q1012:R1012)))</f>
        <v/>
      </c>
      <c r="AG1012" s="4">
        <f>MAX(0,T1012-MAX(0,Z1012-SUM(Q1012:S1012)))</f>
        <v/>
      </c>
      <c r="AH1012" s="4">
        <f>MAX(0,U1012-MAX(0,Z1012-SUM(Q1012:T1012)))</f>
        <v/>
      </c>
      <c r="AI1012" s="4">
        <f>MAX(0,V1012-MAX(0,Z1012-SUM(Q1012:U1012)))</f>
        <v/>
      </c>
      <c r="AJ1012" s="4">
        <f>MAX(0,W1012-MAX(0,Z1012-SUM(Q1012:V1012)))</f>
        <v/>
      </c>
      <c r="AK1012" s="4">
        <f>MAX(0,X1012-MAX(0,Z1012-SUM(Q1012:W1012)))</f>
        <v/>
      </c>
      <c r="AL1012" s="4">
        <f>MAX(0,Y1012-MAX(0,Z1012-SUM(Q1012:X1012)))</f>
        <v/>
      </c>
    </row>
    <row r="1013">
      <c r="A1013" s="4" t="inlineStr">
        <is>
          <t>HASLS22260901392</t>
        </is>
      </c>
      <c r="B1013" s="4" t="inlineStr">
        <is>
          <t>SWDN</t>
        </is>
      </c>
      <c r="C1013" s="4" t="inlineStr">
        <is>
          <t>2611N</t>
        </is>
      </c>
      <c r="D1013" s="4" t="inlineStr">
        <is>
          <t>202610270900</t>
        </is>
      </c>
      <c r="E1013" s="4" t="inlineStr"/>
      <c r="F1013" s="4" t="inlineStr">
        <is>
          <t>THBKK</t>
        </is>
      </c>
      <c r="G1013" s="4" t="inlineStr">
        <is>
          <t>CNXMN</t>
        </is>
      </c>
      <c r="H1013" s="4" t="inlineStr">
        <is>
          <t xml:space="preserve">40Hx3 </t>
        </is>
      </c>
      <c r="I1013" s="4" t="inlineStr">
        <is>
          <t>BKK25</t>
        </is>
      </c>
      <c r="J1013" s="4" t="inlineStr">
        <is>
          <t xml:space="preserve">Smart Logistics Service (Thailand ) Co.,Ltd. </t>
        </is>
      </c>
      <c r="K1013" s="4" t="inlineStr">
        <is>
          <t>20261016</t>
        </is>
      </c>
      <c r="L1013" s="4" t="inlineStr">
        <is>
          <t>ACCORD PILOT LOGISTICS (THAILAND) CO., LTD.</t>
        </is>
      </c>
      <c r="M1013" s="4" t="inlineStr">
        <is>
          <t>SUKIJ TANNERY LTD., PART.</t>
        </is>
      </c>
      <c r="N1013" s="4" t="inlineStr">
        <is>
          <t>WET BLUE PIG SKINS</t>
        </is>
      </c>
      <c r="O1013" s="4" t="inlineStr">
        <is>
          <t>GOOD AND CLEAN CONTAINER</t>
        </is>
      </c>
      <c r="P1013" s="4" t="inlineStr">
        <is>
          <t>Pickup : 2026-10-16, Return : 2026-10-17</t>
        </is>
      </c>
      <c r="Q1013" s="4" t="n">
        <v>0</v>
      </c>
      <c r="R1013" s="4" t="n">
        <v>0</v>
      </c>
      <c r="S1013" s="4" t="n">
        <v>3</v>
      </c>
      <c r="T1013" s="4" t="n">
        <v>0</v>
      </c>
      <c r="U1013" s="4" t="n">
        <v>0</v>
      </c>
      <c r="V1013" s="4" t="n">
        <v>0</v>
      </c>
      <c r="W1013" s="4" t="n">
        <v>0</v>
      </c>
      <c r="X1013" s="4" t="n">
        <v>0</v>
      </c>
      <c r="Y1013" s="4" t="n">
        <v>0</v>
      </c>
      <c r="Z1013" s="4" t="n">
        <v>0</v>
      </c>
      <c r="AA1013" s="4" t="n">
        <v>0</v>
      </c>
      <c r="AB1013" s="4">
        <f>SUM(Q1013:Y1013)-Z1013</f>
        <v/>
      </c>
      <c r="AC1013" s="4">
        <f>IF(I1013="","",IF(OR(LEFT(I1013,3)="BKK",I1013="LCH55"),"BKK",IF(LEFT(I1013,3)="LCH","LCH","OTHER")))</f>
        <v/>
      </c>
      <c r="AD1013" s="4">
        <f>MAX(0,Q1013-MAX(0,Z1013))</f>
        <v/>
      </c>
      <c r="AE1013" s="4">
        <f>MAX(0,R1013-MAX(0,Z1013-SUM(Q1013:Q1013)))</f>
        <v/>
      </c>
      <c r="AF1013" s="4">
        <f>MAX(0,S1013-MAX(0,Z1013-SUM(Q1013:R1013)))</f>
        <v/>
      </c>
      <c r="AG1013" s="4">
        <f>MAX(0,T1013-MAX(0,Z1013-SUM(Q1013:S1013)))</f>
        <v/>
      </c>
      <c r="AH1013" s="4">
        <f>MAX(0,U1013-MAX(0,Z1013-SUM(Q1013:T1013)))</f>
        <v/>
      </c>
      <c r="AI1013" s="4">
        <f>MAX(0,V1013-MAX(0,Z1013-SUM(Q1013:U1013)))</f>
        <v/>
      </c>
      <c r="AJ1013" s="4">
        <f>MAX(0,W1013-MAX(0,Z1013-SUM(Q1013:V1013)))</f>
        <v/>
      </c>
      <c r="AK1013" s="4">
        <f>MAX(0,X1013-MAX(0,Z1013-SUM(Q1013:W1013)))</f>
        <v/>
      </c>
      <c r="AL1013" s="4">
        <f>MAX(0,Y1013-MAX(0,Z1013-SUM(Q1013:X1013)))</f>
        <v/>
      </c>
    </row>
    <row r="1014">
      <c r="A1014" s="4" t="inlineStr">
        <is>
          <t>HASLS22260901401</t>
        </is>
      </c>
      <c r="B1014" s="4" t="inlineStr">
        <is>
          <t>KJT</t>
        </is>
      </c>
      <c r="C1014" s="4" t="inlineStr">
        <is>
          <t>2611N</t>
        </is>
      </c>
      <c r="D1014" s="4" t="inlineStr">
        <is>
          <t>202610141800</t>
        </is>
      </c>
      <c r="E1014" s="4" t="inlineStr"/>
      <c r="F1014" s="4" t="inlineStr">
        <is>
          <t>THBKK</t>
        </is>
      </c>
      <c r="G1014" s="4" t="inlineStr">
        <is>
          <t>HKHKG</t>
        </is>
      </c>
      <c r="H1014" s="4" t="inlineStr">
        <is>
          <t xml:space="preserve">20'x1 </t>
        </is>
      </c>
      <c r="I1014" s="4" t="inlineStr">
        <is>
          <t>BKK25</t>
        </is>
      </c>
      <c r="J1014" s="4" t="inlineStr">
        <is>
          <t xml:space="preserve">Smart Logistics Service (Thailand ) Co.,Ltd. </t>
        </is>
      </c>
      <c r="K1014" s="4" t="inlineStr">
        <is>
          <t>20261008</t>
        </is>
      </c>
      <c r="L1014" s="4" t="inlineStr">
        <is>
          <t>TOP INTER FREIGHT CO., LTD.</t>
        </is>
      </c>
      <c r="M1014" s="4" t="inlineStr">
        <is>
          <t>GLOBAL FOOD TRADING CO.,LTD.</t>
        </is>
      </c>
      <c r="N1014" s="4" t="inlineStr">
        <is>
          <t>FOOD STUFF</t>
        </is>
      </c>
      <c r="O1014" s="4" t="inlineStr">
        <is>
          <t>REQUEST CONTAINER FOOD GRADE</t>
        </is>
      </c>
      <c r="P1014" s="4" t="inlineStr">
        <is>
          <t>Pickup : 2026-10-08, Return : 2026-10-09</t>
        </is>
      </c>
      <c r="Q1014" s="4" t="n">
        <v>1</v>
      </c>
      <c r="R1014" s="4" t="n">
        <v>0</v>
      </c>
      <c r="S1014" s="4" t="n">
        <v>0</v>
      </c>
      <c r="T1014" s="4" t="n">
        <v>0</v>
      </c>
      <c r="U1014" s="4" t="n">
        <v>0</v>
      </c>
      <c r="V1014" s="4" t="n">
        <v>0</v>
      </c>
      <c r="W1014" s="4" t="n">
        <v>0</v>
      </c>
      <c r="X1014" s="4" t="n">
        <v>0</v>
      </c>
      <c r="Y1014" s="4" t="n">
        <v>0</v>
      </c>
      <c r="Z1014" s="4" t="n">
        <v>0</v>
      </c>
      <c r="AA1014" s="4" t="n">
        <v>0</v>
      </c>
      <c r="AB1014" s="4">
        <f>SUM(Q1014:Y1014)-Z1014</f>
        <v/>
      </c>
      <c r="AC1014" s="4">
        <f>IF(I1014="","",IF(OR(LEFT(I1014,3)="BKK",I1014="LCH55"),"BKK",IF(LEFT(I1014,3)="LCH","LCH","OTHER")))</f>
        <v/>
      </c>
      <c r="AD1014" s="4">
        <f>MAX(0,Q1014-MAX(0,Z1014))</f>
        <v/>
      </c>
      <c r="AE1014" s="4">
        <f>MAX(0,R1014-MAX(0,Z1014-SUM(Q1014:Q1014)))</f>
        <v/>
      </c>
      <c r="AF1014" s="4">
        <f>MAX(0,S1014-MAX(0,Z1014-SUM(Q1014:R1014)))</f>
        <v/>
      </c>
      <c r="AG1014" s="4">
        <f>MAX(0,T1014-MAX(0,Z1014-SUM(Q1014:S1014)))</f>
        <v/>
      </c>
      <c r="AH1014" s="4">
        <f>MAX(0,U1014-MAX(0,Z1014-SUM(Q1014:T1014)))</f>
        <v/>
      </c>
      <c r="AI1014" s="4">
        <f>MAX(0,V1014-MAX(0,Z1014-SUM(Q1014:U1014)))</f>
        <v/>
      </c>
      <c r="AJ1014" s="4">
        <f>MAX(0,W1014-MAX(0,Z1014-SUM(Q1014:V1014)))</f>
        <v/>
      </c>
      <c r="AK1014" s="4">
        <f>MAX(0,X1014-MAX(0,Z1014-SUM(Q1014:W1014)))</f>
        <v/>
      </c>
      <c r="AL1014" s="4">
        <f>MAX(0,Y1014-MAX(0,Z1014-SUM(Q1014:X1014)))</f>
        <v/>
      </c>
    </row>
    <row r="1015">
      <c r="A1015" s="4" t="inlineStr">
        <is>
          <t>HASLS22260901418</t>
        </is>
      </c>
      <c r="B1015" s="4" t="inlineStr">
        <is>
          <t>SWRG</t>
        </is>
      </c>
      <c r="C1015" s="4" t="inlineStr">
        <is>
          <t>2609N</t>
        </is>
      </c>
      <c r="D1015" s="4" t="inlineStr">
        <is>
          <t>202610131130</t>
        </is>
      </c>
      <c r="E1015" s="4" t="inlineStr">
        <is>
          <t>THSRP</t>
        </is>
      </c>
      <c r="F1015" s="4" t="inlineStr">
        <is>
          <t>THLCH</t>
        </is>
      </c>
      <c r="G1015" s="4" t="inlineStr">
        <is>
          <t>CNSHA</t>
        </is>
      </c>
      <c r="H1015" s="4" t="inlineStr">
        <is>
          <t xml:space="preserve">20'x5 </t>
        </is>
      </c>
      <c r="I1015" s="4" t="inlineStr">
        <is>
          <t>BKK25</t>
        </is>
      </c>
      <c r="J1015" s="4" t="inlineStr">
        <is>
          <t xml:space="preserve">Smart Logistics Service (Thailand ) Co.,Ltd. </t>
        </is>
      </c>
      <c r="K1015" s="4" t="inlineStr">
        <is>
          <t>20261002</t>
        </is>
      </c>
      <c r="L1015" s="4" t="inlineStr">
        <is>
          <t>RCL LOGISTICS CO., LTD.</t>
        </is>
      </c>
      <c r="M1015" s="4" t="inlineStr">
        <is>
          <t>SMS CORPORATION CO., LTD.</t>
        </is>
      </c>
      <c r="N1015" s="4" t="inlineStr">
        <is>
          <t>MODIFIED TAPIOCA STARCH</t>
        </is>
      </c>
      <c r="O1015" s="4" t="inlineStr">
        <is>
          <t>FOOD GRADE CONTAINER / DO NOT RELEASE RED WALL CONTAINER</t>
        </is>
      </c>
      <c r="P1015" s="4" t="inlineStr">
        <is>
          <t xml:space="preserve">Pickup : 2026-10-02, Return @SRP : 2026-10-06 (PAPERLESS CODE : 2829)
CLS TIME @SRP : 06/10/2026 @23.59 </t>
        </is>
      </c>
      <c r="Q1015" s="4" t="n">
        <v>5</v>
      </c>
      <c r="R1015" s="4" t="n">
        <v>0</v>
      </c>
      <c r="S1015" s="4" t="n">
        <v>0</v>
      </c>
      <c r="T1015" s="4" t="n">
        <v>0</v>
      </c>
      <c r="U1015" s="4" t="n">
        <v>0</v>
      </c>
      <c r="V1015" s="4" t="n">
        <v>0</v>
      </c>
      <c r="W1015" s="4" t="n">
        <v>0</v>
      </c>
      <c r="X1015" s="4" t="n">
        <v>0</v>
      </c>
      <c r="Y1015" s="4" t="n">
        <v>0</v>
      </c>
      <c r="Z1015" s="4" t="n">
        <v>0</v>
      </c>
      <c r="AA1015" s="4" t="n">
        <v>0</v>
      </c>
      <c r="AB1015" s="4">
        <f>SUM(Q1015:Y1015)-Z1015</f>
        <v/>
      </c>
      <c r="AC1015" s="4">
        <f>IF(I1015="","",IF(OR(LEFT(I1015,3)="BKK",I1015="LCH55"),"BKK",IF(LEFT(I1015,3)="LCH","LCH","OTHER")))</f>
        <v/>
      </c>
      <c r="AD1015" s="4">
        <f>MAX(0,Q1015-MAX(0,Z1015))</f>
        <v/>
      </c>
      <c r="AE1015" s="4">
        <f>MAX(0,R1015-MAX(0,Z1015-SUM(Q1015:Q1015)))</f>
        <v/>
      </c>
      <c r="AF1015" s="4">
        <f>MAX(0,S1015-MAX(0,Z1015-SUM(Q1015:R1015)))</f>
        <v/>
      </c>
      <c r="AG1015" s="4">
        <f>MAX(0,T1015-MAX(0,Z1015-SUM(Q1015:S1015)))</f>
        <v/>
      </c>
      <c r="AH1015" s="4">
        <f>MAX(0,U1015-MAX(0,Z1015-SUM(Q1015:T1015)))</f>
        <v/>
      </c>
      <c r="AI1015" s="4">
        <f>MAX(0,V1015-MAX(0,Z1015-SUM(Q1015:U1015)))</f>
        <v/>
      </c>
      <c r="AJ1015" s="4">
        <f>MAX(0,W1015-MAX(0,Z1015-SUM(Q1015:V1015)))</f>
        <v/>
      </c>
      <c r="AK1015" s="4">
        <f>MAX(0,X1015-MAX(0,Z1015-SUM(Q1015:W1015)))</f>
        <v/>
      </c>
      <c r="AL1015" s="4">
        <f>MAX(0,Y1015-MAX(0,Z1015-SUM(Q1015:X1015)))</f>
        <v/>
      </c>
    </row>
    <row r="1016">
      <c r="A1016" s="4" t="inlineStr">
        <is>
          <t>HASLS22260901431</t>
        </is>
      </c>
      <c r="B1016" s="4" t="inlineStr">
        <is>
          <t>SWSP</t>
        </is>
      </c>
      <c r="C1016" s="4" t="inlineStr">
        <is>
          <t>2609N</t>
        </is>
      </c>
      <c r="D1016" s="4" t="inlineStr">
        <is>
          <t>202610071530</t>
        </is>
      </c>
      <c r="E1016" s="4" t="inlineStr"/>
      <c r="F1016" s="4" t="inlineStr">
        <is>
          <t>THBKK</t>
        </is>
      </c>
      <c r="G1016" s="4" t="inlineStr">
        <is>
          <t>VNSGN</t>
        </is>
      </c>
      <c r="H1016" s="4" t="inlineStr">
        <is>
          <t xml:space="preserve">20'x1 </t>
        </is>
      </c>
      <c r="I1016" s="4" t="inlineStr">
        <is>
          <t>BKK25</t>
        </is>
      </c>
      <c r="J1016" s="4" t="inlineStr">
        <is>
          <t xml:space="preserve">Smart Logistics Service (Thailand ) Co.,Ltd. </t>
        </is>
      </c>
      <c r="K1016" s="4" t="inlineStr">
        <is>
          <t>20260930</t>
        </is>
      </c>
      <c r="L1016" s="4" t="inlineStr">
        <is>
          <t>BIZCON LOGISTICS CO., LTD.</t>
        </is>
      </c>
      <c r="M1016" s="4" t="inlineStr">
        <is>
          <t>CHANG JEWELRY POWDER CO., LTD.</t>
        </is>
      </c>
      <c r="N1016" s="4" t="inlineStr">
        <is>
          <t>CASTING PLASTER</t>
        </is>
      </c>
      <c r="O1016" s="4" t="inlineStr">
        <is>
          <t>GOOD AND CLEAN CONTAINER</t>
        </is>
      </c>
      <c r="P1016" s="4" t="inlineStr">
        <is>
          <t xml:space="preserve">Pickup : 2026-09-30, Return : 2026-10-01 </t>
        </is>
      </c>
      <c r="Q1016" s="4" t="n">
        <v>1</v>
      </c>
      <c r="R1016" s="4" t="n">
        <v>0</v>
      </c>
      <c r="S1016" s="4" t="n">
        <v>0</v>
      </c>
      <c r="T1016" s="4" t="n">
        <v>0</v>
      </c>
      <c r="U1016" s="4" t="n">
        <v>0</v>
      </c>
      <c r="V1016" s="4" t="n">
        <v>0</v>
      </c>
      <c r="W1016" s="4" t="n">
        <v>0</v>
      </c>
      <c r="X1016" s="4" t="n">
        <v>0</v>
      </c>
      <c r="Y1016" s="4" t="n">
        <v>0</v>
      </c>
      <c r="Z1016" s="4" t="n">
        <v>0</v>
      </c>
      <c r="AA1016" s="4" t="n">
        <v>0</v>
      </c>
      <c r="AB1016" s="4">
        <f>SUM(Q1016:Y1016)-Z1016</f>
        <v/>
      </c>
      <c r="AC1016" s="4">
        <f>IF(I1016="","",IF(OR(LEFT(I1016,3)="BKK",I1016="LCH55"),"BKK",IF(LEFT(I1016,3)="LCH","LCH","OTHER")))</f>
        <v/>
      </c>
      <c r="AD1016" s="4">
        <f>MAX(0,Q1016-MAX(0,Z1016))</f>
        <v/>
      </c>
      <c r="AE1016" s="4">
        <f>MAX(0,R1016-MAX(0,Z1016-SUM(Q1016:Q1016)))</f>
        <v/>
      </c>
      <c r="AF1016" s="4">
        <f>MAX(0,S1016-MAX(0,Z1016-SUM(Q1016:R1016)))</f>
        <v/>
      </c>
      <c r="AG1016" s="4">
        <f>MAX(0,T1016-MAX(0,Z1016-SUM(Q1016:S1016)))</f>
        <v/>
      </c>
      <c r="AH1016" s="4">
        <f>MAX(0,U1016-MAX(0,Z1016-SUM(Q1016:T1016)))</f>
        <v/>
      </c>
      <c r="AI1016" s="4">
        <f>MAX(0,V1016-MAX(0,Z1016-SUM(Q1016:U1016)))</f>
        <v/>
      </c>
      <c r="AJ1016" s="4">
        <f>MAX(0,W1016-MAX(0,Z1016-SUM(Q1016:V1016)))</f>
        <v/>
      </c>
      <c r="AK1016" s="4">
        <f>MAX(0,X1016-MAX(0,Z1016-SUM(Q1016:W1016)))</f>
        <v/>
      </c>
      <c r="AL1016" s="4">
        <f>MAX(0,Y1016-MAX(0,Z1016-SUM(Q1016:X1016)))</f>
        <v/>
      </c>
    </row>
    <row r="1017">
      <c r="A1017" s="4" t="inlineStr">
        <is>
          <t>HASLS22260901436</t>
        </is>
      </c>
      <c r="B1017" s="4" t="inlineStr">
        <is>
          <t>SWAT</t>
        </is>
      </c>
      <c r="C1017" s="4" t="inlineStr">
        <is>
          <t>2610N</t>
        </is>
      </c>
      <c r="D1017" s="4" t="inlineStr">
        <is>
          <t>202610071700</t>
        </is>
      </c>
      <c r="E1017" s="4" t="inlineStr"/>
      <c r="F1017" s="4" t="inlineStr">
        <is>
          <t>THBKK</t>
        </is>
      </c>
      <c r="G1017" s="4" t="inlineStr">
        <is>
          <t>HKHKG</t>
        </is>
      </c>
      <c r="H1017" s="4" t="inlineStr">
        <is>
          <t xml:space="preserve">20'x1 </t>
        </is>
      </c>
      <c r="I1017" s="4" t="inlineStr">
        <is>
          <t>BKK25</t>
        </is>
      </c>
      <c r="J1017" s="4" t="inlineStr">
        <is>
          <t xml:space="preserve">Smart Logistics Service (Thailand ) Co.,Ltd. </t>
        </is>
      </c>
      <c r="K1017" s="4" t="inlineStr">
        <is>
          <t>20260930</t>
        </is>
      </c>
      <c r="L1017" s="4" t="inlineStr">
        <is>
          <t>ONE WORLD LOGISTICS AND FREIGHT CO., LTD.</t>
        </is>
      </c>
      <c r="M1017" s="4" t="inlineStr">
        <is>
          <t>DUNI (THAILAND) CO., LTD.</t>
        </is>
      </c>
      <c r="N1017" s="4" t="inlineStr">
        <is>
          <t xml:space="preserve">PAPER NAPKIN </t>
        </is>
      </c>
      <c r="O1017" s="4" t="inlineStr">
        <is>
          <t>REQ. GOOD GARDE CONTAINER</t>
        </is>
      </c>
      <c r="P1017" s="4" t="inlineStr">
        <is>
          <t xml:space="preserve">Pickup : 2026-09-30, Return : 2026-10-01 </t>
        </is>
      </c>
      <c r="Q1017" s="4" t="n">
        <v>1</v>
      </c>
      <c r="R1017" s="4" t="n">
        <v>0</v>
      </c>
      <c r="S1017" s="4" t="n">
        <v>0</v>
      </c>
      <c r="T1017" s="4" t="n">
        <v>0</v>
      </c>
      <c r="U1017" s="4" t="n">
        <v>0</v>
      </c>
      <c r="V1017" s="4" t="n">
        <v>0</v>
      </c>
      <c r="W1017" s="4" t="n">
        <v>0</v>
      </c>
      <c r="X1017" s="4" t="n">
        <v>0</v>
      </c>
      <c r="Y1017" s="4" t="n">
        <v>0</v>
      </c>
      <c r="Z1017" s="4" t="n">
        <v>0</v>
      </c>
      <c r="AA1017" s="4" t="n">
        <v>0</v>
      </c>
      <c r="AB1017" s="4">
        <f>SUM(Q1017:Y1017)-Z1017</f>
        <v/>
      </c>
      <c r="AC1017" s="4">
        <f>IF(I1017="","",IF(OR(LEFT(I1017,3)="BKK",I1017="LCH55"),"BKK",IF(LEFT(I1017,3)="LCH","LCH","OTHER")))</f>
        <v/>
      </c>
      <c r="AD1017" s="4">
        <f>MAX(0,Q1017-MAX(0,Z1017))</f>
        <v/>
      </c>
      <c r="AE1017" s="4">
        <f>MAX(0,R1017-MAX(0,Z1017-SUM(Q1017:Q1017)))</f>
        <v/>
      </c>
      <c r="AF1017" s="4">
        <f>MAX(0,S1017-MAX(0,Z1017-SUM(Q1017:R1017)))</f>
        <v/>
      </c>
      <c r="AG1017" s="4">
        <f>MAX(0,T1017-MAX(0,Z1017-SUM(Q1017:S1017)))</f>
        <v/>
      </c>
      <c r="AH1017" s="4">
        <f>MAX(0,U1017-MAX(0,Z1017-SUM(Q1017:T1017)))</f>
        <v/>
      </c>
      <c r="AI1017" s="4">
        <f>MAX(0,V1017-MAX(0,Z1017-SUM(Q1017:U1017)))</f>
        <v/>
      </c>
      <c r="AJ1017" s="4">
        <f>MAX(0,W1017-MAX(0,Z1017-SUM(Q1017:V1017)))</f>
        <v/>
      </c>
      <c r="AK1017" s="4">
        <f>MAX(0,X1017-MAX(0,Z1017-SUM(Q1017:W1017)))</f>
        <v/>
      </c>
      <c r="AL1017" s="4">
        <f>MAX(0,Y1017-MAX(0,Z1017-SUM(Q1017:X1017)))</f>
        <v/>
      </c>
    </row>
    <row r="1018">
      <c r="A1018" s="4" t="inlineStr">
        <is>
          <t>HASLS22260901437</t>
        </is>
      </c>
      <c r="B1018" s="4" t="inlineStr">
        <is>
          <t>CMA</t>
        </is>
      </c>
      <c r="C1018" s="4" t="inlineStr">
        <is>
          <t>2615N</t>
        </is>
      </c>
      <c r="D1018" s="4" t="inlineStr">
        <is>
          <t>202610172300</t>
        </is>
      </c>
      <c r="E1018" s="4" t="inlineStr"/>
      <c r="F1018" s="4" t="inlineStr">
        <is>
          <t>THBKK</t>
        </is>
      </c>
      <c r="G1018" s="4" t="inlineStr">
        <is>
          <t>HKHKG</t>
        </is>
      </c>
      <c r="H1018" s="4" t="inlineStr">
        <is>
          <t xml:space="preserve">20'x1 </t>
        </is>
      </c>
      <c r="I1018" s="4" t="inlineStr">
        <is>
          <t>BKK25</t>
        </is>
      </c>
      <c r="J1018" s="4" t="inlineStr">
        <is>
          <t xml:space="preserve">Smart Logistics Service (Thailand ) Co.,Ltd. </t>
        </is>
      </c>
      <c r="K1018" s="4" t="inlineStr">
        <is>
          <t>20261012</t>
        </is>
      </c>
      <c r="L1018" s="4" t="inlineStr">
        <is>
          <t>ONE WORLD LOGISTICS AND FREIGHT CO., LTD.</t>
        </is>
      </c>
      <c r="M1018" s="4" t="inlineStr">
        <is>
          <t>DUNI (THAILAND) CO., LTD.</t>
        </is>
      </c>
      <c r="N1018" s="4" t="inlineStr">
        <is>
          <t xml:space="preserve">PAPER NAPKIN </t>
        </is>
      </c>
      <c r="O1018" s="4" t="inlineStr">
        <is>
          <t>REQ. GOOD GARDE CONTAINER</t>
        </is>
      </c>
      <c r="P1018" s="4" t="inlineStr">
        <is>
          <t xml:space="preserve">Pickup : 2026-10-12, Return : 2026-10-13 </t>
        </is>
      </c>
      <c r="Q1018" s="4" t="n">
        <v>1</v>
      </c>
      <c r="R1018" s="4" t="n">
        <v>0</v>
      </c>
      <c r="S1018" s="4" t="n">
        <v>0</v>
      </c>
      <c r="T1018" s="4" t="n">
        <v>0</v>
      </c>
      <c r="U1018" s="4" t="n">
        <v>0</v>
      </c>
      <c r="V1018" s="4" t="n">
        <v>0</v>
      </c>
      <c r="W1018" s="4" t="n">
        <v>0</v>
      </c>
      <c r="X1018" s="4" t="n">
        <v>0</v>
      </c>
      <c r="Y1018" s="4" t="n">
        <v>0</v>
      </c>
      <c r="Z1018" s="4" t="n">
        <v>0</v>
      </c>
      <c r="AA1018" s="4" t="n">
        <v>0</v>
      </c>
      <c r="AB1018" s="4">
        <f>SUM(Q1018:Y1018)-Z1018</f>
        <v/>
      </c>
      <c r="AC1018" s="4">
        <f>IF(I1018="","",IF(OR(LEFT(I1018,3)="BKK",I1018="LCH55"),"BKK",IF(LEFT(I1018,3)="LCH","LCH","OTHER")))</f>
        <v/>
      </c>
      <c r="AD1018" s="4">
        <f>MAX(0,Q1018-MAX(0,Z1018))</f>
        <v/>
      </c>
      <c r="AE1018" s="4">
        <f>MAX(0,R1018-MAX(0,Z1018-SUM(Q1018:Q1018)))</f>
        <v/>
      </c>
      <c r="AF1018" s="4">
        <f>MAX(0,S1018-MAX(0,Z1018-SUM(Q1018:R1018)))</f>
        <v/>
      </c>
      <c r="AG1018" s="4">
        <f>MAX(0,T1018-MAX(0,Z1018-SUM(Q1018:S1018)))</f>
        <v/>
      </c>
      <c r="AH1018" s="4">
        <f>MAX(0,U1018-MAX(0,Z1018-SUM(Q1018:T1018)))</f>
        <v/>
      </c>
      <c r="AI1018" s="4">
        <f>MAX(0,V1018-MAX(0,Z1018-SUM(Q1018:U1018)))</f>
        <v/>
      </c>
      <c r="AJ1018" s="4">
        <f>MAX(0,W1018-MAX(0,Z1018-SUM(Q1018:V1018)))</f>
        <v/>
      </c>
      <c r="AK1018" s="4">
        <f>MAX(0,X1018-MAX(0,Z1018-SUM(Q1018:W1018)))</f>
        <v/>
      </c>
      <c r="AL1018" s="4">
        <f>MAX(0,Y1018-MAX(0,Z1018-SUM(Q1018:X1018)))</f>
        <v/>
      </c>
    </row>
    <row r="1019">
      <c r="A1019" s="4" t="inlineStr">
        <is>
          <t>HASLS22260901443</t>
        </is>
      </c>
      <c r="B1019" s="4" t="inlineStr">
        <is>
          <t>CMA</t>
        </is>
      </c>
      <c r="C1019" s="4" t="inlineStr">
        <is>
          <t>2615N</t>
        </is>
      </c>
      <c r="D1019" s="4" t="inlineStr">
        <is>
          <t>202610172300</t>
        </is>
      </c>
      <c r="E1019" s="4" t="inlineStr"/>
      <c r="F1019" s="4" t="inlineStr">
        <is>
          <t>THBKK</t>
        </is>
      </c>
      <c r="G1019" s="4" t="inlineStr">
        <is>
          <t>JPTYO</t>
        </is>
      </c>
      <c r="H1019" s="4" t="inlineStr">
        <is>
          <t xml:space="preserve">20'x5 </t>
        </is>
      </c>
      <c r="I1019" s="4" t="inlineStr">
        <is>
          <t>BKK25</t>
        </is>
      </c>
      <c r="J1019" s="4" t="inlineStr">
        <is>
          <t xml:space="preserve">Smart Logistics Service (Thailand ) Co.,Ltd. </t>
        </is>
      </c>
      <c r="K1019" s="4" t="inlineStr">
        <is>
          <t>20261012</t>
        </is>
      </c>
      <c r="L1019" s="4" t="inlineStr">
        <is>
          <t>MILKYWAY INTERNATIONAL SUPPLY CHAIN SERVICES (THAILAND) CO., LTD.</t>
        </is>
      </c>
      <c r="M1019" s="4" t="inlineStr">
        <is>
          <t>TASCO INTERNATIONAL CO., LTD.</t>
        </is>
      </c>
      <c r="N1019" s="4" t="inlineStr">
        <is>
          <t>FISH MEAL</t>
        </is>
      </c>
      <c r="O1019" s="4" t="inlineStr">
        <is>
          <t>GOOD AND CLEAN CONTAINER</t>
        </is>
      </c>
      <c r="P1019" s="4" t="inlineStr">
        <is>
          <t xml:space="preserve">Pickup : 2026-10-12, Return : 2026-10-14 </t>
        </is>
      </c>
      <c r="Q1019" s="4" t="n">
        <v>5</v>
      </c>
      <c r="R1019" s="4" t="n">
        <v>0</v>
      </c>
      <c r="S1019" s="4" t="n">
        <v>0</v>
      </c>
      <c r="T1019" s="4" t="n">
        <v>0</v>
      </c>
      <c r="U1019" s="4" t="n">
        <v>0</v>
      </c>
      <c r="V1019" s="4" t="n">
        <v>0</v>
      </c>
      <c r="W1019" s="4" t="n">
        <v>0</v>
      </c>
      <c r="X1019" s="4" t="n">
        <v>0</v>
      </c>
      <c r="Y1019" s="4" t="n">
        <v>0</v>
      </c>
      <c r="Z1019" s="4" t="n">
        <v>0</v>
      </c>
      <c r="AA1019" s="4" t="n">
        <v>0</v>
      </c>
      <c r="AB1019" s="4">
        <f>SUM(Q1019:Y1019)-Z1019</f>
        <v/>
      </c>
      <c r="AC1019" s="4">
        <f>IF(I1019="","",IF(OR(LEFT(I1019,3)="BKK",I1019="LCH55"),"BKK",IF(LEFT(I1019,3)="LCH","LCH","OTHER")))</f>
        <v/>
      </c>
      <c r="AD1019" s="4">
        <f>MAX(0,Q1019-MAX(0,Z1019))</f>
        <v/>
      </c>
      <c r="AE1019" s="4">
        <f>MAX(0,R1019-MAX(0,Z1019-SUM(Q1019:Q1019)))</f>
        <v/>
      </c>
      <c r="AF1019" s="4">
        <f>MAX(0,S1019-MAX(0,Z1019-SUM(Q1019:R1019)))</f>
        <v/>
      </c>
      <c r="AG1019" s="4">
        <f>MAX(0,T1019-MAX(0,Z1019-SUM(Q1019:S1019)))</f>
        <v/>
      </c>
      <c r="AH1019" s="4">
        <f>MAX(0,U1019-MAX(0,Z1019-SUM(Q1019:T1019)))</f>
        <v/>
      </c>
      <c r="AI1019" s="4">
        <f>MAX(0,V1019-MAX(0,Z1019-SUM(Q1019:U1019)))</f>
        <v/>
      </c>
      <c r="AJ1019" s="4">
        <f>MAX(0,W1019-MAX(0,Z1019-SUM(Q1019:V1019)))</f>
        <v/>
      </c>
      <c r="AK1019" s="4">
        <f>MAX(0,X1019-MAX(0,Z1019-SUM(Q1019:W1019)))</f>
        <v/>
      </c>
      <c r="AL1019" s="4">
        <f>MAX(0,Y1019-MAX(0,Z1019-SUM(Q1019:X1019)))</f>
        <v/>
      </c>
    </row>
    <row r="1020">
      <c r="A1020" s="4" t="inlineStr">
        <is>
          <t>HASLS22260901449</t>
        </is>
      </c>
      <c r="B1020" s="4" t="inlineStr">
        <is>
          <t>KMBK</t>
        </is>
      </c>
      <c r="C1020" s="4" t="inlineStr">
        <is>
          <t>2612N</t>
        </is>
      </c>
      <c r="D1020" s="4" t="inlineStr">
        <is>
          <t>202610240200</t>
        </is>
      </c>
      <c r="E1020" s="4" t="inlineStr"/>
      <c r="F1020" s="4" t="inlineStr">
        <is>
          <t>THBKK</t>
        </is>
      </c>
      <c r="G1020" s="4" t="inlineStr">
        <is>
          <t>JPTYO</t>
        </is>
      </c>
      <c r="H1020" s="4" t="inlineStr">
        <is>
          <t xml:space="preserve">20'x5 </t>
        </is>
      </c>
      <c r="I1020" s="4" t="inlineStr">
        <is>
          <t>BKK25</t>
        </is>
      </c>
      <c r="J1020" s="4" t="inlineStr">
        <is>
          <t xml:space="preserve">Smart Logistics Service (Thailand ) Co.,Ltd. </t>
        </is>
      </c>
      <c r="K1020" s="4" t="inlineStr">
        <is>
          <t>20261017</t>
        </is>
      </c>
      <c r="L1020" s="4" t="inlineStr">
        <is>
          <t>MILKYWAY INTERNATIONAL SUPPLY CHAIN SERVICES (THAILAND) CO., LTD.</t>
        </is>
      </c>
      <c r="M1020" s="4" t="inlineStr">
        <is>
          <t>TASCO INTERNATIONAL CO., LTD.</t>
        </is>
      </c>
      <c r="N1020" s="4" t="inlineStr">
        <is>
          <t>FISH MEAL</t>
        </is>
      </c>
      <c r="O1020" s="4" t="inlineStr">
        <is>
          <t>GOOD AND CLEAN CONTAINER</t>
        </is>
      </c>
      <c r="P1020" s="4" t="inlineStr">
        <is>
          <t xml:space="preserve">[FIX]Pickup : 2026-10-17, Return : 2026-10-19 </t>
        </is>
      </c>
      <c r="Q1020" s="4" t="n">
        <v>5</v>
      </c>
      <c r="R1020" s="4" t="n">
        <v>0</v>
      </c>
      <c r="S1020" s="4" t="n">
        <v>0</v>
      </c>
      <c r="T1020" s="4" t="n">
        <v>0</v>
      </c>
      <c r="U1020" s="4" t="n">
        <v>0</v>
      </c>
      <c r="V1020" s="4" t="n">
        <v>0</v>
      </c>
      <c r="W1020" s="4" t="n">
        <v>0</v>
      </c>
      <c r="X1020" s="4" t="n">
        <v>0</v>
      </c>
      <c r="Y1020" s="4" t="n">
        <v>0</v>
      </c>
      <c r="Z1020" s="4" t="n">
        <v>0</v>
      </c>
      <c r="AA1020" s="4" t="n">
        <v>0</v>
      </c>
      <c r="AB1020" s="4">
        <f>SUM(Q1020:Y1020)-Z1020</f>
        <v/>
      </c>
      <c r="AC1020" s="4">
        <f>IF(I1020="","",IF(OR(LEFT(I1020,3)="BKK",I1020="LCH55"),"BKK",IF(LEFT(I1020,3)="LCH","LCH","OTHER")))</f>
        <v/>
      </c>
      <c r="AD1020" s="4">
        <f>MAX(0,Q1020-MAX(0,Z1020))</f>
        <v/>
      </c>
      <c r="AE1020" s="4">
        <f>MAX(0,R1020-MAX(0,Z1020-SUM(Q1020:Q1020)))</f>
        <v/>
      </c>
      <c r="AF1020" s="4">
        <f>MAX(0,S1020-MAX(0,Z1020-SUM(Q1020:R1020)))</f>
        <v/>
      </c>
      <c r="AG1020" s="4">
        <f>MAX(0,T1020-MAX(0,Z1020-SUM(Q1020:S1020)))</f>
        <v/>
      </c>
      <c r="AH1020" s="4">
        <f>MAX(0,U1020-MAX(0,Z1020-SUM(Q1020:T1020)))</f>
        <v/>
      </c>
      <c r="AI1020" s="4">
        <f>MAX(0,V1020-MAX(0,Z1020-SUM(Q1020:U1020)))</f>
        <v/>
      </c>
      <c r="AJ1020" s="4">
        <f>MAX(0,W1020-MAX(0,Z1020-SUM(Q1020:V1020)))</f>
        <v/>
      </c>
      <c r="AK1020" s="4">
        <f>MAX(0,X1020-MAX(0,Z1020-SUM(Q1020:W1020)))</f>
        <v/>
      </c>
      <c r="AL1020" s="4">
        <f>MAX(0,Y1020-MAX(0,Z1020-SUM(Q1020:X1020)))</f>
        <v/>
      </c>
    </row>
    <row r="1021">
      <c r="A1021" s="4" t="inlineStr">
        <is>
          <t>HASLS22260901453</t>
        </is>
      </c>
      <c r="B1021" s="4" t="inlineStr">
        <is>
          <t>SWDN</t>
        </is>
      </c>
      <c r="C1021" s="4" t="inlineStr">
        <is>
          <t>2610N</t>
        </is>
      </c>
      <c r="D1021" s="4" t="inlineStr">
        <is>
          <t>202610060900</t>
        </is>
      </c>
      <c r="E1021" s="4" t="inlineStr"/>
      <c r="F1021" s="4" t="inlineStr">
        <is>
          <t>THBKK</t>
        </is>
      </c>
      <c r="G1021" s="4" t="inlineStr">
        <is>
          <t>HKHKG</t>
        </is>
      </c>
      <c r="H1021" s="4" t="inlineStr">
        <is>
          <t xml:space="preserve">40Hx3 </t>
        </is>
      </c>
      <c r="I1021" s="4" t="inlineStr">
        <is>
          <t>BKK25</t>
        </is>
      </c>
      <c r="J1021" s="4" t="inlineStr">
        <is>
          <t xml:space="preserve">Smart Logistics Service (Thailand ) Co.,Ltd. </t>
        </is>
      </c>
      <c r="K1021" s="4" t="inlineStr">
        <is>
          <t>20260925</t>
        </is>
      </c>
      <c r="L1021" s="4" t="inlineStr">
        <is>
          <t>SS EXCELLENT NETWORK CO.,LTD</t>
        </is>
      </c>
      <c r="M1021" s="4" t="inlineStr">
        <is>
          <t>SS EXCELLENT NETWORK CO.,LTD</t>
        </is>
      </c>
      <c r="N1021" s="4" t="inlineStr">
        <is>
          <t>COPPER INGOT</t>
        </is>
      </c>
      <c r="O1021" s="4" t="inlineStr">
        <is>
          <t>RQST CONTAINER 32.5 TONS .</t>
        </is>
      </c>
      <c r="P1021" s="4" t="inlineStr">
        <is>
          <t xml:space="preserve">Pickup : 2026-09-25, Return : 2026-09-26 </t>
        </is>
      </c>
      <c r="Q1021" s="4" t="n">
        <v>0</v>
      </c>
      <c r="R1021" s="4" t="n">
        <v>0</v>
      </c>
      <c r="S1021" s="4" t="n">
        <v>3</v>
      </c>
      <c r="T1021" s="4" t="n">
        <v>0</v>
      </c>
      <c r="U1021" s="4" t="n">
        <v>0</v>
      </c>
      <c r="V1021" s="4" t="n">
        <v>0</v>
      </c>
      <c r="W1021" s="4" t="n">
        <v>0</v>
      </c>
      <c r="X1021" s="4" t="n">
        <v>0</v>
      </c>
      <c r="Y1021" s="4" t="n">
        <v>0</v>
      </c>
      <c r="Z1021" s="4" t="n">
        <v>0</v>
      </c>
      <c r="AA1021" s="4" t="n">
        <v>0</v>
      </c>
      <c r="AB1021" s="4">
        <f>SUM(Q1021:Y1021)-Z1021</f>
        <v/>
      </c>
      <c r="AC1021" s="4">
        <f>IF(I1021="","",IF(OR(LEFT(I1021,3)="BKK",I1021="LCH55"),"BKK",IF(LEFT(I1021,3)="LCH","LCH","OTHER")))</f>
        <v/>
      </c>
      <c r="AD1021" s="4">
        <f>MAX(0,Q1021-MAX(0,Z1021))</f>
        <v/>
      </c>
      <c r="AE1021" s="4">
        <f>MAX(0,R1021-MAX(0,Z1021-SUM(Q1021:Q1021)))</f>
        <v/>
      </c>
      <c r="AF1021" s="4">
        <f>MAX(0,S1021-MAX(0,Z1021-SUM(Q1021:R1021)))</f>
        <v/>
      </c>
      <c r="AG1021" s="4">
        <f>MAX(0,T1021-MAX(0,Z1021-SUM(Q1021:S1021)))</f>
        <v/>
      </c>
      <c r="AH1021" s="4">
        <f>MAX(0,U1021-MAX(0,Z1021-SUM(Q1021:T1021)))</f>
        <v/>
      </c>
      <c r="AI1021" s="4">
        <f>MAX(0,V1021-MAX(0,Z1021-SUM(Q1021:U1021)))</f>
        <v/>
      </c>
      <c r="AJ1021" s="4">
        <f>MAX(0,W1021-MAX(0,Z1021-SUM(Q1021:V1021)))</f>
        <v/>
      </c>
      <c r="AK1021" s="4">
        <f>MAX(0,X1021-MAX(0,Z1021-SUM(Q1021:W1021)))</f>
        <v/>
      </c>
      <c r="AL1021" s="4">
        <f>MAX(0,Y1021-MAX(0,Z1021-SUM(Q1021:X1021)))</f>
        <v/>
      </c>
    </row>
    <row r="1022">
      <c r="A1022" s="4" t="inlineStr">
        <is>
          <t>HASLS22260901491</t>
        </is>
      </c>
      <c r="B1022" s="4" t="inlineStr">
        <is>
          <t>SWMM</t>
        </is>
      </c>
      <c r="C1022" s="4" t="inlineStr">
        <is>
          <t>2610N</t>
        </is>
      </c>
      <c r="D1022" s="4" t="inlineStr">
        <is>
          <t>202610210400</t>
        </is>
      </c>
      <c r="E1022" s="4" t="inlineStr"/>
      <c r="F1022" s="4" t="inlineStr">
        <is>
          <t>THBKK</t>
        </is>
      </c>
      <c r="G1022" s="4" t="inlineStr">
        <is>
          <t>VNSGN</t>
        </is>
      </c>
      <c r="H1022" s="4" t="inlineStr">
        <is>
          <t xml:space="preserve">40Hx1 20'x1 </t>
        </is>
      </c>
      <c r="I1022" s="4" t="inlineStr">
        <is>
          <t>BKK25</t>
        </is>
      </c>
      <c r="J1022" s="4" t="inlineStr">
        <is>
          <t xml:space="preserve">Smart Logistics Service (Thailand ) Co.,Ltd. </t>
        </is>
      </c>
      <c r="K1022" s="4" t="inlineStr">
        <is>
          <t>20260914</t>
        </is>
      </c>
      <c r="L1022" s="4" t="inlineStr">
        <is>
          <t>DYNAMIC INTERTRANSPORT CO., LTD.</t>
        </is>
      </c>
      <c r="M1022" s="4" t="inlineStr">
        <is>
          <t>UCHIYAMA(THAILAND)CO.,LTD.</t>
        </is>
      </c>
      <c r="N1022" s="4" t="inlineStr">
        <is>
          <t>SPARE PART</t>
        </is>
      </c>
      <c r="O1022" s="4" t="inlineStr">
        <is>
          <t>REQ CLEAN CONTAINER AND GRADE A</t>
        </is>
      </c>
      <c r="P1022" s="4" t="inlineStr">
        <is>
          <t>Pickup : 2026-09-14, Return : 2026-09-15</t>
        </is>
      </c>
      <c r="Q1022" s="4" t="n">
        <v>1</v>
      </c>
      <c r="R1022" s="4" t="n">
        <v>0</v>
      </c>
      <c r="S1022" s="4" t="n">
        <v>1</v>
      </c>
      <c r="T1022" s="4" t="n">
        <v>0</v>
      </c>
      <c r="U1022" s="4" t="n">
        <v>0</v>
      </c>
      <c r="V1022" s="4" t="n">
        <v>0</v>
      </c>
      <c r="W1022" s="4" t="n">
        <v>0</v>
      </c>
      <c r="X1022" s="4" t="n">
        <v>0</v>
      </c>
      <c r="Y1022" s="4" t="n">
        <v>0</v>
      </c>
      <c r="Z1022" s="4" t="n">
        <v>0</v>
      </c>
      <c r="AA1022" s="4" t="n">
        <v>0</v>
      </c>
      <c r="AB1022" s="4">
        <f>SUM(Q1022:Y1022)-Z1022</f>
        <v/>
      </c>
      <c r="AC1022" s="4">
        <f>IF(I1022="","",IF(OR(LEFT(I1022,3)="BKK",I1022="LCH55"),"BKK",IF(LEFT(I1022,3)="LCH","LCH","OTHER")))</f>
        <v/>
      </c>
      <c r="AD1022" s="4">
        <f>MAX(0,Q1022-MAX(0,Z1022))</f>
        <v/>
      </c>
      <c r="AE1022" s="4">
        <f>MAX(0,R1022-MAX(0,Z1022-SUM(Q1022:Q1022)))</f>
        <v/>
      </c>
      <c r="AF1022" s="4">
        <f>MAX(0,S1022-MAX(0,Z1022-SUM(Q1022:R1022)))</f>
        <v/>
      </c>
      <c r="AG1022" s="4">
        <f>MAX(0,T1022-MAX(0,Z1022-SUM(Q1022:S1022)))</f>
        <v/>
      </c>
      <c r="AH1022" s="4">
        <f>MAX(0,U1022-MAX(0,Z1022-SUM(Q1022:T1022)))</f>
        <v/>
      </c>
      <c r="AI1022" s="4">
        <f>MAX(0,V1022-MAX(0,Z1022-SUM(Q1022:U1022)))</f>
        <v/>
      </c>
      <c r="AJ1022" s="4">
        <f>MAX(0,W1022-MAX(0,Z1022-SUM(Q1022:V1022)))</f>
        <v/>
      </c>
      <c r="AK1022" s="4">
        <f>MAX(0,X1022-MAX(0,Z1022-SUM(Q1022:W1022)))</f>
        <v/>
      </c>
      <c r="AL1022" s="4">
        <f>MAX(0,Y1022-MAX(0,Z1022-SUM(Q1022:X1022)))</f>
        <v/>
      </c>
    </row>
    <row r="1023">
      <c r="A1023" s="4" t="inlineStr">
        <is>
          <t>HASLS22260901511</t>
        </is>
      </c>
      <c r="B1023" s="4" t="inlineStr">
        <is>
          <t>SWAL</t>
        </is>
      </c>
      <c r="C1023" s="4" t="inlineStr">
        <is>
          <t>2609N</t>
        </is>
      </c>
      <c r="D1023" s="4" t="inlineStr">
        <is>
          <t>202610191500</t>
        </is>
      </c>
      <c r="E1023" s="4" t="inlineStr"/>
      <c r="F1023" s="4" t="inlineStr">
        <is>
          <t>THBKK</t>
        </is>
      </c>
      <c r="G1023" s="4" t="inlineStr">
        <is>
          <t>VNSGN</t>
        </is>
      </c>
      <c r="H1023" s="4" t="inlineStr">
        <is>
          <t xml:space="preserve">20'x5 </t>
        </is>
      </c>
      <c r="I1023" s="4" t="inlineStr">
        <is>
          <t>BKK25</t>
        </is>
      </c>
      <c r="J1023" s="4" t="inlineStr">
        <is>
          <t xml:space="preserve">Smart Logistics Service (Thailand ) Co.,Ltd. </t>
        </is>
      </c>
      <c r="K1023" s="4" t="inlineStr">
        <is>
          <t>20261015</t>
        </is>
      </c>
      <c r="L1023" s="4" t="inlineStr">
        <is>
          <t>POLAR STAR CO., LTD.</t>
        </is>
      </c>
      <c r="M1023" s="4" t="inlineStr">
        <is>
          <t>EVERSHINING INGREDIENT CO.,LTD.</t>
        </is>
      </c>
      <c r="N1023" s="4" t="inlineStr">
        <is>
          <t>PROTEIN ANIMAL</t>
        </is>
      </c>
      <c r="O1023" s="4" t="inlineStr">
        <is>
          <t>GOOD AND CLEAN CONTAINER</t>
        </is>
      </c>
      <c r="P1023" s="4" t="inlineStr">
        <is>
          <t>Pickup : 2026-10-15, Return : 2026-10-16</t>
        </is>
      </c>
      <c r="Q1023" s="4" t="n">
        <v>5</v>
      </c>
      <c r="R1023" s="4" t="n">
        <v>0</v>
      </c>
      <c r="S1023" s="4" t="n">
        <v>0</v>
      </c>
      <c r="T1023" s="4" t="n">
        <v>0</v>
      </c>
      <c r="U1023" s="4" t="n">
        <v>0</v>
      </c>
      <c r="V1023" s="4" t="n">
        <v>0</v>
      </c>
      <c r="W1023" s="4" t="n">
        <v>0</v>
      </c>
      <c r="X1023" s="4" t="n">
        <v>0</v>
      </c>
      <c r="Y1023" s="4" t="n">
        <v>0</v>
      </c>
      <c r="Z1023" s="4" t="n">
        <v>0</v>
      </c>
      <c r="AA1023" s="4" t="n">
        <v>0</v>
      </c>
      <c r="AB1023" s="4">
        <f>SUM(Q1023:Y1023)-Z1023</f>
        <v/>
      </c>
      <c r="AC1023" s="4">
        <f>IF(I1023="","",IF(OR(LEFT(I1023,3)="BKK",I1023="LCH55"),"BKK",IF(LEFT(I1023,3)="LCH","LCH","OTHER")))</f>
        <v/>
      </c>
      <c r="AD1023" s="4">
        <f>MAX(0,Q1023-MAX(0,Z1023))</f>
        <v/>
      </c>
      <c r="AE1023" s="4">
        <f>MAX(0,R1023-MAX(0,Z1023-SUM(Q1023:Q1023)))</f>
        <v/>
      </c>
      <c r="AF1023" s="4">
        <f>MAX(0,S1023-MAX(0,Z1023-SUM(Q1023:R1023)))</f>
        <v/>
      </c>
      <c r="AG1023" s="4">
        <f>MAX(0,T1023-MAX(0,Z1023-SUM(Q1023:S1023)))</f>
        <v/>
      </c>
      <c r="AH1023" s="4">
        <f>MAX(0,U1023-MAX(0,Z1023-SUM(Q1023:T1023)))</f>
        <v/>
      </c>
      <c r="AI1023" s="4">
        <f>MAX(0,V1023-MAX(0,Z1023-SUM(Q1023:U1023)))</f>
        <v/>
      </c>
      <c r="AJ1023" s="4">
        <f>MAX(0,W1023-MAX(0,Z1023-SUM(Q1023:V1023)))</f>
        <v/>
      </c>
      <c r="AK1023" s="4">
        <f>MAX(0,X1023-MAX(0,Z1023-SUM(Q1023:W1023)))</f>
        <v/>
      </c>
      <c r="AL1023" s="4">
        <f>MAX(0,Y1023-MAX(0,Z1023-SUM(Q1023:X1023)))</f>
        <v/>
      </c>
    </row>
    <row r="1024">
      <c r="A1024" s="4" t="inlineStr">
        <is>
          <t>HASLS22260901547</t>
        </is>
      </c>
      <c r="B1024" s="4" t="inlineStr">
        <is>
          <t>KMTP</t>
        </is>
      </c>
      <c r="C1024" s="4" t="inlineStr">
        <is>
          <t>2612N</t>
        </is>
      </c>
      <c r="D1024" s="4" t="inlineStr">
        <is>
          <t>202610120800</t>
        </is>
      </c>
      <c r="E1024" s="4" t="inlineStr"/>
      <c r="F1024" s="4" t="inlineStr">
        <is>
          <t>THBKK</t>
        </is>
      </c>
      <c r="G1024" s="4" t="inlineStr">
        <is>
          <t>HKHKG</t>
        </is>
      </c>
      <c r="H1024" s="4" t="inlineStr">
        <is>
          <t xml:space="preserve">40Hx3 </t>
        </is>
      </c>
      <c r="I1024" s="4" t="inlineStr">
        <is>
          <t>BKK25</t>
        </is>
      </c>
      <c r="J1024" s="4" t="inlineStr">
        <is>
          <t xml:space="preserve">Smart Logistics Service (Thailand ) Co.,Ltd. </t>
        </is>
      </c>
      <c r="K1024" s="4" t="inlineStr">
        <is>
          <t>20261006</t>
        </is>
      </c>
      <c r="L1024" s="4" t="inlineStr">
        <is>
          <t>FULL WELL FREIGHT (THAILAND) CO., LTD.</t>
        </is>
      </c>
      <c r="M1024" s="4" t="inlineStr">
        <is>
          <t>YEARRAKARN CO., LTD.</t>
        </is>
      </c>
      <c r="N1024" s="4" t="inlineStr">
        <is>
          <t>NON-DAIRY CERAMER</t>
        </is>
      </c>
      <c r="O1024" s="4" t="inlineStr">
        <is>
          <t>Food Grade Container Only</t>
        </is>
      </c>
      <c r="P1024" s="4" t="inlineStr">
        <is>
          <t>Pickup : 2026-10-06, Return : 2026-10-07</t>
        </is>
      </c>
      <c r="Q1024" s="4" t="n">
        <v>0</v>
      </c>
      <c r="R1024" s="4" t="n">
        <v>0</v>
      </c>
      <c r="S1024" s="4" t="n">
        <v>3</v>
      </c>
      <c r="T1024" s="4" t="n">
        <v>0</v>
      </c>
      <c r="U1024" s="4" t="n">
        <v>0</v>
      </c>
      <c r="V1024" s="4" t="n">
        <v>0</v>
      </c>
      <c r="W1024" s="4" t="n">
        <v>0</v>
      </c>
      <c r="X1024" s="4" t="n">
        <v>0</v>
      </c>
      <c r="Y1024" s="4" t="n">
        <v>0</v>
      </c>
      <c r="Z1024" s="4" t="n">
        <v>0</v>
      </c>
      <c r="AA1024" s="4" t="n">
        <v>0</v>
      </c>
      <c r="AB1024" s="4">
        <f>SUM(Q1024:Y1024)-Z1024</f>
        <v/>
      </c>
      <c r="AC1024" s="4">
        <f>IF(I1024="","",IF(OR(LEFT(I1024,3)="BKK",I1024="LCH55"),"BKK",IF(LEFT(I1024,3)="LCH","LCH","OTHER")))</f>
        <v/>
      </c>
      <c r="AD1024" s="4">
        <f>MAX(0,Q1024-MAX(0,Z1024))</f>
        <v/>
      </c>
      <c r="AE1024" s="4">
        <f>MAX(0,R1024-MAX(0,Z1024-SUM(Q1024:Q1024)))</f>
        <v/>
      </c>
      <c r="AF1024" s="4">
        <f>MAX(0,S1024-MAX(0,Z1024-SUM(Q1024:R1024)))</f>
        <v/>
      </c>
      <c r="AG1024" s="4">
        <f>MAX(0,T1024-MAX(0,Z1024-SUM(Q1024:S1024)))</f>
        <v/>
      </c>
      <c r="AH1024" s="4">
        <f>MAX(0,U1024-MAX(0,Z1024-SUM(Q1024:T1024)))</f>
        <v/>
      </c>
      <c r="AI1024" s="4">
        <f>MAX(0,V1024-MAX(0,Z1024-SUM(Q1024:U1024)))</f>
        <v/>
      </c>
      <c r="AJ1024" s="4">
        <f>MAX(0,W1024-MAX(0,Z1024-SUM(Q1024:V1024)))</f>
        <v/>
      </c>
      <c r="AK1024" s="4">
        <f>MAX(0,X1024-MAX(0,Z1024-SUM(Q1024:W1024)))</f>
        <v/>
      </c>
      <c r="AL1024" s="4">
        <f>MAX(0,Y1024-MAX(0,Z1024-SUM(Q1024:X1024)))</f>
        <v/>
      </c>
    </row>
    <row r="1025">
      <c r="A1025" s="4" t="inlineStr">
        <is>
          <t>HASLS22260901581</t>
        </is>
      </c>
      <c r="B1025" s="4" t="inlineStr">
        <is>
          <t>SWSP</t>
        </is>
      </c>
      <c r="C1025" s="4" t="inlineStr">
        <is>
          <t>2609N</t>
        </is>
      </c>
      <c r="D1025" s="4" t="inlineStr">
        <is>
          <t>202610071530</t>
        </is>
      </c>
      <c r="E1025" s="4" t="inlineStr"/>
      <c r="F1025" s="4" t="inlineStr">
        <is>
          <t>THBKK</t>
        </is>
      </c>
      <c r="G1025" s="4" t="inlineStr">
        <is>
          <t>VNSGN</t>
        </is>
      </c>
      <c r="H1025" s="4" t="inlineStr">
        <is>
          <t xml:space="preserve">20'x1 </t>
        </is>
      </c>
      <c r="I1025" s="4" t="inlineStr">
        <is>
          <t>BKK25</t>
        </is>
      </c>
      <c r="J1025" s="4" t="inlineStr">
        <is>
          <t xml:space="preserve">Smart Logistics Service (Thailand ) Co.,Ltd. </t>
        </is>
      </c>
      <c r="K1025" s="4" t="inlineStr">
        <is>
          <t>20261001</t>
        </is>
      </c>
      <c r="L1025" s="4" t="inlineStr">
        <is>
          <t>BEE LOGISTICS (THAILAND) CO., LTD.</t>
        </is>
      </c>
      <c r="M1025" s="4" t="inlineStr">
        <is>
          <t>AJINOMOTO CO., (THAILAND) LTD.</t>
        </is>
      </c>
      <c r="N1025" s="4" t="inlineStr">
        <is>
          <t>AJITIDE I+G</t>
        </is>
      </c>
      <c r="O1025" s="4" t="inlineStr">
        <is>
          <t>PLS ARRANGE GRADE A CONTAINER FOR FOODSTUFF PRODUCT WITH 6 RINGS IN ORDER TO HOOK NET IN THE CONTAINER.</t>
        </is>
      </c>
      <c r="P1025" s="4" t="inlineStr">
        <is>
          <t>Pickup : 2026-10-01, Return : 2026-10-02</t>
        </is>
      </c>
      <c r="Q1025" s="4" t="n">
        <v>1</v>
      </c>
      <c r="R1025" s="4" t="n">
        <v>0</v>
      </c>
      <c r="S1025" s="4" t="n">
        <v>0</v>
      </c>
      <c r="T1025" s="4" t="n">
        <v>0</v>
      </c>
      <c r="U1025" s="4" t="n">
        <v>0</v>
      </c>
      <c r="V1025" s="4" t="n">
        <v>0</v>
      </c>
      <c r="W1025" s="4" t="n">
        <v>0</v>
      </c>
      <c r="X1025" s="4" t="n">
        <v>0</v>
      </c>
      <c r="Y1025" s="4" t="n">
        <v>0</v>
      </c>
      <c r="Z1025" s="4" t="n">
        <v>0</v>
      </c>
      <c r="AA1025" s="4" t="n">
        <v>0</v>
      </c>
      <c r="AB1025" s="4">
        <f>SUM(Q1025:Y1025)-Z1025</f>
        <v/>
      </c>
      <c r="AC1025" s="4">
        <f>IF(I1025="","",IF(OR(LEFT(I1025,3)="BKK",I1025="LCH55"),"BKK",IF(LEFT(I1025,3)="LCH","LCH","OTHER")))</f>
        <v/>
      </c>
      <c r="AD1025" s="4">
        <f>MAX(0,Q1025-MAX(0,Z1025))</f>
        <v/>
      </c>
      <c r="AE1025" s="4">
        <f>MAX(0,R1025-MAX(0,Z1025-SUM(Q1025:Q1025)))</f>
        <v/>
      </c>
      <c r="AF1025" s="4">
        <f>MAX(0,S1025-MAX(0,Z1025-SUM(Q1025:R1025)))</f>
        <v/>
      </c>
      <c r="AG1025" s="4">
        <f>MAX(0,T1025-MAX(0,Z1025-SUM(Q1025:S1025)))</f>
        <v/>
      </c>
      <c r="AH1025" s="4">
        <f>MAX(0,U1025-MAX(0,Z1025-SUM(Q1025:T1025)))</f>
        <v/>
      </c>
      <c r="AI1025" s="4">
        <f>MAX(0,V1025-MAX(0,Z1025-SUM(Q1025:U1025)))</f>
        <v/>
      </c>
      <c r="AJ1025" s="4">
        <f>MAX(0,W1025-MAX(0,Z1025-SUM(Q1025:V1025)))</f>
        <v/>
      </c>
      <c r="AK1025" s="4">
        <f>MAX(0,X1025-MAX(0,Z1025-SUM(Q1025:W1025)))</f>
        <v/>
      </c>
      <c r="AL1025" s="4">
        <f>MAX(0,Y1025-MAX(0,Z1025-SUM(Q1025:X1025)))</f>
        <v/>
      </c>
    </row>
    <row r="1026">
      <c r="A1026" s="4" t="inlineStr">
        <is>
          <t>HASLS22260901595</t>
        </is>
      </c>
      <c r="B1026" s="4" t="inlineStr">
        <is>
          <t>SWIC</t>
        </is>
      </c>
      <c r="C1026" s="4" t="inlineStr">
        <is>
          <t>2611N</t>
        </is>
      </c>
      <c r="D1026" s="4" t="inlineStr">
        <is>
          <t>202610130700</t>
        </is>
      </c>
      <c r="E1026" s="4" t="inlineStr"/>
      <c r="F1026" s="4" t="inlineStr">
        <is>
          <t>THBKK</t>
        </is>
      </c>
      <c r="G1026" s="4" t="inlineStr">
        <is>
          <t>VNSGN</t>
        </is>
      </c>
      <c r="H1026" s="4" t="inlineStr">
        <is>
          <t xml:space="preserve">20'x5 </t>
        </is>
      </c>
      <c r="I1026" s="4" t="inlineStr">
        <is>
          <t>BKK25</t>
        </is>
      </c>
      <c r="J1026" s="4" t="inlineStr">
        <is>
          <t xml:space="preserve">Smart Logistics Service (Thailand ) Co.,Ltd. </t>
        </is>
      </c>
      <c r="K1026" s="4" t="inlineStr">
        <is>
          <t>20261008</t>
        </is>
      </c>
      <c r="L1026" s="4" t="inlineStr">
        <is>
          <t>C.P. INTERTRADE CO., LTD.</t>
        </is>
      </c>
      <c r="M1026" s="4" t="inlineStr">
        <is>
          <t>CHAROEN POKPHAND PRODUCE CO., LTD.</t>
        </is>
      </c>
      <c r="N1026" s="4" t="inlineStr">
        <is>
          <t>CORN SEEDS</t>
        </is>
      </c>
      <c r="O1026" s="4" t="inlineStr">
        <is>
          <t>CLEAN AND GOOD CONTAINER GRADE A</t>
        </is>
      </c>
      <c r="P1026" s="4" t="inlineStr">
        <is>
          <t>Pickup : 2026-10-08, Return : 2026-10-09</t>
        </is>
      </c>
      <c r="Q1026" s="4" t="n">
        <v>5</v>
      </c>
      <c r="R1026" s="4" t="n">
        <v>0</v>
      </c>
      <c r="S1026" s="4" t="n">
        <v>0</v>
      </c>
      <c r="T1026" s="4" t="n">
        <v>0</v>
      </c>
      <c r="U1026" s="4" t="n">
        <v>0</v>
      </c>
      <c r="V1026" s="4" t="n">
        <v>0</v>
      </c>
      <c r="W1026" s="4" t="n">
        <v>0</v>
      </c>
      <c r="X1026" s="4" t="n">
        <v>0</v>
      </c>
      <c r="Y1026" s="4" t="n">
        <v>0</v>
      </c>
      <c r="Z1026" s="4" t="n">
        <v>0</v>
      </c>
      <c r="AA1026" s="4" t="n">
        <v>0</v>
      </c>
      <c r="AB1026" s="4">
        <f>SUM(Q1026:Y1026)-Z1026</f>
        <v/>
      </c>
      <c r="AC1026" s="4">
        <f>IF(I1026="","",IF(OR(LEFT(I1026,3)="BKK",I1026="LCH55"),"BKK",IF(LEFT(I1026,3)="LCH","LCH","OTHER")))</f>
        <v/>
      </c>
      <c r="AD1026" s="4">
        <f>MAX(0,Q1026-MAX(0,Z1026))</f>
        <v/>
      </c>
      <c r="AE1026" s="4">
        <f>MAX(0,R1026-MAX(0,Z1026-SUM(Q1026:Q1026)))</f>
        <v/>
      </c>
      <c r="AF1026" s="4">
        <f>MAX(0,S1026-MAX(0,Z1026-SUM(Q1026:R1026)))</f>
        <v/>
      </c>
      <c r="AG1026" s="4">
        <f>MAX(0,T1026-MAX(0,Z1026-SUM(Q1026:S1026)))</f>
        <v/>
      </c>
      <c r="AH1026" s="4">
        <f>MAX(0,U1026-MAX(0,Z1026-SUM(Q1026:T1026)))</f>
        <v/>
      </c>
      <c r="AI1026" s="4">
        <f>MAX(0,V1026-MAX(0,Z1026-SUM(Q1026:U1026)))</f>
        <v/>
      </c>
      <c r="AJ1026" s="4">
        <f>MAX(0,W1026-MAX(0,Z1026-SUM(Q1026:V1026)))</f>
        <v/>
      </c>
      <c r="AK1026" s="4">
        <f>MAX(0,X1026-MAX(0,Z1026-SUM(Q1026:W1026)))</f>
        <v/>
      </c>
      <c r="AL1026" s="4">
        <f>MAX(0,Y1026-MAX(0,Z1026-SUM(Q1026:X1026)))</f>
        <v/>
      </c>
    </row>
    <row r="1027">
      <c r="A1027" s="4" t="inlineStr">
        <is>
          <t>HASLS22260901726</t>
        </is>
      </c>
      <c r="B1027" s="4" t="inlineStr">
        <is>
          <t>PGPO</t>
        </is>
      </c>
      <c r="C1027" s="4" t="inlineStr">
        <is>
          <t>2612N</t>
        </is>
      </c>
      <c r="D1027" s="4" t="inlineStr">
        <is>
          <t>202610141800</t>
        </is>
      </c>
      <c r="E1027" s="4" t="inlineStr"/>
      <c r="F1027" s="4" t="inlineStr">
        <is>
          <t>THBKK</t>
        </is>
      </c>
      <c r="G1027" s="4" t="inlineStr">
        <is>
          <t>KRKAN</t>
        </is>
      </c>
      <c r="H1027" s="4" t="inlineStr">
        <is>
          <t xml:space="preserve">40Hx2 </t>
        </is>
      </c>
      <c r="I1027" s="4" t="inlineStr">
        <is>
          <t>BKK25</t>
        </is>
      </c>
      <c r="J1027" s="4" t="inlineStr">
        <is>
          <t xml:space="preserve">Smart Logistics Service (Thailand ) Co.,Ltd. </t>
        </is>
      </c>
      <c r="K1027" s="4" t="inlineStr">
        <is>
          <t>20261009</t>
        </is>
      </c>
      <c r="L1027" s="4" t="inlineStr">
        <is>
          <t>HARPERS SEA FREIGHT CO., LTD.</t>
        </is>
      </c>
      <c r="M1027" s="4" t="inlineStr">
        <is>
          <t>THAI ASAHI CO., LTD.</t>
        </is>
      </c>
      <c r="N1027" s="4" t="inlineStr">
        <is>
          <t xml:space="preserve">POTATO STARCH </t>
        </is>
      </c>
      <c r="O1027" s="4" t="inlineStr">
        <is>
          <t>Grade A and food grade container</t>
        </is>
      </c>
      <c r="P1027" s="4" t="inlineStr">
        <is>
          <t>Pickup : 2026-10-09, Return : 2026-10-10</t>
        </is>
      </c>
      <c r="Q1027" s="4" t="n">
        <v>0</v>
      </c>
      <c r="R1027" s="4" t="n">
        <v>0</v>
      </c>
      <c r="S1027" s="4" t="n">
        <v>2</v>
      </c>
      <c r="T1027" s="4" t="n">
        <v>0</v>
      </c>
      <c r="U1027" s="4" t="n">
        <v>0</v>
      </c>
      <c r="V1027" s="4" t="n">
        <v>0</v>
      </c>
      <c r="W1027" s="4" t="n">
        <v>0</v>
      </c>
      <c r="X1027" s="4" t="n">
        <v>0</v>
      </c>
      <c r="Y1027" s="4" t="n">
        <v>0</v>
      </c>
      <c r="Z1027" s="4" t="n">
        <v>0</v>
      </c>
      <c r="AA1027" s="4" t="n">
        <v>0</v>
      </c>
      <c r="AB1027" s="4">
        <f>SUM(Q1027:Y1027)-Z1027</f>
        <v/>
      </c>
      <c r="AC1027" s="4">
        <f>IF(I1027="","",IF(OR(LEFT(I1027,3)="BKK",I1027="LCH55"),"BKK",IF(LEFT(I1027,3)="LCH","LCH","OTHER")))</f>
        <v/>
      </c>
      <c r="AD1027" s="4">
        <f>MAX(0,Q1027-MAX(0,Z1027))</f>
        <v/>
      </c>
      <c r="AE1027" s="4">
        <f>MAX(0,R1027-MAX(0,Z1027-SUM(Q1027:Q1027)))</f>
        <v/>
      </c>
      <c r="AF1027" s="4">
        <f>MAX(0,S1027-MAX(0,Z1027-SUM(Q1027:R1027)))</f>
        <v/>
      </c>
      <c r="AG1027" s="4">
        <f>MAX(0,T1027-MAX(0,Z1027-SUM(Q1027:S1027)))</f>
        <v/>
      </c>
      <c r="AH1027" s="4">
        <f>MAX(0,U1027-MAX(0,Z1027-SUM(Q1027:T1027)))</f>
        <v/>
      </c>
      <c r="AI1027" s="4">
        <f>MAX(0,V1027-MAX(0,Z1027-SUM(Q1027:U1027)))</f>
        <v/>
      </c>
      <c r="AJ1027" s="4">
        <f>MAX(0,W1027-MAX(0,Z1027-SUM(Q1027:V1027)))</f>
        <v/>
      </c>
      <c r="AK1027" s="4">
        <f>MAX(0,X1027-MAX(0,Z1027-SUM(Q1027:W1027)))</f>
        <v/>
      </c>
      <c r="AL1027" s="4">
        <f>MAX(0,Y1027-MAX(0,Z1027-SUM(Q1027:X1027)))</f>
        <v/>
      </c>
    </row>
    <row r="1028">
      <c r="A1028" s="4" t="inlineStr">
        <is>
          <t>HASLS22260901896</t>
        </is>
      </c>
      <c r="B1028" s="4" t="inlineStr">
        <is>
          <t>DJCF</t>
        </is>
      </c>
      <c r="C1028" s="4" t="inlineStr">
        <is>
          <t>0152N</t>
        </is>
      </c>
      <c r="D1028" s="4" t="inlineStr">
        <is>
          <t>202610111000</t>
        </is>
      </c>
      <c r="E1028" s="4" t="inlineStr"/>
      <c r="F1028" s="4" t="inlineStr">
        <is>
          <t>THBKK</t>
        </is>
      </c>
      <c r="G1028" s="4" t="inlineStr">
        <is>
          <t>JPKIJ</t>
        </is>
      </c>
      <c r="H1028" s="4" t="inlineStr">
        <is>
          <t xml:space="preserve">20'x1 </t>
        </is>
      </c>
      <c r="I1028" s="4" t="inlineStr">
        <is>
          <t>BKK25</t>
        </is>
      </c>
      <c r="J1028" s="4" t="inlineStr">
        <is>
          <t xml:space="preserve">Smart Logistics Service (Thailand ) Co.,Ltd. </t>
        </is>
      </c>
      <c r="K1028" s="4" t="inlineStr">
        <is>
          <t>20261002</t>
        </is>
      </c>
      <c r="L1028" s="4" t="inlineStr">
        <is>
          <t>GENERAL FOOD PRODUCTS CO., LTD.</t>
        </is>
      </c>
      <c r="M1028" s="4" t="inlineStr">
        <is>
          <t>GFM CO., LTD.</t>
        </is>
      </c>
      <c r="N1028" s="4" t="inlineStr">
        <is>
          <t>FLOURS</t>
        </is>
      </c>
      <c r="O1028" s="4" t="inlineStr">
        <is>
          <t>Container Grade A</t>
        </is>
      </c>
      <c r="P1028" s="4" t="inlineStr">
        <is>
          <t>Pickup : 2026-10-02, Return : 2026-10-07</t>
        </is>
      </c>
      <c r="Q1028" s="4" t="n">
        <v>1</v>
      </c>
      <c r="R1028" s="4" t="n">
        <v>0</v>
      </c>
      <c r="S1028" s="4" t="n">
        <v>0</v>
      </c>
      <c r="T1028" s="4" t="n">
        <v>0</v>
      </c>
      <c r="U1028" s="4" t="n">
        <v>0</v>
      </c>
      <c r="V1028" s="4" t="n">
        <v>0</v>
      </c>
      <c r="W1028" s="4" t="n">
        <v>0</v>
      </c>
      <c r="X1028" s="4" t="n">
        <v>0</v>
      </c>
      <c r="Y1028" s="4" t="n">
        <v>0</v>
      </c>
      <c r="Z1028" s="4" t="n">
        <v>0</v>
      </c>
      <c r="AA1028" s="4" t="n">
        <v>0</v>
      </c>
      <c r="AB1028" s="4">
        <f>SUM(Q1028:Y1028)-Z1028</f>
        <v/>
      </c>
      <c r="AC1028" s="4">
        <f>IF(I1028="","",IF(OR(LEFT(I1028,3)="BKK",I1028="LCH55"),"BKK",IF(LEFT(I1028,3)="LCH","LCH","OTHER")))</f>
        <v/>
      </c>
      <c r="AD1028" s="4">
        <f>MAX(0,Q1028-MAX(0,Z1028))</f>
        <v/>
      </c>
      <c r="AE1028" s="4">
        <f>MAX(0,R1028-MAX(0,Z1028-SUM(Q1028:Q1028)))</f>
        <v/>
      </c>
      <c r="AF1028" s="4">
        <f>MAX(0,S1028-MAX(0,Z1028-SUM(Q1028:R1028)))</f>
        <v/>
      </c>
      <c r="AG1028" s="4">
        <f>MAX(0,T1028-MAX(0,Z1028-SUM(Q1028:S1028)))</f>
        <v/>
      </c>
      <c r="AH1028" s="4">
        <f>MAX(0,U1028-MAX(0,Z1028-SUM(Q1028:T1028)))</f>
        <v/>
      </c>
      <c r="AI1028" s="4">
        <f>MAX(0,V1028-MAX(0,Z1028-SUM(Q1028:U1028)))</f>
        <v/>
      </c>
      <c r="AJ1028" s="4">
        <f>MAX(0,W1028-MAX(0,Z1028-SUM(Q1028:V1028)))</f>
        <v/>
      </c>
      <c r="AK1028" s="4">
        <f>MAX(0,X1028-MAX(0,Z1028-SUM(Q1028:W1028)))</f>
        <v/>
      </c>
      <c r="AL1028" s="4">
        <f>MAX(0,Y1028-MAX(0,Z1028-SUM(Q1028:X1028)))</f>
        <v/>
      </c>
    </row>
    <row r="1029">
      <c r="A1029" s="4" t="inlineStr">
        <is>
          <t>HASLS22260901974</t>
        </is>
      </c>
      <c r="B1029" s="4" t="inlineStr">
        <is>
          <t>SWSP</t>
        </is>
      </c>
      <c r="C1029" s="4" t="inlineStr">
        <is>
          <t>2609N</t>
        </is>
      </c>
      <c r="D1029" s="4" t="inlineStr">
        <is>
          <t>202610071530</t>
        </is>
      </c>
      <c r="E1029" s="4" t="inlineStr"/>
      <c r="F1029" s="4" t="inlineStr">
        <is>
          <t>THBKK</t>
        </is>
      </c>
      <c r="G1029" s="4" t="inlineStr">
        <is>
          <t>JPIYM</t>
        </is>
      </c>
      <c r="H1029" s="4" t="inlineStr">
        <is>
          <t xml:space="preserve">20'x2 </t>
        </is>
      </c>
      <c r="I1029" s="4" t="inlineStr">
        <is>
          <t>BKK25</t>
        </is>
      </c>
      <c r="J1029" s="4" t="inlineStr">
        <is>
          <t xml:space="preserve">Smart Logistics Service (Thailand ) Co.,Ltd. </t>
        </is>
      </c>
      <c r="K1029" s="4" t="inlineStr">
        <is>
          <t>20261002</t>
        </is>
      </c>
      <c r="L1029" s="4" t="inlineStr">
        <is>
          <t>SCGJWD LOGISTICS PUBLIC COMPANY LIMITED</t>
        </is>
      </c>
      <c r="M1029" s="4" t="inlineStr">
        <is>
          <t>SCG INTERNATIONAL CORPORATION CO., LTD.</t>
        </is>
      </c>
      <c r="N1029" s="4" t="inlineStr">
        <is>
          <t>COPPER SCRAP</t>
        </is>
      </c>
      <c r="O1029" s="4" t="inlineStr">
        <is>
          <t>Container clean and strong , Load by Folk lift</t>
        </is>
      </c>
      <c r="P1029" s="4" t="inlineStr">
        <is>
          <t>CY 02/10/26 , RTN 03/10/26 (JB2609183605 )1ST RETURN 03/10/26</t>
        </is>
      </c>
      <c r="Q1029" s="4" t="n">
        <v>2</v>
      </c>
      <c r="R1029" s="4" t="n">
        <v>0</v>
      </c>
      <c r="S1029" s="4" t="n">
        <v>0</v>
      </c>
      <c r="T1029" s="4" t="n">
        <v>0</v>
      </c>
      <c r="U1029" s="4" t="n">
        <v>0</v>
      </c>
      <c r="V1029" s="4" t="n">
        <v>0</v>
      </c>
      <c r="W1029" s="4" t="n">
        <v>0</v>
      </c>
      <c r="X1029" s="4" t="n">
        <v>0</v>
      </c>
      <c r="Y1029" s="4" t="n">
        <v>0</v>
      </c>
      <c r="Z1029" s="4" t="n">
        <v>0</v>
      </c>
      <c r="AA1029" s="4" t="n">
        <v>0</v>
      </c>
      <c r="AB1029" s="4">
        <f>SUM(Q1029:Y1029)-Z1029</f>
        <v/>
      </c>
      <c r="AC1029" s="4">
        <f>IF(I1029="","",IF(OR(LEFT(I1029,3)="BKK",I1029="LCH55"),"BKK",IF(LEFT(I1029,3)="LCH","LCH","OTHER")))</f>
        <v/>
      </c>
      <c r="AD1029" s="4">
        <f>MAX(0,Q1029-MAX(0,Z1029))</f>
        <v/>
      </c>
      <c r="AE1029" s="4">
        <f>MAX(0,R1029-MAX(0,Z1029-SUM(Q1029:Q1029)))</f>
        <v/>
      </c>
      <c r="AF1029" s="4">
        <f>MAX(0,S1029-MAX(0,Z1029-SUM(Q1029:R1029)))</f>
        <v/>
      </c>
      <c r="AG1029" s="4">
        <f>MAX(0,T1029-MAX(0,Z1029-SUM(Q1029:S1029)))</f>
        <v/>
      </c>
      <c r="AH1029" s="4">
        <f>MAX(0,U1029-MAX(0,Z1029-SUM(Q1029:T1029)))</f>
        <v/>
      </c>
      <c r="AI1029" s="4">
        <f>MAX(0,V1029-MAX(0,Z1029-SUM(Q1029:U1029)))</f>
        <v/>
      </c>
      <c r="AJ1029" s="4">
        <f>MAX(0,W1029-MAX(0,Z1029-SUM(Q1029:V1029)))</f>
        <v/>
      </c>
      <c r="AK1029" s="4">
        <f>MAX(0,X1029-MAX(0,Z1029-SUM(Q1029:W1029)))</f>
        <v/>
      </c>
      <c r="AL1029" s="4">
        <f>MAX(0,Y1029-MAX(0,Z1029-SUM(Q1029:X1029)))</f>
        <v/>
      </c>
    </row>
    <row r="1030">
      <c r="A1030" s="4" t="inlineStr">
        <is>
          <t>HASLS22260902001</t>
        </is>
      </c>
      <c r="B1030" s="4" t="inlineStr">
        <is>
          <t>SWBT</t>
        </is>
      </c>
      <c r="C1030" s="4" t="inlineStr">
        <is>
          <t>2616N</t>
        </is>
      </c>
      <c r="D1030" s="4" t="inlineStr">
        <is>
          <t>202610130600</t>
        </is>
      </c>
      <c r="E1030" s="4" t="inlineStr"/>
      <c r="F1030" s="4" t="inlineStr">
        <is>
          <t>THBKK</t>
        </is>
      </c>
      <c r="G1030" s="4" t="inlineStr">
        <is>
          <t>VNSGN</t>
        </is>
      </c>
      <c r="H1030" s="4" t="inlineStr">
        <is>
          <t xml:space="preserve">40Hx1 20'x1 </t>
        </is>
      </c>
      <c r="I1030" s="4" t="inlineStr">
        <is>
          <t>BKK25</t>
        </is>
      </c>
      <c r="J1030" s="4" t="inlineStr">
        <is>
          <t xml:space="preserve">Smart Logistics Service (Thailand ) Co.,Ltd. </t>
        </is>
      </c>
      <c r="K1030" s="4" t="inlineStr">
        <is>
          <t>20261008</t>
        </is>
      </c>
      <c r="L1030" s="4" t="inlineStr">
        <is>
          <t>PRIME LOGISTICS INTERNATIONAL CO., LTD.</t>
        </is>
      </c>
      <c r="M1030" s="4" t="inlineStr">
        <is>
          <t>ROYAL CAN INDUSTRIES CO., LTD.</t>
        </is>
      </c>
      <c r="N1030" s="4" t="inlineStr">
        <is>
          <t>EMPTY CANS</t>
        </is>
      </c>
      <c r="O1030" s="4" t="inlineStr">
        <is>
          <t>REQ FOOD GRADE CONTAINER</t>
        </is>
      </c>
      <c r="P1030" s="4" t="inlineStr">
        <is>
          <t xml:space="preserve">Pickup : 2026-10-08, Return : 2026-10-09 
 </t>
        </is>
      </c>
      <c r="Q1030" s="4" t="n">
        <v>1</v>
      </c>
      <c r="R1030" s="4" t="n">
        <v>0</v>
      </c>
      <c r="S1030" s="4" t="n">
        <v>1</v>
      </c>
      <c r="T1030" s="4" t="n">
        <v>0</v>
      </c>
      <c r="U1030" s="4" t="n">
        <v>0</v>
      </c>
      <c r="V1030" s="4" t="n">
        <v>0</v>
      </c>
      <c r="W1030" s="4" t="n">
        <v>0</v>
      </c>
      <c r="X1030" s="4" t="n">
        <v>0</v>
      </c>
      <c r="Y1030" s="4" t="n">
        <v>0</v>
      </c>
      <c r="Z1030" s="4" t="n">
        <v>0</v>
      </c>
      <c r="AA1030" s="4" t="n">
        <v>0</v>
      </c>
      <c r="AB1030" s="4">
        <f>SUM(Q1030:Y1030)-Z1030</f>
        <v/>
      </c>
      <c r="AC1030" s="4">
        <f>IF(I1030="","",IF(OR(LEFT(I1030,3)="BKK",I1030="LCH55"),"BKK",IF(LEFT(I1030,3)="LCH","LCH","OTHER")))</f>
        <v/>
      </c>
      <c r="AD1030" s="4">
        <f>MAX(0,Q1030-MAX(0,Z1030))</f>
        <v/>
      </c>
      <c r="AE1030" s="4">
        <f>MAX(0,R1030-MAX(0,Z1030-SUM(Q1030:Q1030)))</f>
        <v/>
      </c>
      <c r="AF1030" s="4">
        <f>MAX(0,S1030-MAX(0,Z1030-SUM(Q1030:R1030)))</f>
        <v/>
      </c>
      <c r="AG1030" s="4">
        <f>MAX(0,T1030-MAX(0,Z1030-SUM(Q1030:S1030)))</f>
        <v/>
      </c>
      <c r="AH1030" s="4">
        <f>MAX(0,U1030-MAX(0,Z1030-SUM(Q1030:T1030)))</f>
        <v/>
      </c>
      <c r="AI1030" s="4">
        <f>MAX(0,V1030-MAX(0,Z1030-SUM(Q1030:U1030)))</f>
        <v/>
      </c>
      <c r="AJ1030" s="4">
        <f>MAX(0,W1030-MAX(0,Z1030-SUM(Q1030:V1030)))</f>
        <v/>
      </c>
      <c r="AK1030" s="4">
        <f>MAX(0,X1030-MAX(0,Z1030-SUM(Q1030:W1030)))</f>
        <v/>
      </c>
      <c r="AL1030" s="4">
        <f>MAX(0,Y1030-MAX(0,Z1030-SUM(Q1030:X1030)))</f>
        <v/>
      </c>
    </row>
    <row r="1031">
      <c r="A1031" s="4" t="inlineStr">
        <is>
          <t>HASLS22260902154</t>
        </is>
      </c>
      <c r="B1031" s="4" t="inlineStr">
        <is>
          <t>KJT</t>
        </is>
      </c>
      <c r="C1031" s="4" t="inlineStr">
        <is>
          <t>2611N</t>
        </is>
      </c>
      <c r="D1031" s="4" t="inlineStr">
        <is>
          <t>202610141800</t>
        </is>
      </c>
      <c r="E1031" s="4" t="inlineStr"/>
      <c r="F1031" s="4" t="inlineStr">
        <is>
          <t>THBKK</t>
        </is>
      </c>
      <c r="G1031" s="4" t="inlineStr">
        <is>
          <t>TWKEL</t>
        </is>
      </c>
      <c r="H1031" s="4" t="inlineStr">
        <is>
          <t xml:space="preserve">20'x1 </t>
        </is>
      </c>
      <c r="I1031" s="4" t="inlineStr">
        <is>
          <t>BKK25</t>
        </is>
      </c>
      <c r="J1031" s="4" t="inlineStr">
        <is>
          <t xml:space="preserve">Smart Logistics Service (Thailand ) Co.,Ltd. </t>
        </is>
      </c>
      <c r="K1031" s="4" t="inlineStr">
        <is>
          <t>20261009</t>
        </is>
      </c>
      <c r="L1031" s="4" t="inlineStr">
        <is>
          <t>ROMET INTERNATIONAL CO., LTD.</t>
        </is>
      </c>
      <c r="M1031" s="4" t="inlineStr">
        <is>
          <t>THAI HER CHERN MABLE AND GRANITE CO., LTD.</t>
        </is>
      </c>
      <c r="N1031" s="4" t="inlineStr">
        <is>
          <t>MARBLE BLOCK</t>
        </is>
      </c>
      <c r="O1031" s="4" t="inlineStr">
        <is>
          <t>GOOD AND CLEAN CTNR</t>
        </is>
      </c>
      <c r="P1031" s="4" t="inlineStr">
        <is>
          <t xml:space="preserve">CY-RTN 09-10/10/26 </t>
        </is>
      </c>
      <c r="Q1031" s="4" t="n">
        <v>1</v>
      </c>
      <c r="R1031" s="4" t="n">
        <v>0</v>
      </c>
      <c r="S1031" s="4" t="n">
        <v>0</v>
      </c>
      <c r="T1031" s="4" t="n">
        <v>0</v>
      </c>
      <c r="U1031" s="4" t="n">
        <v>0</v>
      </c>
      <c r="V1031" s="4" t="n">
        <v>0</v>
      </c>
      <c r="W1031" s="4" t="n">
        <v>0</v>
      </c>
      <c r="X1031" s="4" t="n">
        <v>0</v>
      </c>
      <c r="Y1031" s="4" t="n">
        <v>0</v>
      </c>
      <c r="Z1031" s="4" t="n">
        <v>0</v>
      </c>
      <c r="AA1031" s="4" t="n">
        <v>0</v>
      </c>
      <c r="AB1031" s="4">
        <f>SUM(Q1031:Y1031)-Z1031</f>
        <v/>
      </c>
      <c r="AC1031" s="4">
        <f>IF(I1031="","",IF(OR(LEFT(I1031,3)="BKK",I1031="LCH55"),"BKK",IF(LEFT(I1031,3)="LCH","LCH","OTHER")))</f>
        <v/>
      </c>
      <c r="AD1031" s="4">
        <f>MAX(0,Q1031-MAX(0,Z1031))</f>
        <v/>
      </c>
      <c r="AE1031" s="4">
        <f>MAX(0,R1031-MAX(0,Z1031-SUM(Q1031:Q1031)))</f>
        <v/>
      </c>
      <c r="AF1031" s="4">
        <f>MAX(0,S1031-MAX(0,Z1031-SUM(Q1031:R1031)))</f>
        <v/>
      </c>
      <c r="AG1031" s="4">
        <f>MAX(0,T1031-MAX(0,Z1031-SUM(Q1031:S1031)))</f>
        <v/>
      </c>
      <c r="AH1031" s="4">
        <f>MAX(0,U1031-MAX(0,Z1031-SUM(Q1031:T1031)))</f>
        <v/>
      </c>
      <c r="AI1031" s="4">
        <f>MAX(0,V1031-MAX(0,Z1031-SUM(Q1031:U1031)))</f>
        <v/>
      </c>
      <c r="AJ1031" s="4">
        <f>MAX(0,W1031-MAX(0,Z1031-SUM(Q1031:V1031)))</f>
        <v/>
      </c>
      <c r="AK1031" s="4">
        <f>MAX(0,X1031-MAX(0,Z1031-SUM(Q1031:W1031)))</f>
        <v/>
      </c>
      <c r="AL1031" s="4">
        <f>MAX(0,Y1031-MAX(0,Z1031-SUM(Q1031:X1031)))</f>
        <v/>
      </c>
    </row>
    <row r="1032">
      <c r="A1032" s="4" t="inlineStr">
        <is>
          <t>HASLS22260902448</t>
        </is>
      </c>
      <c r="B1032" s="4" t="inlineStr">
        <is>
          <t>SWDN</t>
        </is>
      </c>
      <c r="C1032" s="4" t="inlineStr">
        <is>
          <t>2610N</t>
        </is>
      </c>
      <c r="D1032" s="4" t="inlineStr">
        <is>
          <t>202610060900</t>
        </is>
      </c>
      <c r="E1032" s="4" t="inlineStr"/>
      <c r="F1032" s="4" t="inlineStr">
        <is>
          <t>THBKK</t>
        </is>
      </c>
      <c r="G1032" s="4" t="inlineStr">
        <is>
          <t>HKHKG</t>
        </is>
      </c>
      <c r="H1032" s="4" t="inlineStr">
        <is>
          <t xml:space="preserve">40Hx1 </t>
        </is>
      </c>
      <c r="I1032" s="4" t="inlineStr">
        <is>
          <t>BKK25</t>
        </is>
      </c>
      <c r="J1032" s="4" t="inlineStr">
        <is>
          <t xml:space="preserve">Smart Logistics Service (Thailand ) Co.,Ltd. </t>
        </is>
      </c>
      <c r="K1032" s="4" t="inlineStr">
        <is>
          <t>20260925</t>
        </is>
      </c>
      <c r="L1032" s="4" t="inlineStr">
        <is>
          <t>SS EXCELLENT NETWORK CO.,LTD</t>
        </is>
      </c>
      <c r="M1032" s="4" t="inlineStr">
        <is>
          <t>SS EXCELLENT NETWORK CO.,LTD</t>
        </is>
      </c>
      <c r="N1032" s="4" t="inlineStr">
        <is>
          <t>COPPER INGOT</t>
        </is>
      </c>
      <c r="O1032" s="4" t="inlineStr">
        <is>
          <t>RQST CONTAINER 32.5 TONS .</t>
        </is>
      </c>
      <c r="P1032" s="4" t="inlineStr">
        <is>
          <t>Pickup : 2026-09-25, Return : 2026-09-26 (1ST RETURN 29/09/26)</t>
        </is>
      </c>
      <c r="Q1032" s="4" t="n">
        <v>0</v>
      </c>
      <c r="R1032" s="4" t="n">
        <v>0</v>
      </c>
      <c r="S1032" s="4" t="n">
        <v>1</v>
      </c>
      <c r="T1032" s="4" t="n">
        <v>0</v>
      </c>
      <c r="U1032" s="4" t="n">
        <v>0</v>
      </c>
      <c r="V1032" s="4" t="n">
        <v>0</v>
      </c>
      <c r="W1032" s="4" t="n">
        <v>0</v>
      </c>
      <c r="X1032" s="4" t="n">
        <v>0</v>
      </c>
      <c r="Y1032" s="4" t="n">
        <v>0</v>
      </c>
      <c r="Z1032" s="4" t="n">
        <v>0</v>
      </c>
      <c r="AA1032" s="4" t="n">
        <v>0</v>
      </c>
      <c r="AB1032" s="4">
        <f>SUM(Q1032:Y1032)-Z1032</f>
        <v/>
      </c>
      <c r="AC1032" s="4">
        <f>IF(I1032="","",IF(OR(LEFT(I1032,3)="BKK",I1032="LCH55"),"BKK",IF(LEFT(I1032,3)="LCH","LCH","OTHER")))</f>
        <v/>
      </c>
      <c r="AD1032" s="4">
        <f>MAX(0,Q1032-MAX(0,Z1032))</f>
        <v/>
      </c>
      <c r="AE1032" s="4">
        <f>MAX(0,R1032-MAX(0,Z1032-SUM(Q1032:Q1032)))</f>
        <v/>
      </c>
      <c r="AF1032" s="4">
        <f>MAX(0,S1032-MAX(0,Z1032-SUM(Q1032:R1032)))</f>
        <v/>
      </c>
      <c r="AG1032" s="4">
        <f>MAX(0,T1032-MAX(0,Z1032-SUM(Q1032:S1032)))</f>
        <v/>
      </c>
      <c r="AH1032" s="4">
        <f>MAX(0,U1032-MAX(0,Z1032-SUM(Q1032:T1032)))</f>
        <v/>
      </c>
      <c r="AI1032" s="4">
        <f>MAX(0,V1032-MAX(0,Z1032-SUM(Q1032:U1032)))</f>
        <v/>
      </c>
      <c r="AJ1032" s="4">
        <f>MAX(0,W1032-MAX(0,Z1032-SUM(Q1032:V1032)))</f>
        <v/>
      </c>
      <c r="AK1032" s="4">
        <f>MAX(0,X1032-MAX(0,Z1032-SUM(Q1032:W1032)))</f>
        <v/>
      </c>
      <c r="AL1032" s="4">
        <f>MAX(0,Y1032-MAX(0,Z1032-SUM(Q1032:X1032)))</f>
        <v/>
      </c>
    </row>
    <row r="1033">
      <c r="A1033" s="4" t="inlineStr">
        <is>
          <t>HASLS22260902484</t>
        </is>
      </c>
      <c r="B1033" s="4" t="inlineStr">
        <is>
          <t>KMTP</t>
        </is>
      </c>
      <c r="C1033" s="4" t="inlineStr">
        <is>
          <t>2612N</t>
        </is>
      </c>
      <c r="D1033" s="4" t="inlineStr">
        <is>
          <t>202610120800</t>
        </is>
      </c>
      <c r="E1033" s="4" t="inlineStr"/>
      <c r="F1033" s="4" t="inlineStr">
        <is>
          <t>THBKK</t>
        </is>
      </c>
      <c r="G1033" s="4" t="inlineStr">
        <is>
          <t>HKHKG</t>
        </is>
      </c>
      <c r="H1033" s="4" t="inlineStr">
        <is>
          <t xml:space="preserve">40Hx1 </t>
        </is>
      </c>
      <c r="I1033" s="4" t="inlineStr">
        <is>
          <t>BKK25</t>
        </is>
      </c>
      <c r="J1033" s="4" t="inlineStr">
        <is>
          <t xml:space="preserve">Smart Logistics Service (Thailand ) Co.,Ltd. </t>
        </is>
      </c>
      <c r="K1033" s="4" t="inlineStr">
        <is>
          <t>20261008</t>
        </is>
      </c>
      <c r="L1033" s="4" t="inlineStr">
        <is>
          <t>AWOT GLOBAL LOGISTICS (THAILAND) CO., LTD.</t>
        </is>
      </c>
      <c r="M1033" s="4" t="inlineStr">
        <is>
          <t>CHINSAN ELECTRONIC INDUSTRIAL (THAILAND) CO., LTD.</t>
        </is>
      </c>
      <c r="N1033" s="4" t="inlineStr">
        <is>
          <t>CONDUCTIVE POLYMER ALUMINUM SOLID CAPACITOR</t>
        </is>
      </c>
      <c r="O1033" s="4" t="inlineStr">
        <is>
          <t>GOOD AND CLEAN CONTAINER</t>
        </is>
      </c>
      <c r="P1033" s="4" t="inlineStr">
        <is>
          <t>Pickup : 2026-10-08, Return : 2026-10-08 (1ST RETURN 08/10/26)</t>
        </is>
      </c>
      <c r="Q1033" s="4" t="n">
        <v>0</v>
      </c>
      <c r="R1033" s="4" t="n">
        <v>0</v>
      </c>
      <c r="S1033" s="4" t="n">
        <v>1</v>
      </c>
      <c r="T1033" s="4" t="n">
        <v>0</v>
      </c>
      <c r="U1033" s="4" t="n">
        <v>0</v>
      </c>
      <c r="V1033" s="4" t="n">
        <v>0</v>
      </c>
      <c r="W1033" s="4" t="n">
        <v>0</v>
      </c>
      <c r="X1033" s="4" t="n">
        <v>0</v>
      </c>
      <c r="Y1033" s="4" t="n">
        <v>0</v>
      </c>
      <c r="Z1033" s="4" t="n">
        <v>0</v>
      </c>
      <c r="AA1033" s="4" t="n">
        <v>0</v>
      </c>
      <c r="AB1033" s="4">
        <f>SUM(Q1033:Y1033)-Z1033</f>
        <v/>
      </c>
      <c r="AC1033" s="4">
        <f>IF(I1033="","",IF(OR(LEFT(I1033,3)="BKK",I1033="LCH55"),"BKK",IF(LEFT(I1033,3)="LCH","LCH","OTHER")))</f>
        <v/>
      </c>
      <c r="AD1033" s="4">
        <f>MAX(0,Q1033-MAX(0,Z1033))</f>
        <v/>
      </c>
      <c r="AE1033" s="4">
        <f>MAX(0,R1033-MAX(0,Z1033-SUM(Q1033:Q1033)))</f>
        <v/>
      </c>
      <c r="AF1033" s="4">
        <f>MAX(0,S1033-MAX(0,Z1033-SUM(Q1033:R1033)))</f>
        <v/>
      </c>
      <c r="AG1033" s="4">
        <f>MAX(0,T1033-MAX(0,Z1033-SUM(Q1033:S1033)))</f>
        <v/>
      </c>
      <c r="AH1033" s="4">
        <f>MAX(0,U1033-MAX(0,Z1033-SUM(Q1033:T1033)))</f>
        <v/>
      </c>
      <c r="AI1033" s="4">
        <f>MAX(0,V1033-MAX(0,Z1033-SUM(Q1033:U1033)))</f>
        <v/>
      </c>
      <c r="AJ1033" s="4">
        <f>MAX(0,W1033-MAX(0,Z1033-SUM(Q1033:V1033)))</f>
        <v/>
      </c>
      <c r="AK1033" s="4">
        <f>MAX(0,X1033-MAX(0,Z1033-SUM(Q1033:W1033)))</f>
        <v/>
      </c>
      <c r="AL1033" s="4">
        <f>MAX(0,Y1033-MAX(0,Z1033-SUM(Q1033:X1033)))</f>
        <v/>
      </c>
    </row>
    <row r="1034">
      <c r="A1034" s="4" t="inlineStr">
        <is>
          <t>HASLS22260902564</t>
        </is>
      </c>
      <c r="B1034" s="4" t="inlineStr">
        <is>
          <t>SWMM</t>
        </is>
      </c>
      <c r="C1034" s="4" t="inlineStr">
        <is>
          <t>2610N</t>
        </is>
      </c>
      <c r="D1034" s="4" t="inlineStr">
        <is>
          <t>202610210400</t>
        </is>
      </c>
      <c r="E1034" s="4" t="inlineStr"/>
      <c r="F1034" s="4" t="inlineStr">
        <is>
          <t>THBKK</t>
        </is>
      </c>
      <c r="G1034" s="4" t="inlineStr">
        <is>
          <t>JPKIJ</t>
        </is>
      </c>
      <c r="H1034" s="4" t="inlineStr">
        <is>
          <t xml:space="preserve">20'x4 </t>
        </is>
      </c>
      <c r="I1034" s="4" t="inlineStr">
        <is>
          <t>BKK25</t>
        </is>
      </c>
      <c r="J1034" s="4" t="inlineStr">
        <is>
          <t xml:space="preserve">Smart Logistics Service (Thailand ) Co.,Ltd. </t>
        </is>
      </c>
      <c r="K1034" s="4" t="inlineStr">
        <is>
          <t>20261012</t>
        </is>
      </c>
      <c r="L1034" s="4" t="inlineStr">
        <is>
          <t>GENERAL FOOD PRODUCTS CO., LTD.</t>
        </is>
      </c>
      <c r="M1034" s="4" t="inlineStr">
        <is>
          <t>GENERAL FOOD PRODUCTS CO., LTD.</t>
        </is>
      </c>
      <c r="N1034" s="4" t="inlineStr">
        <is>
          <t>FLOURS</t>
        </is>
      </c>
      <c r="O1034" s="4" t="inlineStr">
        <is>
          <t>Container Grade A, Underdeck</t>
        </is>
      </c>
      <c r="P1034" s="4" t="inlineStr">
        <is>
          <t xml:space="preserve">Pickup : 2026-10-12, Return : 2026-10-15 
 </t>
        </is>
      </c>
      <c r="Q1034" s="4" t="n">
        <v>4</v>
      </c>
      <c r="R1034" s="4" t="n">
        <v>0</v>
      </c>
      <c r="S1034" s="4" t="n">
        <v>0</v>
      </c>
      <c r="T1034" s="4" t="n">
        <v>0</v>
      </c>
      <c r="U1034" s="4" t="n">
        <v>0</v>
      </c>
      <c r="V1034" s="4" t="n">
        <v>0</v>
      </c>
      <c r="W1034" s="4" t="n">
        <v>0</v>
      </c>
      <c r="X1034" s="4" t="n">
        <v>0</v>
      </c>
      <c r="Y1034" s="4" t="n">
        <v>0</v>
      </c>
      <c r="Z1034" s="4" t="n">
        <v>0</v>
      </c>
      <c r="AA1034" s="4" t="n">
        <v>0</v>
      </c>
      <c r="AB1034" s="4">
        <f>SUM(Q1034:Y1034)-Z1034</f>
        <v/>
      </c>
      <c r="AC1034" s="4">
        <f>IF(I1034="","",IF(OR(LEFT(I1034,3)="BKK",I1034="LCH55"),"BKK",IF(LEFT(I1034,3)="LCH","LCH","OTHER")))</f>
        <v/>
      </c>
      <c r="AD1034" s="4">
        <f>MAX(0,Q1034-MAX(0,Z1034))</f>
        <v/>
      </c>
      <c r="AE1034" s="4">
        <f>MAX(0,R1034-MAX(0,Z1034-SUM(Q1034:Q1034)))</f>
        <v/>
      </c>
      <c r="AF1034" s="4">
        <f>MAX(0,S1034-MAX(0,Z1034-SUM(Q1034:R1034)))</f>
        <v/>
      </c>
      <c r="AG1034" s="4">
        <f>MAX(0,T1034-MAX(0,Z1034-SUM(Q1034:S1034)))</f>
        <v/>
      </c>
      <c r="AH1034" s="4">
        <f>MAX(0,U1034-MAX(0,Z1034-SUM(Q1034:T1034)))</f>
        <v/>
      </c>
      <c r="AI1034" s="4">
        <f>MAX(0,V1034-MAX(0,Z1034-SUM(Q1034:U1034)))</f>
        <v/>
      </c>
      <c r="AJ1034" s="4">
        <f>MAX(0,W1034-MAX(0,Z1034-SUM(Q1034:V1034)))</f>
        <v/>
      </c>
      <c r="AK1034" s="4">
        <f>MAX(0,X1034-MAX(0,Z1034-SUM(Q1034:W1034)))</f>
        <v/>
      </c>
      <c r="AL1034" s="4">
        <f>MAX(0,Y1034-MAX(0,Z1034-SUM(Q1034:X1034)))</f>
        <v/>
      </c>
    </row>
    <row r="1035">
      <c r="A1035" s="4" t="inlineStr">
        <is>
          <t>HASLS22260700892</t>
        </is>
      </c>
      <c r="B1035" s="4" t="inlineStr">
        <is>
          <t>DJCF</t>
        </is>
      </c>
      <c r="C1035" s="4" t="inlineStr">
        <is>
          <t>0152N</t>
        </is>
      </c>
      <c r="D1035" s="4" t="inlineStr">
        <is>
          <t>202610111000</t>
        </is>
      </c>
      <c r="E1035" s="4" t="inlineStr"/>
      <c r="F1035" s="4" t="inlineStr">
        <is>
          <t>THBKK</t>
        </is>
      </c>
      <c r="G1035" s="4" t="inlineStr">
        <is>
          <t>VNSGN</t>
        </is>
      </c>
      <c r="H1035" s="4" t="inlineStr">
        <is>
          <t xml:space="preserve">40Hx1 </t>
        </is>
      </c>
      <c r="I1035" s="4" t="inlineStr">
        <is>
          <t>BKK02</t>
        </is>
      </c>
      <c r="J1035" s="4" t="inlineStr">
        <is>
          <t>UNITHAI CONTAINER TERMINAL</t>
        </is>
      </c>
      <c r="K1035" s="4" t="inlineStr">
        <is>
          <t>20261008</t>
        </is>
      </c>
      <c r="L1035" s="4" t="inlineStr">
        <is>
          <t>PROFREIGHT INTERNATIONAL CO., LTD.</t>
        </is>
      </c>
      <c r="M1035" s="4" t="inlineStr">
        <is>
          <t>SIAM BROTHERS CORP.,LTD.</t>
        </is>
      </c>
      <c r="N1035" s="4" t="inlineStr">
        <is>
          <t>FISHING NETS</t>
        </is>
      </c>
      <c r="O1035" s="4" t="inlineStr">
        <is>
          <t>REQ: GOOD &amp; CLEAN CONTAINER,NO LEAK,NO RUST,NO SMELL,NO BURR,NOT WET,GOOD FLOOR.</t>
        </is>
      </c>
      <c r="P1035" s="4" t="inlineStr">
        <is>
          <t xml:space="preserve">STUFFING CARGO @UNITHAI DD.08/10/26 CLS TIME CFS DD.09/10/26 - 17:00HRS.
</t>
        </is>
      </c>
      <c r="Q1035" s="4" t="n">
        <v>0</v>
      </c>
      <c r="R1035" s="4" t="n">
        <v>0</v>
      </c>
      <c r="S1035" s="4" t="n">
        <v>1</v>
      </c>
      <c r="T1035" s="4" t="n">
        <v>0</v>
      </c>
      <c r="U1035" s="4" t="n">
        <v>0</v>
      </c>
      <c r="V1035" s="4" t="n">
        <v>0</v>
      </c>
      <c r="W1035" s="4" t="n">
        <v>0</v>
      </c>
      <c r="X1035" s="4" t="n">
        <v>0</v>
      </c>
      <c r="Y1035" s="4" t="n">
        <v>0</v>
      </c>
      <c r="Z1035" s="4" t="n">
        <v>0</v>
      </c>
      <c r="AA1035" s="4" t="n">
        <v>0</v>
      </c>
      <c r="AB1035" s="4">
        <f>SUM(Q1035:Y1035)-Z1035</f>
        <v/>
      </c>
      <c r="AC1035" s="4">
        <f>IF(I1035="","",IF(OR(LEFT(I1035,3)="BKK",I1035="LCH55"),"BKK",IF(LEFT(I1035,3)="LCH","LCH","OTHER")))</f>
        <v/>
      </c>
      <c r="AD1035" s="4">
        <f>MAX(0,Q1035-MAX(0,Z1035))</f>
        <v/>
      </c>
      <c r="AE1035" s="4">
        <f>MAX(0,R1035-MAX(0,Z1035-SUM(Q1035:Q1035)))</f>
        <v/>
      </c>
      <c r="AF1035" s="4">
        <f>MAX(0,S1035-MAX(0,Z1035-SUM(Q1035:R1035)))</f>
        <v/>
      </c>
      <c r="AG1035" s="4">
        <f>MAX(0,T1035-MAX(0,Z1035-SUM(Q1035:S1035)))</f>
        <v/>
      </c>
      <c r="AH1035" s="4">
        <f>MAX(0,U1035-MAX(0,Z1035-SUM(Q1035:T1035)))</f>
        <v/>
      </c>
      <c r="AI1035" s="4">
        <f>MAX(0,V1035-MAX(0,Z1035-SUM(Q1035:U1035)))</f>
        <v/>
      </c>
      <c r="AJ1035" s="4">
        <f>MAX(0,W1035-MAX(0,Z1035-SUM(Q1035:V1035)))</f>
        <v/>
      </c>
      <c r="AK1035" s="4">
        <f>MAX(0,X1035-MAX(0,Z1035-SUM(Q1035:W1035)))</f>
        <v/>
      </c>
      <c r="AL1035" s="4">
        <f>MAX(0,Y1035-MAX(0,Z1035-SUM(Q1035:X1035)))</f>
        <v/>
      </c>
    </row>
    <row r="1036">
      <c r="A1036" s="4" t="inlineStr">
        <is>
          <t>HASLS22260801784</t>
        </is>
      </c>
      <c r="B1036" s="4" t="inlineStr">
        <is>
          <t>DJCF</t>
        </is>
      </c>
      <c r="C1036" s="4" t="inlineStr">
        <is>
          <t>0152N</t>
        </is>
      </c>
      <c r="D1036" s="4" t="inlineStr">
        <is>
          <t>202610111000</t>
        </is>
      </c>
      <c r="E1036" s="4" t="inlineStr"/>
      <c r="F1036" s="4" t="inlineStr">
        <is>
          <t>THBKK</t>
        </is>
      </c>
      <c r="G1036" s="4" t="inlineStr">
        <is>
          <t>VNSGN</t>
        </is>
      </c>
      <c r="H1036" s="4" t="inlineStr">
        <is>
          <t xml:space="preserve">40Hx1 </t>
        </is>
      </c>
      <c r="I1036" s="4" t="inlineStr">
        <is>
          <t>BKK02</t>
        </is>
      </c>
      <c r="J1036" s="4" t="inlineStr">
        <is>
          <t>UNITHAI CONTAINER TERMINAL</t>
        </is>
      </c>
      <c r="K1036" s="4" t="inlineStr">
        <is>
          <t>20261008</t>
        </is>
      </c>
      <c r="L1036" s="4" t="inlineStr">
        <is>
          <t>PROFREIGHT INTERNATIONAL CO., LTD.</t>
        </is>
      </c>
      <c r="M1036" s="4" t="inlineStr">
        <is>
          <t>SIAM BROTHERS CORP.,LTD.</t>
        </is>
      </c>
      <c r="N1036" s="4" t="inlineStr">
        <is>
          <t>FISHING NETS</t>
        </is>
      </c>
      <c r="O1036" s="4" t="inlineStr">
        <is>
          <t>REQ: GOOD &amp; CLEAN CONTAINER,NO LEAK,NO RUST,NO SMELL,NO BURR,NOT WET,GOOD FLOOR.</t>
        </is>
      </c>
      <c r="P1036" s="4" t="inlineStr">
        <is>
          <t>STUFFING @PAT (SPORT LIGHT TOWER 2) DD 08/10/26 *CLS TIME : 09/10/2026 @17.00HRS*</t>
        </is>
      </c>
      <c r="Q1036" s="4" t="n">
        <v>0</v>
      </c>
      <c r="R1036" s="4" t="n">
        <v>0</v>
      </c>
      <c r="S1036" s="4" t="n">
        <v>1</v>
      </c>
      <c r="T1036" s="4" t="n">
        <v>0</v>
      </c>
      <c r="U1036" s="4" t="n">
        <v>0</v>
      </c>
      <c r="V1036" s="4" t="n">
        <v>0</v>
      </c>
      <c r="W1036" s="4" t="n">
        <v>0</v>
      </c>
      <c r="X1036" s="4" t="n">
        <v>0</v>
      </c>
      <c r="Y1036" s="4" t="n">
        <v>0</v>
      </c>
      <c r="Z1036" s="4" t="n">
        <v>0</v>
      </c>
      <c r="AA1036" s="4" t="n">
        <v>0</v>
      </c>
      <c r="AB1036" s="4">
        <f>SUM(Q1036:Y1036)-Z1036</f>
        <v/>
      </c>
      <c r="AC1036" s="4">
        <f>IF(I1036="","",IF(OR(LEFT(I1036,3)="BKK",I1036="LCH55"),"BKK",IF(LEFT(I1036,3)="LCH","LCH","OTHER")))</f>
        <v/>
      </c>
      <c r="AD1036" s="4">
        <f>MAX(0,Q1036-MAX(0,Z1036))</f>
        <v/>
      </c>
      <c r="AE1036" s="4">
        <f>MAX(0,R1036-MAX(0,Z1036-SUM(Q1036:Q1036)))</f>
        <v/>
      </c>
      <c r="AF1036" s="4">
        <f>MAX(0,S1036-MAX(0,Z1036-SUM(Q1036:R1036)))</f>
        <v/>
      </c>
      <c r="AG1036" s="4">
        <f>MAX(0,T1036-MAX(0,Z1036-SUM(Q1036:S1036)))</f>
        <v/>
      </c>
      <c r="AH1036" s="4">
        <f>MAX(0,U1036-MAX(0,Z1036-SUM(Q1036:T1036)))</f>
        <v/>
      </c>
      <c r="AI1036" s="4">
        <f>MAX(0,V1036-MAX(0,Z1036-SUM(Q1036:U1036)))</f>
        <v/>
      </c>
      <c r="AJ1036" s="4">
        <f>MAX(0,W1036-MAX(0,Z1036-SUM(Q1036:V1036)))</f>
        <v/>
      </c>
      <c r="AK1036" s="4">
        <f>MAX(0,X1036-MAX(0,Z1036-SUM(Q1036:W1036)))</f>
        <v/>
      </c>
      <c r="AL1036" s="4">
        <f>MAX(0,Y1036-MAX(0,Z1036-SUM(Q1036:X1036)))</f>
        <v/>
      </c>
    </row>
    <row r="1037">
      <c r="A1037" s="4" t="inlineStr">
        <is>
          <t>HASLS22260900303</t>
        </is>
      </c>
      <c r="B1037" s="4" t="inlineStr">
        <is>
          <t>KUS</t>
        </is>
      </c>
      <c r="C1037" s="4" t="inlineStr">
        <is>
          <t>2616N</t>
        </is>
      </c>
      <c r="D1037" s="4" t="inlineStr">
        <is>
          <t>202610141100</t>
        </is>
      </c>
      <c r="E1037" s="4" t="inlineStr"/>
      <c r="F1037" s="4" t="inlineStr">
        <is>
          <t>THBKK</t>
        </is>
      </c>
      <c r="G1037" s="4" t="inlineStr">
        <is>
          <t>KRINC</t>
        </is>
      </c>
      <c r="H1037" s="4" t="inlineStr">
        <is>
          <t xml:space="preserve">20'x2 </t>
        </is>
      </c>
      <c r="I1037" s="4" t="inlineStr">
        <is>
          <t>BKK02</t>
        </is>
      </c>
      <c r="J1037" s="4" t="inlineStr">
        <is>
          <t>UNITHAI CONTAINER TERMINAL</t>
        </is>
      </c>
      <c r="K1037" s="4" t="inlineStr">
        <is>
          <t>20261009</t>
        </is>
      </c>
      <c r="L1037" s="4" t="inlineStr">
        <is>
          <t>CELESTIAL XPRESS LOGISTICS (THAILAND) CO., LTD.</t>
        </is>
      </c>
      <c r="M1037" s="4" t="inlineStr">
        <is>
          <t>CHOTIWAT MANUFACTURING PUBLIC COMPANY LIMITED</t>
        </is>
      </c>
      <c r="N1037" s="4" t="inlineStr">
        <is>
          <t>PET FOOD</t>
        </is>
      </c>
      <c r="O1037" s="4" t="inlineStr">
        <is>
          <t>GOOD AND CLEAN CONTAINER</t>
        </is>
      </c>
      <c r="P1037" s="4" t="inlineStr">
        <is>
          <t>STUFFING @UNITHAI DD.09/10/26 *CLS TIME CFS DD.09/10/26 - 17:00HRS.*</t>
        </is>
      </c>
      <c r="Q1037" s="4" t="n">
        <v>2</v>
      </c>
      <c r="R1037" s="4" t="n">
        <v>0</v>
      </c>
      <c r="S1037" s="4" t="n">
        <v>0</v>
      </c>
      <c r="T1037" s="4" t="n">
        <v>0</v>
      </c>
      <c r="U1037" s="4" t="n">
        <v>0</v>
      </c>
      <c r="V1037" s="4" t="n">
        <v>0</v>
      </c>
      <c r="W1037" s="4" t="n">
        <v>0</v>
      </c>
      <c r="X1037" s="4" t="n">
        <v>0</v>
      </c>
      <c r="Y1037" s="4" t="n">
        <v>0</v>
      </c>
      <c r="Z1037" s="4" t="n">
        <v>0</v>
      </c>
      <c r="AA1037" s="4" t="n">
        <v>0</v>
      </c>
      <c r="AB1037" s="4">
        <f>SUM(Q1037:Y1037)-Z1037</f>
        <v/>
      </c>
      <c r="AC1037" s="4">
        <f>IF(I1037="","",IF(OR(LEFT(I1037,3)="BKK",I1037="LCH55"),"BKK",IF(LEFT(I1037,3)="LCH","LCH","OTHER")))</f>
        <v/>
      </c>
      <c r="AD1037" s="4">
        <f>MAX(0,Q1037-MAX(0,Z1037))</f>
        <v/>
      </c>
      <c r="AE1037" s="4">
        <f>MAX(0,R1037-MAX(0,Z1037-SUM(Q1037:Q1037)))</f>
        <v/>
      </c>
      <c r="AF1037" s="4">
        <f>MAX(0,S1037-MAX(0,Z1037-SUM(Q1037:R1037)))</f>
        <v/>
      </c>
      <c r="AG1037" s="4">
        <f>MAX(0,T1037-MAX(0,Z1037-SUM(Q1037:S1037)))</f>
        <v/>
      </c>
      <c r="AH1037" s="4">
        <f>MAX(0,U1037-MAX(0,Z1037-SUM(Q1037:T1037)))</f>
        <v/>
      </c>
      <c r="AI1037" s="4">
        <f>MAX(0,V1037-MAX(0,Z1037-SUM(Q1037:U1037)))</f>
        <v/>
      </c>
      <c r="AJ1037" s="4">
        <f>MAX(0,W1037-MAX(0,Z1037-SUM(Q1037:V1037)))</f>
        <v/>
      </c>
      <c r="AK1037" s="4">
        <f>MAX(0,X1037-MAX(0,Z1037-SUM(Q1037:W1037)))</f>
        <v/>
      </c>
      <c r="AL1037" s="4">
        <f>MAX(0,Y1037-MAX(0,Z1037-SUM(Q1037:X1037)))</f>
        <v/>
      </c>
    </row>
    <row r="1038">
      <c r="A1038" s="4" t="inlineStr">
        <is>
          <t>HASLS22260901754</t>
        </is>
      </c>
      <c r="B1038" s="4" t="inlineStr">
        <is>
          <t>DJCF</t>
        </is>
      </c>
      <c r="C1038" s="4" t="inlineStr">
        <is>
          <t>0152N</t>
        </is>
      </c>
      <c r="D1038" s="4" t="inlineStr">
        <is>
          <t>202610111000</t>
        </is>
      </c>
      <c r="E1038" s="4" t="inlineStr"/>
      <c r="F1038" s="4" t="inlineStr">
        <is>
          <t>THBKK</t>
        </is>
      </c>
      <c r="G1038" s="4" t="inlineStr">
        <is>
          <t>VNSGN</t>
        </is>
      </c>
      <c r="H1038" s="4" t="inlineStr">
        <is>
          <t xml:space="preserve">40Hx1 </t>
        </is>
      </c>
      <c r="I1038" s="4" t="inlineStr">
        <is>
          <t>BKK02</t>
        </is>
      </c>
      <c r="J1038" s="4" t="inlineStr">
        <is>
          <t>UNITHAI CONTAINER TERMINAL</t>
        </is>
      </c>
      <c r="K1038" s="4" t="inlineStr">
        <is>
          <t>20261008</t>
        </is>
      </c>
      <c r="L1038" s="4" t="inlineStr">
        <is>
          <t>PROFREIGHT INTERNATIONAL CO., LTD.</t>
        </is>
      </c>
      <c r="M1038" s="4" t="inlineStr">
        <is>
          <t>SIAM BROTHERS CORP.,LTD.</t>
        </is>
      </c>
      <c r="N1038" s="4" t="inlineStr">
        <is>
          <t>FISHING NETS</t>
        </is>
      </c>
      <c r="O1038" s="4" t="inlineStr">
        <is>
          <t>REQ: GOOD &amp; CLEAN CONTAINER,NO LEAK,NO RUST,NO SMELL,NO BURR,NOT WET,GOOD FLOOR.</t>
        </is>
      </c>
      <c r="P1038" s="4" t="inlineStr">
        <is>
          <t xml:space="preserve">STUFFING CARGO @UNITHAI DD.08/10/26 CLS TIME CFS DD.09/10/26 - 17:00HRS.
</t>
        </is>
      </c>
      <c r="Q1038" s="4" t="n">
        <v>0</v>
      </c>
      <c r="R1038" s="4" t="n">
        <v>0</v>
      </c>
      <c r="S1038" s="4" t="n">
        <v>1</v>
      </c>
      <c r="T1038" s="4" t="n">
        <v>0</v>
      </c>
      <c r="U1038" s="4" t="n">
        <v>0</v>
      </c>
      <c r="V1038" s="4" t="n">
        <v>0</v>
      </c>
      <c r="W1038" s="4" t="n">
        <v>0</v>
      </c>
      <c r="X1038" s="4" t="n">
        <v>0</v>
      </c>
      <c r="Y1038" s="4" t="n">
        <v>0</v>
      </c>
      <c r="Z1038" s="4" t="n">
        <v>0</v>
      </c>
      <c r="AA1038" s="4" t="n">
        <v>0</v>
      </c>
      <c r="AB1038" s="4">
        <f>SUM(Q1038:Y1038)-Z1038</f>
        <v/>
      </c>
      <c r="AC1038" s="4">
        <f>IF(I1038="","",IF(OR(LEFT(I1038,3)="BKK",I1038="LCH55"),"BKK",IF(LEFT(I1038,3)="LCH","LCH","OTHER")))</f>
        <v/>
      </c>
      <c r="AD1038" s="4">
        <f>MAX(0,Q1038-MAX(0,Z1038))</f>
        <v/>
      </c>
      <c r="AE1038" s="4">
        <f>MAX(0,R1038-MAX(0,Z1038-SUM(Q1038:Q1038)))</f>
        <v/>
      </c>
      <c r="AF1038" s="4">
        <f>MAX(0,S1038-MAX(0,Z1038-SUM(Q1038:R1038)))</f>
        <v/>
      </c>
      <c r="AG1038" s="4">
        <f>MAX(0,T1038-MAX(0,Z1038-SUM(Q1038:S1038)))</f>
        <v/>
      </c>
      <c r="AH1038" s="4">
        <f>MAX(0,U1038-MAX(0,Z1038-SUM(Q1038:T1038)))</f>
        <v/>
      </c>
      <c r="AI1038" s="4">
        <f>MAX(0,V1038-MAX(0,Z1038-SUM(Q1038:U1038)))</f>
        <v/>
      </c>
      <c r="AJ1038" s="4">
        <f>MAX(0,W1038-MAX(0,Z1038-SUM(Q1038:V1038)))</f>
        <v/>
      </c>
      <c r="AK1038" s="4">
        <f>MAX(0,X1038-MAX(0,Z1038-SUM(Q1038:W1038)))</f>
        <v/>
      </c>
      <c r="AL1038" s="4">
        <f>MAX(0,Y1038-MAX(0,Z1038-SUM(Q1038:X1038)))</f>
        <v/>
      </c>
    </row>
    <row r="1039">
      <c r="A1039" s="4" t="inlineStr">
        <is>
          <t>HASLS22260901757</t>
        </is>
      </c>
      <c r="B1039" s="4" t="inlineStr">
        <is>
          <t>SWAL</t>
        </is>
      </c>
      <c r="C1039" s="4" t="inlineStr">
        <is>
          <t>2609N</t>
        </is>
      </c>
      <c r="D1039" s="4" t="inlineStr">
        <is>
          <t>202610191500</t>
        </is>
      </c>
      <c r="E1039" s="4" t="inlineStr"/>
      <c r="F1039" s="4" t="inlineStr">
        <is>
          <t>THBKK</t>
        </is>
      </c>
      <c r="G1039" s="4" t="inlineStr">
        <is>
          <t>VNSGN</t>
        </is>
      </c>
      <c r="H1039" s="4" t="inlineStr">
        <is>
          <t xml:space="preserve">40Hx1 </t>
        </is>
      </c>
      <c r="I1039" s="4" t="inlineStr">
        <is>
          <t>BKK02</t>
        </is>
      </c>
      <c r="J1039" s="4" t="inlineStr">
        <is>
          <t>UNITHAI CONTAINER TERMINAL</t>
        </is>
      </c>
      <c r="K1039" s="4" t="inlineStr">
        <is>
          <t>20261016</t>
        </is>
      </c>
      <c r="L1039" s="4" t="inlineStr">
        <is>
          <t>PROFREIGHT INTERNATIONAL CO., LTD.</t>
        </is>
      </c>
      <c r="M1039" s="4" t="inlineStr">
        <is>
          <t>SIAM BROTHERS CORP.,LTD.</t>
        </is>
      </c>
      <c r="N1039" s="4" t="inlineStr">
        <is>
          <t>FISHING NETS</t>
        </is>
      </c>
      <c r="O1039" s="4" t="inlineStr">
        <is>
          <t>REQ: GOOD &amp; CLEAN CONTAINER,NO LEAK,NO RUST,NO SMELL,NO BURR,NOT WET,GOOD FLOOR.</t>
        </is>
      </c>
      <c r="P1039" s="4" t="inlineStr">
        <is>
          <t xml:space="preserve">STUFFING CARGO @UNITHAI DD.16/10/26 CLS TIME CFS DD.16/10/26 - 17:00HRS.
</t>
        </is>
      </c>
      <c r="Q1039" s="4" t="n">
        <v>0</v>
      </c>
      <c r="R1039" s="4" t="n">
        <v>0</v>
      </c>
      <c r="S1039" s="4" t="n">
        <v>1</v>
      </c>
      <c r="T1039" s="4" t="n">
        <v>0</v>
      </c>
      <c r="U1039" s="4" t="n">
        <v>0</v>
      </c>
      <c r="V1039" s="4" t="n">
        <v>0</v>
      </c>
      <c r="W1039" s="4" t="n">
        <v>0</v>
      </c>
      <c r="X1039" s="4" t="n">
        <v>0</v>
      </c>
      <c r="Y1039" s="4" t="n">
        <v>0</v>
      </c>
      <c r="Z1039" s="4" t="n">
        <v>0</v>
      </c>
      <c r="AA1039" s="4" t="n">
        <v>0</v>
      </c>
      <c r="AB1039" s="4">
        <f>SUM(Q1039:Y1039)-Z1039</f>
        <v/>
      </c>
      <c r="AC1039" s="4">
        <f>IF(I1039="","",IF(OR(LEFT(I1039,3)="BKK",I1039="LCH55"),"BKK",IF(LEFT(I1039,3)="LCH","LCH","OTHER")))</f>
        <v/>
      </c>
      <c r="AD1039" s="4">
        <f>MAX(0,Q1039-MAX(0,Z1039))</f>
        <v/>
      </c>
      <c r="AE1039" s="4">
        <f>MAX(0,R1039-MAX(0,Z1039-SUM(Q1039:Q1039)))</f>
        <v/>
      </c>
      <c r="AF1039" s="4">
        <f>MAX(0,S1039-MAX(0,Z1039-SUM(Q1039:R1039)))</f>
        <v/>
      </c>
      <c r="AG1039" s="4">
        <f>MAX(0,T1039-MAX(0,Z1039-SUM(Q1039:S1039)))</f>
        <v/>
      </c>
      <c r="AH1039" s="4">
        <f>MAX(0,U1039-MAX(0,Z1039-SUM(Q1039:T1039)))</f>
        <v/>
      </c>
      <c r="AI1039" s="4">
        <f>MAX(0,V1039-MAX(0,Z1039-SUM(Q1039:U1039)))</f>
        <v/>
      </c>
      <c r="AJ1039" s="4">
        <f>MAX(0,W1039-MAX(0,Z1039-SUM(Q1039:V1039)))</f>
        <v/>
      </c>
      <c r="AK1039" s="4">
        <f>MAX(0,X1039-MAX(0,Z1039-SUM(Q1039:W1039)))</f>
        <v/>
      </c>
      <c r="AL1039" s="4">
        <f>MAX(0,Y1039-MAX(0,Z1039-SUM(Q1039:X1039)))</f>
        <v/>
      </c>
    </row>
    <row r="1040">
      <c r="A1040" s="4" t="inlineStr">
        <is>
          <t>HASLS22260901991</t>
        </is>
      </c>
      <c r="B1040" s="4" t="inlineStr">
        <is>
          <t>SWAL</t>
        </is>
      </c>
      <c r="C1040" s="4" t="inlineStr">
        <is>
          <t>2609N</t>
        </is>
      </c>
      <c r="D1040" s="4" t="inlineStr">
        <is>
          <t>202610191500</t>
        </is>
      </c>
      <c r="E1040" s="4" t="inlineStr"/>
      <c r="F1040" s="4" t="inlineStr">
        <is>
          <t>THBKK</t>
        </is>
      </c>
      <c r="G1040" s="4" t="inlineStr">
        <is>
          <t>VNSGN</t>
        </is>
      </c>
      <c r="H1040" s="4" t="inlineStr">
        <is>
          <t xml:space="preserve">20'x1 </t>
        </is>
      </c>
      <c r="I1040" s="4" t="inlineStr">
        <is>
          <t>BKK02</t>
        </is>
      </c>
      <c r="J1040" s="4" t="inlineStr">
        <is>
          <t>UNITHAI CONTAINER TERMINAL</t>
        </is>
      </c>
      <c r="K1040" s="4" t="inlineStr">
        <is>
          <t>20261016</t>
        </is>
      </c>
      <c r="L1040" s="4" t="inlineStr">
        <is>
          <t>RIVA LOGISTICS CO., LTD.</t>
        </is>
      </c>
      <c r="M1040" s="4" t="inlineStr">
        <is>
          <t>CHINCHANA INDUSTRIES (THAILAND) CO.,LTD.</t>
        </is>
      </c>
      <c r="N1040" s="4" t="inlineStr">
        <is>
          <t>BARIUM SULPHATE WHITE ROCK 20A NON DG HS-CODE.251110.00</t>
        </is>
      </c>
      <c r="O1040" s="4" t="inlineStr">
        <is>
          <t>6
RQE:CLEAN AND DRY UPGRADE CONT*</t>
        </is>
      </c>
      <c r="P1040" s="4" t="inlineStr">
        <is>
          <t xml:space="preserve">STUFFING CARGO @UINTHAI DD.16/10/26 CLS TIME CFS DD.16/10/26 - 17:00HRS.
</t>
        </is>
      </c>
      <c r="Q1040" s="4" t="n">
        <v>1</v>
      </c>
      <c r="R1040" s="4" t="n">
        <v>0</v>
      </c>
      <c r="S1040" s="4" t="n">
        <v>0</v>
      </c>
      <c r="T1040" s="4" t="n">
        <v>0</v>
      </c>
      <c r="U1040" s="4" t="n">
        <v>0</v>
      </c>
      <c r="V1040" s="4" t="n">
        <v>0</v>
      </c>
      <c r="W1040" s="4" t="n">
        <v>0</v>
      </c>
      <c r="X1040" s="4" t="n">
        <v>0</v>
      </c>
      <c r="Y1040" s="4" t="n">
        <v>0</v>
      </c>
      <c r="Z1040" s="4" t="n">
        <v>0</v>
      </c>
      <c r="AA1040" s="4" t="n">
        <v>0</v>
      </c>
      <c r="AB1040" s="4">
        <f>SUM(Q1040:Y1040)-Z1040</f>
        <v/>
      </c>
      <c r="AC1040" s="4">
        <f>IF(I1040="","",IF(OR(LEFT(I1040,3)="BKK",I1040="LCH55"),"BKK",IF(LEFT(I1040,3)="LCH","LCH","OTHER")))</f>
        <v/>
      </c>
      <c r="AD1040" s="4">
        <f>MAX(0,Q1040-MAX(0,Z1040))</f>
        <v/>
      </c>
      <c r="AE1040" s="4">
        <f>MAX(0,R1040-MAX(0,Z1040-SUM(Q1040:Q1040)))</f>
        <v/>
      </c>
      <c r="AF1040" s="4">
        <f>MAX(0,S1040-MAX(0,Z1040-SUM(Q1040:R1040)))</f>
        <v/>
      </c>
      <c r="AG1040" s="4">
        <f>MAX(0,T1040-MAX(0,Z1040-SUM(Q1040:S1040)))</f>
        <v/>
      </c>
      <c r="AH1040" s="4">
        <f>MAX(0,U1040-MAX(0,Z1040-SUM(Q1040:T1040)))</f>
        <v/>
      </c>
      <c r="AI1040" s="4">
        <f>MAX(0,V1040-MAX(0,Z1040-SUM(Q1040:U1040)))</f>
        <v/>
      </c>
      <c r="AJ1040" s="4">
        <f>MAX(0,W1040-MAX(0,Z1040-SUM(Q1040:V1040)))</f>
        <v/>
      </c>
      <c r="AK1040" s="4">
        <f>MAX(0,X1040-MAX(0,Z1040-SUM(Q1040:W1040)))</f>
        <v/>
      </c>
      <c r="AL1040" s="4">
        <f>MAX(0,Y1040-MAX(0,Z1040-SUM(Q1040:X1040)))</f>
        <v/>
      </c>
    </row>
  </sheetData>
  <autoFilter ref="A2:AL1040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4">
        <f>Data!A79</f>
        <v/>
      </c>
      <c r="B80" s="4">
        <f>Data!B79</f>
        <v/>
      </c>
      <c r="C80" s="4">
        <f>Data!C79</f>
        <v/>
      </c>
      <c r="D80" s="4">
        <f>Data!I79</f>
        <v/>
      </c>
      <c r="E80" s="4">
        <f>Data!J79</f>
        <v/>
      </c>
      <c r="F80" s="4">
        <f>Data!H79</f>
        <v/>
      </c>
      <c r="G80" s="4">
        <f>SUM(Data!Q79:Data!Y79)</f>
        <v/>
      </c>
      <c r="H80" s="4">
        <f>Data!Z79</f>
        <v/>
      </c>
      <c r="I80" s="4">
        <f>Data!AB79</f>
        <v/>
      </c>
      <c r="J80" s="4">
        <f>Data!AD79</f>
        <v/>
      </c>
      <c r="K80" s="4">
        <f>Data!AE79</f>
        <v/>
      </c>
      <c r="L80" s="4">
        <f>Data!AF79</f>
        <v/>
      </c>
      <c r="M80" s="4">
        <f>Data!AG79</f>
        <v/>
      </c>
      <c r="N80" s="4">
        <f>Data!AH79</f>
        <v/>
      </c>
      <c r="O80" s="4">
        <f>Data!AI79</f>
        <v/>
      </c>
      <c r="P80" s="4">
        <f>Data!AJ79</f>
        <v/>
      </c>
      <c r="Q80" s="4">
        <f>Data!AK79</f>
        <v/>
      </c>
      <c r="R80" s="4">
        <f>Data!AL79</f>
        <v/>
      </c>
    </row>
    <row r="81">
      <c r="A81" s="4">
        <f>Data!A80</f>
        <v/>
      </c>
      <c r="B81" s="4">
        <f>Data!B80</f>
        <v/>
      </c>
      <c r="C81" s="4">
        <f>Data!C80</f>
        <v/>
      </c>
      <c r="D81" s="4">
        <f>Data!I80</f>
        <v/>
      </c>
      <c r="E81" s="4">
        <f>Data!J80</f>
        <v/>
      </c>
      <c r="F81" s="4">
        <f>Data!H80</f>
        <v/>
      </c>
      <c r="G81" s="4">
        <f>SUM(Data!Q80:Data!Y80)</f>
        <v/>
      </c>
      <c r="H81" s="4">
        <f>Data!Z80</f>
        <v/>
      </c>
      <c r="I81" s="4">
        <f>Data!AB80</f>
        <v/>
      </c>
      <c r="J81" s="4">
        <f>Data!AD80</f>
        <v/>
      </c>
      <c r="K81" s="4">
        <f>Data!AE80</f>
        <v/>
      </c>
      <c r="L81" s="4">
        <f>Data!AF80</f>
        <v/>
      </c>
      <c r="M81" s="4">
        <f>Data!AG80</f>
        <v/>
      </c>
      <c r="N81" s="4">
        <f>Data!AH80</f>
        <v/>
      </c>
      <c r="O81" s="4">
        <f>Data!AI80</f>
        <v/>
      </c>
      <c r="P81" s="4">
        <f>Data!AJ80</f>
        <v/>
      </c>
      <c r="Q81" s="4">
        <f>Data!AK80</f>
        <v/>
      </c>
      <c r="R81" s="4">
        <f>Data!AL80</f>
        <v/>
      </c>
    </row>
    <row r="82">
      <c r="A82" s="4">
        <f>Data!A81</f>
        <v/>
      </c>
      <c r="B82" s="4">
        <f>Data!B81</f>
        <v/>
      </c>
      <c r="C82" s="4">
        <f>Data!C81</f>
        <v/>
      </c>
      <c r="D82" s="4">
        <f>Data!I81</f>
        <v/>
      </c>
      <c r="E82" s="4">
        <f>Data!J81</f>
        <v/>
      </c>
      <c r="F82" s="4">
        <f>Data!H81</f>
        <v/>
      </c>
      <c r="G82" s="4">
        <f>SUM(Data!Q81:Data!Y81)</f>
        <v/>
      </c>
      <c r="H82" s="4">
        <f>Data!Z81</f>
        <v/>
      </c>
      <c r="I82" s="4">
        <f>Data!AB81</f>
        <v/>
      </c>
      <c r="J82" s="4">
        <f>Data!AD81</f>
        <v/>
      </c>
      <c r="K82" s="4">
        <f>Data!AE81</f>
        <v/>
      </c>
      <c r="L82" s="4">
        <f>Data!AF81</f>
        <v/>
      </c>
      <c r="M82" s="4">
        <f>Data!AG81</f>
        <v/>
      </c>
      <c r="N82" s="4">
        <f>Data!AH81</f>
        <v/>
      </c>
      <c r="O82" s="4">
        <f>Data!AI81</f>
        <v/>
      </c>
      <c r="P82" s="4">
        <f>Data!AJ81</f>
        <v/>
      </c>
      <c r="Q82" s="4">
        <f>Data!AK81</f>
        <v/>
      </c>
      <c r="R82" s="4">
        <f>Data!AL81</f>
        <v/>
      </c>
    </row>
    <row r="83">
      <c r="A83" s="4">
        <f>Data!A82</f>
        <v/>
      </c>
      <c r="B83" s="4">
        <f>Data!B82</f>
        <v/>
      </c>
      <c r="C83" s="4">
        <f>Data!C82</f>
        <v/>
      </c>
      <c r="D83" s="4">
        <f>Data!I82</f>
        <v/>
      </c>
      <c r="E83" s="4">
        <f>Data!J82</f>
        <v/>
      </c>
      <c r="F83" s="4">
        <f>Data!H82</f>
        <v/>
      </c>
      <c r="G83" s="4">
        <f>SUM(Data!Q82:Data!Y82)</f>
        <v/>
      </c>
      <c r="H83" s="4">
        <f>Data!Z82</f>
        <v/>
      </c>
      <c r="I83" s="4">
        <f>Data!AB82</f>
        <v/>
      </c>
      <c r="J83" s="4">
        <f>Data!AD82</f>
        <v/>
      </c>
      <c r="K83" s="4">
        <f>Data!AE82</f>
        <v/>
      </c>
      <c r="L83" s="4">
        <f>Data!AF82</f>
        <v/>
      </c>
      <c r="M83" s="4">
        <f>Data!AG82</f>
        <v/>
      </c>
      <c r="N83" s="4">
        <f>Data!AH82</f>
        <v/>
      </c>
      <c r="O83" s="4">
        <f>Data!AI82</f>
        <v/>
      </c>
      <c r="P83" s="4">
        <f>Data!AJ82</f>
        <v/>
      </c>
      <c r="Q83" s="4">
        <f>Data!AK82</f>
        <v/>
      </c>
      <c r="R83" s="4">
        <f>Data!AL82</f>
        <v/>
      </c>
    </row>
    <row r="84">
      <c r="A84" s="4">
        <f>Data!A83</f>
        <v/>
      </c>
      <c r="B84" s="4">
        <f>Data!B83</f>
        <v/>
      </c>
      <c r="C84" s="4">
        <f>Data!C83</f>
        <v/>
      </c>
      <c r="D84" s="4">
        <f>Data!I83</f>
        <v/>
      </c>
      <c r="E84" s="4">
        <f>Data!J83</f>
        <v/>
      </c>
      <c r="F84" s="4">
        <f>Data!H83</f>
        <v/>
      </c>
      <c r="G84" s="4">
        <f>SUM(Data!Q83:Data!Y83)</f>
        <v/>
      </c>
      <c r="H84" s="4">
        <f>Data!Z83</f>
        <v/>
      </c>
      <c r="I84" s="4">
        <f>Data!AB83</f>
        <v/>
      </c>
      <c r="J84" s="4">
        <f>Data!AD83</f>
        <v/>
      </c>
      <c r="K84" s="4">
        <f>Data!AE83</f>
        <v/>
      </c>
      <c r="L84" s="4">
        <f>Data!AF83</f>
        <v/>
      </c>
      <c r="M84" s="4">
        <f>Data!AG83</f>
        <v/>
      </c>
      <c r="N84" s="4">
        <f>Data!AH83</f>
        <v/>
      </c>
      <c r="O84" s="4">
        <f>Data!AI83</f>
        <v/>
      </c>
      <c r="P84" s="4">
        <f>Data!AJ83</f>
        <v/>
      </c>
      <c r="Q84" s="4">
        <f>Data!AK83</f>
        <v/>
      </c>
      <c r="R84" s="4">
        <f>Data!AL83</f>
        <v/>
      </c>
    </row>
    <row r="85">
      <c r="A85" s="4">
        <f>Data!A84</f>
        <v/>
      </c>
      <c r="B85" s="4">
        <f>Data!B84</f>
        <v/>
      </c>
      <c r="C85" s="4">
        <f>Data!C84</f>
        <v/>
      </c>
      <c r="D85" s="4">
        <f>Data!I84</f>
        <v/>
      </c>
      <c r="E85" s="4">
        <f>Data!J84</f>
        <v/>
      </c>
      <c r="F85" s="4">
        <f>Data!H84</f>
        <v/>
      </c>
      <c r="G85" s="4">
        <f>SUM(Data!Q84:Data!Y84)</f>
        <v/>
      </c>
      <c r="H85" s="4">
        <f>Data!Z84</f>
        <v/>
      </c>
      <c r="I85" s="4">
        <f>Data!AB84</f>
        <v/>
      </c>
      <c r="J85" s="4">
        <f>Data!AD84</f>
        <v/>
      </c>
      <c r="K85" s="4">
        <f>Data!AE84</f>
        <v/>
      </c>
      <c r="L85" s="4">
        <f>Data!AF84</f>
        <v/>
      </c>
      <c r="M85" s="4">
        <f>Data!AG84</f>
        <v/>
      </c>
      <c r="N85" s="4">
        <f>Data!AH84</f>
        <v/>
      </c>
      <c r="O85" s="4">
        <f>Data!AI84</f>
        <v/>
      </c>
      <c r="P85" s="4">
        <f>Data!AJ84</f>
        <v/>
      </c>
      <c r="Q85" s="4">
        <f>Data!AK84</f>
        <v/>
      </c>
      <c r="R85" s="4">
        <f>Data!AL84</f>
        <v/>
      </c>
    </row>
    <row r="86">
      <c r="A86" s="4">
        <f>Data!A85</f>
        <v/>
      </c>
      <c r="B86" s="4">
        <f>Data!B85</f>
        <v/>
      </c>
      <c r="C86" s="4">
        <f>Data!C85</f>
        <v/>
      </c>
      <c r="D86" s="4">
        <f>Data!I85</f>
        <v/>
      </c>
      <c r="E86" s="4">
        <f>Data!J85</f>
        <v/>
      </c>
      <c r="F86" s="4">
        <f>Data!H85</f>
        <v/>
      </c>
      <c r="G86" s="4">
        <f>SUM(Data!Q85:Data!Y85)</f>
        <v/>
      </c>
      <c r="H86" s="4">
        <f>Data!Z85</f>
        <v/>
      </c>
      <c r="I86" s="4">
        <f>Data!AB85</f>
        <v/>
      </c>
      <c r="J86" s="4">
        <f>Data!AD85</f>
        <v/>
      </c>
      <c r="K86" s="4">
        <f>Data!AE85</f>
        <v/>
      </c>
      <c r="L86" s="4">
        <f>Data!AF85</f>
        <v/>
      </c>
      <c r="M86" s="4">
        <f>Data!AG85</f>
        <v/>
      </c>
      <c r="N86" s="4">
        <f>Data!AH85</f>
        <v/>
      </c>
      <c r="O86" s="4">
        <f>Data!AI85</f>
        <v/>
      </c>
      <c r="P86" s="4">
        <f>Data!AJ85</f>
        <v/>
      </c>
      <c r="Q86" s="4">
        <f>Data!AK85</f>
        <v/>
      </c>
      <c r="R86" s="4">
        <f>Data!AL85</f>
        <v/>
      </c>
    </row>
    <row r="87">
      <c r="A87" s="4">
        <f>Data!A86</f>
        <v/>
      </c>
      <c r="B87" s="4">
        <f>Data!B86</f>
        <v/>
      </c>
      <c r="C87" s="4">
        <f>Data!C86</f>
        <v/>
      </c>
      <c r="D87" s="4">
        <f>Data!I86</f>
        <v/>
      </c>
      <c r="E87" s="4">
        <f>Data!J86</f>
        <v/>
      </c>
      <c r="F87" s="4">
        <f>Data!H86</f>
        <v/>
      </c>
      <c r="G87" s="4">
        <f>SUM(Data!Q86:Data!Y86)</f>
        <v/>
      </c>
      <c r="H87" s="4">
        <f>Data!Z86</f>
        <v/>
      </c>
      <c r="I87" s="4">
        <f>Data!AB86</f>
        <v/>
      </c>
      <c r="J87" s="4">
        <f>Data!AD86</f>
        <v/>
      </c>
      <c r="K87" s="4">
        <f>Data!AE86</f>
        <v/>
      </c>
      <c r="L87" s="4">
        <f>Data!AF86</f>
        <v/>
      </c>
      <c r="M87" s="4">
        <f>Data!AG86</f>
        <v/>
      </c>
      <c r="N87" s="4">
        <f>Data!AH86</f>
        <v/>
      </c>
      <c r="O87" s="4">
        <f>Data!AI86</f>
        <v/>
      </c>
      <c r="P87" s="4">
        <f>Data!AJ86</f>
        <v/>
      </c>
      <c r="Q87" s="4">
        <f>Data!AK86</f>
        <v/>
      </c>
      <c r="R87" s="4">
        <f>Data!AL86</f>
        <v/>
      </c>
    </row>
    <row r="88">
      <c r="A88" s="4">
        <f>Data!A87</f>
        <v/>
      </c>
      <c r="B88" s="4">
        <f>Data!B87</f>
        <v/>
      </c>
      <c r="C88" s="4">
        <f>Data!C87</f>
        <v/>
      </c>
      <c r="D88" s="4">
        <f>Data!I87</f>
        <v/>
      </c>
      <c r="E88" s="4">
        <f>Data!J87</f>
        <v/>
      </c>
      <c r="F88" s="4">
        <f>Data!H87</f>
        <v/>
      </c>
      <c r="G88" s="4">
        <f>SUM(Data!Q87:Data!Y87)</f>
        <v/>
      </c>
      <c r="H88" s="4">
        <f>Data!Z87</f>
        <v/>
      </c>
      <c r="I88" s="4">
        <f>Data!AB87</f>
        <v/>
      </c>
      <c r="J88" s="4">
        <f>Data!AD87</f>
        <v/>
      </c>
      <c r="K88" s="4">
        <f>Data!AE87</f>
        <v/>
      </c>
      <c r="L88" s="4">
        <f>Data!AF87</f>
        <v/>
      </c>
      <c r="M88" s="4">
        <f>Data!AG87</f>
        <v/>
      </c>
      <c r="N88" s="4">
        <f>Data!AH87</f>
        <v/>
      </c>
      <c r="O88" s="4">
        <f>Data!AI87</f>
        <v/>
      </c>
      <c r="P88" s="4">
        <f>Data!AJ87</f>
        <v/>
      </c>
      <c r="Q88" s="4">
        <f>Data!AK87</f>
        <v/>
      </c>
      <c r="R88" s="4">
        <f>Data!AL87</f>
        <v/>
      </c>
    </row>
    <row r="89">
      <c r="A89" s="4">
        <f>Data!A88</f>
        <v/>
      </c>
      <c r="B89" s="4">
        <f>Data!B88</f>
        <v/>
      </c>
      <c r="C89" s="4">
        <f>Data!C88</f>
        <v/>
      </c>
      <c r="D89" s="4">
        <f>Data!I88</f>
        <v/>
      </c>
      <c r="E89" s="4">
        <f>Data!J88</f>
        <v/>
      </c>
      <c r="F89" s="4">
        <f>Data!H88</f>
        <v/>
      </c>
      <c r="G89" s="4">
        <f>SUM(Data!Q88:Data!Y88)</f>
        <v/>
      </c>
      <c r="H89" s="4">
        <f>Data!Z88</f>
        <v/>
      </c>
      <c r="I89" s="4">
        <f>Data!AB88</f>
        <v/>
      </c>
      <c r="J89" s="4">
        <f>Data!AD88</f>
        <v/>
      </c>
      <c r="K89" s="4">
        <f>Data!AE88</f>
        <v/>
      </c>
      <c r="L89" s="4">
        <f>Data!AF88</f>
        <v/>
      </c>
      <c r="M89" s="4">
        <f>Data!AG88</f>
        <v/>
      </c>
      <c r="N89" s="4">
        <f>Data!AH88</f>
        <v/>
      </c>
      <c r="O89" s="4">
        <f>Data!AI88</f>
        <v/>
      </c>
      <c r="P89" s="4">
        <f>Data!AJ88</f>
        <v/>
      </c>
      <c r="Q89" s="4">
        <f>Data!AK88</f>
        <v/>
      </c>
      <c r="R89" s="4">
        <f>Data!AL88</f>
        <v/>
      </c>
    </row>
    <row r="90">
      <c r="A90" s="4">
        <f>Data!A89</f>
        <v/>
      </c>
      <c r="B90" s="4">
        <f>Data!B89</f>
        <v/>
      </c>
      <c r="C90" s="4">
        <f>Data!C89</f>
        <v/>
      </c>
      <c r="D90" s="4">
        <f>Data!I89</f>
        <v/>
      </c>
      <c r="E90" s="4">
        <f>Data!J89</f>
        <v/>
      </c>
      <c r="F90" s="4">
        <f>Data!H89</f>
        <v/>
      </c>
      <c r="G90" s="4">
        <f>SUM(Data!Q89:Data!Y89)</f>
        <v/>
      </c>
      <c r="H90" s="4">
        <f>Data!Z89</f>
        <v/>
      </c>
      <c r="I90" s="4">
        <f>Data!AB89</f>
        <v/>
      </c>
      <c r="J90" s="4">
        <f>Data!AD89</f>
        <v/>
      </c>
      <c r="K90" s="4">
        <f>Data!AE89</f>
        <v/>
      </c>
      <c r="L90" s="4">
        <f>Data!AF89</f>
        <v/>
      </c>
      <c r="M90" s="4">
        <f>Data!AG89</f>
        <v/>
      </c>
      <c r="N90" s="4">
        <f>Data!AH89</f>
        <v/>
      </c>
      <c r="O90" s="4">
        <f>Data!AI89</f>
        <v/>
      </c>
      <c r="P90" s="4">
        <f>Data!AJ89</f>
        <v/>
      </c>
      <c r="Q90" s="4">
        <f>Data!AK89</f>
        <v/>
      </c>
      <c r="R90" s="4">
        <f>Data!AL89</f>
        <v/>
      </c>
    </row>
    <row r="91">
      <c r="A91" s="4">
        <f>Data!A90</f>
        <v/>
      </c>
      <c r="B91" s="4">
        <f>Data!B90</f>
        <v/>
      </c>
      <c r="C91" s="4">
        <f>Data!C90</f>
        <v/>
      </c>
      <c r="D91" s="4">
        <f>Data!I90</f>
        <v/>
      </c>
      <c r="E91" s="4">
        <f>Data!J90</f>
        <v/>
      </c>
      <c r="F91" s="4">
        <f>Data!H90</f>
        <v/>
      </c>
      <c r="G91" s="4">
        <f>SUM(Data!Q90:Data!Y90)</f>
        <v/>
      </c>
      <c r="H91" s="4">
        <f>Data!Z90</f>
        <v/>
      </c>
      <c r="I91" s="4">
        <f>Data!AB90</f>
        <v/>
      </c>
      <c r="J91" s="4">
        <f>Data!AD90</f>
        <v/>
      </c>
      <c r="K91" s="4">
        <f>Data!AE90</f>
        <v/>
      </c>
      <c r="L91" s="4">
        <f>Data!AF90</f>
        <v/>
      </c>
      <c r="M91" s="4">
        <f>Data!AG90</f>
        <v/>
      </c>
      <c r="N91" s="4">
        <f>Data!AH90</f>
        <v/>
      </c>
      <c r="O91" s="4">
        <f>Data!AI90</f>
        <v/>
      </c>
      <c r="P91" s="4">
        <f>Data!AJ90</f>
        <v/>
      </c>
      <c r="Q91" s="4">
        <f>Data!AK90</f>
        <v/>
      </c>
      <c r="R91" s="4">
        <f>Data!AL90</f>
        <v/>
      </c>
    </row>
    <row r="92">
      <c r="A92" s="4">
        <f>Data!A91</f>
        <v/>
      </c>
      <c r="B92" s="4">
        <f>Data!B91</f>
        <v/>
      </c>
      <c r="C92" s="4">
        <f>Data!C91</f>
        <v/>
      </c>
      <c r="D92" s="4">
        <f>Data!I91</f>
        <v/>
      </c>
      <c r="E92" s="4">
        <f>Data!J91</f>
        <v/>
      </c>
      <c r="F92" s="4">
        <f>Data!H91</f>
        <v/>
      </c>
      <c r="G92" s="4">
        <f>SUM(Data!Q91:Data!Y91)</f>
        <v/>
      </c>
      <c r="H92" s="4">
        <f>Data!Z91</f>
        <v/>
      </c>
      <c r="I92" s="4">
        <f>Data!AB91</f>
        <v/>
      </c>
      <c r="J92" s="4">
        <f>Data!AD91</f>
        <v/>
      </c>
      <c r="K92" s="4">
        <f>Data!AE91</f>
        <v/>
      </c>
      <c r="L92" s="4">
        <f>Data!AF91</f>
        <v/>
      </c>
      <c r="M92" s="4">
        <f>Data!AG91</f>
        <v/>
      </c>
      <c r="N92" s="4">
        <f>Data!AH91</f>
        <v/>
      </c>
      <c r="O92" s="4">
        <f>Data!AI91</f>
        <v/>
      </c>
      <c r="P92" s="4">
        <f>Data!AJ91</f>
        <v/>
      </c>
      <c r="Q92" s="4">
        <f>Data!AK91</f>
        <v/>
      </c>
      <c r="R92" s="4">
        <f>Data!AL91</f>
        <v/>
      </c>
    </row>
    <row r="93">
      <c r="A93" s="4">
        <f>Data!A92</f>
        <v/>
      </c>
      <c r="B93" s="4">
        <f>Data!B92</f>
        <v/>
      </c>
      <c r="C93" s="4">
        <f>Data!C92</f>
        <v/>
      </c>
      <c r="D93" s="4">
        <f>Data!I92</f>
        <v/>
      </c>
      <c r="E93" s="4">
        <f>Data!J92</f>
        <v/>
      </c>
      <c r="F93" s="4">
        <f>Data!H92</f>
        <v/>
      </c>
      <c r="G93" s="4">
        <f>SUM(Data!Q92:Data!Y92)</f>
        <v/>
      </c>
      <c r="H93" s="4">
        <f>Data!Z92</f>
        <v/>
      </c>
      <c r="I93" s="4">
        <f>Data!AB92</f>
        <v/>
      </c>
      <c r="J93" s="4">
        <f>Data!AD92</f>
        <v/>
      </c>
      <c r="K93" s="4">
        <f>Data!AE92</f>
        <v/>
      </c>
      <c r="L93" s="4">
        <f>Data!AF92</f>
        <v/>
      </c>
      <c r="M93" s="4">
        <f>Data!AG92</f>
        <v/>
      </c>
      <c r="N93" s="4">
        <f>Data!AH92</f>
        <v/>
      </c>
      <c r="O93" s="4">
        <f>Data!AI92</f>
        <v/>
      </c>
      <c r="P93" s="4">
        <f>Data!AJ92</f>
        <v/>
      </c>
      <c r="Q93" s="4">
        <f>Data!AK92</f>
        <v/>
      </c>
      <c r="R93" s="4">
        <f>Data!AL92</f>
        <v/>
      </c>
    </row>
    <row r="94">
      <c r="A94" s="4">
        <f>Data!A93</f>
        <v/>
      </c>
      <c r="B94" s="4">
        <f>Data!B93</f>
        <v/>
      </c>
      <c r="C94" s="4">
        <f>Data!C93</f>
        <v/>
      </c>
      <c r="D94" s="4">
        <f>Data!I93</f>
        <v/>
      </c>
      <c r="E94" s="4">
        <f>Data!J93</f>
        <v/>
      </c>
      <c r="F94" s="4">
        <f>Data!H93</f>
        <v/>
      </c>
      <c r="G94" s="4">
        <f>SUM(Data!Q93:Data!Y93)</f>
        <v/>
      </c>
      <c r="H94" s="4">
        <f>Data!Z93</f>
        <v/>
      </c>
      <c r="I94" s="4">
        <f>Data!AB93</f>
        <v/>
      </c>
      <c r="J94" s="4">
        <f>Data!AD93</f>
        <v/>
      </c>
      <c r="K94" s="4">
        <f>Data!AE93</f>
        <v/>
      </c>
      <c r="L94" s="4">
        <f>Data!AF93</f>
        <v/>
      </c>
      <c r="M94" s="4">
        <f>Data!AG93</f>
        <v/>
      </c>
      <c r="N94" s="4">
        <f>Data!AH93</f>
        <v/>
      </c>
      <c r="O94" s="4">
        <f>Data!AI93</f>
        <v/>
      </c>
      <c r="P94" s="4">
        <f>Data!AJ93</f>
        <v/>
      </c>
      <c r="Q94" s="4">
        <f>Data!AK93</f>
        <v/>
      </c>
      <c r="R94" s="4">
        <f>Data!AL93</f>
        <v/>
      </c>
    </row>
    <row r="95">
      <c r="A95" s="4">
        <f>Data!A94</f>
        <v/>
      </c>
      <c r="B95" s="4">
        <f>Data!B94</f>
        <v/>
      </c>
      <c r="C95" s="4">
        <f>Data!C94</f>
        <v/>
      </c>
      <c r="D95" s="4">
        <f>Data!I94</f>
        <v/>
      </c>
      <c r="E95" s="4">
        <f>Data!J94</f>
        <v/>
      </c>
      <c r="F95" s="4">
        <f>Data!H94</f>
        <v/>
      </c>
      <c r="G95" s="4">
        <f>SUM(Data!Q94:Data!Y94)</f>
        <v/>
      </c>
      <c r="H95" s="4">
        <f>Data!Z94</f>
        <v/>
      </c>
      <c r="I95" s="4">
        <f>Data!AB94</f>
        <v/>
      </c>
      <c r="J95" s="4">
        <f>Data!AD94</f>
        <v/>
      </c>
      <c r="K95" s="4">
        <f>Data!AE94</f>
        <v/>
      </c>
      <c r="L95" s="4">
        <f>Data!AF94</f>
        <v/>
      </c>
      <c r="M95" s="4">
        <f>Data!AG94</f>
        <v/>
      </c>
      <c r="N95" s="4">
        <f>Data!AH94</f>
        <v/>
      </c>
      <c r="O95" s="4">
        <f>Data!AI94</f>
        <v/>
      </c>
      <c r="P95" s="4">
        <f>Data!AJ94</f>
        <v/>
      </c>
      <c r="Q95" s="4">
        <f>Data!AK94</f>
        <v/>
      </c>
      <c r="R95" s="4">
        <f>Data!AL94</f>
        <v/>
      </c>
    </row>
    <row r="96">
      <c r="A96" s="4">
        <f>Data!A95</f>
        <v/>
      </c>
      <c r="B96" s="4">
        <f>Data!B95</f>
        <v/>
      </c>
      <c r="C96" s="4">
        <f>Data!C95</f>
        <v/>
      </c>
      <c r="D96" s="4">
        <f>Data!I95</f>
        <v/>
      </c>
      <c r="E96" s="4">
        <f>Data!J95</f>
        <v/>
      </c>
      <c r="F96" s="4">
        <f>Data!H95</f>
        <v/>
      </c>
      <c r="G96" s="4">
        <f>SUM(Data!Q95:Data!Y95)</f>
        <v/>
      </c>
      <c r="H96" s="4">
        <f>Data!Z95</f>
        <v/>
      </c>
      <c r="I96" s="4">
        <f>Data!AB95</f>
        <v/>
      </c>
      <c r="J96" s="4">
        <f>Data!AD95</f>
        <v/>
      </c>
      <c r="K96" s="4">
        <f>Data!AE95</f>
        <v/>
      </c>
      <c r="L96" s="4">
        <f>Data!AF95</f>
        <v/>
      </c>
      <c r="M96" s="4">
        <f>Data!AG95</f>
        <v/>
      </c>
      <c r="N96" s="4">
        <f>Data!AH95</f>
        <v/>
      </c>
      <c r="O96" s="4">
        <f>Data!AI95</f>
        <v/>
      </c>
      <c r="P96" s="4">
        <f>Data!AJ95</f>
        <v/>
      </c>
      <c r="Q96" s="4">
        <f>Data!AK95</f>
        <v/>
      </c>
      <c r="R96" s="4">
        <f>Data!AL95</f>
        <v/>
      </c>
    </row>
    <row r="97">
      <c r="A97" s="4">
        <f>Data!A96</f>
        <v/>
      </c>
      <c r="B97" s="4">
        <f>Data!B96</f>
        <v/>
      </c>
      <c r="C97" s="4">
        <f>Data!C96</f>
        <v/>
      </c>
      <c r="D97" s="4">
        <f>Data!I96</f>
        <v/>
      </c>
      <c r="E97" s="4">
        <f>Data!J96</f>
        <v/>
      </c>
      <c r="F97" s="4">
        <f>Data!H96</f>
        <v/>
      </c>
      <c r="G97" s="4">
        <f>SUM(Data!Q96:Data!Y96)</f>
        <v/>
      </c>
      <c r="H97" s="4">
        <f>Data!Z96</f>
        <v/>
      </c>
      <c r="I97" s="4">
        <f>Data!AB96</f>
        <v/>
      </c>
      <c r="J97" s="4">
        <f>Data!AD96</f>
        <v/>
      </c>
      <c r="K97" s="4">
        <f>Data!AE96</f>
        <v/>
      </c>
      <c r="L97" s="4">
        <f>Data!AF96</f>
        <v/>
      </c>
      <c r="M97" s="4">
        <f>Data!AG96</f>
        <v/>
      </c>
      <c r="N97" s="4">
        <f>Data!AH96</f>
        <v/>
      </c>
      <c r="O97" s="4">
        <f>Data!AI96</f>
        <v/>
      </c>
      <c r="P97" s="4">
        <f>Data!AJ96</f>
        <v/>
      </c>
      <c r="Q97" s="4">
        <f>Data!AK96</f>
        <v/>
      </c>
      <c r="R97" s="4">
        <f>Data!AL96</f>
        <v/>
      </c>
    </row>
    <row r="98">
      <c r="A98" s="4">
        <f>Data!A97</f>
        <v/>
      </c>
      <c r="B98" s="4">
        <f>Data!B97</f>
        <v/>
      </c>
      <c r="C98" s="4">
        <f>Data!C97</f>
        <v/>
      </c>
      <c r="D98" s="4">
        <f>Data!I97</f>
        <v/>
      </c>
      <c r="E98" s="4">
        <f>Data!J97</f>
        <v/>
      </c>
      <c r="F98" s="4">
        <f>Data!H97</f>
        <v/>
      </c>
      <c r="G98" s="4">
        <f>SUM(Data!Q97:Data!Y97)</f>
        <v/>
      </c>
      <c r="H98" s="4">
        <f>Data!Z97</f>
        <v/>
      </c>
      <c r="I98" s="4">
        <f>Data!AB97</f>
        <v/>
      </c>
      <c r="J98" s="4">
        <f>Data!AD97</f>
        <v/>
      </c>
      <c r="K98" s="4">
        <f>Data!AE97</f>
        <v/>
      </c>
      <c r="L98" s="4">
        <f>Data!AF97</f>
        <v/>
      </c>
      <c r="M98" s="4">
        <f>Data!AG97</f>
        <v/>
      </c>
      <c r="N98" s="4">
        <f>Data!AH97</f>
        <v/>
      </c>
      <c r="O98" s="4">
        <f>Data!AI97</f>
        <v/>
      </c>
      <c r="P98" s="4">
        <f>Data!AJ97</f>
        <v/>
      </c>
      <c r="Q98" s="4">
        <f>Data!AK97</f>
        <v/>
      </c>
      <c r="R98" s="4">
        <f>Data!AL97</f>
        <v/>
      </c>
    </row>
    <row r="99">
      <c r="A99" s="4">
        <f>Data!A98</f>
        <v/>
      </c>
      <c r="B99" s="4">
        <f>Data!B98</f>
        <v/>
      </c>
      <c r="C99" s="4">
        <f>Data!C98</f>
        <v/>
      </c>
      <c r="D99" s="4">
        <f>Data!I98</f>
        <v/>
      </c>
      <c r="E99" s="4">
        <f>Data!J98</f>
        <v/>
      </c>
      <c r="F99" s="4">
        <f>Data!H98</f>
        <v/>
      </c>
      <c r="G99" s="4">
        <f>SUM(Data!Q98:Data!Y98)</f>
        <v/>
      </c>
      <c r="H99" s="4">
        <f>Data!Z98</f>
        <v/>
      </c>
      <c r="I99" s="4">
        <f>Data!AB98</f>
        <v/>
      </c>
      <c r="J99" s="4">
        <f>Data!AD98</f>
        <v/>
      </c>
      <c r="K99" s="4">
        <f>Data!AE98</f>
        <v/>
      </c>
      <c r="L99" s="4">
        <f>Data!AF98</f>
        <v/>
      </c>
      <c r="M99" s="4">
        <f>Data!AG98</f>
        <v/>
      </c>
      <c r="N99" s="4">
        <f>Data!AH98</f>
        <v/>
      </c>
      <c r="O99" s="4">
        <f>Data!AI98</f>
        <v/>
      </c>
      <c r="P99" s="4">
        <f>Data!AJ98</f>
        <v/>
      </c>
      <c r="Q99" s="4">
        <f>Data!AK98</f>
        <v/>
      </c>
      <c r="R99" s="4">
        <f>Data!AL98</f>
        <v/>
      </c>
    </row>
    <row r="100">
      <c r="A100" s="4">
        <f>Data!A99</f>
        <v/>
      </c>
      <c r="B100" s="4">
        <f>Data!B99</f>
        <v/>
      </c>
      <c r="C100" s="4">
        <f>Data!C99</f>
        <v/>
      </c>
      <c r="D100" s="4">
        <f>Data!I99</f>
        <v/>
      </c>
      <c r="E100" s="4">
        <f>Data!J99</f>
        <v/>
      </c>
      <c r="F100" s="4">
        <f>Data!H99</f>
        <v/>
      </c>
      <c r="G100" s="4">
        <f>SUM(Data!Q99:Data!Y99)</f>
        <v/>
      </c>
      <c r="H100" s="4">
        <f>Data!Z99</f>
        <v/>
      </c>
      <c r="I100" s="4">
        <f>Data!AB99</f>
        <v/>
      </c>
      <c r="J100" s="4">
        <f>Data!AD99</f>
        <v/>
      </c>
      <c r="K100" s="4">
        <f>Data!AE99</f>
        <v/>
      </c>
      <c r="L100" s="4">
        <f>Data!AF99</f>
        <v/>
      </c>
      <c r="M100" s="4">
        <f>Data!AG99</f>
        <v/>
      </c>
      <c r="N100" s="4">
        <f>Data!AH99</f>
        <v/>
      </c>
      <c r="O100" s="4">
        <f>Data!AI99</f>
        <v/>
      </c>
      <c r="P100" s="4">
        <f>Data!AJ99</f>
        <v/>
      </c>
      <c r="Q100" s="4">
        <f>Data!AK99</f>
        <v/>
      </c>
      <c r="R100" s="4">
        <f>Data!AL99</f>
        <v/>
      </c>
    </row>
    <row r="101">
      <c r="A101" s="4">
        <f>Data!A100</f>
        <v/>
      </c>
      <c r="B101" s="4">
        <f>Data!B100</f>
        <v/>
      </c>
      <c r="C101" s="4">
        <f>Data!C100</f>
        <v/>
      </c>
      <c r="D101" s="4">
        <f>Data!I100</f>
        <v/>
      </c>
      <c r="E101" s="4">
        <f>Data!J100</f>
        <v/>
      </c>
      <c r="F101" s="4">
        <f>Data!H100</f>
        <v/>
      </c>
      <c r="G101" s="4">
        <f>SUM(Data!Q100:Data!Y100)</f>
        <v/>
      </c>
      <c r="H101" s="4">
        <f>Data!Z100</f>
        <v/>
      </c>
      <c r="I101" s="4">
        <f>Data!AB100</f>
        <v/>
      </c>
      <c r="J101" s="4">
        <f>Data!AD100</f>
        <v/>
      </c>
      <c r="K101" s="4">
        <f>Data!AE100</f>
        <v/>
      </c>
      <c r="L101" s="4">
        <f>Data!AF100</f>
        <v/>
      </c>
      <c r="M101" s="4">
        <f>Data!AG100</f>
        <v/>
      </c>
      <c r="N101" s="4">
        <f>Data!AH100</f>
        <v/>
      </c>
      <c r="O101" s="4">
        <f>Data!AI100</f>
        <v/>
      </c>
      <c r="P101" s="4">
        <f>Data!AJ100</f>
        <v/>
      </c>
      <c r="Q101" s="4">
        <f>Data!AK100</f>
        <v/>
      </c>
      <c r="R101" s="4">
        <f>Data!AL100</f>
        <v/>
      </c>
    </row>
    <row r="102">
      <c r="A102" s="4">
        <f>Data!A101</f>
        <v/>
      </c>
      <c r="B102" s="4">
        <f>Data!B101</f>
        <v/>
      </c>
      <c r="C102" s="4">
        <f>Data!C101</f>
        <v/>
      </c>
      <c r="D102" s="4">
        <f>Data!I101</f>
        <v/>
      </c>
      <c r="E102" s="4">
        <f>Data!J101</f>
        <v/>
      </c>
      <c r="F102" s="4">
        <f>Data!H101</f>
        <v/>
      </c>
      <c r="G102" s="4">
        <f>SUM(Data!Q101:Data!Y101)</f>
        <v/>
      </c>
      <c r="H102" s="4">
        <f>Data!Z101</f>
        <v/>
      </c>
      <c r="I102" s="4">
        <f>Data!AB101</f>
        <v/>
      </c>
      <c r="J102" s="4">
        <f>Data!AD101</f>
        <v/>
      </c>
      <c r="K102" s="4">
        <f>Data!AE101</f>
        <v/>
      </c>
      <c r="L102" s="4">
        <f>Data!AF101</f>
        <v/>
      </c>
      <c r="M102" s="4">
        <f>Data!AG101</f>
        <v/>
      </c>
      <c r="N102" s="4">
        <f>Data!AH101</f>
        <v/>
      </c>
      <c r="O102" s="4">
        <f>Data!AI101</f>
        <v/>
      </c>
      <c r="P102" s="4">
        <f>Data!AJ101</f>
        <v/>
      </c>
      <c r="Q102" s="4">
        <f>Data!AK101</f>
        <v/>
      </c>
      <c r="R102" s="4">
        <f>Data!AL101</f>
        <v/>
      </c>
    </row>
    <row r="103">
      <c r="A103" s="4">
        <f>Data!A102</f>
        <v/>
      </c>
      <c r="B103" s="4">
        <f>Data!B102</f>
        <v/>
      </c>
      <c r="C103" s="4">
        <f>Data!C102</f>
        <v/>
      </c>
      <c r="D103" s="4">
        <f>Data!I102</f>
        <v/>
      </c>
      <c r="E103" s="4">
        <f>Data!J102</f>
        <v/>
      </c>
      <c r="F103" s="4">
        <f>Data!H102</f>
        <v/>
      </c>
      <c r="G103" s="4">
        <f>SUM(Data!Q102:Data!Y102)</f>
        <v/>
      </c>
      <c r="H103" s="4">
        <f>Data!Z102</f>
        <v/>
      </c>
      <c r="I103" s="4">
        <f>Data!AB102</f>
        <v/>
      </c>
      <c r="J103" s="4">
        <f>Data!AD102</f>
        <v/>
      </c>
      <c r="K103" s="4">
        <f>Data!AE102</f>
        <v/>
      </c>
      <c r="L103" s="4">
        <f>Data!AF102</f>
        <v/>
      </c>
      <c r="M103" s="4">
        <f>Data!AG102</f>
        <v/>
      </c>
      <c r="N103" s="4">
        <f>Data!AH102</f>
        <v/>
      </c>
      <c r="O103" s="4">
        <f>Data!AI102</f>
        <v/>
      </c>
      <c r="P103" s="4">
        <f>Data!AJ102</f>
        <v/>
      </c>
      <c r="Q103" s="4">
        <f>Data!AK102</f>
        <v/>
      </c>
      <c r="R103" s="4">
        <f>Data!AL102</f>
        <v/>
      </c>
    </row>
    <row r="104">
      <c r="A104" s="4">
        <f>Data!A103</f>
        <v/>
      </c>
      <c r="B104" s="4">
        <f>Data!B103</f>
        <v/>
      </c>
      <c r="C104" s="4">
        <f>Data!C103</f>
        <v/>
      </c>
      <c r="D104" s="4">
        <f>Data!I103</f>
        <v/>
      </c>
      <c r="E104" s="4">
        <f>Data!J103</f>
        <v/>
      </c>
      <c r="F104" s="4">
        <f>Data!H103</f>
        <v/>
      </c>
      <c r="G104" s="4">
        <f>SUM(Data!Q103:Data!Y103)</f>
        <v/>
      </c>
      <c r="H104" s="4">
        <f>Data!Z103</f>
        <v/>
      </c>
      <c r="I104" s="4">
        <f>Data!AB103</f>
        <v/>
      </c>
      <c r="J104" s="4">
        <f>Data!AD103</f>
        <v/>
      </c>
      <c r="K104" s="4">
        <f>Data!AE103</f>
        <v/>
      </c>
      <c r="L104" s="4">
        <f>Data!AF103</f>
        <v/>
      </c>
      <c r="M104" s="4">
        <f>Data!AG103</f>
        <v/>
      </c>
      <c r="N104" s="4">
        <f>Data!AH103</f>
        <v/>
      </c>
      <c r="O104" s="4">
        <f>Data!AI103</f>
        <v/>
      </c>
      <c r="P104" s="4">
        <f>Data!AJ103</f>
        <v/>
      </c>
      <c r="Q104" s="4">
        <f>Data!AK103</f>
        <v/>
      </c>
      <c r="R104" s="4">
        <f>Data!AL103</f>
        <v/>
      </c>
    </row>
    <row r="105">
      <c r="A105" s="4">
        <f>Data!A104</f>
        <v/>
      </c>
      <c r="B105" s="4">
        <f>Data!B104</f>
        <v/>
      </c>
      <c r="C105" s="4">
        <f>Data!C104</f>
        <v/>
      </c>
      <c r="D105" s="4">
        <f>Data!I104</f>
        <v/>
      </c>
      <c r="E105" s="4">
        <f>Data!J104</f>
        <v/>
      </c>
      <c r="F105" s="4">
        <f>Data!H104</f>
        <v/>
      </c>
      <c r="G105" s="4">
        <f>SUM(Data!Q104:Data!Y104)</f>
        <v/>
      </c>
      <c r="H105" s="4">
        <f>Data!Z104</f>
        <v/>
      </c>
      <c r="I105" s="4">
        <f>Data!AB104</f>
        <v/>
      </c>
      <c r="J105" s="4">
        <f>Data!AD104</f>
        <v/>
      </c>
      <c r="K105" s="4">
        <f>Data!AE104</f>
        <v/>
      </c>
      <c r="L105" s="4">
        <f>Data!AF104</f>
        <v/>
      </c>
      <c r="M105" s="4">
        <f>Data!AG104</f>
        <v/>
      </c>
      <c r="N105" s="4">
        <f>Data!AH104</f>
        <v/>
      </c>
      <c r="O105" s="4">
        <f>Data!AI104</f>
        <v/>
      </c>
      <c r="P105" s="4">
        <f>Data!AJ104</f>
        <v/>
      </c>
      <c r="Q105" s="4">
        <f>Data!AK104</f>
        <v/>
      </c>
      <c r="R105" s="4">
        <f>Data!AL104</f>
        <v/>
      </c>
    </row>
    <row r="106">
      <c r="A106" s="4">
        <f>Data!A105</f>
        <v/>
      </c>
      <c r="B106" s="4">
        <f>Data!B105</f>
        <v/>
      </c>
      <c r="C106" s="4">
        <f>Data!C105</f>
        <v/>
      </c>
      <c r="D106" s="4">
        <f>Data!I105</f>
        <v/>
      </c>
      <c r="E106" s="4">
        <f>Data!J105</f>
        <v/>
      </c>
      <c r="F106" s="4">
        <f>Data!H105</f>
        <v/>
      </c>
      <c r="G106" s="4">
        <f>SUM(Data!Q105:Data!Y105)</f>
        <v/>
      </c>
      <c r="H106" s="4">
        <f>Data!Z105</f>
        <v/>
      </c>
      <c r="I106" s="4">
        <f>Data!AB105</f>
        <v/>
      </c>
      <c r="J106" s="4">
        <f>Data!AD105</f>
        <v/>
      </c>
      <c r="K106" s="4">
        <f>Data!AE105</f>
        <v/>
      </c>
      <c r="L106" s="4">
        <f>Data!AF105</f>
        <v/>
      </c>
      <c r="M106" s="4">
        <f>Data!AG105</f>
        <v/>
      </c>
      <c r="N106" s="4">
        <f>Data!AH105</f>
        <v/>
      </c>
      <c r="O106" s="4">
        <f>Data!AI105</f>
        <v/>
      </c>
      <c r="P106" s="4">
        <f>Data!AJ105</f>
        <v/>
      </c>
      <c r="Q106" s="4">
        <f>Data!AK105</f>
        <v/>
      </c>
      <c r="R106" s="4">
        <f>Data!AL105</f>
        <v/>
      </c>
    </row>
    <row r="107">
      <c r="A107" s="4">
        <f>Data!A106</f>
        <v/>
      </c>
      <c r="B107" s="4">
        <f>Data!B106</f>
        <v/>
      </c>
      <c r="C107" s="4">
        <f>Data!C106</f>
        <v/>
      </c>
      <c r="D107" s="4">
        <f>Data!I106</f>
        <v/>
      </c>
      <c r="E107" s="4">
        <f>Data!J106</f>
        <v/>
      </c>
      <c r="F107" s="4">
        <f>Data!H106</f>
        <v/>
      </c>
      <c r="G107" s="4">
        <f>SUM(Data!Q106:Data!Y106)</f>
        <v/>
      </c>
      <c r="H107" s="4">
        <f>Data!Z106</f>
        <v/>
      </c>
      <c r="I107" s="4">
        <f>Data!AB106</f>
        <v/>
      </c>
      <c r="J107" s="4">
        <f>Data!AD106</f>
        <v/>
      </c>
      <c r="K107" s="4">
        <f>Data!AE106</f>
        <v/>
      </c>
      <c r="L107" s="4">
        <f>Data!AF106</f>
        <v/>
      </c>
      <c r="M107" s="4">
        <f>Data!AG106</f>
        <v/>
      </c>
      <c r="N107" s="4">
        <f>Data!AH106</f>
        <v/>
      </c>
      <c r="O107" s="4">
        <f>Data!AI106</f>
        <v/>
      </c>
      <c r="P107" s="4">
        <f>Data!AJ106</f>
        <v/>
      </c>
      <c r="Q107" s="4">
        <f>Data!AK106</f>
        <v/>
      </c>
      <c r="R107" s="4">
        <f>Data!AL106</f>
        <v/>
      </c>
    </row>
    <row r="108">
      <c r="A108" s="4">
        <f>Data!A107</f>
        <v/>
      </c>
      <c r="B108" s="4">
        <f>Data!B107</f>
        <v/>
      </c>
      <c r="C108" s="4">
        <f>Data!C107</f>
        <v/>
      </c>
      <c r="D108" s="4">
        <f>Data!I107</f>
        <v/>
      </c>
      <c r="E108" s="4">
        <f>Data!J107</f>
        <v/>
      </c>
      <c r="F108" s="4">
        <f>Data!H107</f>
        <v/>
      </c>
      <c r="G108" s="4">
        <f>SUM(Data!Q107:Data!Y107)</f>
        <v/>
      </c>
      <c r="H108" s="4">
        <f>Data!Z107</f>
        <v/>
      </c>
      <c r="I108" s="4">
        <f>Data!AB107</f>
        <v/>
      </c>
      <c r="J108" s="4">
        <f>Data!AD107</f>
        <v/>
      </c>
      <c r="K108" s="4">
        <f>Data!AE107</f>
        <v/>
      </c>
      <c r="L108" s="4">
        <f>Data!AF107</f>
        <v/>
      </c>
      <c r="M108" s="4">
        <f>Data!AG107</f>
        <v/>
      </c>
      <c r="N108" s="4">
        <f>Data!AH107</f>
        <v/>
      </c>
      <c r="O108" s="4">
        <f>Data!AI107</f>
        <v/>
      </c>
      <c r="P108" s="4">
        <f>Data!AJ107</f>
        <v/>
      </c>
      <c r="Q108" s="4">
        <f>Data!AK107</f>
        <v/>
      </c>
      <c r="R108" s="4">
        <f>Data!AL107</f>
        <v/>
      </c>
    </row>
    <row r="109">
      <c r="A109" s="4">
        <f>Data!A108</f>
        <v/>
      </c>
      <c r="B109" s="4">
        <f>Data!B108</f>
        <v/>
      </c>
      <c r="C109" s="4">
        <f>Data!C108</f>
        <v/>
      </c>
      <c r="D109" s="4">
        <f>Data!I108</f>
        <v/>
      </c>
      <c r="E109" s="4">
        <f>Data!J108</f>
        <v/>
      </c>
      <c r="F109" s="4">
        <f>Data!H108</f>
        <v/>
      </c>
      <c r="G109" s="4">
        <f>SUM(Data!Q108:Data!Y108)</f>
        <v/>
      </c>
      <c r="H109" s="4">
        <f>Data!Z108</f>
        <v/>
      </c>
      <c r="I109" s="4">
        <f>Data!AB108</f>
        <v/>
      </c>
      <c r="J109" s="4">
        <f>Data!AD108</f>
        <v/>
      </c>
      <c r="K109" s="4">
        <f>Data!AE108</f>
        <v/>
      </c>
      <c r="L109" s="4">
        <f>Data!AF108</f>
        <v/>
      </c>
      <c r="M109" s="4">
        <f>Data!AG108</f>
        <v/>
      </c>
      <c r="N109" s="4">
        <f>Data!AH108</f>
        <v/>
      </c>
      <c r="O109" s="4">
        <f>Data!AI108</f>
        <v/>
      </c>
      <c r="P109" s="4">
        <f>Data!AJ108</f>
        <v/>
      </c>
      <c r="Q109" s="4">
        <f>Data!AK108</f>
        <v/>
      </c>
      <c r="R109" s="4">
        <f>Data!AL108</f>
        <v/>
      </c>
    </row>
    <row r="110">
      <c r="A110" s="4">
        <f>Data!A109</f>
        <v/>
      </c>
      <c r="B110" s="4">
        <f>Data!B109</f>
        <v/>
      </c>
      <c r="C110" s="4">
        <f>Data!C109</f>
        <v/>
      </c>
      <c r="D110" s="4">
        <f>Data!I109</f>
        <v/>
      </c>
      <c r="E110" s="4">
        <f>Data!J109</f>
        <v/>
      </c>
      <c r="F110" s="4">
        <f>Data!H109</f>
        <v/>
      </c>
      <c r="G110" s="4">
        <f>SUM(Data!Q109:Data!Y109)</f>
        <v/>
      </c>
      <c r="H110" s="4">
        <f>Data!Z109</f>
        <v/>
      </c>
      <c r="I110" s="4">
        <f>Data!AB109</f>
        <v/>
      </c>
      <c r="J110" s="4">
        <f>Data!AD109</f>
        <v/>
      </c>
      <c r="K110" s="4">
        <f>Data!AE109</f>
        <v/>
      </c>
      <c r="L110" s="4">
        <f>Data!AF109</f>
        <v/>
      </c>
      <c r="M110" s="4">
        <f>Data!AG109</f>
        <v/>
      </c>
      <c r="N110" s="4">
        <f>Data!AH109</f>
        <v/>
      </c>
      <c r="O110" s="4">
        <f>Data!AI109</f>
        <v/>
      </c>
      <c r="P110" s="4">
        <f>Data!AJ109</f>
        <v/>
      </c>
      <c r="Q110" s="4">
        <f>Data!AK109</f>
        <v/>
      </c>
      <c r="R110" s="4">
        <f>Data!AL109</f>
        <v/>
      </c>
    </row>
    <row r="111">
      <c r="A111" s="4">
        <f>Data!A110</f>
        <v/>
      </c>
      <c r="B111" s="4">
        <f>Data!B110</f>
        <v/>
      </c>
      <c r="C111" s="4">
        <f>Data!C110</f>
        <v/>
      </c>
      <c r="D111" s="4">
        <f>Data!I110</f>
        <v/>
      </c>
      <c r="E111" s="4">
        <f>Data!J110</f>
        <v/>
      </c>
      <c r="F111" s="4">
        <f>Data!H110</f>
        <v/>
      </c>
      <c r="G111" s="4">
        <f>SUM(Data!Q110:Data!Y110)</f>
        <v/>
      </c>
      <c r="H111" s="4">
        <f>Data!Z110</f>
        <v/>
      </c>
      <c r="I111" s="4">
        <f>Data!AB110</f>
        <v/>
      </c>
      <c r="J111" s="4">
        <f>Data!AD110</f>
        <v/>
      </c>
      <c r="K111" s="4">
        <f>Data!AE110</f>
        <v/>
      </c>
      <c r="L111" s="4">
        <f>Data!AF110</f>
        <v/>
      </c>
      <c r="M111" s="4">
        <f>Data!AG110</f>
        <v/>
      </c>
      <c r="N111" s="4">
        <f>Data!AH110</f>
        <v/>
      </c>
      <c r="O111" s="4">
        <f>Data!AI110</f>
        <v/>
      </c>
      <c r="P111" s="4">
        <f>Data!AJ110</f>
        <v/>
      </c>
      <c r="Q111" s="4">
        <f>Data!AK110</f>
        <v/>
      </c>
      <c r="R111" s="4">
        <f>Data!AL110</f>
        <v/>
      </c>
    </row>
    <row r="112">
      <c r="A112" s="4">
        <f>Data!A111</f>
        <v/>
      </c>
      <c r="B112" s="4">
        <f>Data!B111</f>
        <v/>
      </c>
      <c r="C112" s="4">
        <f>Data!C111</f>
        <v/>
      </c>
      <c r="D112" s="4">
        <f>Data!I111</f>
        <v/>
      </c>
      <c r="E112" s="4">
        <f>Data!J111</f>
        <v/>
      </c>
      <c r="F112" s="4">
        <f>Data!H111</f>
        <v/>
      </c>
      <c r="G112" s="4">
        <f>SUM(Data!Q111:Data!Y111)</f>
        <v/>
      </c>
      <c r="H112" s="4">
        <f>Data!Z111</f>
        <v/>
      </c>
      <c r="I112" s="4">
        <f>Data!AB111</f>
        <v/>
      </c>
      <c r="J112" s="4">
        <f>Data!AD111</f>
        <v/>
      </c>
      <c r="K112" s="4">
        <f>Data!AE111</f>
        <v/>
      </c>
      <c r="L112" s="4">
        <f>Data!AF111</f>
        <v/>
      </c>
      <c r="M112" s="4">
        <f>Data!AG111</f>
        <v/>
      </c>
      <c r="N112" s="4">
        <f>Data!AH111</f>
        <v/>
      </c>
      <c r="O112" s="4">
        <f>Data!AI111</f>
        <v/>
      </c>
      <c r="P112" s="4">
        <f>Data!AJ111</f>
        <v/>
      </c>
      <c r="Q112" s="4">
        <f>Data!AK111</f>
        <v/>
      </c>
      <c r="R112" s="4">
        <f>Data!AL111</f>
        <v/>
      </c>
    </row>
    <row r="113">
      <c r="A113" s="4">
        <f>Data!A112</f>
        <v/>
      </c>
      <c r="B113" s="4">
        <f>Data!B112</f>
        <v/>
      </c>
      <c r="C113" s="4">
        <f>Data!C112</f>
        <v/>
      </c>
      <c r="D113" s="4">
        <f>Data!I112</f>
        <v/>
      </c>
      <c r="E113" s="4">
        <f>Data!J112</f>
        <v/>
      </c>
      <c r="F113" s="4">
        <f>Data!H112</f>
        <v/>
      </c>
      <c r="G113" s="4">
        <f>SUM(Data!Q112:Data!Y112)</f>
        <v/>
      </c>
      <c r="H113" s="4">
        <f>Data!Z112</f>
        <v/>
      </c>
      <c r="I113" s="4">
        <f>Data!AB112</f>
        <v/>
      </c>
      <c r="J113" s="4">
        <f>Data!AD112</f>
        <v/>
      </c>
      <c r="K113" s="4">
        <f>Data!AE112</f>
        <v/>
      </c>
      <c r="L113" s="4">
        <f>Data!AF112</f>
        <v/>
      </c>
      <c r="M113" s="4">
        <f>Data!AG112</f>
        <v/>
      </c>
      <c r="N113" s="4">
        <f>Data!AH112</f>
        <v/>
      </c>
      <c r="O113" s="4">
        <f>Data!AI112</f>
        <v/>
      </c>
      <c r="P113" s="4">
        <f>Data!AJ112</f>
        <v/>
      </c>
      <c r="Q113" s="4">
        <f>Data!AK112</f>
        <v/>
      </c>
      <c r="R113" s="4">
        <f>Data!AL112</f>
        <v/>
      </c>
    </row>
    <row r="114">
      <c r="A114" s="4">
        <f>Data!A113</f>
        <v/>
      </c>
      <c r="B114" s="4">
        <f>Data!B113</f>
        <v/>
      </c>
      <c r="C114" s="4">
        <f>Data!C113</f>
        <v/>
      </c>
      <c r="D114" s="4">
        <f>Data!I113</f>
        <v/>
      </c>
      <c r="E114" s="4">
        <f>Data!J113</f>
        <v/>
      </c>
      <c r="F114" s="4">
        <f>Data!H113</f>
        <v/>
      </c>
      <c r="G114" s="4">
        <f>SUM(Data!Q113:Data!Y113)</f>
        <v/>
      </c>
      <c r="H114" s="4">
        <f>Data!Z113</f>
        <v/>
      </c>
      <c r="I114" s="4">
        <f>Data!AB113</f>
        <v/>
      </c>
      <c r="J114" s="4">
        <f>Data!AD113</f>
        <v/>
      </c>
      <c r="K114" s="4">
        <f>Data!AE113</f>
        <v/>
      </c>
      <c r="L114" s="4">
        <f>Data!AF113</f>
        <v/>
      </c>
      <c r="M114" s="4">
        <f>Data!AG113</f>
        <v/>
      </c>
      <c r="N114" s="4">
        <f>Data!AH113</f>
        <v/>
      </c>
      <c r="O114" s="4">
        <f>Data!AI113</f>
        <v/>
      </c>
      <c r="P114" s="4">
        <f>Data!AJ113</f>
        <v/>
      </c>
      <c r="Q114" s="4">
        <f>Data!AK113</f>
        <v/>
      </c>
      <c r="R114" s="4">
        <f>Data!AL113</f>
        <v/>
      </c>
    </row>
    <row r="115">
      <c r="A115" s="4">
        <f>Data!A114</f>
        <v/>
      </c>
      <c r="B115" s="4">
        <f>Data!B114</f>
        <v/>
      </c>
      <c r="C115" s="4">
        <f>Data!C114</f>
        <v/>
      </c>
      <c r="D115" s="4">
        <f>Data!I114</f>
        <v/>
      </c>
      <c r="E115" s="4">
        <f>Data!J114</f>
        <v/>
      </c>
      <c r="F115" s="4">
        <f>Data!H114</f>
        <v/>
      </c>
      <c r="G115" s="4">
        <f>SUM(Data!Q114:Data!Y114)</f>
        <v/>
      </c>
      <c r="H115" s="4">
        <f>Data!Z114</f>
        <v/>
      </c>
      <c r="I115" s="4">
        <f>Data!AB114</f>
        <v/>
      </c>
      <c r="J115" s="4">
        <f>Data!AD114</f>
        <v/>
      </c>
      <c r="K115" s="4">
        <f>Data!AE114</f>
        <v/>
      </c>
      <c r="L115" s="4">
        <f>Data!AF114</f>
        <v/>
      </c>
      <c r="M115" s="4">
        <f>Data!AG114</f>
        <v/>
      </c>
      <c r="N115" s="4">
        <f>Data!AH114</f>
        <v/>
      </c>
      <c r="O115" s="4">
        <f>Data!AI114</f>
        <v/>
      </c>
      <c r="P115" s="4">
        <f>Data!AJ114</f>
        <v/>
      </c>
      <c r="Q115" s="4">
        <f>Data!AK114</f>
        <v/>
      </c>
      <c r="R115" s="4">
        <f>Data!AL114</f>
        <v/>
      </c>
    </row>
    <row r="116">
      <c r="A116" s="4">
        <f>Data!A115</f>
        <v/>
      </c>
      <c r="B116" s="4">
        <f>Data!B115</f>
        <v/>
      </c>
      <c r="C116" s="4">
        <f>Data!C115</f>
        <v/>
      </c>
      <c r="D116" s="4">
        <f>Data!I115</f>
        <v/>
      </c>
      <c r="E116" s="4">
        <f>Data!J115</f>
        <v/>
      </c>
      <c r="F116" s="4">
        <f>Data!H115</f>
        <v/>
      </c>
      <c r="G116" s="4">
        <f>SUM(Data!Q115:Data!Y115)</f>
        <v/>
      </c>
      <c r="H116" s="4">
        <f>Data!Z115</f>
        <v/>
      </c>
      <c r="I116" s="4">
        <f>Data!AB115</f>
        <v/>
      </c>
      <c r="J116" s="4">
        <f>Data!AD115</f>
        <v/>
      </c>
      <c r="K116" s="4">
        <f>Data!AE115</f>
        <v/>
      </c>
      <c r="L116" s="4">
        <f>Data!AF115</f>
        <v/>
      </c>
      <c r="M116" s="4">
        <f>Data!AG115</f>
        <v/>
      </c>
      <c r="N116" s="4">
        <f>Data!AH115</f>
        <v/>
      </c>
      <c r="O116" s="4">
        <f>Data!AI115</f>
        <v/>
      </c>
      <c r="P116" s="4">
        <f>Data!AJ115</f>
        <v/>
      </c>
      <c r="Q116" s="4">
        <f>Data!AK115</f>
        <v/>
      </c>
      <c r="R116" s="4">
        <f>Data!AL115</f>
        <v/>
      </c>
    </row>
    <row r="117">
      <c r="A117" s="4">
        <f>Data!A116</f>
        <v/>
      </c>
      <c r="B117" s="4">
        <f>Data!B116</f>
        <v/>
      </c>
      <c r="C117" s="4">
        <f>Data!C116</f>
        <v/>
      </c>
      <c r="D117" s="4">
        <f>Data!I116</f>
        <v/>
      </c>
      <c r="E117" s="4">
        <f>Data!J116</f>
        <v/>
      </c>
      <c r="F117" s="4">
        <f>Data!H116</f>
        <v/>
      </c>
      <c r="G117" s="4">
        <f>SUM(Data!Q116:Data!Y116)</f>
        <v/>
      </c>
      <c r="H117" s="4">
        <f>Data!Z116</f>
        <v/>
      </c>
      <c r="I117" s="4">
        <f>Data!AB116</f>
        <v/>
      </c>
      <c r="J117" s="4">
        <f>Data!AD116</f>
        <v/>
      </c>
      <c r="K117" s="4">
        <f>Data!AE116</f>
        <v/>
      </c>
      <c r="L117" s="4">
        <f>Data!AF116</f>
        <v/>
      </c>
      <c r="M117" s="4">
        <f>Data!AG116</f>
        <v/>
      </c>
      <c r="N117" s="4">
        <f>Data!AH116</f>
        <v/>
      </c>
      <c r="O117" s="4">
        <f>Data!AI116</f>
        <v/>
      </c>
      <c r="P117" s="4">
        <f>Data!AJ116</f>
        <v/>
      </c>
      <c r="Q117" s="4">
        <f>Data!AK116</f>
        <v/>
      </c>
      <c r="R117" s="4">
        <f>Data!AL116</f>
        <v/>
      </c>
    </row>
    <row r="118">
      <c r="A118" s="4">
        <f>Data!A117</f>
        <v/>
      </c>
      <c r="B118" s="4">
        <f>Data!B117</f>
        <v/>
      </c>
      <c r="C118" s="4">
        <f>Data!C117</f>
        <v/>
      </c>
      <c r="D118" s="4">
        <f>Data!I117</f>
        <v/>
      </c>
      <c r="E118" s="4">
        <f>Data!J117</f>
        <v/>
      </c>
      <c r="F118" s="4">
        <f>Data!H117</f>
        <v/>
      </c>
      <c r="G118" s="4">
        <f>SUM(Data!Q117:Data!Y117)</f>
        <v/>
      </c>
      <c r="H118" s="4">
        <f>Data!Z117</f>
        <v/>
      </c>
      <c r="I118" s="4">
        <f>Data!AB117</f>
        <v/>
      </c>
      <c r="J118" s="4">
        <f>Data!AD117</f>
        <v/>
      </c>
      <c r="K118" s="4">
        <f>Data!AE117</f>
        <v/>
      </c>
      <c r="L118" s="4">
        <f>Data!AF117</f>
        <v/>
      </c>
      <c r="M118" s="4">
        <f>Data!AG117</f>
        <v/>
      </c>
      <c r="N118" s="4">
        <f>Data!AH117</f>
        <v/>
      </c>
      <c r="O118" s="4">
        <f>Data!AI117</f>
        <v/>
      </c>
      <c r="P118" s="4">
        <f>Data!AJ117</f>
        <v/>
      </c>
      <c r="Q118" s="4">
        <f>Data!AK117</f>
        <v/>
      </c>
      <c r="R118" s="4">
        <f>Data!AL117</f>
        <v/>
      </c>
    </row>
    <row r="119">
      <c r="A119" s="4">
        <f>Data!A118</f>
        <v/>
      </c>
      <c r="B119" s="4">
        <f>Data!B118</f>
        <v/>
      </c>
      <c r="C119" s="4">
        <f>Data!C118</f>
        <v/>
      </c>
      <c r="D119" s="4">
        <f>Data!I118</f>
        <v/>
      </c>
      <c r="E119" s="4">
        <f>Data!J118</f>
        <v/>
      </c>
      <c r="F119" s="4">
        <f>Data!H118</f>
        <v/>
      </c>
      <c r="G119" s="4">
        <f>SUM(Data!Q118:Data!Y118)</f>
        <v/>
      </c>
      <c r="H119" s="4">
        <f>Data!Z118</f>
        <v/>
      </c>
      <c r="I119" s="4">
        <f>Data!AB118</f>
        <v/>
      </c>
      <c r="J119" s="4">
        <f>Data!AD118</f>
        <v/>
      </c>
      <c r="K119" s="4">
        <f>Data!AE118</f>
        <v/>
      </c>
      <c r="L119" s="4">
        <f>Data!AF118</f>
        <v/>
      </c>
      <c r="M119" s="4">
        <f>Data!AG118</f>
        <v/>
      </c>
      <c r="N119" s="4">
        <f>Data!AH118</f>
        <v/>
      </c>
      <c r="O119" s="4">
        <f>Data!AI118</f>
        <v/>
      </c>
      <c r="P119" s="4">
        <f>Data!AJ118</f>
        <v/>
      </c>
      <c r="Q119" s="4">
        <f>Data!AK118</f>
        <v/>
      </c>
      <c r="R119" s="4">
        <f>Data!AL118</f>
        <v/>
      </c>
    </row>
    <row r="120">
      <c r="A120" s="4">
        <f>Data!A119</f>
        <v/>
      </c>
      <c r="B120" s="4">
        <f>Data!B119</f>
        <v/>
      </c>
      <c r="C120" s="4">
        <f>Data!C119</f>
        <v/>
      </c>
      <c r="D120" s="4">
        <f>Data!I119</f>
        <v/>
      </c>
      <c r="E120" s="4">
        <f>Data!J119</f>
        <v/>
      </c>
      <c r="F120" s="4">
        <f>Data!H119</f>
        <v/>
      </c>
      <c r="G120" s="4">
        <f>SUM(Data!Q119:Data!Y119)</f>
        <v/>
      </c>
      <c r="H120" s="4">
        <f>Data!Z119</f>
        <v/>
      </c>
      <c r="I120" s="4">
        <f>Data!AB119</f>
        <v/>
      </c>
      <c r="J120" s="4">
        <f>Data!AD119</f>
        <v/>
      </c>
      <c r="K120" s="4">
        <f>Data!AE119</f>
        <v/>
      </c>
      <c r="L120" s="4">
        <f>Data!AF119</f>
        <v/>
      </c>
      <c r="M120" s="4">
        <f>Data!AG119</f>
        <v/>
      </c>
      <c r="N120" s="4">
        <f>Data!AH119</f>
        <v/>
      </c>
      <c r="O120" s="4">
        <f>Data!AI119</f>
        <v/>
      </c>
      <c r="P120" s="4">
        <f>Data!AJ119</f>
        <v/>
      </c>
      <c r="Q120" s="4">
        <f>Data!AK119</f>
        <v/>
      </c>
      <c r="R120" s="4">
        <f>Data!AL119</f>
        <v/>
      </c>
    </row>
    <row r="121">
      <c r="A121" s="4">
        <f>Data!A120</f>
        <v/>
      </c>
      <c r="B121" s="4">
        <f>Data!B120</f>
        <v/>
      </c>
      <c r="C121" s="4">
        <f>Data!C120</f>
        <v/>
      </c>
      <c r="D121" s="4">
        <f>Data!I120</f>
        <v/>
      </c>
      <c r="E121" s="4">
        <f>Data!J120</f>
        <v/>
      </c>
      <c r="F121" s="4">
        <f>Data!H120</f>
        <v/>
      </c>
      <c r="G121" s="4">
        <f>SUM(Data!Q120:Data!Y120)</f>
        <v/>
      </c>
      <c r="H121" s="4">
        <f>Data!Z120</f>
        <v/>
      </c>
      <c r="I121" s="4">
        <f>Data!AB120</f>
        <v/>
      </c>
      <c r="J121" s="4">
        <f>Data!AD120</f>
        <v/>
      </c>
      <c r="K121" s="4">
        <f>Data!AE120</f>
        <v/>
      </c>
      <c r="L121" s="4">
        <f>Data!AF120</f>
        <v/>
      </c>
      <c r="M121" s="4">
        <f>Data!AG120</f>
        <v/>
      </c>
      <c r="N121" s="4">
        <f>Data!AH120</f>
        <v/>
      </c>
      <c r="O121" s="4">
        <f>Data!AI120</f>
        <v/>
      </c>
      <c r="P121" s="4">
        <f>Data!AJ120</f>
        <v/>
      </c>
      <c r="Q121" s="4">
        <f>Data!AK120</f>
        <v/>
      </c>
      <c r="R121" s="4">
        <f>Data!AL120</f>
        <v/>
      </c>
    </row>
    <row r="122">
      <c r="A122" s="4">
        <f>Data!A121</f>
        <v/>
      </c>
      <c r="B122" s="4">
        <f>Data!B121</f>
        <v/>
      </c>
      <c r="C122" s="4">
        <f>Data!C121</f>
        <v/>
      </c>
      <c r="D122" s="4">
        <f>Data!I121</f>
        <v/>
      </c>
      <c r="E122" s="4">
        <f>Data!J121</f>
        <v/>
      </c>
      <c r="F122" s="4">
        <f>Data!H121</f>
        <v/>
      </c>
      <c r="G122" s="4">
        <f>SUM(Data!Q121:Data!Y121)</f>
        <v/>
      </c>
      <c r="H122" s="4">
        <f>Data!Z121</f>
        <v/>
      </c>
      <c r="I122" s="4">
        <f>Data!AB121</f>
        <v/>
      </c>
      <c r="J122" s="4">
        <f>Data!AD121</f>
        <v/>
      </c>
      <c r="K122" s="4">
        <f>Data!AE121</f>
        <v/>
      </c>
      <c r="L122" s="4">
        <f>Data!AF121</f>
        <v/>
      </c>
      <c r="M122" s="4">
        <f>Data!AG121</f>
        <v/>
      </c>
      <c r="N122" s="4">
        <f>Data!AH121</f>
        <v/>
      </c>
      <c r="O122" s="4">
        <f>Data!AI121</f>
        <v/>
      </c>
      <c r="P122" s="4">
        <f>Data!AJ121</f>
        <v/>
      </c>
      <c r="Q122" s="4">
        <f>Data!AK121</f>
        <v/>
      </c>
      <c r="R122" s="4">
        <f>Data!AL121</f>
        <v/>
      </c>
    </row>
    <row r="123">
      <c r="A123" s="4">
        <f>Data!A122</f>
        <v/>
      </c>
      <c r="B123" s="4">
        <f>Data!B122</f>
        <v/>
      </c>
      <c r="C123" s="4">
        <f>Data!C122</f>
        <v/>
      </c>
      <c r="D123" s="4">
        <f>Data!I122</f>
        <v/>
      </c>
      <c r="E123" s="4">
        <f>Data!J122</f>
        <v/>
      </c>
      <c r="F123" s="4">
        <f>Data!H122</f>
        <v/>
      </c>
      <c r="G123" s="4">
        <f>SUM(Data!Q122:Data!Y122)</f>
        <v/>
      </c>
      <c r="H123" s="4">
        <f>Data!Z122</f>
        <v/>
      </c>
      <c r="I123" s="4">
        <f>Data!AB122</f>
        <v/>
      </c>
      <c r="J123" s="4">
        <f>Data!AD122</f>
        <v/>
      </c>
      <c r="K123" s="4">
        <f>Data!AE122</f>
        <v/>
      </c>
      <c r="L123" s="4">
        <f>Data!AF122</f>
        <v/>
      </c>
      <c r="M123" s="4">
        <f>Data!AG122</f>
        <v/>
      </c>
      <c r="N123" s="4">
        <f>Data!AH122</f>
        <v/>
      </c>
      <c r="O123" s="4">
        <f>Data!AI122</f>
        <v/>
      </c>
      <c r="P123" s="4">
        <f>Data!AJ122</f>
        <v/>
      </c>
      <c r="Q123" s="4">
        <f>Data!AK122</f>
        <v/>
      </c>
      <c r="R123" s="4">
        <f>Data!AL122</f>
        <v/>
      </c>
    </row>
    <row r="124">
      <c r="A124" s="4">
        <f>Data!A123</f>
        <v/>
      </c>
      <c r="B124" s="4">
        <f>Data!B123</f>
        <v/>
      </c>
      <c r="C124" s="4">
        <f>Data!C123</f>
        <v/>
      </c>
      <c r="D124" s="4">
        <f>Data!I123</f>
        <v/>
      </c>
      <c r="E124" s="4">
        <f>Data!J123</f>
        <v/>
      </c>
      <c r="F124" s="4">
        <f>Data!H123</f>
        <v/>
      </c>
      <c r="G124" s="4">
        <f>SUM(Data!Q123:Data!Y123)</f>
        <v/>
      </c>
      <c r="H124" s="4">
        <f>Data!Z123</f>
        <v/>
      </c>
      <c r="I124" s="4">
        <f>Data!AB123</f>
        <v/>
      </c>
      <c r="J124" s="4">
        <f>Data!AD123</f>
        <v/>
      </c>
      <c r="K124" s="4">
        <f>Data!AE123</f>
        <v/>
      </c>
      <c r="L124" s="4">
        <f>Data!AF123</f>
        <v/>
      </c>
      <c r="M124" s="4">
        <f>Data!AG123</f>
        <v/>
      </c>
      <c r="N124" s="4">
        <f>Data!AH123</f>
        <v/>
      </c>
      <c r="O124" s="4">
        <f>Data!AI123</f>
        <v/>
      </c>
      <c r="P124" s="4">
        <f>Data!AJ123</f>
        <v/>
      </c>
      <c r="Q124" s="4">
        <f>Data!AK123</f>
        <v/>
      </c>
      <c r="R124" s="4">
        <f>Data!AL123</f>
        <v/>
      </c>
    </row>
    <row r="125">
      <c r="A125" s="4">
        <f>Data!A124</f>
        <v/>
      </c>
      <c r="B125" s="4">
        <f>Data!B124</f>
        <v/>
      </c>
      <c r="C125" s="4">
        <f>Data!C124</f>
        <v/>
      </c>
      <c r="D125" s="4">
        <f>Data!I124</f>
        <v/>
      </c>
      <c r="E125" s="4">
        <f>Data!J124</f>
        <v/>
      </c>
      <c r="F125" s="4">
        <f>Data!H124</f>
        <v/>
      </c>
      <c r="G125" s="4">
        <f>SUM(Data!Q124:Data!Y124)</f>
        <v/>
      </c>
      <c r="H125" s="4">
        <f>Data!Z124</f>
        <v/>
      </c>
      <c r="I125" s="4">
        <f>Data!AB124</f>
        <v/>
      </c>
      <c r="J125" s="4">
        <f>Data!AD124</f>
        <v/>
      </c>
      <c r="K125" s="4">
        <f>Data!AE124</f>
        <v/>
      </c>
      <c r="L125" s="4">
        <f>Data!AF124</f>
        <v/>
      </c>
      <c r="M125" s="4">
        <f>Data!AG124</f>
        <v/>
      </c>
      <c r="N125" s="4">
        <f>Data!AH124</f>
        <v/>
      </c>
      <c r="O125" s="4">
        <f>Data!AI124</f>
        <v/>
      </c>
      <c r="P125" s="4">
        <f>Data!AJ124</f>
        <v/>
      </c>
      <c r="Q125" s="4">
        <f>Data!AK124</f>
        <v/>
      </c>
      <c r="R125" s="4">
        <f>Data!AL124</f>
        <v/>
      </c>
    </row>
    <row r="126">
      <c r="A126" s="4">
        <f>Data!A125</f>
        <v/>
      </c>
      <c r="B126" s="4">
        <f>Data!B125</f>
        <v/>
      </c>
      <c r="C126" s="4">
        <f>Data!C125</f>
        <v/>
      </c>
      <c r="D126" s="4">
        <f>Data!I125</f>
        <v/>
      </c>
      <c r="E126" s="4">
        <f>Data!J125</f>
        <v/>
      </c>
      <c r="F126" s="4">
        <f>Data!H125</f>
        <v/>
      </c>
      <c r="G126" s="4">
        <f>SUM(Data!Q125:Data!Y125)</f>
        <v/>
      </c>
      <c r="H126" s="4">
        <f>Data!Z125</f>
        <v/>
      </c>
      <c r="I126" s="4">
        <f>Data!AB125</f>
        <v/>
      </c>
      <c r="J126" s="4">
        <f>Data!AD125</f>
        <v/>
      </c>
      <c r="K126" s="4">
        <f>Data!AE125</f>
        <v/>
      </c>
      <c r="L126" s="4">
        <f>Data!AF125</f>
        <v/>
      </c>
      <c r="M126" s="4">
        <f>Data!AG125</f>
        <v/>
      </c>
      <c r="N126" s="4">
        <f>Data!AH125</f>
        <v/>
      </c>
      <c r="O126" s="4">
        <f>Data!AI125</f>
        <v/>
      </c>
      <c r="P126" s="4">
        <f>Data!AJ125</f>
        <v/>
      </c>
      <c r="Q126" s="4">
        <f>Data!AK125</f>
        <v/>
      </c>
      <c r="R126" s="4">
        <f>Data!AL125</f>
        <v/>
      </c>
    </row>
    <row r="127">
      <c r="A127" s="4">
        <f>Data!A126</f>
        <v/>
      </c>
      <c r="B127" s="4">
        <f>Data!B126</f>
        <v/>
      </c>
      <c r="C127" s="4">
        <f>Data!C126</f>
        <v/>
      </c>
      <c r="D127" s="4">
        <f>Data!I126</f>
        <v/>
      </c>
      <c r="E127" s="4">
        <f>Data!J126</f>
        <v/>
      </c>
      <c r="F127" s="4">
        <f>Data!H126</f>
        <v/>
      </c>
      <c r="G127" s="4">
        <f>SUM(Data!Q126:Data!Y126)</f>
        <v/>
      </c>
      <c r="H127" s="4">
        <f>Data!Z126</f>
        <v/>
      </c>
      <c r="I127" s="4">
        <f>Data!AB126</f>
        <v/>
      </c>
      <c r="J127" s="4">
        <f>Data!AD126</f>
        <v/>
      </c>
      <c r="K127" s="4">
        <f>Data!AE126</f>
        <v/>
      </c>
      <c r="L127" s="4">
        <f>Data!AF126</f>
        <v/>
      </c>
      <c r="M127" s="4">
        <f>Data!AG126</f>
        <v/>
      </c>
      <c r="N127" s="4">
        <f>Data!AH126</f>
        <v/>
      </c>
      <c r="O127" s="4">
        <f>Data!AI126</f>
        <v/>
      </c>
      <c r="P127" s="4">
        <f>Data!AJ126</f>
        <v/>
      </c>
      <c r="Q127" s="4">
        <f>Data!AK126</f>
        <v/>
      </c>
      <c r="R127" s="4">
        <f>Data!AL126</f>
        <v/>
      </c>
    </row>
    <row r="128">
      <c r="A128" s="4">
        <f>Data!A127</f>
        <v/>
      </c>
      <c r="B128" s="4">
        <f>Data!B127</f>
        <v/>
      </c>
      <c r="C128" s="4">
        <f>Data!C127</f>
        <v/>
      </c>
      <c r="D128" s="4">
        <f>Data!I127</f>
        <v/>
      </c>
      <c r="E128" s="4">
        <f>Data!J127</f>
        <v/>
      </c>
      <c r="F128" s="4">
        <f>Data!H127</f>
        <v/>
      </c>
      <c r="G128" s="4">
        <f>SUM(Data!Q127:Data!Y127)</f>
        <v/>
      </c>
      <c r="H128" s="4">
        <f>Data!Z127</f>
        <v/>
      </c>
      <c r="I128" s="4">
        <f>Data!AB127</f>
        <v/>
      </c>
      <c r="J128" s="4">
        <f>Data!AD127</f>
        <v/>
      </c>
      <c r="K128" s="4">
        <f>Data!AE127</f>
        <v/>
      </c>
      <c r="L128" s="4">
        <f>Data!AF127</f>
        <v/>
      </c>
      <c r="M128" s="4">
        <f>Data!AG127</f>
        <v/>
      </c>
      <c r="N128" s="4">
        <f>Data!AH127</f>
        <v/>
      </c>
      <c r="O128" s="4">
        <f>Data!AI127</f>
        <v/>
      </c>
      <c r="P128" s="4">
        <f>Data!AJ127</f>
        <v/>
      </c>
      <c r="Q128" s="4">
        <f>Data!AK127</f>
        <v/>
      </c>
      <c r="R128" s="4">
        <f>Data!AL127</f>
        <v/>
      </c>
    </row>
    <row r="129">
      <c r="A129" s="4">
        <f>Data!A128</f>
        <v/>
      </c>
      <c r="B129" s="4">
        <f>Data!B128</f>
        <v/>
      </c>
      <c r="C129" s="4">
        <f>Data!C128</f>
        <v/>
      </c>
      <c r="D129" s="4">
        <f>Data!I128</f>
        <v/>
      </c>
      <c r="E129" s="4">
        <f>Data!J128</f>
        <v/>
      </c>
      <c r="F129" s="4">
        <f>Data!H128</f>
        <v/>
      </c>
      <c r="G129" s="4">
        <f>SUM(Data!Q128:Data!Y128)</f>
        <v/>
      </c>
      <c r="H129" s="4">
        <f>Data!Z128</f>
        <v/>
      </c>
      <c r="I129" s="4">
        <f>Data!AB128</f>
        <v/>
      </c>
      <c r="J129" s="4">
        <f>Data!AD128</f>
        <v/>
      </c>
      <c r="K129" s="4">
        <f>Data!AE128</f>
        <v/>
      </c>
      <c r="L129" s="4">
        <f>Data!AF128</f>
        <v/>
      </c>
      <c r="M129" s="4">
        <f>Data!AG128</f>
        <v/>
      </c>
      <c r="N129" s="4">
        <f>Data!AH128</f>
        <v/>
      </c>
      <c r="O129" s="4">
        <f>Data!AI128</f>
        <v/>
      </c>
      <c r="P129" s="4">
        <f>Data!AJ128</f>
        <v/>
      </c>
      <c r="Q129" s="4">
        <f>Data!AK128</f>
        <v/>
      </c>
      <c r="R129" s="4">
        <f>Data!AL128</f>
        <v/>
      </c>
    </row>
    <row r="130">
      <c r="A130" s="4">
        <f>Data!A129</f>
        <v/>
      </c>
      <c r="B130" s="4">
        <f>Data!B129</f>
        <v/>
      </c>
      <c r="C130" s="4">
        <f>Data!C129</f>
        <v/>
      </c>
      <c r="D130" s="4">
        <f>Data!I129</f>
        <v/>
      </c>
      <c r="E130" s="4">
        <f>Data!J129</f>
        <v/>
      </c>
      <c r="F130" s="4">
        <f>Data!H129</f>
        <v/>
      </c>
      <c r="G130" s="4">
        <f>SUM(Data!Q129:Data!Y129)</f>
        <v/>
      </c>
      <c r="H130" s="4">
        <f>Data!Z129</f>
        <v/>
      </c>
      <c r="I130" s="4">
        <f>Data!AB129</f>
        <v/>
      </c>
      <c r="J130" s="4">
        <f>Data!AD129</f>
        <v/>
      </c>
      <c r="K130" s="4">
        <f>Data!AE129</f>
        <v/>
      </c>
      <c r="L130" s="4">
        <f>Data!AF129</f>
        <v/>
      </c>
      <c r="M130" s="4">
        <f>Data!AG129</f>
        <v/>
      </c>
      <c r="N130" s="4">
        <f>Data!AH129</f>
        <v/>
      </c>
      <c r="O130" s="4">
        <f>Data!AI129</f>
        <v/>
      </c>
      <c r="P130" s="4">
        <f>Data!AJ129</f>
        <v/>
      </c>
      <c r="Q130" s="4">
        <f>Data!AK129</f>
        <v/>
      </c>
      <c r="R130" s="4">
        <f>Data!AL129</f>
        <v/>
      </c>
    </row>
    <row r="131">
      <c r="A131" s="4">
        <f>Data!A130</f>
        <v/>
      </c>
      <c r="B131" s="4">
        <f>Data!B130</f>
        <v/>
      </c>
      <c r="C131" s="4">
        <f>Data!C130</f>
        <v/>
      </c>
      <c r="D131" s="4">
        <f>Data!I130</f>
        <v/>
      </c>
      <c r="E131" s="4">
        <f>Data!J130</f>
        <v/>
      </c>
      <c r="F131" s="4">
        <f>Data!H130</f>
        <v/>
      </c>
      <c r="G131" s="4">
        <f>SUM(Data!Q130:Data!Y130)</f>
        <v/>
      </c>
      <c r="H131" s="4">
        <f>Data!Z130</f>
        <v/>
      </c>
      <c r="I131" s="4">
        <f>Data!AB130</f>
        <v/>
      </c>
      <c r="J131" s="4">
        <f>Data!AD130</f>
        <v/>
      </c>
      <c r="K131" s="4">
        <f>Data!AE130</f>
        <v/>
      </c>
      <c r="L131" s="4">
        <f>Data!AF130</f>
        <v/>
      </c>
      <c r="M131" s="4">
        <f>Data!AG130</f>
        <v/>
      </c>
      <c r="N131" s="4">
        <f>Data!AH130</f>
        <v/>
      </c>
      <c r="O131" s="4">
        <f>Data!AI130</f>
        <v/>
      </c>
      <c r="P131" s="4">
        <f>Data!AJ130</f>
        <v/>
      </c>
      <c r="Q131" s="4">
        <f>Data!AK130</f>
        <v/>
      </c>
      <c r="R131" s="4">
        <f>Data!AL130</f>
        <v/>
      </c>
    </row>
    <row r="132">
      <c r="A132" s="4">
        <f>Data!A131</f>
        <v/>
      </c>
      <c r="B132" s="4">
        <f>Data!B131</f>
        <v/>
      </c>
      <c r="C132" s="4">
        <f>Data!C131</f>
        <v/>
      </c>
      <c r="D132" s="4">
        <f>Data!I131</f>
        <v/>
      </c>
      <c r="E132" s="4">
        <f>Data!J131</f>
        <v/>
      </c>
      <c r="F132" s="4">
        <f>Data!H131</f>
        <v/>
      </c>
      <c r="G132" s="4">
        <f>SUM(Data!Q131:Data!Y131)</f>
        <v/>
      </c>
      <c r="H132" s="4">
        <f>Data!Z131</f>
        <v/>
      </c>
      <c r="I132" s="4">
        <f>Data!AB131</f>
        <v/>
      </c>
      <c r="J132" s="4">
        <f>Data!AD131</f>
        <v/>
      </c>
      <c r="K132" s="4">
        <f>Data!AE131</f>
        <v/>
      </c>
      <c r="L132" s="4">
        <f>Data!AF131</f>
        <v/>
      </c>
      <c r="M132" s="4">
        <f>Data!AG131</f>
        <v/>
      </c>
      <c r="N132" s="4">
        <f>Data!AH131</f>
        <v/>
      </c>
      <c r="O132" s="4">
        <f>Data!AI131</f>
        <v/>
      </c>
      <c r="P132" s="4">
        <f>Data!AJ131</f>
        <v/>
      </c>
      <c r="Q132" s="4">
        <f>Data!AK131</f>
        <v/>
      </c>
      <c r="R132" s="4">
        <f>Data!AL131</f>
        <v/>
      </c>
    </row>
    <row r="133">
      <c r="A133" s="4">
        <f>Data!A132</f>
        <v/>
      </c>
      <c r="B133" s="4">
        <f>Data!B132</f>
        <v/>
      </c>
      <c r="C133" s="4">
        <f>Data!C132</f>
        <v/>
      </c>
      <c r="D133" s="4">
        <f>Data!I132</f>
        <v/>
      </c>
      <c r="E133" s="4">
        <f>Data!J132</f>
        <v/>
      </c>
      <c r="F133" s="4">
        <f>Data!H132</f>
        <v/>
      </c>
      <c r="G133" s="4">
        <f>SUM(Data!Q132:Data!Y132)</f>
        <v/>
      </c>
      <c r="H133" s="4">
        <f>Data!Z132</f>
        <v/>
      </c>
      <c r="I133" s="4">
        <f>Data!AB132</f>
        <v/>
      </c>
      <c r="J133" s="4">
        <f>Data!AD132</f>
        <v/>
      </c>
      <c r="K133" s="4">
        <f>Data!AE132</f>
        <v/>
      </c>
      <c r="L133" s="4">
        <f>Data!AF132</f>
        <v/>
      </c>
      <c r="M133" s="4">
        <f>Data!AG132</f>
        <v/>
      </c>
      <c r="N133" s="4">
        <f>Data!AH132</f>
        <v/>
      </c>
      <c r="O133" s="4">
        <f>Data!AI132</f>
        <v/>
      </c>
      <c r="P133" s="4">
        <f>Data!AJ132</f>
        <v/>
      </c>
      <c r="Q133" s="4">
        <f>Data!AK132</f>
        <v/>
      </c>
      <c r="R133" s="4">
        <f>Data!AL132</f>
        <v/>
      </c>
    </row>
    <row r="134">
      <c r="A134" s="4">
        <f>Data!A133</f>
        <v/>
      </c>
      <c r="B134" s="4">
        <f>Data!B133</f>
        <v/>
      </c>
      <c r="C134" s="4">
        <f>Data!C133</f>
        <v/>
      </c>
      <c r="D134" s="4">
        <f>Data!I133</f>
        <v/>
      </c>
      <c r="E134" s="4">
        <f>Data!J133</f>
        <v/>
      </c>
      <c r="F134" s="4">
        <f>Data!H133</f>
        <v/>
      </c>
      <c r="G134" s="4">
        <f>SUM(Data!Q133:Data!Y133)</f>
        <v/>
      </c>
      <c r="H134" s="4">
        <f>Data!Z133</f>
        <v/>
      </c>
      <c r="I134" s="4">
        <f>Data!AB133</f>
        <v/>
      </c>
      <c r="J134" s="4">
        <f>Data!AD133</f>
        <v/>
      </c>
      <c r="K134" s="4">
        <f>Data!AE133</f>
        <v/>
      </c>
      <c r="L134" s="4">
        <f>Data!AF133</f>
        <v/>
      </c>
      <c r="M134" s="4">
        <f>Data!AG133</f>
        <v/>
      </c>
      <c r="N134" s="4">
        <f>Data!AH133</f>
        <v/>
      </c>
      <c r="O134" s="4">
        <f>Data!AI133</f>
        <v/>
      </c>
      <c r="P134" s="4">
        <f>Data!AJ133</f>
        <v/>
      </c>
      <c r="Q134" s="4">
        <f>Data!AK133</f>
        <v/>
      </c>
      <c r="R134" s="4">
        <f>Data!AL133</f>
        <v/>
      </c>
    </row>
    <row r="135">
      <c r="A135" s="4">
        <f>Data!A134</f>
        <v/>
      </c>
      <c r="B135" s="4">
        <f>Data!B134</f>
        <v/>
      </c>
      <c r="C135" s="4">
        <f>Data!C134</f>
        <v/>
      </c>
      <c r="D135" s="4">
        <f>Data!I134</f>
        <v/>
      </c>
      <c r="E135" s="4">
        <f>Data!J134</f>
        <v/>
      </c>
      <c r="F135" s="4">
        <f>Data!H134</f>
        <v/>
      </c>
      <c r="G135" s="4">
        <f>SUM(Data!Q134:Data!Y134)</f>
        <v/>
      </c>
      <c r="H135" s="4">
        <f>Data!Z134</f>
        <v/>
      </c>
      <c r="I135" s="4">
        <f>Data!AB134</f>
        <v/>
      </c>
      <c r="J135" s="4">
        <f>Data!AD134</f>
        <v/>
      </c>
      <c r="K135" s="4">
        <f>Data!AE134</f>
        <v/>
      </c>
      <c r="L135" s="4">
        <f>Data!AF134</f>
        <v/>
      </c>
      <c r="M135" s="4">
        <f>Data!AG134</f>
        <v/>
      </c>
      <c r="N135" s="4">
        <f>Data!AH134</f>
        <v/>
      </c>
      <c r="O135" s="4">
        <f>Data!AI134</f>
        <v/>
      </c>
      <c r="P135" s="4">
        <f>Data!AJ134</f>
        <v/>
      </c>
      <c r="Q135" s="4">
        <f>Data!AK134</f>
        <v/>
      </c>
      <c r="R135" s="4">
        <f>Data!AL134</f>
        <v/>
      </c>
    </row>
    <row r="136">
      <c r="A136" s="4">
        <f>Data!A135</f>
        <v/>
      </c>
      <c r="B136" s="4">
        <f>Data!B135</f>
        <v/>
      </c>
      <c r="C136" s="4">
        <f>Data!C135</f>
        <v/>
      </c>
      <c r="D136" s="4">
        <f>Data!I135</f>
        <v/>
      </c>
      <c r="E136" s="4">
        <f>Data!J135</f>
        <v/>
      </c>
      <c r="F136" s="4">
        <f>Data!H135</f>
        <v/>
      </c>
      <c r="G136" s="4">
        <f>SUM(Data!Q135:Data!Y135)</f>
        <v/>
      </c>
      <c r="H136" s="4">
        <f>Data!Z135</f>
        <v/>
      </c>
      <c r="I136" s="4">
        <f>Data!AB135</f>
        <v/>
      </c>
      <c r="J136" s="4">
        <f>Data!AD135</f>
        <v/>
      </c>
      <c r="K136" s="4">
        <f>Data!AE135</f>
        <v/>
      </c>
      <c r="L136" s="4">
        <f>Data!AF135</f>
        <v/>
      </c>
      <c r="M136" s="4">
        <f>Data!AG135</f>
        <v/>
      </c>
      <c r="N136" s="4">
        <f>Data!AH135</f>
        <v/>
      </c>
      <c r="O136" s="4">
        <f>Data!AI135</f>
        <v/>
      </c>
      <c r="P136" s="4">
        <f>Data!AJ135</f>
        <v/>
      </c>
      <c r="Q136" s="4">
        <f>Data!AK135</f>
        <v/>
      </c>
      <c r="R136" s="4">
        <f>Data!AL135</f>
        <v/>
      </c>
    </row>
    <row r="137">
      <c r="A137" s="4">
        <f>Data!A136</f>
        <v/>
      </c>
      <c r="B137" s="4">
        <f>Data!B136</f>
        <v/>
      </c>
      <c r="C137" s="4">
        <f>Data!C136</f>
        <v/>
      </c>
      <c r="D137" s="4">
        <f>Data!I136</f>
        <v/>
      </c>
      <c r="E137" s="4">
        <f>Data!J136</f>
        <v/>
      </c>
      <c r="F137" s="4">
        <f>Data!H136</f>
        <v/>
      </c>
      <c r="G137" s="4">
        <f>SUM(Data!Q136:Data!Y136)</f>
        <v/>
      </c>
      <c r="H137" s="4">
        <f>Data!Z136</f>
        <v/>
      </c>
      <c r="I137" s="4">
        <f>Data!AB136</f>
        <v/>
      </c>
      <c r="J137" s="4">
        <f>Data!AD136</f>
        <v/>
      </c>
      <c r="K137" s="4">
        <f>Data!AE136</f>
        <v/>
      </c>
      <c r="L137" s="4">
        <f>Data!AF136</f>
        <v/>
      </c>
      <c r="M137" s="4">
        <f>Data!AG136</f>
        <v/>
      </c>
      <c r="N137" s="4">
        <f>Data!AH136</f>
        <v/>
      </c>
      <c r="O137" s="4">
        <f>Data!AI136</f>
        <v/>
      </c>
      <c r="P137" s="4">
        <f>Data!AJ136</f>
        <v/>
      </c>
      <c r="Q137" s="4">
        <f>Data!AK136</f>
        <v/>
      </c>
      <c r="R137" s="4">
        <f>Data!AL136</f>
        <v/>
      </c>
    </row>
    <row r="138">
      <c r="A138" s="4">
        <f>Data!A137</f>
        <v/>
      </c>
      <c r="B138" s="4">
        <f>Data!B137</f>
        <v/>
      </c>
      <c r="C138" s="4">
        <f>Data!C137</f>
        <v/>
      </c>
      <c r="D138" s="4">
        <f>Data!I137</f>
        <v/>
      </c>
      <c r="E138" s="4">
        <f>Data!J137</f>
        <v/>
      </c>
      <c r="F138" s="4">
        <f>Data!H137</f>
        <v/>
      </c>
      <c r="G138" s="4">
        <f>SUM(Data!Q137:Data!Y137)</f>
        <v/>
      </c>
      <c r="H138" s="4">
        <f>Data!Z137</f>
        <v/>
      </c>
      <c r="I138" s="4">
        <f>Data!AB137</f>
        <v/>
      </c>
      <c r="J138" s="4">
        <f>Data!AD137</f>
        <v/>
      </c>
      <c r="K138" s="4">
        <f>Data!AE137</f>
        <v/>
      </c>
      <c r="L138" s="4">
        <f>Data!AF137</f>
        <v/>
      </c>
      <c r="M138" s="4">
        <f>Data!AG137</f>
        <v/>
      </c>
      <c r="N138" s="4">
        <f>Data!AH137</f>
        <v/>
      </c>
      <c r="O138" s="4">
        <f>Data!AI137</f>
        <v/>
      </c>
      <c r="P138" s="4">
        <f>Data!AJ137</f>
        <v/>
      </c>
      <c r="Q138" s="4">
        <f>Data!AK137</f>
        <v/>
      </c>
      <c r="R138" s="4">
        <f>Data!AL137</f>
        <v/>
      </c>
    </row>
    <row r="139">
      <c r="A139" s="4">
        <f>Data!A138</f>
        <v/>
      </c>
      <c r="B139" s="4">
        <f>Data!B138</f>
        <v/>
      </c>
      <c r="C139" s="4">
        <f>Data!C138</f>
        <v/>
      </c>
      <c r="D139" s="4">
        <f>Data!I138</f>
        <v/>
      </c>
      <c r="E139" s="4">
        <f>Data!J138</f>
        <v/>
      </c>
      <c r="F139" s="4">
        <f>Data!H138</f>
        <v/>
      </c>
      <c r="G139" s="4">
        <f>SUM(Data!Q138:Data!Y138)</f>
        <v/>
      </c>
      <c r="H139" s="4">
        <f>Data!Z138</f>
        <v/>
      </c>
      <c r="I139" s="4">
        <f>Data!AB138</f>
        <v/>
      </c>
      <c r="J139" s="4">
        <f>Data!AD138</f>
        <v/>
      </c>
      <c r="K139" s="4">
        <f>Data!AE138</f>
        <v/>
      </c>
      <c r="L139" s="4">
        <f>Data!AF138</f>
        <v/>
      </c>
      <c r="M139" s="4">
        <f>Data!AG138</f>
        <v/>
      </c>
      <c r="N139" s="4">
        <f>Data!AH138</f>
        <v/>
      </c>
      <c r="O139" s="4">
        <f>Data!AI138</f>
        <v/>
      </c>
      <c r="P139" s="4">
        <f>Data!AJ138</f>
        <v/>
      </c>
      <c r="Q139" s="4">
        <f>Data!AK138</f>
        <v/>
      </c>
      <c r="R139" s="4">
        <f>Data!AL138</f>
        <v/>
      </c>
    </row>
    <row r="140">
      <c r="A140" s="4">
        <f>Data!A139</f>
        <v/>
      </c>
      <c r="B140" s="4">
        <f>Data!B139</f>
        <v/>
      </c>
      <c r="C140" s="4">
        <f>Data!C139</f>
        <v/>
      </c>
      <c r="D140" s="4">
        <f>Data!I139</f>
        <v/>
      </c>
      <c r="E140" s="4">
        <f>Data!J139</f>
        <v/>
      </c>
      <c r="F140" s="4">
        <f>Data!H139</f>
        <v/>
      </c>
      <c r="G140" s="4">
        <f>SUM(Data!Q139:Data!Y139)</f>
        <v/>
      </c>
      <c r="H140" s="4">
        <f>Data!Z139</f>
        <v/>
      </c>
      <c r="I140" s="4">
        <f>Data!AB139</f>
        <v/>
      </c>
      <c r="J140" s="4">
        <f>Data!AD139</f>
        <v/>
      </c>
      <c r="K140" s="4">
        <f>Data!AE139</f>
        <v/>
      </c>
      <c r="L140" s="4">
        <f>Data!AF139</f>
        <v/>
      </c>
      <c r="M140" s="4">
        <f>Data!AG139</f>
        <v/>
      </c>
      <c r="N140" s="4">
        <f>Data!AH139</f>
        <v/>
      </c>
      <c r="O140" s="4">
        <f>Data!AI139</f>
        <v/>
      </c>
      <c r="P140" s="4">
        <f>Data!AJ139</f>
        <v/>
      </c>
      <c r="Q140" s="4">
        <f>Data!AK139</f>
        <v/>
      </c>
      <c r="R140" s="4">
        <f>Data!AL139</f>
        <v/>
      </c>
    </row>
    <row r="141">
      <c r="A141" s="4">
        <f>Data!A140</f>
        <v/>
      </c>
      <c r="B141" s="4">
        <f>Data!B140</f>
        <v/>
      </c>
      <c r="C141" s="4">
        <f>Data!C140</f>
        <v/>
      </c>
      <c r="D141" s="4">
        <f>Data!I140</f>
        <v/>
      </c>
      <c r="E141" s="4">
        <f>Data!J140</f>
        <v/>
      </c>
      <c r="F141" s="4">
        <f>Data!H140</f>
        <v/>
      </c>
      <c r="G141" s="4">
        <f>SUM(Data!Q140:Data!Y140)</f>
        <v/>
      </c>
      <c r="H141" s="4">
        <f>Data!Z140</f>
        <v/>
      </c>
      <c r="I141" s="4">
        <f>Data!AB140</f>
        <v/>
      </c>
      <c r="J141" s="4">
        <f>Data!AD140</f>
        <v/>
      </c>
      <c r="K141" s="4">
        <f>Data!AE140</f>
        <v/>
      </c>
      <c r="L141" s="4">
        <f>Data!AF140</f>
        <v/>
      </c>
      <c r="M141" s="4">
        <f>Data!AG140</f>
        <v/>
      </c>
      <c r="N141" s="4">
        <f>Data!AH140</f>
        <v/>
      </c>
      <c r="O141" s="4">
        <f>Data!AI140</f>
        <v/>
      </c>
      <c r="P141" s="4">
        <f>Data!AJ140</f>
        <v/>
      </c>
      <c r="Q141" s="4">
        <f>Data!AK140</f>
        <v/>
      </c>
      <c r="R141" s="4">
        <f>Data!AL140</f>
        <v/>
      </c>
    </row>
    <row r="142">
      <c r="A142" s="4">
        <f>Data!A141</f>
        <v/>
      </c>
      <c r="B142" s="4">
        <f>Data!B141</f>
        <v/>
      </c>
      <c r="C142" s="4">
        <f>Data!C141</f>
        <v/>
      </c>
      <c r="D142" s="4">
        <f>Data!I141</f>
        <v/>
      </c>
      <c r="E142" s="4">
        <f>Data!J141</f>
        <v/>
      </c>
      <c r="F142" s="4">
        <f>Data!H141</f>
        <v/>
      </c>
      <c r="G142" s="4">
        <f>SUM(Data!Q141:Data!Y141)</f>
        <v/>
      </c>
      <c r="H142" s="4">
        <f>Data!Z141</f>
        <v/>
      </c>
      <c r="I142" s="4">
        <f>Data!AB141</f>
        <v/>
      </c>
      <c r="J142" s="4">
        <f>Data!AD141</f>
        <v/>
      </c>
      <c r="K142" s="4">
        <f>Data!AE141</f>
        <v/>
      </c>
      <c r="L142" s="4">
        <f>Data!AF141</f>
        <v/>
      </c>
      <c r="M142" s="4">
        <f>Data!AG141</f>
        <v/>
      </c>
      <c r="N142" s="4">
        <f>Data!AH141</f>
        <v/>
      </c>
      <c r="O142" s="4">
        <f>Data!AI141</f>
        <v/>
      </c>
      <c r="P142" s="4">
        <f>Data!AJ141</f>
        <v/>
      </c>
      <c r="Q142" s="4">
        <f>Data!AK141</f>
        <v/>
      </c>
      <c r="R142" s="4">
        <f>Data!AL141</f>
        <v/>
      </c>
    </row>
    <row r="143">
      <c r="A143" s="4">
        <f>Data!A142</f>
        <v/>
      </c>
      <c r="B143" s="4">
        <f>Data!B142</f>
        <v/>
      </c>
      <c r="C143" s="4">
        <f>Data!C142</f>
        <v/>
      </c>
      <c r="D143" s="4">
        <f>Data!I142</f>
        <v/>
      </c>
      <c r="E143" s="4">
        <f>Data!J142</f>
        <v/>
      </c>
      <c r="F143" s="4">
        <f>Data!H142</f>
        <v/>
      </c>
      <c r="G143" s="4">
        <f>SUM(Data!Q142:Data!Y142)</f>
        <v/>
      </c>
      <c r="H143" s="4">
        <f>Data!Z142</f>
        <v/>
      </c>
      <c r="I143" s="4">
        <f>Data!AB142</f>
        <v/>
      </c>
      <c r="J143" s="4">
        <f>Data!AD142</f>
        <v/>
      </c>
      <c r="K143" s="4">
        <f>Data!AE142</f>
        <v/>
      </c>
      <c r="L143" s="4">
        <f>Data!AF142</f>
        <v/>
      </c>
      <c r="M143" s="4">
        <f>Data!AG142</f>
        <v/>
      </c>
      <c r="N143" s="4">
        <f>Data!AH142</f>
        <v/>
      </c>
      <c r="O143" s="4">
        <f>Data!AI142</f>
        <v/>
      </c>
      <c r="P143" s="4">
        <f>Data!AJ142</f>
        <v/>
      </c>
      <c r="Q143" s="4">
        <f>Data!AK142</f>
        <v/>
      </c>
      <c r="R143" s="4">
        <f>Data!AL142</f>
        <v/>
      </c>
    </row>
    <row r="144">
      <c r="A144" s="4">
        <f>Data!A143</f>
        <v/>
      </c>
      <c r="B144" s="4">
        <f>Data!B143</f>
        <v/>
      </c>
      <c r="C144" s="4">
        <f>Data!C143</f>
        <v/>
      </c>
      <c r="D144" s="4">
        <f>Data!I143</f>
        <v/>
      </c>
      <c r="E144" s="4">
        <f>Data!J143</f>
        <v/>
      </c>
      <c r="F144" s="4">
        <f>Data!H143</f>
        <v/>
      </c>
      <c r="G144" s="4">
        <f>SUM(Data!Q143:Data!Y143)</f>
        <v/>
      </c>
      <c r="H144" s="4">
        <f>Data!Z143</f>
        <v/>
      </c>
      <c r="I144" s="4">
        <f>Data!AB143</f>
        <v/>
      </c>
      <c r="J144" s="4">
        <f>Data!AD143</f>
        <v/>
      </c>
      <c r="K144" s="4">
        <f>Data!AE143</f>
        <v/>
      </c>
      <c r="L144" s="4">
        <f>Data!AF143</f>
        <v/>
      </c>
      <c r="M144" s="4">
        <f>Data!AG143</f>
        <v/>
      </c>
      <c r="N144" s="4">
        <f>Data!AH143</f>
        <v/>
      </c>
      <c r="O144" s="4">
        <f>Data!AI143</f>
        <v/>
      </c>
      <c r="P144" s="4">
        <f>Data!AJ143</f>
        <v/>
      </c>
      <c r="Q144" s="4">
        <f>Data!AK143</f>
        <v/>
      </c>
      <c r="R144" s="4">
        <f>Data!AL143</f>
        <v/>
      </c>
    </row>
    <row r="145">
      <c r="A145" s="4">
        <f>Data!A144</f>
        <v/>
      </c>
      <c r="B145" s="4">
        <f>Data!B144</f>
        <v/>
      </c>
      <c r="C145" s="4">
        <f>Data!C144</f>
        <v/>
      </c>
      <c r="D145" s="4">
        <f>Data!I144</f>
        <v/>
      </c>
      <c r="E145" s="4">
        <f>Data!J144</f>
        <v/>
      </c>
      <c r="F145" s="4">
        <f>Data!H144</f>
        <v/>
      </c>
      <c r="G145" s="4">
        <f>SUM(Data!Q144:Data!Y144)</f>
        <v/>
      </c>
      <c r="H145" s="4">
        <f>Data!Z144</f>
        <v/>
      </c>
      <c r="I145" s="4">
        <f>Data!AB144</f>
        <v/>
      </c>
      <c r="J145" s="4">
        <f>Data!AD144</f>
        <v/>
      </c>
      <c r="K145" s="4">
        <f>Data!AE144</f>
        <v/>
      </c>
      <c r="L145" s="4">
        <f>Data!AF144</f>
        <v/>
      </c>
      <c r="M145" s="4">
        <f>Data!AG144</f>
        <v/>
      </c>
      <c r="N145" s="4">
        <f>Data!AH144</f>
        <v/>
      </c>
      <c r="O145" s="4">
        <f>Data!AI144</f>
        <v/>
      </c>
      <c r="P145" s="4">
        <f>Data!AJ144</f>
        <v/>
      </c>
      <c r="Q145" s="4">
        <f>Data!AK144</f>
        <v/>
      </c>
      <c r="R145" s="4">
        <f>Data!AL144</f>
        <v/>
      </c>
    </row>
    <row r="146">
      <c r="A146" s="4">
        <f>Data!A145</f>
        <v/>
      </c>
      <c r="B146" s="4">
        <f>Data!B145</f>
        <v/>
      </c>
      <c r="C146" s="4">
        <f>Data!C145</f>
        <v/>
      </c>
      <c r="D146" s="4">
        <f>Data!I145</f>
        <v/>
      </c>
      <c r="E146" s="4">
        <f>Data!J145</f>
        <v/>
      </c>
      <c r="F146" s="4">
        <f>Data!H145</f>
        <v/>
      </c>
      <c r="G146" s="4">
        <f>SUM(Data!Q145:Data!Y145)</f>
        <v/>
      </c>
      <c r="H146" s="4">
        <f>Data!Z145</f>
        <v/>
      </c>
      <c r="I146" s="4">
        <f>Data!AB145</f>
        <v/>
      </c>
      <c r="J146" s="4">
        <f>Data!AD145</f>
        <v/>
      </c>
      <c r="K146" s="4">
        <f>Data!AE145</f>
        <v/>
      </c>
      <c r="L146" s="4">
        <f>Data!AF145</f>
        <v/>
      </c>
      <c r="M146" s="4">
        <f>Data!AG145</f>
        <v/>
      </c>
      <c r="N146" s="4">
        <f>Data!AH145</f>
        <v/>
      </c>
      <c r="O146" s="4">
        <f>Data!AI145</f>
        <v/>
      </c>
      <c r="P146" s="4">
        <f>Data!AJ145</f>
        <v/>
      </c>
      <c r="Q146" s="4">
        <f>Data!AK145</f>
        <v/>
      </c>
      <c r="R146" s="4">
        <f>Data!AL145</f>
        <v/>
      </c>
    </row>
    <row r="147">
      <c r="A147" s="4">
        <f>Data!A146</f>
        <v/>
      </c>
      <c r="B147" s="4">
        <f>Data!B146</f>
        <v/>
      </c>
      <c r="C147" s="4">
        <f>Data!C146</f>
        <v/>
      </c>
      <c r="D147" s="4">
        <f>Data!I146</f>
        <v/>
      </c>
      <c r="E147" s="4">
        <f>Data!J146</f>
        <v/>
      </c>
      <c r="F147" s="4">
        <f>Data!H146</f>
        <v/>
      </c>
      <c r="G147" s="4">
        <f>SUM(Data!Q146:Data!Y146)</f>
        <v/>
      </c>
      <c r="H147" s="4">
        <f>Data!Z146</f>
        <v/>
      </c>
      <c r="I147" s="4">
        <f>Data!AB146</f>
        <v/>
      </c>
      <c r="J147" s="4">
        <f>Data!AD146</f>
        <v/>
      </c>
      <c r="K147" s="4">
        <f>Data!AE146</f>
        <v/>
      </c>
      <c r="L147" s="4">
        <f>Data!AF146</f>
        <v/>
      </c>
      <c r="M147" s="4">
        <f>Data!AG146</f>
        <v/>
      </c>
      <c r="N147" s="4">
        <f>Data!AH146</f>
        <v/>
      </c>
      <c r="O147" s="4">
        <f>Data!AI146</f>
        <v/>
      </c>
      <c r="P147" s="4">
        <f>Data!AJ146</f>
        <v/>
      </c>
      <c r="Q147" s="4">
        <f>Data!AK146</f>
        <v/>
      </c>
      <c r="R147" s="4">
        <f>Data!AL146</f>
        <v/>
      </c>
    </row>
    <row r="148">
      <c r="A148" s="4">
        <f>Data!A147</f>
        <v/>
      </c>
      <c r="B148" s="4">
        <f>Data!B147</f>
        <v/>
      </c>
      <c r="C148" s="4">
        <f>Data!C147</f>
        <v/>
      </c>
      <c r="D148" s="4">
        <f>Data!I147</f>
        <v/>
      </c>
      <c r="E148" s="4">
        <f>Data!J147</f>
        <v/>
      </c>
      <c r="F148" s="4">
        <f>Data!H147</f>
        <v/>
      </c>
      <c r="G148" s="4">
        <f>SUM(Data!Q147:Data!Y147)</f>
        <v/>
      </c>
      <c r="H148" s="4">
        <f>Data!Z147</f>
        <v/>
      </c>
      <c r="I148" s="4">
        <f>Data!AB147</f>
        <v/>
      </c>
      <c r="J148" s="4">
        <f>Data!AD147</f>
        <v/>
      </c>
      <c r="K148" s="4">
        <f>Data!AE147</f>
        <v/>
      </c>
      <c r="L148" s="4">
        <f>Data!AF147</f>
        <v/>
      </c>
      <c r="M148" s="4">
        <f>Data!AG147</f>
        <v/>
      </c>
      <c r="N148" s="4">
        <f>Data!AH147</f>
        <v/>
      </c>
      <c r="O148" s="4">
        <f>Data!AI147</f>
        <v/>
      </c>
      <c r="P148" s="4">
        <f>Data!AJ147</f>
        <v/>
      </c>
      <c r="Q148" s="4">
        <f>Data!AK147</f>
        <v/>
      </c>
      <c r="R148" s="4">
        <f>Data!AL147</f>
        <v/>
      </c>
    </row>
    <row r="149">
      <c r="A149" s="4">
        <f>Data!A148</f>
        <v/>
      </c>
      <c r="B149" s="4">
        <f>Data!B148</f>
        <v/>
      </c>
      <c r="C149" s="4">
        <f>Data!C148</f>
        <v/>
      </c>
      <c r="D149" s="4">
        <f>Data!I148</f>
        <v/>
      </c>
      <c r="E149" s="4">
        <f>Data!J148</f>
        <v/>
      </c>
      <c r="F149" s="4">
        <f>Data!H148</f>
        <v/>
      </c>
      <c r="G149" s="4">
        <f>SUM(Data!Q148:Data!Y148)</f>
        <v/>
      </c>
      <c r="H149" s="4">
        <f>Data!Z148</f>
        <v/>
      </c>
      <c r="I149" s="4">
        <f>Data!AB148</f>
        <v/>
      </c>
      <c r="J149" s="4">
        <f>Data!AD148</f>
        <v/>
      </c>
      <c r="K149" s="4">
        <f>Data!AE148</f>
        <v/>
      </c>
      <c r="L149" s="4">
        <f>Data!AF148</f>
        <v/>
      </c>
      <c r="M149" s="4">
        <f>Data!AG148</f>
        <v/>
      </c>
      <c r="N149" s="4">
        <f>Data!AH148</f>
        <v/>
      </c>
      <c r="O149" s="4">
        <f>Data!AI148</f>
        <v/>
      </c>
      <c r="P149" s="4">
        <f>Data!AJ148</f>
        <v/>
      </c>
      <c r="Q149" s="4">
        <f>Data!AK148</f>
        <v/>
      </c>
      <c r="R149" s="4">
        <f>Data!AL148</f>
        <v/>
      </c>
    </row>
    <row r="150">
      <c r="A150" s="4">
        <f>Data!A149</f>
        <v/>
      </c>
      <c r="B150" s="4">
        <f>Data!B149</f>
        <v/>
      </c>
      <c r="C150" s="4">
        <f>Data!C149</f>
        <v/>
      </c>
      <c r="D150" s="4">
        <f>Data!I149</f>
        <v/>
      </c>
      <c r="E150" s="4">
        <f>Data!J149</f>
        <v/>
      </c>
      <c r="F150" s="4">
        <f>Data!H149</f>
        <v/>
      </c>
      <c r="G150" s="4">
        <f>SUM(Data!Q149:Data!Y149)</f>
        <v/>
      </c>
      <c r="H150" s="4">
        <f>Data!Z149</f>
        <v/>
      </c>
      <c r="I150" s="4">
        <f>Data!AB149</f>
        <v/>
      </c>
      <c r="J150" s="4">
        <f>Data!AD149</f>
        <v/>
      </c>
      <c r="K150" s="4">
        <f>Data!AE149</f>
        <v/>
      </c>
      <c r="L150" s="4">
        <f>Data!AF149</f>
        <v/>
      </c>
      <c r="M150" s="4">
        <f>Data!AG149</f>
        <v/>
      </c>
      <c r="N150" s="4">
        <f>Data!AH149</f>
        <v/>
      </c>
      <c r="O150" s="4">
        <f>Data!AI149</f>
        <v/>
      </c>
      <c r="P150" s="4">
        <f>Data!AJ149</f>
        <v/>
      </c>
      <c r="Q150" s="4">
        <f>Data!AK149</f>
        <v/>
      </c>
      <c r="R150" s="4">
        <f>Data!AL149</f>
        <v/>
      </c>
    </row>
    <row r="151">
      <c r="A151" s="4">
        <f>Data!A150</f>
        <v/>
      </c>
      <c r="B151" s="4">
        <f>Data!B150</f>
        <v/>
      </c>
      <c r="C151" s="4">
        <f>Data!C150</f>
        <v/>
      </c>
      <c r="D151" s="4">
        <f>Data!I150</f>
        <v/>
      </c>
      <c r="E151" s="4">
        <f>Data!J150</f>
        <v/>
      </c>
      <c r="F151" s="4">
        <f>Data!H150</f>
        <v/>
      </c>
      <c r="G151" s="4">
        <f>SUM(Data!Q150:Data!Y150)</f>
        <v/>
      </c>
      <c r="H151" s="4">
        <f>Data!Z150</f>
        <v/>
      </c>
      <c r="I151" s="4">
        <f>Data!AB150</f>
        <v/>
      </c>
      <c r="J151" s="4">
        <f>Data!AD150</f>
        <v/>
      </c>
      <c r="K151" s="4">
        <f>Data!AE150</f>
        <v/>
      </c>
      <c r="L151" s="4">
        <f>Data!AF150</f>
        <v/>
      </c>
      <c r="M151" s="4">
        <f>Data!AG150</f>
        <v/>
      </c>
      <c r="N151" s="4">
        <f>Data!AH150</f>
        <v/>
      </c>
      <c r="O151" s="4">
        <f>Data!AI150</f>
        <v/>
      </c>
      <c r="P151" s="4">
        <f>Data!AJ150</f>
        <v/>
      </c>
      <c r="Q151" s="4">
        <f>Data!AK150</f>
        <v/>
      </c>
      <c r="R151" s="4">
        <f>Data!AL150</f>
        <v/>
      </c>
    </row>
    <row r="152">
      <c r="A152" s="4">
        <f>Data!A151</f>
        <v/>
      </c>
      <c r="B152" s="4">
        <f>Data!B151</f>
        <v/>
      </c>
      <c r="C152" s="4">
        <f>Data!C151</f>
        <v/>
      </c>
      <c r="D152" s="4">
        <f>Data!I151</f>
        <v/>
      </c>
      <c r="E152" s="4">
        <f>Data!J151</f>
        <v/>
      </c>
      <c r="F152" s="4">
        <f>Data!H151</f>
        <v/>
      </c>
      <c r="G152" s="4">
        <f>SUM(Data!Q151:Data!Y151)</f>
        <v/>
      </c>
      <c r="H152" s="4">
        <f>Data!Z151</f>
        <v/>
      </c>
      <c r="I152" s="4">
        <f>Data!AB151</f>
        <v/>
      </c>
      <c r="J152" s="4">
        <f>Data!AD151</f>
        <v/>
      </c>
      <c r="K152" s="4">
        <f>Data!AE151</f>
        <v/>
      </c>
      <c r="L152" s="4">
        <f>Data!AF151</f>
        <v/>
      </c>
      <c r="M152" s="4">
        <f>Data!AG151</f>
        <v/>
      </c>
      <c r="N152" s="4">
        <f>Data!AH151</f>
        <v/>
      </c>
      <c r="O152" s="4">
        <f>Data!AI151</f>
        <v/>
      </c>
      <c r="P152" s="4">
        <f>Data!AJ151</f>
        <v/>
      </c>
      <c r="Q152" s="4">
        <f>Data!AK151</f>
        <v/>
      </c>
      <c r="R152" s="4">
        <f>Data!AL151</f>
        <v/>
      </c>
    </row>
    <row r="153">
      <c r="A153" s="4">
        <f>Data!A152</f>
        <v/>
      </c>
      <c r="B153" s="4">
        <f>Data!B152</f>
        <v/>
      </c>
      <c r="C153" s="4">
        <f>Data!C152</f>
        <v/>
      </c>
      <c r="D153" s="4">
        <f>Data!I152</f>
        <v/>
      </c>
      <c r="E153" s="4">
        <f>Data!J152</f>
        <v/>
      </c>
      <c r="F153" s="4">
        <f>Data!H152</f>
        <v/>
      </c>
      <c r="G153" s="4">
        <f>SUM(Data!Q152:Data!Y152)</f>
        <v/>
      </c>
      <c r="H153" s="4">
        <f>Data!Z152</f>
        <v/>
      </c>
      <c r="I153" s="4">
        <f>Data!AB152</f>
        <v/>
      </c>
      <c r="J153" s="4">
        <f>Data!AD152</f>
        <v/>
      </c>
      <c r="K153" s="4">
        <f>Data!AE152</f>
        <v/>
      </c>
      <c r="L153" s="4">
        <f>Data!AF152</f>
        <v/>
      </c>
      <c r="M153" s="4">
        <f>Data!AG152</f>
        <v/>
      </c>
      <c r="N153" s="4">
        <f>Data!AH152</f>
        <v/>
      </c>
      <c r="O153" s="4">
        <f>Data!AI152</f>
        <v/>
      </c>
      <c r="P153" s="4">
        <f>Data!AJ152</f>
        <v/>
      </c>
      <c r="Q153" s="4">
        <f>Data!AK152</f>
        <v/>
      </c>
      <c r="R153" s="4">
        <f>Data!AL152</f>
        <v/>
      </c>
    </row>
    <row r="154">
      <c r="A154" s="4">
        <f>Data!A153</f>
        <v/>
      </c>
      <c r="B154" s="4">
        <f>Data!B153</f>
        <v/>
      </c>
      <c r="C154" s="4">
        <f>Data!C153</f>
        <v/>
      </c>
      <c r="D154" s="4">
        <f>Data!I153</f>
        <v/>
      </c>
      <c r="E154" s="4">
        <f>Data!J153</f>
        <v/>
      </c>
      <c r="F154" s="4">
        <f>Data!H153</f>
        <v/>
      </c>
      <c r="G154" s="4">
        <f>SUM(Data!Q153:Data!Y153)</f>
        <v/>
      </c>
      <c r="H154" s="4">
        <f>Data!Z153</f>
        <v/>
      </c>
      <c r="I154" s="4">
        <f>Data!AB153</f>
        <v/>
      </c>
      <c r="J154" s="4">
        <f>Data!AD153</f>
        <v/>
      </c>
      <c r="K154" s="4">
        <f>Data!AE153</f>
        <v/>
      </c>
      <c r="L154" s="4">
        <f>Data!AF153</f>
        <v/>
      </c>
      <c r="M154" s="4">
        <f>Data!AG153</f>
        <v/>
      </c>
      <c r="N154" s="4">
        <f>Data!AH153</f>
        <v/>
      </c>
      <c r="O154" s="4">
        <f>Data!AI153</f>
        <v/>
      </c>
      <c r="P154" s="4">
        <f>Data!AJ153</f>
        <v/>
      </c>
      <c r="Q154" s="4">
        <f>Data!AK153</f>
        <v/>
      </c>
      <c r="R154" s="4">
        <f>Data!AL153</f>
        <v/>
      </c>
    </row>
    <row r="155">
      <c r="A155" s="4">
        <f>Data!A154</f>
        <v/>
      </c>
      <c r="B155" s="4">
        <f>Data!B154</f>
        <v/>
      </c>
      <c r="C155" s="4">
        <f>Data!C154</f>
        <v/>
      </c>
      <c r="D155" s="4">
        <f>Data!I154</f>
        <v/>
      </c>
      <c r="E155" s="4">
        <f>Data!J154</f>
        <v/>
      </c>
      <c r="F155" s="4">
        <f>Data!H154</f>
        <v/>
      </c>
      <c r="G155" s="4">
        <f>SUM(Data!Q154:Data!Y154)</f>
        <v/>
      </c>
      <c r="H155" s="4">
        <f>Data!Z154</f>
        <v/>
      </c>
      <c r="I155" s="4">
        <f>Data!AB154</f>
        <v/>
      </c>
      <c r="J155" s="4">
        <f>Data!AD154</f>
        <v/>
      </c>
      <c r="K155" s="4">
        <f>Data!AE154</f>
        <v/>
      </c>
      <c r="L155" s="4">
        <f>Data!AF154</f>
        <v/>
      </c>
      <c r="M155" s="4">
        <f>Data!AG154</f>
        <v/>
      </c>
      <c r="N155" s="4">
        <f>Data!AH154</f>
        <v/>
      </c>
      <c r="O155" s="4">
        <f>Data!AI154</f>
        <v/>
      </c>
      <c r="P155" s="4">
        <f>Data!AJ154</f>
        <v/>
      </c>
      <c r="Q155" s="4">
        <f>Data!AK154</f>
        <v/>
      </c>
      <c r="R155" s="4">
        <f>Data!AL154</f>
        <v/>
      </c>
    </row>
    <row r="156">
      <c r="A156" s="4">
        <f>Data!A155</f>
        <v/>
      </c>
      <c r="B156" s="4">
        <f>Data!B155</f>
        <v/>
      </c>
      <c r="C156" s="4">
        <f>Data!C155</f>
        <v/>
      </c>
      <c r="D156" s="4">
        <f>Data!I155</f>
        <v/>
      </c>
      <c r="E156" s="4">
        <f>Data!J155</f>
        <v/>
      </c>
      <c r="F156" s="4">
        <f>Data!H155</f>
        <v/>
      </c>
      <c r="G156" s="4">
        <f>SUM(Data!Q155:Data!Y155)</f>
        <v/>
      </c>
      <c r="H156" s="4">
        <f>Data!Z155</f>
        <v/>
      </c>
      <c r="I156" s="4">
        <f>Data!AB155</f>
        <v/>
      </c>
      <c r="J156" s="4">
        <f>Data!AD155</f>
        <v/>
      </c>
      <c r="K156" s="4">
        <f>Data!AE155</f>
        <v/>
      </c>
      <c r="L156" s="4">
        <f>Data!AF155</f>
        <v/>
      </c>
      <c r="M156" s="4">
        <f>Data!AG155</f>
        <v/>
      </c>
      <c r="N156" s="4">
        <f>Data!AH155</f>
        <v/>
      </c>
      <c r="O156" s="4">
        <f>Data!AI155</f>
        <v/>
      </c>
      <c r="P156" s="4">
        <f>Data!AJ155</f>
        <v/>
      </c>
      <c r="Q156" s="4">
        <f>Data!AK155</f>
        <v/>
      </c>
      <c r="R156" s="4">
        <f>Data!AL155</f>
        <v/>
      </c>
    </row>
    <row r="157">
      <c r="A157" s="4">
        <f>Data!A156</f>
        <v/>
      </c>
      <c r="B157" s="4">
        <f>Data!B156</f>
        <v/>
      </c>
      <c r="C157" s="4">
        <f>Data!C156</f>
        <v/>
      </c>
      <c r="D157" s="4">
        <f>Data!I156</f>
        <v/>
      </c>
      <c r="E157" s="4">
        <f>Data!J156</f>
        <v/>
      </c>
      <c r="F157" s="4">
        <f>Data!H156</f>
        <v/>
      </c>
      <c r="G157" s="4">
        <f>SUM(Data!Q156:Data!Y156)</f>
        <v/>
      </c>
      <c r="H157" s="4">
        <f>Data!Z156</f>
        <v/>
      </c>
      <c r="I157" s="4">
        <f>Data!AB156</f>
        <v/>
      </c>
      <c r="J157" s="4">
        <f>Data!AD156</f>
        <v/>
      </c>
      <c r="K157" s="4">
        <f>Data!AE156</f>
        <v/>
      </c>
      <c r="L157" s="4">
        <f>Data!AF156</f>
        <v/>
      </c>
      <c r="M157" s="4">
        <f>Data!AG156</f>
        <v/>
      </c>
      <c r="N157" s="4">
        <f>Data!AH156</f>
        <v/>
      </c>
      <c r="O157" s="4">
        <f>Data!AI156</f>
        <v/>
      </c>
      <c r="P157" s="4">
        <f>Data!AJ156</f>
        <v/>
      </c>
      <c r="Q157" s="4">
        <f>Data!AK156</f>
        <v/>
      </c>
      <c r="R157" s="4">
        <f>Data!AL156</f>
        <v/>
      </c>
    </row>
    <row r="158">
      <c r="A158" s="4">
        <f>Data!A157</f>
        <v/>
      </c>
      <c r="B158" s="4">
        <f>Data!B157</f>
        <v/>
      </c>
      <c r="C158" s="4">
        <f>Data!C157</f>
        <v/>
      </c>
      <c r="D158" s="4">
        <f>Data!I157</f>
        <v/>
      </c>
      <c r="E158" s="4">
        <f>Data!J157</f>
        <v/>
      </c>
      <c r="F158" s="4">
        <f>Data!H157</f>
        <v/>
      </c>
      <c r="G158" s="4">
        <f>SUM(Data!Q157:Data!Y157)</f>
        <v/>
      </c>
      <c r="H158" s="4">
        <f>Data!Z157</f>
        <v/>
      </c>
      <c r="I158" s="4">
        <f>Data!AB157</f>
        <v/>
      </c>
      <c r="J158" s="4">
        <f>Data!AD157</f>
        <v/>
      </c>
      <c r="K158" s="4">
        <f>Data!AE157</f>
        <v/>
      </c>
      <c r="L158" s="4">
        <f>Data!AF157</f>
        <v/>
      </c>
      <c r="M158" s="4">
        <f>Data!AG157</f>
        <v/>
      </c>
      <c r="N158" s="4">
        <f>Data!AH157</f>
        <v/>
      </c>
      <c r="O158" s="4">
        <f>Data!AI157</f>
        <v/>
      </c>
      <c r="P158" s="4">
        <f>Data!AJ157</f>
        <v/>
      </c>
      <c r="Q158" s="4">
        <f>Data!AK157</f>
        <v/>
      </c>
      <c r="R158" s="4">
        <f>Data!AL157</f>
        <v/>
      </c>
    </row>
    <row r="159">
      <c r="A159" s="4">
        <f>Data!A158</f>
        <v/>
      </c>
      <c r="B159" s="4">
        <f>Data!B158</f>
        <v/>
      </c>
      <c r="C159" s="4">
        <f>Data!C158</f>
        <v/>
      </c>
      <c r="D159" s="4">
        <f>Data!I158</f>
        <v/>
      </c>
      <c r="E159" s="4">
        <f>Data!J158</f>
        <v/>
      </c>
      <c r="F159" s="4">
        <f>Data!H158</f>
        <v/>
      </c>
      <c r="G159" s="4">
        <f>SUM(Data!Q158:Data!Y158)</f>
        <v/>
      </c>
      <c r="H159" s="4">
        <f>Data!Z158</f>
        <v/>
      </c>
      <c r="I159" s="4">
        <f>Data!AB158</f>
        <v/>
      </c>
      <c r="J159" s="4">
        <f>Data!AD158</f>
        <v/>
      </c>
      <c r="K159" s="4">
        <f>Data!AE158</f>
        <v/>
      </c>
      <c r="L159" s="4">
        <f>Data!AF158</f>
        <v/>
      </c>
      <c r="M159" s="4">
        <f>Data!AG158</f>
        <v/>
      </c>
      <c r="N159" s="4">
        <f>Data!AH158</f>
        <v/>
      </c>
      <c r="O159" s="4">
        <f>Data!AI158</f>
        <v/>
      </c>
      <c r="P159" s="4">
        <f>Data!AJ158</f>
        <v/>
      </c>
      <c r="Q159" s="4">
        <f>Data!AK158</f>
        <v/>
      </c>
      <c r="R159" s="4">
        <f>Data!AL158</f>
        <v/>
      </c>
    </row>
    <row r="160">
      <c r="A160" s="4">
        <f>Data!A159</f>
        <v/>
      </c>
      <c r="B160" s="4">
        <f>Data!B159</f>
        <v/>
      </c>
      <c r="C160" s="4">
        <f>Data!C159</f>
        <v/>
      </c>
      <c r="D160" s="4">
        <f>Data!I159</f>
        <v/>
      </c>
      <c r="E160" s="4">
        <f>Data!J159</f>
        <v/>
      </c>
      <c r="F160" s="4">
        <f>Data!H159</f>
        <v/>
      </c>
      <c r="G160" s="4">
        <f>SUM(Data!Q159:Data!Y159)</f>
        <v/>
      </c>
      <c r="H160" s="4">
        <f>Data!Z159</f>
        <v/>
      </c>
      <c r="I160" s="4">
        <f>Data!AB159</f>
        <v/>
      </c>
      <c r="J160" s="4">
        <f>Data!AD159</f>
        <v/>
      </c>
      <c r="K160" s="4">
        <f>Data!AE159</f>
        <v/>
      </c>
      <c r="L160" s="4">
        <f>Data!AF159</f>
        <v/>
      </c>
      <c r="M160" s="4">
        <f>Data!AG159</f>
        <v/>
      </c>
      <c r="N160" s="4">
        <f>Data!AH159</f>
        <v/>
      </c>
      <c r="O160" s="4">
        <f>Data!AI159</f>
        <v/>
      </c>
      <c r="P160" s="4">
        <f>Data!AJ159</f>
        <v/>
      </c>
      <c r="Q160" s="4">
        <f>Data!AK159</f>
        <v/>
      </c>
      <c r="R160" s="4">
        <f>Data!AL159</f>
        <v/>
      </c>
    </row>
    <row r="161">
      <c r="A161" s="4">
        <f>Data!A160</f>
        <v/>
      </c>
      <c r="B161" s="4">
        <f>Data!B160</f>
        <v/>
      </c>
      <c r="C161" s="4">
        <f>Data!C160</f>
        <v/>
      </c>
      <c r="D161" s="4">
        <f>Data!I160</f>
        <v/>
      </c>
      <c r="E161" s="4">
        <f>Data!J160</f>
        <v/>
      </c>
      <c r="F161" s="4">
        <f>Data!H160</f>
        <v/>
      </c>
      <c r="G161" s="4">
        <f>SUM(Data!Q160:Data!Y160)</f>
        <v/>
      </c>
      <c r="H161" s="4">
        <f>Data!Z160</f>
        <v/>
      </c>
      <c r="I161" s="4">
        <f>Data!AB160</f>
        <v/>
      </c>
      <c r="J161" s="4">
        <f>Data!AD160</f>
        <v/>
      </c>
      <c r="K161" s="4">
        <f>Data!AE160</f>
        <v/>
      </c>
      <c r="L161" s="4">
        <f>Data!AF160</f>
        <v/>
      </c>
      <c r="M161" s="4">
        <f>Data!AG160</f>
        <v/>
      </c>
      <c r="N161" s="4">
        <f>Data!AH160</f>
        <v/>
      </c>
      <c r="O161" s="4">
        <f>Data!AI160</f>
        <v/>
      </c>
      <c r="P161" s="4">
        <f>Data!AJ160</f>
        <v/>
      </c>
      <c r="Q161" s="4">
        <f>Data!AK160</f>
        <v/>
      </c>
      <c r="R161" s="4">
        <f>Data!AL160</f>
        <v/>
      </c>
    </row>
    <row r="162">
      <c r="A162" s="4">
        <f>Data!A161</f>
        <v/>
      </c>
      <c r="B162" s="4">
        <f>Data!B161</f>
        <v/>
      </c>
      <c r="C162" s="4">
        <f>Data!C161</f>
        <v/>
      </c>
      <c r="D162" s="4">
        <f>Data!I161</f>
        <v/>
      </c>
      <c r="E162" s="4">
        <f>Data!J161</f>
        <v/>
      </c>
      <c r="F162" s="4">
        <f>Data!H161</f>
        <v/>
      </c>
      <c r="G162" s="4">
        <f>SUM(Data!Q161:Data!Y161)</f>
        <v/>
      </c>
      <c r="H162" s="4">
        <f>Data!Z161</f>
        <v/>
      </c>
      <c r="I162" s="4">
        <f>Data!AB161</f>
        <v/>
      </c>
      <c r="J162" s="4">
        <f>Data!AD161</f>
        <v/>
      </c>
      <c r="K162" s="4">
        <f>Data!AE161</f>
        <v/>
      </c>
      <c r="L162" s="4">
        <f>Data!AF161</f>
        <v/>
      </c>
      <c r="M162" s="4">
        <f>Data!AG161</f>
        <v/>
      </c>
      <c r="N162" s="4">
        <f>Data!AH161</f>
        <v/>
      </c>
      <c r="O162" s="4">
        <f>Data!AI161</f>
        <v/>
      </c>
      <c r="P162" s="4">
        <f>Data!AJ161</f>
        <v/>
      </c>
      <c r="Q162" s="4">
        <f>Data!AK161</f>
        <v/>
      </c>
      <c r="R162" s="4">
        <f>Data!AL161</f>
        <v/>
      </c>
    </row>
    <row r="163">
      <c r="A163" s="4">
        <f>Data!A162</f>
        <v/>
      </c>
      <c r="B163" s="4">
        <f>Data!B162</f>
        <v/>
      </c>
      <c r="C163" s="4">
        <f>Data!C162</f>
        <v/>
      </c>
      <c r="D163" s="4">
        <f>Data!I162</f>
        <v/>
      </c>
      <c r="E163" s="4">
        <f>Data!J162</f>
        <v/>
      </c>
      <c r="F163" s="4">
        <f>Data!H162</f>
        <v/>
      </c>
      <c r="G163" s="4">
        <f>SUM(Data!Q162:Data!Y162)</f>
        <v/>
      </c>
      <c r="H163" s="4">
        <f>Data!Z162</f>
        <v/>
      </c>
      <c r="I163" s="4">
        <f>Data!AB162</f>
        <v/>
      </c>
      <c r="J163" s="4">
        <f>Data!AD162</f>
        <v/>
      </c>
      <c r="K163" s="4">
        <f>Data!AE162</f>
        <v/>
      </c>
      <c r="L163" s="4">
        <f>Data!AF162</f>
        <v/>
      </c>
      <c r="M163" s="4">
        <f>Data!AG162</f>
        <v/>
      </c>
      <c r="N163" s="4">
        <f>Data!AH162</f>
        <v/>
      </c>
      <c r="O163" s="4">
        <f>Data!AI162</f>
        <v/>
      </c>
      <c r="P163" s="4">
        <f>Data!AJ162</f>
        <v/>
      </c>
      <c r="Q163" s="4">
        <f>Data!AK162</f>
        <v/>
      </c>
      <c r="R163" s="4">
        <f>Data!AL162</f>
        <v/>
      </c>
    </row>
    <row r="164">
      <c r="A164" s="4">
        <f>Data!A163</f>
        <v/>
      </c>
      <c r="B164" s="4">
        <f>Data!B163</f>
        <v/>
      </c>
      <c r="C164" s="4">
        <f>Data!C163</f>
        <v/>
      </c>
      <c r="D164" s="4">
        <f>Data!I163</f>
        <v/>
      </c>
      <c r="E164" s="4">
        <f>Data!J163</f>
        <v/>
      </c>
      <c r="F164" s="4">
        <f>Data!H163</f>
        <v/>
      </c>
      <c r="G164" s="4">
        <f>SUM(Data!Q163:Data!Y163)</f>
        <v/>
      </c>
      <c r="H164" s="4">
        <f>Data!Z163</f>
        <v/>
      </c>
      <c r="I164" s="4">
        <f>Data!AB163</f>
        <v/>
      </c>
      <c r="J164" s="4">
        <f>Data!AD163</f>
        <v/>
      </c>
      <c r="K164" s="4">
        <f>Data!AE163</f>
        <v/>
      </c>
      <c r="L164" s="4">
        <f>Data!AF163</f>
        <v/>
      </c>
      <c r="M164" s="4">
        <f>Data!AG163</f>
        <v/>
      </c>
      <c r="N164" s="4">
        <f>Data!AH163</f>
        <v/>
      </c>
      <c r="O164" s="4">
        <f>Data!AI163</f>
        <v/>
      </c>
      <c r="P164" s="4">
        <f>Data!AJ163</f>
        <v/>
      </c>
      <c r="Q164" s="4">
        <f>Data!AK163</f>
        <v/>
      </c>
      <c r="R164" s="4">
        <f>Data!AL163</f>
        <v/>
      </c>
    </row>
    <row r="165">
      <c r="A165" s="4">
        <f>Data!A164</f>
        <v/>
      </c>
      <c r="B165" s="4">
        <f>Data!B164</f>
        <v/>
      </c>
      <c r="C165" s="4">
        <f>Data!C164</f>
        <v/>
      </c>
      <c r="D165" s="4">
        <f>Data!I164</f>
        <v/>
      </c>
      <c r="E165" s="4">
        <f>Data!J164</f>
        <v/>
      </c>
      <c r="F165" s="4">
        <f>Data!H164</f>
        <v/>
      </c>
      <c r="G165" s="4">
        <f>SUM(Data!Q164:Data!Y164)</f>
        <v/>
      </c>
      <c r="H165" s="4">
        <f>Data!Z164</f>
        <v/>
      </c>
      <c r="I165" s="4">
        <f>Data!AB164</f>
        <v/>
      </c>
      <c r="J165" s="4">
        <f>Data!AD164</f>
        <v/>
      </c>
      <c r="K165" s="4">
        <f>Data!AE164</f>
        <v/>
      </c>
      <c r="L165" s="4">
        <f>Data!AF164</f>
        <v/>
      </c>
      <c r="M165" s="4">
        <f>Data!AG164</f>
        <v/>
      </c>
      <c r="N165" s="4">
        <f>Data!AH164</f>
        <v/>
      </c>
      <c r="O165" s="4">
        <f>Data!AI164</f>
        <v/>
      </c>
      <c r="P165" s="4">
        <f>Data!AJ164</f>
        <v/>
      </c>
      <c r="Q165" s="4">
        <f>Data!AK164</f>
        <v/>
      </c>
      <c r="R165" s="4">
        <f>Data!AL164</f>
        <v/>
      </c>
    </row>
    <row r="166">
      <c r="A166" s="4">
        <f>Data!A165</f>
        <v/>
      </c>
      <c r="B166" s="4">
        <f>Data!B165</f>
        <v/>
      </c>
      <c r="C166" s="4">
        <f>Data!C165</f>
        <v/>
      </c>
      <c r="D166" s="4">
        <f>Data!I165</f>
        <v/>
      </c>
      <c r="E166" s="4">
        <f>Data!J165</f>
        <v/>
      </c>
      <c r="F166" s="4">
        <f>Data!H165</f>
        <v/>
      </c>
      <c r="G166" s="4">
        <f>SUM(Data!Q165:Data!Y165)</f>
        <v/>
      </c>
      <c r="H166" s="4">
        <f>Data!Z165</f>
        <v/>
      </c>
      <c r="I166" s="4">
        <f>Data!AB165</f>
        <v/>
      </c>
      <c r="J166" s="4">
        <f>Data!AD165</f>
        <v/>
      </c>
      <c r="K166" s="4">
        <f>Data!AE165</f>
        <v/>
      </c>
      <c r="L166" s="4">
        <f>Data!AF165</f>
        <v/>
      </c>
      <c r="M166" s="4">
        <f>Data!AG165</f>
        <v/>
      </c>
      <c r="N166" s="4">
        <f>Data!AH165</f>
        <v/>
      </c>
      <c r="O166" s="4">
        <f>Data!AI165</f>
        <v/>
      </c>
      <c r="P166" s="4">
        <f>Data!AJ165</f>
        <v/>
      </c>
      <c r="Q166" s="4">
        <f>Data!AK165</f>
        <v/>
      </c>
      <c r="R166" s="4">
        <f>Data!AL165</f>
        <v/>
      </c>
    </row>
    <row r="167">
      <c r="A167" s="4">
        <f>Data!A166</f>
        <v/>
      </c>
      <c r="B167" s="4">
        <f>Data!B166</f>
        <v/>
      </c>
      <c r="C167" s="4">
        <f>Data!C166</f>
        <v/>
      </c>
      <c r="D167" s="4">
        <f>Data!I166</f>
        <v/>
      </c>
      <c r="E167" s="4">
        <f>Data!J166</f>
        <v/>
      </c>
      <c r="F167" s="4">
        <f>Data!H166</f>
        <v/>
      </c>
      <c r="G167" s="4">
        <f>SUM(Data!Q166:Data!Y166)</f>
        <v/>
      </c>
      <c r="H167" s="4">
        <f>Data!Z166</f>
        <v/>
      </c>
      <c r="I167" s="4">
        <f>Data!AB166</f>
        <v/>
      </c>
      <c r="J167" s="4">
        <f>Data!AD166</f>
        <v/>
      </c>
      <c r="K167" s="4">
        <f>Data!AE166</f>
        <v/>
      </c>
      <c r="L167" s="4">
        <f>Data!AF166</f>
        <v/>
      </c>
      <c r="M167" s="4">
        <f>Data!AG166</f>
        <v/>
      </c>
      <c r="N167" s="4">
        <f>Data!AH166</f>
        <v/>
      </c>
      <c r="O167" s="4">
        <f>Data!AI166</f>
        <v/>
      </c>
      <c r="P167" s="4">
        <f>Data!AJ166</f>
        <v/>
      </c>
      <c r="Q167" s="4">
        <f>Data!AK166</f>
        <v/>
      </c>
      <c r="R167" s="4">
        <f>Data!AL166</f>
        <v/>
      </c>
    </row>
    <row r="168">
      <c r="A168" s="4">
        <f>Data!A167</f>
        <v/>
      </c>
      <c r="B168" s="4">
        <f>Data!B167</f>
        <v/>
      </c>
      <c r="C168" s="4">
        <f>Data!C167</f>
        <v/>
      </c>
      <c r="D168" s="4">
        <f>Data!I167</f>
        <v/>
      </c>
      <c r="E168" s="4">
        <f>Data!J167</f>
        <v/>
      </c>
      <c r="F168" s="4">
        <f>Data!H167</f>
        <v/>
      </c>
      <c r="G168" s="4">
        <f>SUM(Data!Q167:Data!Y167)</f>
        <v/>
      </c>
      <c r="H168" s="4">
        <f>Data!Z167</f>
        <v/>
      </c>
      <c r="I168" s="4">
        <f>Data!AB167</f>
        <v/>
      </c>
      <c r="J168" s="4">
        <f>Data!AD167</f>
        <v/>
      </c>
      <c r="K168" s="4">
        <f>Data!AE167</f>
        <v/>
      </c>
      <c r="L168" s="4">
        <f>Data!AF167</f>
        <v/>
      </c>
      <c r="M168" s="4">
        <f>Data!AG167</f>
        <v/>
      </c>
      <c r="N168" s="4">
        <f>Data!AH167</f>
        <v/>
      </c>
      <c r="O168" s="4">
        <f>Data!AI167</f>
        <v/>
      </c>
      <c r="P168" s="4">
        <f>Data!AJ167</f>
        <v/>
      </c>
      <c r="Q168" s="4">
        <f>Data!AK167</f>
        <v/>
      </c>
      <c r="R168" s="4">
        <f>Data!AL167</f>
        <v/>
      </c>
    </row>
    <row r="169">
      <c r="A169" s="4">
        <f>Data!A168</f>
        <v/>
      </c>
      <c r="B169" s="4">
        <f>Data!B168</f>
        <v/>
      </c>
      <c r="C169" s="4">
        <f>Data!C168</f>
        <v/>
      </c>
      <c r="D169" s="4">
        <f>Data!I168</f>
        <v/>
      </c>
      <c r="E169" s="4">
        <f>Data!J168</f>
        <v/>
      </c>
      <c r="F169" s="4">
        <f>Data!H168</f>
        <v/>
      </c>
      <c r="G169" s="4">
        <f>SUM(Data!Q168:Data!Y168)</f>
        <v/>
      </c>
      <c r="H169" s="4">
        <f>Data!Z168</f>
        <v/>
      </c>
      <c r="I169" s="4">
        <f>Data!AB168</f>
        <v/>
      </c>
      <c r="J169" s="4">
        <f>Data!AD168</f>
        <v/>
      </c>
      <c r="K169" s="4">
        <f>Data!AE168</f>
        <v/>
      </c>
      <c r="L169" s="4">
        <f>Data!AF168</f>
        <v/>
      </c>
      <c r="M169" s="4">
        <f>Data!AG168</f>
        <v/>
      </c>
      <c r="N169" s="4">
        <f>Data!AH168</f>
        <v/>
      </c>
      <c r="O169" s="4">
        <f>Data!AI168</f>
        <v/>
      </c>
      <c r="P169" s="4">
        <f>Data!AJ168</f>
        <v/>
      </c>
      <c r="Q169" s="4">
        <f>Data!AK168</f>
        <v/>
      </c>
      <c r="R169" s="4">
        <f>Data!AL168</f>
        <v/>
      </c>
    </row>
    <row r="170">
      <c r="A170" s="4">
        <f>Data!A169</f>
        <v/>
      </c>
      <c r="B170" s="4">
        <f>Data!B169</f>
        <v/>
      </c>
      <c r="C170" s="4">
        <f>Data!C169</f>
        <v/>
      </c>
      <c r="D170" s="4">
        <f>Data!I169</f>
        <v/>
      </c>
      <c r="E170" s="4">
        <f>Data!J169</f>
        <v/>
      </c>
      <c r="F170" s="4">
        <f>Data!H169</f>
        <v/>
      </c>
      <c r="G170" s="4">
        <f>SUM(Data!Q169:Data!Y169)</f>
        <v/>
      </c>
      <c r="H170" s="4">
        <f>Data!Z169</f>
        <v/>
      </c>
      <c r="I170" s="4">
        <f>Data!AB169</f>
        <v/>
      </c>
      <c r="J170" s="4">
        <f>Data!AD169</f>
        <v/>
      </c>
      <c r="K170" s="4">
        <f>Data!AE169</f>
        <v/>
      </c>
      <c r="L170" s="4">
        <f>Data!AF169</f>
        <v/>
      </c>
      <c r="M170" s="4">
        <f>Data!AG169</f>
        <v/>
      </c>
      <c r="N170" s="4">
        <f>Data!AH169</f>
        <v/>
      </c>
      <c r="O170" s="4">
        <f>Data!AI169</f>
        <v/>
      </c>
      <c r="P170" s="4">
        <f>Data!AJ169</f>
        <v/>
      </c>
      <c r="Q170" s="4">
        <f>Data!AK169</f>
        <v/>
      </c>
      <c r="R170" s="4">
        <f>Data!AL169</f>
        <v/>
      </c>
    </row>
    <row r="171">
      <c r="A171" s="4">
        <f>Data!A170</f>
        <v/>
      </c>
      <c r="B171" s="4">
        <f>Data!B170</f>
        <v/>
      </c>
      <c r="C171" s="4">
        <f>Data!C170</f>
        <v/>
      </c>
      <c r="D171" s="4">
        <f>Data!I170</f>
        <v/>
      </c>
      <c r="E171" s="4">
        <f>Data!J170</f>
        <v/>
      </c>
      <c r="F171" s="4">
        <f>Data!H170</f>
        <v/>
      </c>
      <c r="G171" s="4">
        <f>SUM(Data!Q170:Data!Y170)</f>
        <v/>
      </c>
      <c r="H171" s="4">
        <f>Data!Z170</f>
        <v/>
      </c>
      <c r="I171" s="4">
        <f>Data!AB170</f>
        <v/>
      </c>
      <c r="J171" s="4">
        <f>Data!AD170</f>
        <v/>
      </c>
      <c r="K171" s="4">
        <f>Data!AE170</f>
        <v/>
      </c>
      <c r="L171" s="4">
        <f>Data!AF170</f>
        <v/>
      </c>
      <c r="M171" s="4">
        <f>Data!AG170</f>
        <v/>
      </c>
      <c r="N171" s="4">
        <f>Data!AH170</f>
        <v/>
      </c>
      <c r="O171" s="4">
        <f>Data!AI170</f>
        <v/>
      </c>
      <c r="P171" s="4">
        <f>Data!AJ170</f>
        <v/>
      </c>
      <c r="Q171" s="4">
        <f>Data!AK170</f>
        <v/>
      </c>
      <c r="R171" s="4">
        <f>Data!AL170</f>
        <v/>
      </c>
    </row>
    <row r="172">
      <c r="A172" s="4">
        <f>Data!A171</f>
        <v/>
      </c>
      <c r="B172" s="4">
        <f>Data!B171</f>
        <v/>
      </c>
      <c r="C172" s="4">
        <f>Data!C171</f>
        <v/>
      </c>
      <c r="D172" s="4">
        <f>Data!I171</f>
        <v/>
      </c>
      <c r="E172" s="4">
        <f>Data!J171</f>
        <v/>
      </c>
      <c r="F172" s="4">
        <f>Data!H171</f>
        <v/>
      </c>
      <c r="G172" s="4">
        <f>SUM(Data!Q171:Data!Y171)</f>
        <v/>
      </c>
      <c r="H172" s="4">
        <f>Data!Z171</f>
        <v/>
      </c>
      <c r="I172" s="4">
        <f>Data!AB171</f>
        <v/>
      </c>
      <c r="J172" s="4">
        <f>Data!AD171</f>
        <v/>
      </c>
      <c r="K172" s="4">
        <f>Data!AE171</f>
        <v/>
      </c>
      <c r="L172" s="4">
        <f>Data!AF171</f>
        <v/>
      </c>
      <c r="M172" s="4">
        <f>Data!AG171</f>
        <v/>
      </c>
      <c r="N172" s="4">
        <f>Data!AH171</f>
        <v/>
      </c>
      <c r="O172" s="4">
        <f>Data!AI171</f>
        <v/>
      </c>
      <c r="P172" s="4">
        <f>Data!AJ171</f>
        <v/>
      </c>
      <c r="Q172" s="4">
        <f>Data!AK171</f>
        <v/>
      </c>
      <c r="R172" s="4">
        <f>Data!AL171</f>
        <v/>
      </c>
    </row>
    <row r="173">
      <c r="A173" s="4">
        <f>Data!A172</f>
        <v/>
      </c>
      <c r="B173" s="4">
        <f>Data!B172</f>
        <v/>
      </c>
      <c r="C173" s="4">
        <f>Data!C172</f>
        <v/>
      </c>
      <c r="D173" s="4">
        <f>Data!I172</f>
        <v/>
      </c>
      <c r="E173" s="4">
        <f>Data!J172</f>
        <v/>
      </c>
      <c r="F173" s="4">
        <f>Data!H172</f>
        <v/>
      </c>
      <c r="G173" s="4">
        <f>SUM(Data!Q172:Data!Y172)</f>
        <v/>
      </c>
      <c r="H173" s="4">
        <f>Data!Z172</f>
        <v/>
      </c>
      <c r="I173" s="4">
        <f>Data!AB172</f>
        <v/>
      </c>
      <c r="J173" s="4">
        <f>Data!AD172</f>
        <v/>
      </c>
      <c r="K173" s="4">
        <f>Data!AE172</f>
        <v/>
      </c>
      <c r="L173" s="4">
        <f>Data!AF172</f>
        <v/>
      </c>
      <c r="M173" s="4">
        <f>Data!AG172</f>
        <v/>
      </c>
      <c r="N173" s="4">
        <f>Data!AH172</f>
        <v/>
      </c>
      <c r="O173" s="4">
        <f>Data!AI172</f>
        <v/>
      </c>
      <c r="P173" s="4">
        <f>Data!AJ172</f>
        <v/>
      </c>
      <c r="Q173" s="4">
        <f>Data!AK172</f>
        <v/>
      </c>
      <c r="R173" s="4">
        <f>Data!AL172</f>
        <v/>
      </c>
    </row>
    <row r="174">
      <c r="A174" s="4">
        <f>Data!A173</f>
        <v/>
      </c>
      <c r="B174" s="4">
        <f>Data!B173</f>
        <v/>
      </c>
      <c r="C174" s="4">
        <f>Data!C173</f>
        <v/>
      </c>
      <c r="D174" s="4">
        <f>Data!I173</f>
        <v/>
      </c>
      <c r="E174" s="4">
        <f>Data!J173</f>
        <v/>
      </c>
      <c r="F174" s="4">
        <f>Data!H173</f>
        <v/>
      </c>
      <c r="G174" s="4">
        <f>SUM(Data!Q173:Data!Y173)</f>
        <v/>
      </c>
      <c r="H174" s="4">
        <f>Data!Z173</f>
        <v/>
      </c>
      <c r="I174" s="4">
        <f>Data!AB173</f>
        <v/>
      </c>
      <c r="J174" s="4">
        <f>Data!AD173</f>
        <v/>
      </c>
      <c r="K174" s="4">
        <f>Data!AE173</f>
        <v/>
      </c>
      <c r="L174" s="4">
        <f>Data!AF173</f>
        <v/>
      </c>
      <c r="M174" s="4">
        <f>Data!AG173</f>
        <v/>
      </c>
      <c r="N174" s="4">
        <f>Data!AH173</f>
        <v/>
      </c>
      <c r="O174" s="4">
        <f>Data!AI173</f>
        <v/>
      </c>
      <c r="P174" s="4">
        <f>Data!AJ173</f>
        <v/>
      </c>
      <c r="Q174" s="4">
        <f>Data!AK173</f>
        <v/>
      </c>
      <c r="R174" s="4">
        <f>Data!AL173</f>
        <v/>
      </c>
    </row>
    <row r="175">
      <c r="A175" s="4">
        <f>Data!A174</f>
        <v/>
      </c>
      <c r="B175" s="4">
        <f>Data!B174</f>
        <v/>
      </c>
      <c r="C175" s="4">
        <f>Data!C174</f>
        <v/>
      </c>
      <c r="D175" s="4">
        <f>Data!I174</f>
        <v/>
      </c>
      <c r="E175" s="4">
        <f>Data!J174</f>
        <v/>
      </c>
      <c r="F175" s="4">
        <f>Data!H174</f>
        <v/>
      </c>
      <c r="G175" s="4">
        <f>SUM(Data!Q174:Data!Y174)</f>
        <v/>
      </c>
      <c r="H175" s="4">
        <f>Data!Z174</f>
        <v/>
      </c>
      <c r="I175" s="4">
        <f>Data!AB174</f>
        <v/>
      </c>
      <c r="J175" s="4">
        <f>Data!AD174</f>
        <v/>
      </c>
      <c r="K175" s="4">
        <f>Data!AE174</f>
        <v/>
      </c>
      <c r="L175" s="4">
        <f>Data!AF174</f>
        <v/>
      </c>
      <c r="M175" s="4">
        <f>Data!AG174</f>
        <v/>
      </c>
      <c r="N175" s="4">
        <f>Data!AH174</f>
        <v/>
      </c>
      <c r="O175" s="4">
        <f>Data!AI174</f>
        <v/>
      </c>
      <c r="P175" s="4">
        <f>Data!AJ174</f>
        <v/>
      </c>
      <c r="Q175" s="4">
        <f>Data!AK174</f>
        <v/>
      </c>
      <c r="R175" s="4">
        <f>Data!AL174</f>
        <v/>
      </c>
    </row>
    <row r="176">
      <c r="A176" s="4">
        <f>Data!A175</f>
        <v/>
      </c>
      <c r="B176" s="4">
        <f>Data!B175</f>
        <v/>
      </c>
      <c r="C176" s="4">
        <f>Data!C175</f>
        <v/>
      </c>
      <c r="D176" s="4">
        <f>Data!I175</f>
        <v/>
      </c>
      <c r="E176" s="4">
        <f>Data!J175</f>
        <v/>
      </c>
      <c r="F176" s="4">
        <f>Data!H175</f>
        <v/>
      </c>
      <c r="G176" s="4">
        <f>SUM(Data!Q175:Data!Y175)</f>
        <v/>
      </c>
      <c r="H176" s="4">
        <f>Data!Z175</f>
        <v/>
      </c>
      <c r="I176" s="4">
        <f>Data!AB175</f>
        <v/>
      </c>
      <c r="J176" s="4">
        <f>Data!AD175</f>
        <v/>
      </c>
      <c r="K176" s="4">
        <f>Data!AE175</f>
        <v/>
      </c>
      <c r="L176" s="4">
        <f>Data!AF175</f>
        <v/>
      </c>
      <c r="M176" s="4">
        <f>Data!AG175</f>
        <v/>
      </c>
      <c r="N176" s="4">
        <f>Data!AH175</f>
        <v/>
      </c>
      <c r="O176" s="4">
        <f>Data!AI175</f>
        <v/>
      </c>
      <c r="P176" s="4">
        <f>Data!AJ175</f>
        <v/>
      </c>
      <c r="Q176" s="4">
        <f>Data!AK175</f>
        <v/>
      </c>
      <c r="R176" s="4">
        <f>Data!AL175</f>
        <v/>
      </c>
    </row>
    <row r="177">
      <c r="A177" s="4">
        <f>Data!A176</f>
        <v/>
      </c>
      <c r="B177" s="4">
        <f>Data!B176</f>
        <v/>
      </c>
      <c r="C177" s="4">
        <f>Data!C176</f>
        <v/>
      </c>
      <c r="D177" s="4">
        <f>Data!I176</f>
        <v/>
      </c>
      <c r="E177" s="4">
        <f>Data!J176</f>
        <v/>
      </c>
      <c r="F177" s="4">
        <f>Data!H176</f>
        <v/>
      </c>
      <c r="G177" s="4">
        <f>SUM(Data!Q176:Data!Y176)</f>
        <v/>
      </c>
      <c r="H177" s="4">
        <f>Data!Z176</f>
        <v/>
      </c>
      <c r="I177" s="4">
        <f>Data!AB176</f>
        <v/>
      </c>
      <c r="J177" s="4">
        <f>Data!AD176</f>
        <v/>
      </c>
      <c r="K177" s="4">
        <f>Data!AE176</f>
        <v/>
      </c>
      <c r="L177" s="4">
        <f>Data!AF176</f>
        <v/>
      </c>
      <c r="M177" s="4">
        <f>Data!AG176</f>
        <v/>
      </c>
      <c r="N177" s="4">
        <f>Data!AH176</f>
        <v/>
      </c>
      <c r="O177" s="4">
        <f>Data!AI176</f>
        <v/>
      </c>
      <c r="P177" s="4">
        <f>Data!AJ176</f>
        <v/>
      </c>
      <c r="Q177" s="4">
        <f>Data!AK176</f>
        <v/>
      </c>
      <c r="R177" s="4">
        <f>Data!AL176</f>
        <v/>
      </c>
    </row>
    <row r="178">
      <c r="A178" s="4">
        <f>Data!A177</f>
        <v/>
      </c>
      <c r="B178" s="4">
        <f>Data!B177</f>
        <v/>
      </c>
      <c r="C178" s="4">
        <f>Data!C177</f>
        <v/>
      </c>
      <c r="D178" s="4">
        <f>Data!I177</f>
        <v/>
      </c>
      <c r="E178" s="4">
        <f>Data!J177</f>
        <v/>
      </c>
      <c r="F178" s="4">
        <f>Data!H177</f>
        <v/>
      </c>
      <c r="G178" s="4">
        <f>SUM(Data!Q177:Data!Y177)</f>
        <v/>
      </c>
      <c r="H178" s="4">
        <f>Data!Z177</f>
        <v/>
      </c>
      <c r="I178" s="4">
        <f>Data!AB177</f>
        <v/>
      </c>
      <c r="J178" s="4">
        <f>Data!AD177</f>
        <v/>
      </c>
      <c r="K178" s="4">
        <f>Data!AE177</f>
        <v/>
      </c>
      <c r="L178" s="4">
        <f>Data!AF177</f>
        <v/>
      </c>
      <c r="M178" s="4">
        <f>Data!AG177</f>
        <v/>
      </c>
      <c r="N178" s="4">
        <f>Data!AH177</f>
        <v/>
      </c>
      <c r="O178" s="4">
        <f>Data!AI177</f>
        <v/>
      </c>
      <c r="P178" s="4">
        <f>Data!AJ177</f>
        <v/>
      </c>
      <c r="Q178" s="4">
        <f>Data!AK177</f>
        <v/>
      </c>
      <c r="R178" s="4">
        <f>Data!AL177</f>
        <v/>
      </c>
    </row>
    <row r="179">
      <c r="A179" s="4">
        <f>Data!A178</f>
        <v/>
      </c>
      <c r="B179" s="4">
        <f>Data!B178</f>
        <v/>
      </c>
      <c r="C179" s="4">
        <f>Data!C178</f>
        <v/>
      </c>
      <c r="D179" s="4">
        <f>Data!I178</f>
        <v/>
      </c>
      <c r="E179" s="4">
        <f>Data!J178</f>
        <v/>
      </c>
      <c r="F179" s="4">
        <f>Data!H178</f>
        <v/>
      </c>
      <c r="G179" s="4">
        <f>SUM(Data!Q178:Data!Y178)</f>
        <v/>
      </c>
      <c r="H179" s="4">
        <f>Data!Z178</f>
        <v/>
      </c>
      <c r="I179" s="4">
        <f>Data!AB178</f>
        <v/>
      </c>
      <c r="J179" s="4">
        <f>Data!AD178</f>
        <v/>
      </c>
      <c r="K179" s="4">
        <f>Data!AE178</f>
        <v/>
      </c>
      <c r="L179" s="4">
        <f>Data!AF178</f>
        <v/>
      </c>
      <c r="M179" s="4">
        <f>Data!AG178</f>
        <v/>
      </c>
      <c r="N179" s="4">
        <f>Data!AH178</f>
        <v/>
      </c>
      <c r="O179" s="4">
        <f>Data!AI178</f>
        <v/>
      </c>
      <c r="P179" s="4">
        <f>Data!AJ178</f>
        <v/>
      </c>
      <c r="Q179" s="4">
        <f>Data!AK178</f>
        <v/>
      </c>
      <c r="R179" s="4">
        <f>Data!AL178</f>
        <v/>
      </c>
    </row>
    <row r="180">
      <c r="A180" s="4">
        <f>Data!A179</f>
        <v/>
      </c>
      <c r="B180" s="4">
        <f>Data!B179</f>
        <v/>
      </c>
      <c r="C180" s="4">
        <f>Data!C179</f>
        <v/>
      </c>
      <c r="D180" s="4">
        <f>Data!I179</f>
        <v/>
      </c>
      <c r="E180" s="4">
        <f>Data!J179</f>
        <v/>
      </c>
      <c r="F180" s="4">
        <f>Data!H179</f>
        <v/>
      </c>
      <c r="G180" s="4">
        <f>SUM(Data!Q179:Data!Y179)</f>
        <v/>
      </c>
      <c r="H180" s="4">
        <f>Data!Z179</f>
        <v/>
      </c>
      <c r="I180" s="4">
        <f>Data!AB179</f>
        <v/>
      </c>
      <c r="J180" s="4">
        <f>Data!AD179</f>
        <v/>
      </c>
      <c r="K180" s="4">
        <f>Data!AE179</f>
        <v/>
      </c>
      <c r="L180" s="4">
        <f>Data!AF179</f>
        <v/>
      </c>
      <c r="M180" s="4">
        <f>Data!AG179</f>
        <v/>
      </c>
      <c r="N180" s="4">
        <f>Data!AH179</f>
        <v/>
      </c>
      <c r="O180" s="4">
        <f>Data!AI179</f>
        <v/>
      </c>
      <c r="P180" s="4">
        <f>Data!AJ179</f>
        <v/>
      </c>
      <c r="Q180" s="4">
        <f>Data!AK179</f>
        <v/>
      </c>
      <c r="R180" s="4">
        <f>Data!AL179</f>
        <v/>
      </c>
    </row>
    <row r="181">
      <c r="A181" s="4">
        <f>Data!A180</f>
        <v/>
      </c>
      <c r="B181" s="4">
        <f>Data!B180</f>
        <v/>
      </c>
      <c r="C181" s="4">
        <f>Data!C180</f>
        <v/>
      </c>
      <c r="D181" s="4">
        <f>Data!I180</f>
        <v/>
      </c>
      <c r="E181" s="4">
        <f>Data!J180</f>
        <v/>
      </c>
      <c r="F181" s="4">
        <f>Data!H180</f>
        <v/>
      </c>
      <c r="G181" s="4">
        <f>SUM(Data!Q180:Data!Y180)</f>
        <v/>
      </c>
      <c r="H181" s="4">
        <f>Data!Z180</f>
        <v/>
      </c>
      <c r="I181" s="4">
        <f>Data!AB180</f>
        <v/>
      </c>
      <c r="J181" s="4">
        <f>Data!AD180</f>
        <v/>
      </c>
      <c r="K181" s="4">
        <f>Data!AE180</f>
        <v/>
      </c>
      <c r="L181" s="4">
        <f>Data!AF180</f>
        <v/>
      </c>
      <c r="M181" s="4">
        <f>Data!AG180</f>
        <v/>
      </c>
      <c r="N181" s="4">
        <f>Data!AH180</f>
        <v/>
      </c>
      <c r="O181" s="4">
        <f>Data!AI180</f>
        <v/>
      </c>
      <c r="P181" s="4">
        <f>Data!AJ180</f>
        <v/>
      </c>
      <c r="Q181" s="4">
        <f>Data!AK180</f>
        <v/>
      </c>
      <c r="R181" s="4">
        <f>Data!AL180</f>
        <v/>
      </c>
    </row>
    <row r="182">
      <c r="A182" s="4">
        <f>Data!A181</f>
        <v/>
      </c>
      <c r="B182" s="4">
        <f>Data!B181</f>
        <v/>
      </c>
      <c r="C182" s="4">
        <f>Data!C181</f>
        <v/>
      </c>
      <c r="D182" s="4">
        <f>Data!I181</f>
        <v/>
      </c>
      <c r="E182" s="4">
        <f>Data!J181</f>
        <v/>
      </c>
      <c r="F182" s="4">
        <f>Data!H181</f>
        <v/>
      </c>
      <c r="G182" s="4">
        <f>SUM(Data!Q181:Data!Y181)</f>
        <v/>
      </c>
      <c r="H182" s="4">
        <f>Data!Z181</f>
        <v/>
      </c>
      <c r="I182" s="4">
        <f>Data!AB181</f>
        <v/>
      </c>
      <c r="J182" s="4">
        <f>Data!AD181</f>
        <v/>
      </c>
      <c r="K182" s="4">
        <f>Data!AE181</f>
        <v/>
      </c>
      <c r="L182" s="4">
        <f>Data!AF181</f>
        <v/>
      </c>
      <c r="M182" s="4">
        <f>Data!AG181</f>
        <v/>
      </c>
      <c r="N182" s="4">
        <f>Data!AH181</f>
        <v/>
      </c>
      <c r="O182" s="4">
        <f>Data!AI181</f>
        <v/>
      </c>
      <c r="P182" s="4">
        <f>Data!AJ181</f>
        <v/>
      </c>
      <c r="Q182" s="4">
        <f>Data!AK181</f>
        <v/>
      </c>
      <c r="R182" s="4">
        <f>Data!AL181</f>
        <v/>
      </c>
    </row>
    <row r="183">
      <c r="A183" s="4">
        <f>Data!A182</f>
        <v/>
      </c>
      <c r="B183" s="4">
        <f>Data!B182</f>
        <v/>
      </c>
      <c r="C183" s="4">
        <f>Data!C182</f>
        <v/>
      </c>
      <c r="D183" s="4">
        <f>Data!I182</f>
        <v/>
      </c>
      <c r="E183" s="4">
        <f>Data!J182</f>
        <v/>
      </c>
      <c r="F183" s="4">
        <f>Data!H182</f>
        <v/>
      </c>
      <c r="G183" s="4">
        <f>SUM(Data!Q182:Data!Y182)</f>
        <v/>
      </c>
      <c r="H183" s="4">
        <f>Data!Z182</f>
        <v/>
      </c>
      <c r="I183" s="4">
        <f>Data!AB182</f>
        <v/>
      </c>
      <c r="J183" s="4">
        <f>Data!AD182</f>
        <v/>
      </c>
      <c r="K183" s="4">
        <f>Data!AE182</f>
        <v/>
      </c>
      <c r="L183" s="4">
        <f>Data!AF182</f>
        <v/>
      </c>
      <c r="M183" s="4">
        <f>Data!AG182</f>
        <v/>
      </c>
      <c r="N183" s="4">
        <f>Data!AH182</f>
        <v/>
      </c>
      <c r="O183" s="4">
        <f>Data!AI182</f>
        <v/>
      </c>
      <c r="P183" s="4">
        <f>Data!AJ182</f>
        <v/>
      </c>
      <c r="Q183" s="4">
        <f>Data!AK182</f>
        <v/>
      </c>
      <c r="R183" s="4">
        <f>Data!AL182</f>
        <v/>
      </c>
    </row>
    <row r="184">
      <c r="A184" s="4">
        <f>Data!A183</f>
        <v/>
      </c>
      <c r="B184" s="4">
        <f>Data!B183</f>
        <v/>
      </c>
      <c r="C184" s="4">
        <f>Data!C183</f>
        <v/>
      </c>
      <c r="D184" s="4">
        <f>Data!I183</f>
        <v/>
      </c>
      <c r="E184" s="4">
        <f>Data!J183</f>
        <v/>
      </c>
      <c r="F184" s="4">
        <f>Data!H183</f>
        <v/>
      </c>
      <c r="G184" s="4">
        <f>SUM(Data!Q183:Data!Y183)</f>
        <v/>
      </c>
      <c r="H184" s="4">
        <f>Data!Z183</f>
        <v/>
      </c>
      <c r="I184" s="4">
        <f>Data!AB183</f>
        <v/>
      </c>
      <c r="J184" s="4">
        <f>Data!AD183</f>
        <v/>
      </c>
      <c r="K184" s="4">
        <f>Data!AE183</f>
        <v/>
      </c>
      <c r="L184" s="4">
        <f>Data!AF183</f>
        <v/>
      </c>
      <c r="M184" s="4">
        <f>Data!AG183</f>
        <v/>
      </c>
      <c r="N184" s="4">
        <f>Data!AH183</f>
        <v/>
      </c>
      <c r="O184" s="4">
        <f>Data!AI183</f>
        <v/>
      </c>
      <c r="P184" s="4">
        <f>Data!AJ183</f>
        <v/>
      </c>
      <c r="Q184" s="4">
        <f>Data!AK183</f>
        <v/>
      </c>
      <c r="R184" s="4">
        <f>Data!AL183</f>
        <v/>
      </c>
    </row>
    <row r="185">
      <c r="A185" s="4">
        <f>Data!A184</f>
        <v/>
      </c>
      <c r="B185" s="4">
        <f>Data!B184</f>
        <v/>
      </c>
      <c r="C185" s="4">
        <f>Data!C184</f>
        <v/>
      </c>
      <c r="D185" s="4">
        <f>Data!I184</f>
        <v/>
      </c>
      <c r="E185" s="4">
        <f>Data!J184</f>
        <v/>
      </c>
      <c r="F185" s="4">
        <f>Data!H184</f>
        <v/>
      </c>
      <c r="G185" s="4">
        <f>SUM(Data!Q184:Data!Y184)</f>
        <v/>
      </c>
      <c r="H185" s="4">
        <f>Data!Z184</f>
        <v/>
      </c>
      <c r="I185" s="4">
        <f>Data!AB184</f>
        <v/>
      </c>
      <c r="J185" s="4">
        <f>Data!AD184</f>
        <v/>
      </c>
      <c r="K185" s="4">
        <f>Data!AE184</f>
        <v/>
      </c>
      <c r="L185" s="4">
        <f>Data!AF184</f>
        <v/>
      </c>
      <c r="M185" s="4">
        <f>Data!AG184</f>
        <v/>
      </c>
      <c r="N185" s="4">
        <f>Data!AH184</f>
        <v/>
      </c>
      <c r="O185" s="4">
        <f>Data!AI184</f>
        <v/>
      </c>
      <c r="P185" s="4">
        <f>Data!AJ184</f>
        <v/>
      </c>
      <c r="Q185" s="4">
        <f>Data!AK184</f>
        <v/>
      </c>
      <c r="R185" s="4">
        <f>Data!AL184</f>
        <v/>
      </c>
    </row>
    <row r="186">
      <c r="A186" s="4">
        <f>Data!A185</f>
        <v/>
      </c>
      <c r="B186" s="4">
        <f>Data!B185</f>
        <v/>
      </c>
      <c r="C186" s="4">
        <f>Data!C185</f>
        <v/>
      </c>
      <c r="D186" s="4">
        <f>Data!I185</f>
        <v/>
      </c>
      <c r="E186" s="4">
        <f>Data!J185</f>
        <v/>
      </c>
      <c r="F186" s="4">
        <f>Data!H185</f>
        <v/>
      </c>
      <c r="G186" s="4">
        <f>SUM(Data!Q185:Data!Y185)</f>
        <v/>
      </c>
      <c r="H186" s="4">
        <f>Data!Z185</f>
        <v/>
      </c>
      <c r="I186" s="4">
        <f>Data!AB185</f>
        <v/>
      </c>
      <c r="J186" s="4">
        <f>Data!AD185</f>
        <v/>
      </c>
      <c r="K186" s="4">
        <f>Data!AE185</f>
        <v/>
      </c>
      <c r="L186" s="4">
        <f>Data!AF185</f>
        <v/>
      </c>
      <c r="M186" s="4">
        <f>Data!AG185</f>
        <v/>
      </c>
      <c r="N186" s="4">
        <f>Data!AH185</f>
        <v/>
      </c>
      <c r="O186" s="4">
        <f>Data!AI185</f>
        <v/>
      </c>
      <c r="P186" s="4">
        <f>Data!AJ185</f>
        <v/>
      </c>
      <c r="Q186" s="4">
        <f>Data!AK185</f>
        <v/>
      </c>
      <c r="R186" s="4">
        <f>Data!AL185</f>
        <v/>
      </c>
    </row>
    <row r="187">
      <c r="A187" s="4">
        <f>Data!A186</f>
        <v/>
      </c>
      <c r="B187" s="4">
        <f>Data!B186</f>
        <v/>
      </c>
      <c r="C187" s="4">
        <f>Data!C186</f>
        <v/>
      </c>
      <c r="D187" s="4">
        <f>Data!I186</f>
        <v/>
      </c>
      <c r="E187" s="4">
        <f>Data!J186</f>
        <v/>
      </c>
      <c r="F187" s="4">
        <f>Data!H186</f>
        <v/>
      </c>
      <c r="G187" s="4">
        <f>SUM(Data!Q186:Data!Y186)</f>
        <v/>
      </c>
      <c r="H187" s="4">
        <f>Data!Z186</f>
        <v/>
      </c>
      <c r="I187" s="4">
        <f>Data!AB186</f>
        <v/>
      </c>
      <c r="J187" s="4">
        <f>Data!AD186</f>
        <v/>
      </c>
      <c r="K187" s="4">
        <f>Data!AE186</f>
        <v/>
      </c>
      <c r="L187" s="4">
        <f>Data!AF186</f>
        <v/>
      </c>
      <c r="M187" s="4">
        <f>Data!AG186</f>
        <v/>
      </c>
      <c r="N187" s="4">
        <f>Data!AH186</f>
        <v/>
      </c>
      <c r="O187" s="4">
        <f>Data!AI186</f>
        <v/>
      </c>
      <c r="P187" s="4">
        <f>Data!AJ186</f>
        <v/>
      </c>
      <c r="Q187" s="4">
        <f>Data!AK186</f>
        <v/>
      </c>
      <c r="R187" s="4">
        <f>Data!AL186</f>
        <v/>
      </c>
    </row>
    <row r="188">
      <c r="A188" s="4">
        <f>Data!A187</f>
        <v/>
      </c>
      <c r="B188" s="4">
        <f>Data!B187</f>
        <v/>
      </c>
      <c r="C188" s="4">
        <f>Data!C187</f>
        <v/>
      </c>
      <c r="D188" s="4">
        <f>Data!I187</f>
        <v/>
      </c>
      <c r="E188" s="4">
        <f>Data!J187</f>
        <v/>
      </c>
      <c r="F188" s="4">
        <f>Data!H187</f>
        <v/>
      </c>
      <c r="G188" s="4">
        <f>SUM(Data!Q187:Data!Y187)</f>
        <v/>
      </c>
      <c r="H188" s="4">
        <f>Data!Z187</f>
        <v/>
      </c>
      <c r="I188" s="4">
        <f>Data!AB187</f>
        <v/>
      </c>
      <c r="J188" s="4">
        <f>Data!AD187</f>
        <v/>
      </c>
      <c r="K188" s="4">
        <f>Data!AE187</f>
        <v/>
      </c>
      <c r="L188" s="4">
        <f>Data!AF187</f>
        <v/>
      </c>
      <c r="M188" s="4">
        <f>Data!AG187</f>
        <v/>
      </c>
      <c r="N188" s="4">
        <f>Data!AH187</f>
        <v/>
      </c>
      <c r="O188" s="4">
        <f>Data!AI187</f>
        <v/>
      </c>
      <c r="P188" s="4">
        <f>Data!AJ187</f>
        <v/>
      </c>
      <c r="Q188" s="4">
        <f>Data!AK187</f>
        <v/>
      </c>
      <c r="R188" s="4">
        <f>Data!AL187</f>
        <v/>
      </c>
    </row>
    <row r="189">
      <c r="A189" s="4">
        <f>Data!A188</f>
        <v/>
      </c>
      <c r="B189" s="4">
        <f>Data!B188</f>
        <v/>
      </c>
      <c r="C189" s="4">
        <f>Data!C188</f>
        <v/>
      </c>
      <c r="D189" s="4">
        <f>Data!I188</f>
        <v/>
      </c>
      <c r="E189" s="4">
        <f>Data!J188</f>
        <v/>
      </c>
      <c r="F189" s="4">
        <f>Data!H188</f>
        <v/>
      </c>
      <c r="G189" s="4">
        <f>SUM(Data!Q188:Data!Y188)</f>
        <v/>
      </c>
      <c r="H189" s="4">
        <f>Data!Z188</f>
        <v/>
      </c>
      <c r="I189" s="4">
        <f>Data!AB188</f>
        <v/>
      </c>
      <c r="J189" s="4">
        <f>Data!AD188</f>
        <v/>
      </c>
      <c r="K189" s="4">
        <f>Data!AE188</f>
        <v/>
      </c>
      <c r="L189" s="4">
        <f>Data!AF188</f>
        <v/>
      </c>
      <c r="M189" s="4">
        <f>Data!AG188</f>
        <v/>
      </c>
      <c r="N189" s="4">
        <f>Data!AH188</f>
        <v/>
      </c>
      <c r="O189" s="4">
        <f>Data!AI188</f>
        <v/>
      </c>
      <c r="P189" s="4">
        <f>Data!AJ188</f>
        <v/>
      </c>
      <c r="Q189" s="4">
        <f>Data!AK188</f>
        <v/>
      </c>
      <c r="R189" s="4">
        <f>Data!AL188</f>
        <v/>
      </c>
    </row>
    <row r="190">
      <c r="A190" s="4">
        <f>Data!A189</f>
        <v/>
      </c>
      <c r="B190" s="4">
        <f>Data!B189</f>
        <v/>
      </c>
      <c r="C190" s="4">
        <f>Data!C189</f>
        <v/>
      </c>
      <c r="D190" s="4">
        <f>Data!I189</f>
        <v/>
      </c>
      <c r="E190" s="4">
        <f>Data!J189</f>
        <v/>
      </c>
      <c r="F190" s="4">
        <f>Data!H189</f>
        <v/>
      </c>
      <c r="G190" s="4">
        <f>SUM(Data!Q189:Data!Y189)</f>
        <v/>
      </c>
      <c r="H190" s="4">
        <f>Data!Z189</f>
        <v/>
      </c>
      <c r="I190" s="4">
        <f>Data!AB189</f>
        <v/>
      </c>
      <c r="J190" s="4">
        <f>Data!AD189</f>
        <v/>
      </c>
      <c r="K190" s="4">
        <f>Data!AE189</f>
        <v/>
      </c>
      <c r="L190" s="4">
        <f>Data!AF189</f>
        <v/>
      </c>
      <c r="M190" s="4">
        <f>Data!AG189</f>
        <v/>
      </c>
      <c r="N190" s="4">
        <f>Data!AH189</f>
        <v/>
      </c>
      <c r="O190" s="4">
        <f>Data!AI189</f>
        <v/>
      </c>
      <c r="P190" s="4">
        <f>Data!AJ189</f>
        <v/>
      </c>
      <c r="Q190" s="4">
        <f>Data!AK189</f>
        <v/>
      </c>
      <c r="R190" s="4">
        <f>Data!AL189</f>
        <v/>
      </c>
    </row>
    <row r="191">
      <c r="A191" s="4">
        <f>Data!A190</f>
        <v/>
      </c>
      <c r="B191" s="4">
        <f>Data!B190</f>
        <v/>
      </c>
      <c r="C191" s="4">
        <f>Data!C190</f>
        <v/>
      </c>
      <c r="D191" s="4">
        <f>Data!I190</f>
        <v/>
      </c>
      <c r="E191" s="4">
        <f>Data!J190</f>
        <v/>
      </c>
      <c r="F191" s="4">
        <f>Data!H190</f>
        <v/>
      </c>
      <c r="G191" s="4">
        <f>SUM(Data!Q190:Data!Y190)</f>
        <v/>
      </c>
      <c r="H191" s="4">
        <f>Data!Z190</f>
        <v/>
      </c>
      <c r="I191" s="4">
        <f>Data!AB190</f>
        <v/>
      </c>
      <c r="J191" s="4">
        <f>Data!AD190</f>
        <v/>
      </c>
      <c r="K191" s="4">
        <f>Data!AE190</f>
        <v/>
      </c>
      <c r="L191" s="4">
        <f>Data!AF190</f>
        <v/>
      </c>
      <c r="M191" s="4">
        <f>Data!AG190</f>
        <v/>
      </c>
      <c r="N191" s="4">
        <f>Data!AH190</f>
        <v/>
      </c>
      <c r="O191" s="4">
        <f>Data!AI190</f>
        <v/>
      </c>
      <c r="P191" s="4">
        <f>Data!AJ190</f>
        <v/>
      </c>
      <c r="Q191" s="4">
        <f>Data!AK190</f>
        <v/>
      </c>
      <c r="R191" s="4">
        <f>Data!AL190</f>
        <v/>
      </c>
    </row>
    <row r="192">
      <c r="A192" s="4">
        <f>Data!A191</f>
        <v/>
      </c>
      <c r="B192" s="4">
        <f>Data!B191</f>
        <v/>
      </c>
      <c r="C192" s="4">
        <f>Data!C191</f>
        <v/>
      </c>
      <c r="D192" s="4">
        <f>Data!I191</f>
        <v/>
      </c>
      <c r="E192" s="4">
        <f>Data!J191</f>
        <v/>
      </c>
      <c r="F192" s="4">
        <f>Data!H191</f>
        <v/>
      </c>
      <c r="G192" s="4">
        <f>SUM(Data!Q191:Data!Y191)</f>
        <v/>
      </c>
      <c r="H192" s="4">
        <f>Data!Z191</f>
        <v/>
      </c>
      <c r="I192" s="4">
        <f>Data!AB191</f>
        <v/>
      </c>
      <c r="J192" s="4">
        <f>Data!AD191</f>
        <v/>
      </c>
      <c r="K192" s="4">
        <f>Data!AE191</f>
        <v/>
      </c>
      <c r="L192" s="4">
        <f>Data!AF191</f>
        <v/>
      </c>
      <c r="M192" s="4">
        <f>Data!AG191</f>
        <v/>
      </c>
      <c r="N192" s="4">
        <f>Data!AH191</f>
        <v/>
      </c>
      <c r="O192" s="4">
        <f>Data!AI191</f>
        <v/>
      </c>
      <c r="P192" s="4">
        <f>Data!AJ191</f>
        <v/>
      </c>
      <c r="Q192" s="4">
        <f>Data!AK191</f>
        <v/>
      </c>
      <c r="R192" s="4">
        <f>Data!AL191</f>
        <v/>
      </c>
    </row>
    <row r="193">
      <c r="A193" s="4">
        <f>Data!A192</f>
        <v/>
      </c>
      <c r="B193" s="4">
        <f>Data!B192</f>
        <v/>
      </c>
      <c r="C193" s="4">
        <f>Data!C192</f>
        <v/>
      </c>
      <c r="D193" s="4">
        <f>Data!I192</f>
        <v/>
      </c>
      <c r="E193" s="4">
        <f>Data!J192</f>
        <v/>
      </c>
      <c r="F193" s="4">
        <f>Data!H192</f>
        <v/>
      </c>
      <c r="G193" s="4">
        <f>SUM(Data!Q192:Data!Y192)</f>
        <v/>
      </c>
      <c r="H193" s="4">
        <f>Data!Z192</f>
        <v/>
      </c>
      <c r="I193" s="4">
        <f>Data!AB192</f>
        <v/>
      </c>
      <c r="J193" s="4">
        <f>Data!AD192</f>
        <v/>
      </c>
      <c r="K193" s="4">
        <f>Data!AE192</f>
        <v/>
      </c>
      <c r="L193" s="4">
        <f>Data!AF192</f>
        <v/>
      </c>
      <c r="M193" s="4">
        <f>Data!AG192</f>
        <v/>
      </c>
      <c r="N193" s="4">
        <f>Data!AH192</f>
        <v/>
      </c>
      <c r="O193" s="4">
        <f>Data!AI192</f>
        <v/>
      </c>
      <c r="P193" s="4">
        <f>Data!AJ192</f>
        <v/>
      </c>
      <c r="Q193" s="4">
        <f>Data!AK192</f>
        <v/>
      </c>
      <c r="R193" s="4">
        <f>Data!AL192</f>
        <v/>
      </c>
    </row>
    <row r="194">
      <c r="A194" s="4">
        <f>Data!A193</f>
        <v/>
      </c>
      <c r="B194" s="4">
        <f>Data!B193</f>
        <v/>
      </c>
      <c r="C194" s="4">
        <f>Data!C193</f>
        <v/>
      </c>
      <c r="D194" s="4">
        <f>Data!I193</f>
        <v/>
      </c>
      <c r="E194" s="4">
        <f>Data!J193</f>
        <v/>
      </c>
      <c r="F194" s="4">
        <f>Data!H193</f>
        <v/>
      </c>
      <c r="G194" s="4">
        <f>SUM(Data!Q193:Data!Y193)</f>
        <v/>
      </c>
      <c r="H194" s="4">
        <f>Data!Z193</f>
        <v/>
      </c>
      <c r="I194" s="4">
        <f>Data!AB193</f>
        <v/>
      </c>
      <c r="J194" s="4">
        <f>Data!AD193</f>
        <v/>
      </c>
      <c r="K194" s="4">
        <f>Data!AE193</f>
        <v/>
      </c>
      <c r="L194" s="4">
        <f>Data!AF193</f>
        <v/>
      </c>
      <c r="M194" s="4">
        <f>Data!AG193</f>
        <v/>
      </c>
      <c r="N194" s="4">
        <f>Data!AH193</f>
        <v/>
      </c>
      <c r="O194" s="4">
        <f>Data!AI193</f>
        <v/>
      </c>
      <c r="P194" s="4">
        <f>Data!AJ193</f>
        <v/>
      </c>
      <c r="Q194" s="4">
        <f>Data!AK193</f>
        <v/>
      </c>
      <c r="R194" s="4">
        <f>Data!AL193</f>
        <v/>
      </c>
    </row>
    <row r="195">
      <c r="A195" s="4">
        <f>Data!A194</f>
        <v/>
      </c>
      <c r="B195" s="4">
        <f>Data!B194</f>
        <v/>
      </c>
      <c r="C195" s="4">
        <f>Data!C194</f>
        <v/>
      </c>
      <c r="D195" s="4">
        <f>Data!I194</f>
        <v/>
      </c>
      <c r="E195" s="4">
        <f>Data!J194</f>
        <v/>
      </c>
      <c r="F195" s="4">
        <f>Data!H194</f>
        <v/>
      </c>
      <c r="G195" s="4">
        <f>SUM(Data!Q194:Data!Y194)</f>
        <v/>
      </c>
      <c r="H195" s="4">
        <f>Data!Z194</f>
        <v/>
      </c>
      <c r="I195" s="4">
        <f>Data!AB194</f>
        <v/>
      </c>
      <c r="J195" s="4">
        <f>Data!AD194</f>
        <v/>
      </c>
      <c r="K195" s="4">
        <f>Data!AE194</f>
        <v/>
      </c>
      <c r="L195" s="4">
        <f>Data!AF194</f>
        <v/>
      </c>
      <c r="M195" s="4">
        <f>Data!AG194</f>
        <v/>
      </c>
      <c r="N195" s="4">
        <f>Data!AH194</f>
        <v/>
      </c>
      <c r="O195" s="4">
        <f>Data!AI194</f>
        <v/>
      </c>
      <c r="P195" s="4">
        <f>Data!AJ194</f>
        <v/>
      </c>
      <c r="Q195" s="4">
        <f>Data!AK194</f>
        <v/>
      </c>
      <c r="R195" s="4">
        <f>Data!AL194</f>
        <v/>
      </c>
    </row>
    <row r="196">
      <c r="A196" s="4">
        <f>Data!A195</f>
        <v/>
      </c>
      <c r="B196" s="4">
        <f>Data!B195</f>
        <v/>
      </c>
      <c r="C196" s="4">
        <f>Data!C195</f>
        <v/>
      </c>
      <c r="D196" s="4">
        <f>Data!I195</f>
        <v/>
      </c>
      <c r="E196" s="4">
        <f>Data!J195</f>
        <v/>
      </c>
      <c r="F196" s="4">
        <f>Data!H195</f>
        <v/>
      </c>
      <c r="G196" s="4">
        <f>SUM(Data!Q195:Data!Y195)</f>
        <v/>
      </c>
      <c r="H196" s="4">
        <f>Data!Z195</f>
        <v/>
      </c>
      <c r="I196" s="4">
        <f>Data!AB195</f>
        <v/>
      </c>
      <c r="J196" s="4">
        <f>Data!AD195</f>
        <v/>
      </c>
      <c r="K196" s="4">
        <f>Data!AE195</f>
        <v/>
      </c>
      <c r="L196" s="4">
        <f>Data!AF195</f>
        <v/>
      </c>
      <c r="M196" s="4">
        <f>Data!AG195</f>
        <v/>
      </c>
      <c r="N196" s="4">
        <f>Data!AH195</f>
        <v/>
      </c>
      <c r="O196" s="4">
        <f>Data!AI195</f>
        <v/>
      </c>
      <c r="P196" s="4">
        <f>Data!AJ195</f>
        <v/>
      </c>
      <c r="Q196" s="4">
        <f>Data!AK195</f>
        <v/>
      </c>
      <c r="R196" s="4">
        <f>Data!AL195</f>
        <v/>
      </c>
    </row>
    <row r="197">
      <c r="A197" s="4">
        <f>Data!A196</f>
        <v/>
      </c>
      <c r="B197" s="4">
        <f>Data!B196</f>
        <v/>
      </c>
      <c r="C197" s="4">
        <f>Data!C196</f>
        <v/>
      </c>
      <c r="D197" s="4">
        <f>Data!I196</f>
        <v/>
      </c>
      <c r="E197" s="4">
        <f>Data!J196</f>
        <v/>
      </c>
      <c r="F197" s="4">
        <f>Data!H196</f>
        <v/>
      </c>
      <c r="G197" s="4">
        <f>SUM(Data!Q196:Data!Y196)</f>
        <v/>
      </c>
      <c r="H197" s="4">
        <f>Data!Z196</f>
        <v/>
      </c>
      <c r="I197" s="4">
        <f>Data!AB196</f>
        <v/>
      </c>
      <c r="J197" s="4">
        <f>Data!AD196</f>
        <v/>
      </c>
      <c r="K197" s="4">
        <f>Data!AE196</f>
        <v/>
      </c>
      <c r="L197" s="4">
        <f>Data!AF196</f>
        <v/>
      </c>
      <c r="M197" s="4">
        <f>Data!AG196</f>
        <v/>
      </c>
      <c r="N197" s="4">
        <f>Data!AH196</f>
        <v/>
      </c>
      <c r="O197" s="4">
        <f>Data!AI196</f>
        <v/>
      </c>
      <c r="P197" s="4">
        <f>Data!AJ196</f>
        <v/>
      </c>
      <c r="Q197" s="4">
        <f>Data!AK196</f>
        <v/>
      </c>
      <c r="R197" s="4">
        <f>Data!AL196</f>
        <v/>
      </c>
    </row>
    <row r="198">
      <c r="A198" s="4">
        <f>Data!A197</f>
        <v/>
      </c>
      <c r="B198" s="4">
        <f>Data!B197</f>
        <v/>
      </c>
      <c r="C198" s="4">
        <f>Data!C197</f>
        <v/>
      </c>
      <c r="D198" s="4">
        <f>Data!I197</f>
        <v/>
      </c>
      <c r="E198" s="4">
        <f>Data!J197</f>
        <v/>
      </c>
      <c r="F198" s="4">
        <f>Data!H197</f>
        <v/>
      </c>
      <c r="G198" s="4">
        <f>SUM(Data!Q197:Data!Y197)</f>
        <v/>
      </c>
      <c r="H198" s="4">
        <f>Data!Z197</f>
        <v/>
      </c>
      <c r="I198" s="4">
        <f>Data!AB197</f>
        <v/>
      </c>
      <c r="J198" s="4">
        <f>Data!AD197</f>
        <v/>
      </c>
      <c r="K198" s="4">
        <f>Data!AE197</f>
        <v/>
      </c>
      <c r="L198" s="4">
        <f>Data!AF197</f>
        <v/>
      </c>
      <c r="M198" s="4">
        <f>Data!AG197</f>
        <v/>
      </c>
      <c r="N198" s="4">
        <f>Data!AH197</f>
        <v/>
      </c>
      <c r="O198" s="4">
        <f>Data!AI197</f>
        <v/>
      </c>
      <c r="P198" s="4">
        <f>Data!AJ197</f>
        <v/>
      </c>
      <c r="Q198" s="4">
        <f>Data!AK197</f>
        <v/>
      </c>
      <c r="R198" s="4">
        <f>Data!AL197</f>
        <v/>
      </c>
    </row>
    <row r="199">
      <c r="A199" s="4">
        <f>Data!A198</f>
        <v/>
      </c>
      <c r="B199" s="4">
        <f>Data!B198</f>
        <v/>
      </c>
      <c r="C199" s="4">
        <f>Data!C198</f>
        <v/>
      </c>
      <c r="D199" s="4">
        <f>Data!I198</f>
        <v/>
      </c>
      <c r="E199" s="4">
        <f>Data!J198</f>
        <v/>
      </c>
      <c r="F199" s="4">
        <f>Data!H198</f>
        <v/>
      </c>
      <c r="G199" s="4">
        <f>SUM(Data!Q198:Data!Y198)</f>
        <v/>
      </c>
      <c r="H199" s="4">
        <f>Data!Z198</f>
        <v/>
      </c>
      <c r="I199" s="4">
        <f>Data!AB198</f>
        <v/>
      </c>
      <c r="J199" s="4">
        <f>Data!AD198</f>
        <v/>
      </c>
      <c r="K199" s="4">
        <f>Data!AE198</f>
        <v/>
      </c>
      <c r="L199" s="4">
        <f>Data!AF198</f>
        <v/>
      </c>
      <c r="M199" s="4">
        <f>Data!AG198</f>
        <v/>
      </c>
      <c r="N199" s="4">
        <f>Data!AH198</f>
        <v/>
      </c>
      <c r="O199" s="4">
        <f>Data!AI198</f>
        <v/>
      </c>
      <c r="P199" s="4">
        <f>Data!AJ198</f>
        <v/>
      </c>
      <c r="Q199" s="4">
        <f>Data!AK198</f>
        <v/>
      </c>
      <c r="R199" s="4">
        <f>Data!AL198</f>
        <v/>
      </c>
    </row>
    <row r="200">
      <c r="A200" s="4">
        <f>Data!A199</f>
        <v/>
      </c>
      <c r="B200" s="4">
        <f>Data!B199</f>
        <v/>
      </c>
      <c r="C200" s="4">
        <f>Data!C199</f>
        <v/>
      </c>
      <c r="D200" s="4">
        <f>Data!I199</f>
        <v/>
      </c>
      <c r="E200" s="4">
        <f>Data!J199</f>
        <v/>
      </c>
      <c r="F200" s="4">
        <f>Data!H199</f>
        <v/>
      </c>
      <c r="G200" s="4">
        <f>SUM(Data!Q199:Data!Y199)</f>
        <v/>
      </c>
      <c r="H200" s="4">
        <f>Data!Z199</f>
        <v/>
      </c>
      <c r="I200" s="4">
        <f>Data!AB199</f>
        <v/>
      </c>
      <c r="J200" s="4">
        <f>Data!AD199</f>
        <v/>
      </c>
      <c r="K200" s="4">
        <f>Data!AE199</f>
        <v/>
      </c>
      <c r="L200" s="4">
        <f>Data!AF199</f>
        <v/>
      </c>
      <c r="M200" s="4">
        <f>Data!AG199</f>
        <v/>
      </c>
      <c r="N200" s="4">
        <f>Data!AH199</f>
        <v/>
      </c>
      <c r="O200" s="4">
        <f>Data!AI199</f>
        <v/>
      </c>
      <c r="P200" s="4">
        <f>Data!AJ199</f>
        <v/>
      </c>
      <c r="Q200" s="4">
        <f>Data!AK199</f>
        <v/>
      </c>
      <c r="R200" s="4">
        <f>Data!AL199</f>
        <v/>
      </c>
    </row>
    <row r="201">
      <c r="A201" s="4">
        <f>Data!A200</f>
        <v/>
      </c>
      <c r="B201" s="4">
        <f>Data!B200</f>
        <v/>
      </c>
      <c r="C201" s="4">
        <f>Data!C200</f>
        <v/>
      </c>
      <c r="D201" s="4">
        <f>Data!I200</f>
        <v/>
      </c>
      <c r="E201" s="4">
        <f>Data!J200</f>
        <v/>
      </c>
      <c r="F201" s="4">
        <f>Data!H200</f>
        <v/>
      </c>
      <c r="G201" s="4">
        <f>SUM(Data!Q200:Data!Y200)</f>
        <v/>
      </c>
      <c r="H201" s="4">
        <f>Data!Z200</f>
        <v/>
      </c>
      <c r="I201" s="4">
        <f>Data!AB200</f>
        <v/>
      </c>
      <c r="J201" s="4">
        <f>Data!AD200</f>
        <v/>
      </c>
      <c r="K201" s="4">
        <f>Data!AE200</f>
        <v/>
      </c>
      <c r="L201" s="4">
        <f>Data!AF200</f>
        <v/>
      </c>
      <c r="M201" s="4">
        <f>Data!AG200</f>
        <v/>
      </c>
      <c r="N201" s="4">
        <f>Data!AH200</f>
        <v/>
      </c>
      <c r="O201" s="4">
        <f>Data!AI200</f>
        <v/>
      </c>
      <c r="P201" s="4">
        <f>Data!AJ200</f>
        <v/>
      </c>
      <c r="Q201" s="4">
        <f>Data!AK200</f>
        <v/>
      </c>
      <c r="R201" s="4">
        <f>Data!AL200</f>
        <v/>
      </c>
    </row>
    <row r="202">
      <c r="A202" s="4">
        <f>Data!A201</f>
        <v/>
      </c>
      <c r="B202" s="4">
        <f>Data!B201</f>
        <v/>
      </c>
      <c r="C202" s="4">
        <f>Data!C201</f>
        <v/>
      </c>
      <c r="D202" s="4">
        <f>Data!I201</f>
        <v/>
      </c>
      <c r="E202" s="4">
        <f>Data!J201</f>
        <v/>
      </c>
      <c r="F202" s="4">
        <f>Data!H201</f>
        <v/>
      </c>
      <c r="G202" s="4">
        <f>SUM(Data!Q201:Data!Y201)</f>
        <v/>
      </c>
      <c r="H202" s="4">
        <f>Data!Z201</f>
        <v/>
      </c>
      <c r="I202" s="4">
        <f>Data!AB201</f>
        <v/>
      </c>
      <c r="J202" s="4">
        <f>Data!AD201</f>
        <v/>
      </c>
      <c r="K202" s="4">
        <f>Data!AE201</f>
        <v/>
      </c>
      <c r="L202" s="4">
        <f>Data!AF201</f>
        <v/>
      </c>
      <c r="M202" s="4">
        <f>Data!AG201</f>
        <v/>
      </c>
      <c r="N202" s="4">
        <f>Data!AH201</f>
        <v/>
      </c>
      <c r="O202" s="4">
        <f>Data!AI201</f>
        <v/>
      </c>
      <c r="P202" s="4">
        <f>Data!AJ201</f>
        <v/>
      </c>
      <c r="Q202" s="4">
        <f>Data!AK201</f>
        <v/>
      </c>
      <c r="R202" s="4">
        <f>Data!AL201</f>
        <v/>
      </c>
    </row>
    <row r="203">
      <c r="A203" s="4">
        <f>Data!A202</f>
        <v/>
      </c>
      <c r="B203" s="4">
        <f>Data!B202</f>
        <v/>
      </c>
      <c r="C203" s="4">
        <f>Data!C202</f>
        <v/>
      </c>
      <c r="D203" s="4">
        <f>Data!I202</f>
        <v/>
      </c>
      <c r="E203" s="4">
        <f>Data!J202</f>
        <v/>
      </c>
      <c r="F203" s="4">
        <f>Data!H202</f>
        <v/>
      </c>
      <c r="G203" s="4">
        <f>SUM(Data!Q202:Data!Y202)</f>
        <v/>
      </c>
      <c r="H203" s="4">
        <f>Data!Z202</f>
        <v/>
      </c>
      <c r="I203" s="4">
        <f>Data!AB202</f>
        <v/>
      </c>
      <c r="J203" s="4">
        <f>Data!AD202</f>
        <v/>
      </c>
      <c r="K203" s="4">
        <f>Data!AE202</f>
        <v/>
      </c>
      <c r="L203" s="4">
        <f>Data!AF202</f>
        <v/>
      </c>
      <c r="M203" s="4">
        <f>Data!AG202</f>
        <v/>
      </c>
      <c r="N203" s="4">
        <f>Data!AH202</f>
        <v/>
      </c>
      <c r="O203" s="4">
        <f>Data!AI202</f>
        <v/>
      </c>
      <c r="P203" s="4">
        <f>Data!AJ202</f>
        <v/>
      </c>
      <c r="Q203" s="4">
        <f>Data!AK202</f>
        <v/>
      </c>
      <c r="R203" s="4">
        <f>Data!AL202</f>
        <v/>
      </c>
    </row>
    <row r="204">
      <c r="A204" s="4">
        <f>Data!A203</f>
        <v/>
      </c>
      <c r="B204" s="4">
        <f>Data!B203</f>
        <v/>
      </c>
      <c r="C204" s="4">
        <f>Data!C203</f>
        <v/>
      </c>
      <c r="D204" s="4">
        <f>Data!I203</f>
        <v/>
      </c>
      <c r="E204" s="4">
        <f>Data!J203</f>
        <v/>
      </c>
      <c r="F204" s="4">
        <f>Data!H203</f>
        <v/>
      </c>
      <c r="G204" s="4">
        <f>SUM(Data!Q203:Data!Y203)</f>
        <v/>
      </c>
      <c r="H204" s="4">
        <f>Data!Z203</f>
        <v/>
      </c>
      <c r="I204" s="4">
        <f>Data!AB203</f>
        <v/>
      </c>
      <c r="J204" s="4">
        <f>Data!AD203</f>
        <v/>
      </c>
      <c r="K204" s="4">
        <f>Data!AE203</f>
        <v/>
      </c>
      <c r="L204" s="4">
        <f>Data!AF203</f>
        <v/>
      </c>
      <c r="M204" s="4">
        <f>Data!AG203</f>
        <v/>
      </c>
      <c r="N204" s="4">
        <f>Data!AH203</f>
        <v/>
      </c>
      <c r="O204" s="4">
        <f>Data!AI203</f>
        <v/>
      </c>
      <c r="P204" s="4">
        <f>Data!AJ203</f>
        <v/>
      </c>
      <c r="Q204" s="4">
        <f>Data!AK203</f>
        <v/>
      </c>
      <c r="R204" s="4">
        <f>Data!AL203</f>
        <v/>
      </c>
    </row>
    <row r="205">
      <c r="A205" s="4">
        <f>Data!A204</f>
        <v/>
      </c>
      <c r="B205" s="4">
        <f>Data!B204</f>
        <v/>
      </c>
      <c r="C205" s="4">
        <f>Data!C204</f>
        <v/>
      </c>
      <c r="D205" s="4">
        <f>Data!I204</f>
        <v/>
      </c>
      <c r="E205" s="4">
        <f>Data!J204</f>
        <v/>
      </c>
      <c r="F205" s="4">
        <f>Data!H204</f>
        <v/>
      </c>
      <c r="G205" s="4">
        <f>SUM(Data!Q204:Data!Y204)</f>
        <v/>
      </c>
      <c r="H205" s="4">
        <f>Data!Z204</f>
        <v/>
      </c>
      <c r="I205" s="4">
        <f>Data!AB204</f>
        <v/>
      </c>
      <c r="J205" s="4">
        <f>Data!AD204</f>
        <v/>
      </c>
      <c r="K205" s="4">
        <f>Data!AE204</f>
        <v/>
      </c>
      <c r="L205" s="4">
        <f>Data!AF204</f>
        <v/>
      </c>
      <c r="M205" s="4">
        <f>Data!AG204</f>
        <v/>
      </c>
      <c r="N205" s="4">
        <f>Data!AH204</f>
        <v/>
      </c>
      <c r="O205" s="4">
        <f>Data!AI204</f>
        <v/>
      </c>
      <c r="P205" s="4">
        <f>Data!AJ204</f>
        <v/>
      </c>
      <c r="Q205" s="4">
        <f>Data!AK204</f>
        <v/>
      </c>
      <c r="R205" s="4">
        <f>Data!AL204</f>
        <v/>
      </c>
    </row>
    <row r="206">
      <c r="A206" s="4">
        <f>Data!A205</f>
        <v/>
      </c>
      <c r="B206" s="4">
        <f>Data!B205</f>
        <v/>
      </c>
      <c r="C206" s="4">
        <f>Data!C205</f>
        <v/>
      </c>
      <c r="D206" s="4">
        <f>Data!I205</f>
        <v/>
      </c>
      <c r="E206" s="4">
        <f>Data!J205</f>
        <v/>
      </c>
      <c r="F206" s="4">
        <f>Data!H205</f>
        <v/>
      </c>
      <c r="G206" s="4">
        <f>SUM(Data!Q205:Data!Y205)</f>
        <v/>
      </c>
      <c r="H206" s="4">
        <f>Data!Z205</f>
        <v/>
      </c>
      <c r="I206" s="4">
        <f>Data!AB205</f>
        <v/>
      </c>
      <c r="J206" s="4">
        <f>Data!AD205</f>
        <v/>
      </c>
      <c r="K206" s="4">
        <f>Data!AE205</f>
        <v/>
      </c>
      <c r="L206" s="4">
        <f>Data!AF205</f>
        <v/>
      </c>
      <c r="M206" s="4">
        <f>Data!AG205</f>
        <v/>
      </c>
      <c r="N206" s="4">
        <f>Data!AH205</f>
        <v/>
      </c>
      <c r="O206" s="4">
        <f>Data!AI205</f>
        <v/>
      </c>
      <c r="P206" s="4">
        <f>Data!AJ205</f>
        <v/>
      </c>
      <c r="Q206" s="4">
        <f>Data!AK205</f>
        <v/>
      </c>
      <c r="R206" s="4">
        <f>Data!AL205</f>
        <v/>
      </c>
    </row>
    <row r="207">
      <c r="A207" s="4">
        <f>Data!A206</f>
        <v/>
      </c>
      <c r="B207" s="4">
        <f>Data!B206</f>
        <v/>
      </c>
      <c r="C207" s="4">
        <f>Data!C206</f>
        <v/>
      </c>
      <c r="D207" s="4">
        <f>Data!I206</f>
        <v/>
      </c>
      <c r="E207" s="4">
        <f>Data!J206</f>
        <v/>
      </c>
      <c r="F207" s="4">
        <f>Data!H206</f>
        <v/>
      </c>
      <c r="G207" s="4">
        <f>SUM(Data!Q206:Data!Y206)</f>
        <v/>
      </c>
      <c r="H207" s="4">
        <f>Data!Z206</f>
        <v/>
      </c>
      <c r="I207" s="4">
        <f>Data!AB206</f>
        <v/>
      </c>
      <c r="J207" s="4">
        <f>Data!AD206</f>
        <v/>
      </c>
      <c r="K207" s="4">
        <f>Data!AE206</f>
        <v/>
      </c>
      <c r="L207" s="4">
        <f>Data!AF206</f>
        <v/>
      </c>
      <c r="M207" s="4">
        <f>Data!AG206</f>
        <v/>
      </c>
      <c r="N207" s="4">
        <f>Data!AH206</f>
        <v/>
      </c>
      <c r="O207" s="4">
        <f>Data!AI206</f>
        <v/>
      </c>
      <c r="P207" s="4">
        <f>Data!AJ206</f>
        <v/>
      </c>
      <c r="Q207" s="4">
        <f>Data!AK206</f>
        <v/>
      </c>
      <c r="R207" s="4">
        <f>Data!AL206</f>
        <v/>
      </c>
    </row>
    <row r="208">
      <c r="A208" s="4">
        <f>Data!A207</f>
        <v/>
      </c>
      <c r="B208" s="4">
        <f>Data!B207</f>
        <v/>
      </c>
      <c r="C208" s="4">
        <f>Data!C207</f>
        <v/>
      </c>
      <c r="D208" s="4">
        <f>Data!I207</f>
        <v/>
      </c>
      <c r="E208" s="4">
        <f>Data!J207</f>
        <v/>
      </c>
      <c r="F208" s="4">
        <f>Data!H207</f>
        <v/>
      </c>
      <c r="G208" s="4">
        <f>SUM(Data!Q207:Data!Y207)</f>
        <v/>
      </c>
      <c r="H208" s="4">
        <f>Data!Z207</f>
        <v/>
      </c>
      <c r="I208" s="4">
        <f>Data!AB207</f>
        <v/>
      </c>
      <c r="J208" s="4">
        <f>Data!AD207</f>
        <v/>
      </c>
      <c r="K208" s="4">
        <f>Data!AE207</f>
        <v/>
      </c>
      <c r="L208" s="4">
        <f>Data!AF207</f>
        <v/>
      </c>
      <c r="M208" s="4">
        <f>Data!AG207</f>
        <v/>
      </c>
      <c r="N208" s="4">
        <f>Data!AH207</f>
        <v/>
      </c>
      <c r="O208" s="4">
        <f>Data!AI207</f>
        <v/>
      </c>
      <c r="P208" s="4">
        <f>Data!AJ207</f>
        <v/>
      </c>
      <c r="Q208" s="4">
        <f>Data!AK207</f>
        <v/>
      </c>
      <c r="R208" s="4">
        <f>Data!AL207</f>
        <v/>
      </c>
    </row>
    <row r="209">
      <c r="A209" s="4">
        <f>Data!A208</f>
        <v/>
      </c>
      <c r="B209" s="4">
        <f>Data!B208</f>
        <v/>
      </c>
      <c r="C209" s="4">
        <f>Data!C208</f>
        <v/>
      </c>
      <c r="D209" s="4">
        <f>Data!I208</f>
        <v/>
      </c>
      <c r="E209" s="4">
        <f>Data!J208</f>
        <v/>
      </c>
      <c r="F209" s="4">
        <f>Data!H208</f>
        <v/>
      </c>
      <c r="G209" s="4">
        <f>SUM(Data!Q208:Data!Y208)</f>
        <v/>
      </c>
      <c r="H209" s="4">
        <f>Data!Z208</f>
        <v/>
      </c>
      <c r="I209" s="4">
        <f>Data!AB208</f>
        <v/>
      </c>
      <c r="J209" s="4">
        <f>Data!AD208</f>
        <v/>
      </c>
      <c r="K209" s="4">
        <f>Data!AE208</f>
        <v/>
      </c>
      <c r="L209" s="4">
        <f>Data!AF208</f>
        <v/>
      </c>
      <c r="M209" s="4">
        <f>Data!AG208</f>
        <v/>
      </c>
      <c r="N209" s="4">
        <f>Data!AH208</f>
        <v/>
      </c>
      <c r="O209" s="4">
        <f>Data!AI208</f>
        <v/>
      </c>
      <c r="P209" s="4">
        <f>Data!AJ208</f>
        <v/>
      </c>
      <c r="Q209" s="4">
        <f>Data!AK208</f>
        <v/>
      </c>
      <c r="R209" s="4">
        <f>Data!AL208</f>
        <v/>
      </c>
    </row>
    <row r="210">
      <c r="A210" s="4">
        <f>Data!A209</f>
        <v/>
      </c>
      <c r="B210" s="4">
        <f>Data!B209</f>
        <v/>
      </c>
      <c r="C210" s="4">
        <f>Data!C209</f>
        <v/>
      </c>
      <c r="D210" s="4">
        <f>Data!I209</f>
        <v/>
      </c>
      <c r="E210" s="4">
        <f>Data!J209</f>
        <v/>
      </c>
      <c r="F210" s="4">
        <f>Data!H209</f>
        <v/>
      </c>
      <c r="G210" s="4">
        <f>SUM(Data!Q209:Data!Y209)</f>
        <v/>
      </c>
      <c r="H210" s="4">
        <f>Data!Z209</f>
        <v/>
      </c>
      <c r="I210" s="4">
        <f>Data!AB209</f>
        <v/>
      </c>
      <c r="J210" s="4">
        <f>Data!AD209</f>
        <v/>
      </c>
      <c r="K210" s="4">
        <f>Data!AE209</f>
        <v/>
      </c>
      <c r="L210" s="4">
        <f>Data!AF209</f>
        <v/>
      </c>
      <c r="M210" s="4">
        <f>Data!AG209</f>
        <v/>
      </c>
      <c r="N210" s="4">
        <f>Data!AH209</f>
        <v/>
      </c>
      <c r="O210" s="4">
        <f>Data!AI209</f>
        <v/>
      </c>
      <c r="P210" s="4">
        <f>Data!AJ209</f>
        <v/>
      </c>
      <c r="Q210" s="4">
        <f>Data!AK209</f>
        <v/>
      </c>
      <c r="R210" s="4">
        <f>Data!AL209</f>
        <v/>
      </c>
    </row>
    <row r="211">
      <c r="A211" s="4">
        <f>Data!A210</f>
        <v/>
      </c>
      <c r="B211" s="4">
        <f>Data!B210</f>
        <v/>
      </c>
      <c r="C211" s="4">
        <f>Data!C210</f>
        <v/>
      </c>
      <c r="D211" s="4">
        <f>Data!I210</f>
        <v/>
      </c>
      <c r="E211" s="4">
        <f>Data!J210</f>
        <v/>
      </c>
      <c r="F211" s="4">
        <f>Data!H210</f>
        <v/>
      </c>
      <c r="G211" s="4">
        <f>SUM(Data!Q210:Data!Y210)</f>
        <v/>
      </c>
      <c r="H211" s="4">
        <f>Data!Z210</f>
        <v/>
      </c>
      <c r="I211" s="4">
        <f>Data!AB210</f>
        <v/>
      </c>
      <c r="J211" s="4">
        <f>Data!AD210</f>
        <v/>
      </c>
      <c r="K211" s="4">
        <f>Data!AE210</f>
        <v/>
      </c>
      <c r="L211" s="4">
        <f>Data!AF210</f>
        <v/>
      </c>
      <c r="M211" s="4">
        <f>Data!AG210</f>
        <v/>
      </c>
      <c r="N211" s="4">
        <f>Data!AH210</f>
        <v/>
      </c>
      <c r="O211" s="4">
        <f>Data!AI210</f>
        <v/>
      </c>
      <c r="P211" s="4">
        <f>Data!AJ210</f>
        <v/>
      </c>
      <c r="Q211" s="4">
        <f>Data!AK210</f>
        <v/>
      </c>
      <c r="R211" s="4">
        <f>Data!AL210</f>
        <v/>
      </c>
    </row>
    <row r="212">
      <c r="A212" s="4">
        <f>Data!A211</f>
        <v/>
      </c>
      <c r="B212" s="4">
        <f>Data!B211</f>
        <v/>
      </c>
      <c r="C212" s="4">
        <f>Data!C211</f>
        <v/>
      </c>
      <c r="D212" s="4">
        <f>Data!I211</f>
        <v/>
      </c>
      <c r="E212" s="4">
        <f>Data!J211</f>
        <v/>
      </c>
      <c r="F212" s="4">
        <f>Data!H211</f>
        <v/>
      </c>
      <c r="G212" s="4">
        <f>SUM(Data!Q211:Data!Y211)</f>
        <v/>
      </c>
      <c r="H212" s="4">
        <f>Data!Z211</f>
        <v/>
      </c>
      <c r="I212" s="4">
        <f>Data!AB211</f>
        <v/>
      </c>
      <c r="J212" s="4">
        <f>Data!AD211</f>
        <v/>
      </c>
      <c r="K212" s="4">
        <f>Data!AE211</f>
        <v/>
      </c>
      <c r="L212" s="4">
        <f>Data!AF211</f>
        <v/>
      </c>
      <c r="M212" s="4">
        <f>Data!AG211</f>
        <v/>
      </c>
      <c r="N212" s="4">
        <f>Data!AH211</f>
        <v/>
      </c>
      <c r="O212" s="4">
        <f>Data!AI211</f>
        <v/>
      </c>
      <c r="P212" s="4">
        <f>Data!AJ211</f>
        <v/>
      </c>
      <c r="Q212" s="4">
        <f>Data!AK211</f>
        <v/>
      </c>
      <c r="R212" s="4">
        <f>Data!AL211</f>
        <v/>
      </c>
    </row>
    <row r="213">
      <c r="A213" s="4">
        <f>Data!A212</f>
        <v/>
      </c>
      <c r="B213" s="4">
        <f>Data!B212</f>
        <v/>
      </c>
      <c r="C213" s="4">
        <f>Data!C212</f>
        <v/>
      </c>
      <c r="D213" s="4">
        <f>Data!I212</f>
        <v/>
      </c>
      <c r="E213" s="4">
        <f>Data!J212</f>
        <v/>
      </c>
      <c r="F213" s="4">
        <f>Data!H212</f>
        <v/>
      </c>
      <c r="G213" s="4">
        <f>SUM(Data!Q212:Data!Y212)</f>
        <v/>
      </c>
      <c r="H213" s="4">
        <f>Data!Z212</f>
        <v/>
      </c>
      <c r="I213" s="4">
        <f>Data!AB212</f>
        <v/>
      </c>
      <c r="J213" s="4">
        <f>Data!AD212</f>
        <v/>
      </c>
      <c r="K213" s="4">
        <f>Data!AE212</f>
        <v/>
      </c>
      <c r="L213" s="4">
        <f>Data!AF212</f>
        <v/>
      </c>
      <c r="M213" s="4">
        <f>Data!AG212</f>
        <v/>
      </c>
      <c r="N213" s="4">
        <f>Data!AH212</f>
        <v/>
      </c>
      <c r="O213" s="4">
        <f>Data!AI212</f>
        <v/>
      </c>
      <c r="P213" s="4">
        <f>Data!AJ212</f>
        <v/>
      </c>
      <c r="Q213" s="4">
        <f>Data!AK212</f>
        <v/>
      </c>
      <c r="R213" s="4">
        <f>Data!AL212</f>
        <v/>
      </c>
    </row>
    <row r="214">
      <c r="A214" s="4">
        <f>Data!A213</f>
        <v/>
      </c>
      <c r="B214" s="4">
        <f>Data!B213</f>
        <v/>
      </c>
      <c r="C214" s="4">
        <f>Data!C213</f>
        <v/>
      </c>
      <c r="D214" s="4">
        <f>Data!I213</f>
        <v/>
      </c>
      <c r="E214" s="4">
        <f>Data!J213</f>
        <v/>
      </c>
      <c r="F214" s="4">
        <f>Data!H213</f>
        <v/>
      </c>
      <c r="G214" s="4">
        <f>SUM(Data!Q213:Data!Y213)</f>
        <v/>
      </c>
      <c r="H214" s="4">
        <f>Data!Z213</f>
        <v/>
      </c>
      <c r="I214" s="4">
        <f>Data!AB213</f>
        <v/>
      </c>
      <c r="J214" s="4">
        <f>Data!AD213</f>
        <v/>
      </c>
      <c r="K214" s="4">
        <f>Data!AE213</f>
        <v/>
      </c>
      <c r="L214" s="4">
        <f>Data!AF213</f>
        <v/>
      </c>
      <c r="M214" s="4">
        <f>Data!AG213</f>
        <v/>
      </c>
      <c r="N214" s="4">
        <f>Data!AH213</f>
        <v/>
      </c>
      <c r="O214" s="4">
        <f>Data!AI213</f>
        <v/>
      </c>
      <c r="P214" s="4">
        <f>Data!AJ213</f>
        <v/>
      </c>
      <c r="Q214" s="4">
        <f>Data!AK213</f>
        <v/>
      </c>
      <c r="R214" s="4">
        <f>Data!AL213</f>
        <v/>
      </c>
    </row>
    <row r="215">
      <c r="A215" s="4">
        <f>Data!A214</f>
        <v/>
      </c>
      <c r="B215" s="4">
        <f>Data!B214</f>
        <v/>
      </c>
      <c r="C215" s="4">
        <f>Data!C214</f>
        <v/>
      </c>
      <c r="D215" s="4">
        <f>Data!I214</f>
        <v/>
      </c>
      <c r="E215" s="4">
        <f>Data!J214</f>
        <v/>
      </c>
      <c r="F215" s="4">
        <f>Data!H214</f>
        <v/>
      </c>
      <c r="G215" s="4">
        <f>SUM(Data!Q214:Data!Y214)</f>
        <v/>
      </c>
      <c r="H215" s="4">
        <f>Data!Z214</f>
        <v/>
      </c>
      <c r="I215" s="4">
        <f>Data!AB214</f>
        <v/>
      </c>
      <c r="J215" s="4">
        <f>Data!AD214</f>
        <v/>
      </c>
      <c r="K215" s="4">
        <f>Data!AE214</f>
        <v/>
      </c>
      <c r="L215" s="4">
        <f>Data!AF214</f>
        <v/>
      </c>
      <c r="M215" s="4">
        <f>Data!AG214</f>
        <v/>
      </c>
      <c r="N215" s="4">
        <f>Data!AH214</f>
        <v/>
      </c>
      <c r="O215" s="4">
        <f>Data!AI214</f>
        <v/>
      </c>
      <c r="P215" s="4">
        <f>Data!AJ214</f>
        <v/>
      </c>
      <c r="Q215" s="4">
        <f>Data!AK214</f>
        <v/>
      </c>
      <c r="R215" s="4">
        <f>Data!AL214</f>
        <v/>
      </c>
    </row>
    <row r="216">
      <c r="A216" s="4">
        <f>Data!A215</f>
        <v/>
      </c>
      <c r="B216" s="4">
        <f>Data!B215</f>
        <v/>
      </c>
      <c r="C216" s="4">
        <f>Data!C215</f>
        <v/>
      </c>
      <c r="D216" s="4">
        <f>Data!I215</f>
        <v/>
      </c>
      <c r="E216" s="4">
        <f>Data!J215</f>
        <v/>
      </c>
      <c r="F216" s="4">
        <f>Data!H215</f>
        <v/>
      </c>
      <c r="G216" s="4">
        <f>SUM(Data!Q215:Data!Y215)</f>
        <v/>
      </c>
      <c r="H216" s="4">
        <f>Data!Z215</f>
        <v/>
      </c>
      <c r="I216" s="4">
        <f>Data!AB215</f>
        <v/>
      </c>
      <c r="J216" s="4">
        <f>Data!AD215</f>
        <v/>
      </c>
      <c r="K216" s="4">
        <f>Data!AE215</f>
        <v/>
      </c>
      <c r="L216" s="4">
        <f>Data!AF215</f>
        <v/>
      </c>
      <c r="M216" s="4">
        <f>Data!AG215</f>
        <v/>
      </c>
      <c r="N216" s="4">
        <f>Data!AH215</f>
        <v/>
      </c>
      <c r="O216" s="4">
        <f>Data!AI215</f>
        <v/>
      </c>
      <c r="P216" s="4">
        <f>Data!AJ215</f>
        <v/>
      </c>
      <c r="Q216" s="4">
        <f>Data!AK215</f>
        <v/>
      </c>
      <c r="R216" s="4">
        <f>Data!AL215</f>
        <v/>
      </c>
    </row>
    <row r="217">
      <c r="A217" s="4">
        <f>Data!A216</f>
        <v/>
      </c>
      <c r="B217" s="4">
        <f>Data!B216</f>
        <v/>
      </c>
      <c r="C217" s="4">
        <f>Data!C216</f>
        <v/>
      </c>
      <c r="D217" s="4">
        <f>Data!I216</f>
        <v/>
      </c>
      <c r="E217" s="4">
        <f>Data!J216</f>
        <v/>
      </c>
      <c r="F217" s="4">
        <f>Data!H216</f>
        <v/>
      </c>
      <c r="G217" s="4">
        <f>SUM(Data!Q216:Data!Y216)</f>
        <v/>
      </c>
      <c r="H217" s="4">
        <f>Data!Z216</f>
        <v/>
      </c>
      <c r="I217" s="4">
        <f>Data!AB216</f>
        <v/>
      </c>
      <c r="J217" s="4">
        <f>Data!AD216</f>
        <v/>
      </c>
      <c r="K217" s="4">
        <f>Data!AE216</f>
        <v/>
      </c>
      <c r="L217" s="4">
        <f>Data!AF216</f>
        <v/>
      </c>
      <c r="M217" s="4">
        <f>Data!AG216</f>
        <v/>
      </c>
      <c r="N217" s="4">
        <f>Data!AH216</f>
        <v/>
      </c>
      <c r="O217" s="4">
        <f>Data!AI216</f>
        <v/>
      </c>
      <c r="P217" s="4">
        <f>Data!AJ216</f>
        <v/>
      </c>
      <c r="Q217" s="4">
        <f>Data!AK216</f>
        <v/>
      </c>
      <c r="R217" s="4">
        <f>Data!AL216</f>
        <v/>
      </c>
    </row>
    <row r="218">
      <c r="A218" s="4">
        <f>Data!A217</f>
        <v/>
      </c>
      <c r="B218" s="4">
        <f>Data!B217</f>
        <v/>
      </c>
      <c r="C218" s="4">
        <f>Data!C217</f>
        <v/>
      </c>
      <c r="D218" s="4">
        <f>Data!I217</f>
        <v/>
      </c>
      <c r="E218" s="4">
        <f>Data!J217</f>
        <v/>
      </c>
      <c r="F218" s="4">
        <f>Data!H217</f>
        <v/>
      </c>
      <c r="G218" s="4">
        <f>SUM(Data!Q217:Data!Y217)</f>
        <v/>
      </c>
      <c r="H218" s="4">
        <f>Data!Z217</f>
        <v/>
      </c>
      <c r="I218" s="4">
        <f>Data!AB217</f>
        <v/>
      </c>
      <c r="J218" s="4">
        <f>Data!AD217</f>
        <v/>
      </c>
      <c r="K218" s="4">
        <f>Data!AE217</f>
        <v/>
      </c>
      <c r="L218" s="4">
        <f>Data!AF217</f>
        <v/>
      </c>
      <c r="M218" s="4">
        <f>Data!AG217</f>
        <v/>
      </c>
      <c r="N218" s="4">
        <f>Data!AH217</f>
        <v/>
      </c>
      <c r="O218" s="4">
        <f>Data!AI217</f>
        <v/>
      </c>
      <c r="P218" s="4">
        <f>Data!AJ217</f>
        <v/>
      </c>
      <c r="Q218" s="4">
        <f>Data!AK217</f>
        <v/>
      </c>
      <c r="R218" s="4">
        <f>Data!AL217</f>
        <v/>
      </c>
    </row>
    <row r="219">
      <c r="A219" s="4">
        <f>Data!A218</f>
        <v/>
      </c>
      <c r="B219" s="4">
        <f>Data!B218</f>
        <v/>
      </c>
      <c r="C219" s="4">
        <f>Data!C218</f>
        <v/>
      </c>
      <c r="D219" s="4">
        <f>Data!I218</f>
        <v/>
      </c>
      <c r="E219" s="4">
        <f>Data!J218</f>
        <v/>
      </c>
      <c r="F219" s="4">
        <f>Data!H218</f>
        <v/>
      </c>
      <c r="G219" s="4">
        <f>SUM(Data!Q218:Data!Y218)</f>
        <v/>
      </c>
      <c r="H219" s="4">
        <f>Data!Z218</f>
        <v/>
      </c>
      <c r="I219" s="4">
        <f>Data!AB218</f>
        <v/>
      </c>
      <c r="J219" s="4">
        <f>Data!AD218</f>
        <v/>
      </c>
      <c r="K219" s="4">
        <f>Data!AE218</f>
        <v/>
      </c>
      <c r="L219" s="4">
        <f>Data!AF218</f>
        <v/>
      </c>
      <c r="M219" s="4">
        <f>Data!AG218</f>
        <v/>
      </c>
      <c r="N219" s="4">
        <f>Data!AH218</f>
        <v/>
      </c>
      <c r="O219" s="4">
        <f>Data!AI218</f>
        <v/>
      </c>
      <c r="P219" s="4">
        <f>Data!AJ218</f>
        <v/>
      </c>
      <c r="Q219" s="4">
        <f>Data!AK218</f>
        <v/>
      </c>
      <c r="R219" s="4">
        <f>Data!AL218</f>
        <v/>
      </c>
    </row>
    <row r="220">
      <c r="A220" s="4">
        <f>Data!A219</f>
        <v/>
      </c>
      <c r="B220" s="4">
        <f>Data!B219</f>
        <v/>
      </c>
      <c r="C220" s="4">
        <f>Data!C219</f>
        <v/>
      </c>
      <c r="D220" s="4">
        <f>Data!I219</f>
        <v/>
      </c>
      <c r="E220" s="4">
        <f>Data!J219</f>
        <v/>
      </c>
      <c r="F220" s="4">
        <f>Data!H219</f>
        <v/>
      </c>
      <c r="G220" s="4">
        <f>SUM(Data!Q219:Data!Y219)</f>
        <v/>
      </c>
      <c r="H220" s="4">
        <f>Data!Z219</f>
        <v/>
      </c>
      <c r="I220" s="4">
        <f>Data!AB219</f>
        <v/>
      </c>
      <c r="J220" s="4">
        <f>Data!AD219</f>
        <v/>
      </c>
      <c r="K220" s="4">
        <f>Data!AE219</f>
        <v/>
      </c>
      <c r="L220" s="4">
        <f>Data!AF219</f>
        <v/>
      </c>
      <c r="M220" s="4">
        <f>Data!AG219</f>
        <v/>
      </c>
      <c r="N220" s="4">
        <f>Data!AH219</f>
        <v/>
      </c>
      <c r="O220" s="4">
        <f>Data!AI219</f>
        <v/>
      </c>
      <c r="P220" s="4">
        <f>Data!AJ219</f>
        <v/>
      </c>
      <c r="Q220" s="4">
        <f>Data!AK219</f>
        <v/>
      </c>
      <c r="R220" s="4">
        <f>Data!AL219</f>
        <v/>
      </c>
    </row>
    <row r="221">
      <c r="A221" s="4">
        <f>Data!A220</f>
        <v/>
      </c>
      <c r="B221" s="4">
        <f>Data!B220</f>
        <v/>
      </c>
      <c r="C221" s="4">
        <f>Data!C220</f>
        <v/>
      </c>
      <c r="D221" s="4">
        <f>Data!I220</f>
        <v/>
      </c>
      <c r="E221" s="4">
        <f>Data!J220</f>
        <v/>
      </c>
      <c r="F221" s="4">
        <f>Data!H220</f>
        <v/>
      </c>
      <c r="G221" s="4">
        <f>SUM(Data!Q220:Data!Y220)</f>
        <v/>
      </c>
      <c r="H221" s="4">
        <f>Data!Z220</f>
        <v/>
      </c>
      <c r="I221" s="4">
        <f>Data!AB220</f>
        <v/>
      </c>
      <c r="J221" s="4">
        <f>Data!AD220</f>
        <v/>
      </c>
      <c r="K221" s="4">
        <f>Data!AE220</f>
        <v/>
      </c>
      <c r="L221" s="4">
        <f>Data!AF220</f>
        <v/>
      </c>
      <c r="M221" s="4">
        <f>Data!AG220</f>
        <v/>
      </c>
      <c r="N221" s="4">
        <f>Data!AH220</f>
        <v/>
      </c>
      <c r="O221" s="4">
        <f>Data!AI220</f>
        <v/>
      </c>
      <c r="P221" s="4">
        <f>Data!AJ220</f>
        <v/>
      </c>
      <c r="Q221" s="4">
        <f>Data!AK220</f>
        <v/>
      </c>
      <c r="R221" s="4">
        <f>Data!AL220</f>
        <v/>
      </c>
    </row>
    <row r="222">
      <c r="A222" s="4">
        <f>Data!A221</f>
        <v/>
      </c>
      <c r="B222" s="4">
        <f>Data!B221</f>
        <v/>
      </c>
      <c r="C222" s="4">
        <f>Data!C221</f>
        <v/>
      </c>
      <c r="D222" s="4">
        <f>Data!I221</f>
        <v/>
      </c>
      <c r="E222" s="4">
        <f>Data!J221</f>
        <v/>
      </c>
      <c r="F222" s="4">
        <f>Data!H221</f>
        <v/>
      </c>
      <c r="G222" s="4">
        <f>SUM(Data!Q221:Data!Y221)</f>
        <v/>
      </c>
      <c r="H222" s="4">
        <f>Data!Z221</f>
        <v/>
      </c>
      <c r="I222" s="4">
        <f>Data!AB221</f>
        <v/>
      </c>
      <c r="J222" s="4">
        <f>Data!AD221</f>
        <v/>
      </c>
      <c r="K222" s="4">
        <f>Data!AE221</f>
        <v/>
      </c>
      <c r="L222" s="4">
        <f>Data!AF221</f>
        <v/>
      </c>
      <c r="M222" s="4">
        <f>Data!AG221</f>
        <v/>
      </c>
      <c r="N222" s="4">
        <f>Data!AH221</f>
        <v/>
      </c>
      <c r="O222" s="4">
        <f>Data!AI221</f>
        <v/>
      </c>
      <c r="P222" s="4">
        <f>Data!AJ221</f>
        <v/>
      </c>
      <c r="Q222" s="4">
        <f>Data!AK221</f>
        <v/>
      </c>
      <c r="R222" s="4">
        <f>Data!AL221</f>
        <v/>
      </c>
    </row>
    <row r="223">
      <c r="A223" s="4">
        <f>Data!A222</f>
        <v/>
      </c>
      <c r="B223" s="4">
        <f>Data!B222</f>
        <v/>
      </c>
      <c r="C223" s="4">
        <f>Data!C222</f>
        <v/>
      </c>
      <c r="D223" s="4">
        <f>Data!I222</f>
        <v/>
      </c>
      <c r="E223" s="4">
        <f>Data!J222</f>
        <v/>
      </c>
      <c r="F223" s="4">
        <f>Data!H222</f>
        <v/>
      </c>
      <c r="G223" s="4">
        <f>SUM(Data!Q222:Data!Y222)</f>
        <v/>
      </c>
      <c r="H223" s="4">
        <f>Data!Z222</f>
        <v/>
      </c>
      <c r="I223" s="4">
        <f>Data!AB222</f>
        <v/>
      </c>
      <c r="J223" s="4">
        <f>Data!AD222</f>
        <v/>
      </c>
      <c r="K223" s="4">
        <f>Data!AE222</f>
        <v/>
      </c>
      <c r="L223" s="4">
        <f>Data!AF222</f>
        <v/>
      </c>
      <c r="M223" s="4">
        <f>Data!AG222</f>
        <v/>
      </c>
      <c r="N223" s="4">
        <f>Data!AH222</f>
        <v/>
      </c>
      <c r="O223" s="4">
        <f>Data!AI222</f>
        <v/>
      </c>
      <c r="P223" s="4">
        <f>Data!AJ222</f>
        <v/>
      </c>
      <c r="Q223" s="4">
        <f>Data!AK222</f>
        <v/>
      </c>
      <c r="R223" s="4">
        <f>Data!AL222</f>
        <v/>
      </c>
    </row>
    <row r="224">
      <c r="A224" s="4">
        <f>Data!A223</f>
        <v/>
      </c>
      <c r="B224" s="4">
        <f>Data!B223</f>
        <v/>
      </c>
      <c r="C224" s="4">
        <f>Data!C223</f>
        <v/>
      </c>
      <c r="D224" s="4">
        <f>Data!I223</f>
        <v/>
      </c>
      <c r="E224" s="4">
        <f>Data!J223</f>
        <v/>
      </c>
      <c r="F224" s="4">
        <f>Data!H223</f>
        <v/>
      </c>
      <c r="G224" s="4">
        <f>SUM(Data!Q223:Data!Y223)</f>
        <v/>
      </c>
      <c r="H224" s="4">
        <f>Data!Z223</f>
        <v/>
      </c>
      <c r="I224" s="4">
        <f>Data!AB223</f>
        <v/>
      </c>
      <c r="J224" s="4">
        <f>Data!AD223</f>
        <v/>
      </c>
      <c r="K224" s="4">
        <f>Data!AE223</f>
        <v/>
      </c>
      <c r="L224" s="4">
        <f>Data!AF223</f>
        <v/>
      </c>
      <c r="M224" s="4">
        <f>Data!AG223</f>
        <v/>
      </c>
      <c r="N224" s="4">
        <f>Data!AH223</f>
        <v/>
      </c>
      <c r="O224" s="4">
        <f>Data!AI223</f>
        <v/>
      </c>
      <c r="P224" s="4">
        <f>Data!AJ223</f>
        <v/>
      </c>
      <c r="Q224" s="4">
        <f>Data!AK223</f>
        <v/>
      </c>
      <c r="R224" s="4">
        <f>Data!AL223</f>
        <v/>
      </c>
    </row>
    <row r="225">
      <c r="A225" s="4">
        <f>Data!A224</f>
        <v/>
      </c>
      <c r="B225" s="4">
        <f>Data!B224</f>
        <v/>
      </c>
      <c r="C225" s="4">
        <f>Data!C224</f>
        <v/>
      </c>
      <c r="D225" s="4">
        <f>Data!I224</f>
        <v/>
      </c>
      <c r="E225" s="4">
        <f>Data!J224</f>
        <v/>
      </c>
      <c r="F225" s="4">
        <f>Data!H224</f>
        <v/>
      </c>
      <c r="G225" s="4">
        <f>SUM(Data!Q224:Data!Y224)</f>
        <v/>
      </c>
      <c r="H225" s="4">
        <f>Data!Z224</f>
        <v/>
      </c>
      <c r="I225" s="4">
        <f>Data!AB224</f>
        <v/>
      </c>
      <c r="J225" s="4">
        <f>Data!AD224</f>
        <v/>
      </c>
      <c r="K225" s="4">
        <f>Data!AE224</f>
        <v/>
      </c>
      <c r="L225" s="4">
        <f>Data!AF224</f>
        <v/>
      </c>
      <c r="M225" s="4">
        <f>Data!AG224</f>
        <v/>
      </c>
      <c r="N225" s="4">
        <f>Data!AH224</f>
        <v/>
      </c>
      <c r="O225" s="4">
        <f>Data!AI224</f>
        <v/>
      </c>
      <c r="P225" s="4">
        <f>Data!AJ224</f>
        <v/>
      </c>
      <c r="Q225" s="4">
        <f>Data!AK224</f>
        <v/>
      </c>
      <c r="R225" s="4">
        <f>Data!AL224</f>
        <v/>
      </c>
    </row>
    <row r="226">
      <c r="A226" s="4">
        <f>Data!A225</f>
        <v/>
      </c>
      <c r="B226" s="4">
        <f>Data!B225</f>
        <v/>
      </c>
      <c r="C226" s="4">
        <f>Data!C225</f>
        <v/>
      </c>
      <c r="D226" s="4">
        <f>Data!I225</f>
        <v/>
      </c>
      <c r="E226" s="4">
        <f>Data!J225</f>
        <v/>
      </c>
      <c r="F226" s="4">
        <f>Data!H225</f>
        <v/>
      </c>
      <c r="G226" s="4">
        <f>SUM(Data!Q225:Data!Y225)</f>
        <v/>
      </c>
      <c r="H226" s="4">
        <f>Data!Z225</f>
        <v/>
      </c>
      <c r="I226" s="4">
        <f>Data!AB225</f>
        <v/>
      </c>
      <c r="J226" s="4">
        <f>Data!AD225</f>
        <v/>
      </c>
      <c r="K226" s="4">
        <f>Data!AE225</f>
        <v/>
      </c>
      <c r="L226" s="4">
        <f>Data!AF225</f>
        <v/>
      </c>
      <c r="M226" s="4">
        <f>Data!AG225</f>
        <v/>
      </c>
      <c r="N226" s="4">
        <f>Data!AH225</f>
        <v/>
      </c>
      <c r="O226" s="4">
        <f>Data!AI225</f>
        <v/>
      </c>
      <c r="P226" s="4">
        <f>Data!AJ225</f>
        <v/>
      </c>
      <c r="Q226" s="4">
        <f>Data!AK225</f>
        <v/>
      </c>
      <c r="R226" s="4">
        <f>Data!AL225</f>
        <v/>
      </c>
    </row>
    <row r="227">
      <c r="A227" s="4">
        <f>Data!A226</f>
        <v/>
      </c>
      <c r="B227" s="4">
        <f>Data!B226</f>
        <v/>
      </c>
      <c r="C227" s="4">
        <f>Data!C226</f>
        <v/>
      </c>
      <c r="D227" s="4">
        <f>Data!I226</f>
        <v/>
      </c>
      <c r="E227" s="4">
        <f>Data!J226</f>
        <v/>
      </c>
      <c r="F227" s="4">
        <f>Data!H226</f>
        <v/>
      </c>
      <c r="G227" s="4">
        <f>SUM(Data!Q226:Data!Y226)</f>
        <v/>
      </c>
      <c r="H227" s="4">
        <f>Data!Z226</f>
        <v/>
      </c>
      <c r="I227" s="4">
        <f>Data!AB226</f>
        <v/>
      </c>
      <c r="J227" s="4">
        <f>Data!AD226</f>
        <v/>
      </c>
      <c r="K227" s="4">
        <f>Data!AE226</f>
        <v/>
      </c>
      <c r="L227" s="4">
        <f>Data!AF226</f>
        <v/>
      </c>
      <c r="M227" s="4">
        <f>Data!AG226</f>
        <v/>
      </c>
      <c r="N227" s="4">
        <f>Data!AH226</f>
        <v/>
      </c>
      <c r="O227" s="4">
        <f>Data!AI226</f>
        <v/>
      </c>
      <c r="P227" s="4">
        <f>Data!AJ226</f>
        <v/>
      </c>
      <c r="Q227" s="4">
        <f>Data!AK226</f>
        <v/>
      </c>
      <c r="R227" s="4">
        <f>Data!AL226</f>
        <v/>
      </c>
    </row>
    <row r="228">
      <c r="A228" s="4">
        <f>Data!A227</f>
        <v/>
      </c>
      <c r="B228" s="4">
        <f>Data!B227</f>
        <v/>
      </c>
      <c r="C228" s="4">
        <f>Data!C227</f>
        <v/>
      </c>
      <c r="D228" s="4">
        <f>Data!I227</f>
        <v/>
      </c>
      <c r="E228" s="4">
        <f>Data!J227</f>
        <v/>
      </c>
      <c r="F228" s="4">
        <f>Data!H227</f>
        <v/>
      </c>
      <c r="G228" s="4">
        <f>SUM(Data!Q227:Data!Y227)</f>
        <v/>
      </c>
      <c r="H228" s="4">
        <f>Data!Z227</f>
        <v/>
      </c>
      <c r="I228" s="4">
        <f>Data!AB227</f>
        <v/>
      </c>
      <c r="J228" s="4">
        <f>Data!AD227</f>
        <v/>
      </c>
      <c r="K228" s="4">
        <f>Data!AE227</f>
        <v/>
      </c>
      <c r="L228" s="4">
        <f>Data!AF227</f>
        <v/>
      </c>
      <c r="M228" s="4">
        <f>Data!AG227</f>
        <v/>
      </c>
      <c r="N228" s="4">
        <f>Data!AH227</f>
        <v/>
      </c>
      <c r="O228" s="4">
        <f>Data!AI227</f>
        <v/>
      </c>
      <c r="P228" s="4">
        <f>Data!AJ227</f>
        <v/>
      </c>
      <c r="Q228" s="4">
        <f>Data!AK227</f>
        <v/>
      </c>
      <c r="R228" s="4">
        <f>Data!AL227</f>
        <v/>
      </c>
    </row>
    <row r="229">
      <c r="A229" s="4">
        <f>Data!A228</f>
        <v/>
      </c>
      <c r="B229" s="4">
        <f>Data!B228</f>
        <v/>
      </c>
      <c r="C229" s="4">
        <f>Data!C228</f>
        <v/>
      </c>
      <c r="D229" s="4">
        <f>Data!I228</f>
        <v/>
      </c>
      <c r="E229" s="4">
        <f>Data!J228</f>
        <v/>
      </c>
      <c r="F229" s="4">
        <f>Data!H228</f>
        <v/>
      </c>
      <c r="G229" s="4">
        <f>SUM(Data!Q228:Data!Y228)</f>
        <v/>
      </c>
      <c r="H229" s="4">
        <f>Data!Z228</f>
        <v/>
      </c>
      <c r="I229" s="4">
        <f>Data!AB228</f>
        <v/>
      </c>
      <c r="J229" s="4">
        <f>Data!AD228</f>
        <v/>
      </c>
      <c r="K229" s="4">
        <f>Data!AE228</f>
        <v/>
      </c>
      <c r="L229" s="4">
        <f>Data!AF228</f>
        <v/>
      </c>
      <c r="M229" s="4">
        <f>Data!AG228</f>
        <v/>
      </c>
      <c r="N229" s="4">
        <f>Data!AH228</f>
        <v/>
      </c>
      <c r="O229" s="4">
        <f>Data!AI228</f>
        <v/>
      </c>
      <c r="P229" s="4">
        <f>Data!AJ228</f>
        <v/>
      </c>
      <c r="Q229" s="4">
        <f>Data!AK228</f>
        <v/>
      </c>
      <c r="R229" s="4">
        <f>Data!AL228</f>
        <v/>
      </c>
    </row>
    <row r="230">
      <c r="A230" s="4">
        <f>Data!A229</f>
        <v/>
      </c>
      <c r="B230" s="4">
        <f>Data!B229</f>
        <v/>
      </c>
      <c r="C230" s="4">
        <f>Data!C229</f>
        <v/>
      </c>
      <c r="D230" s="4">
        <f>Data!I229</f>
        <v/>
      </c>
      <c r="E230" s="4">
        <f>Data!J229</f>
        <v/>
      </c>
      <c r="F230" s="4">
        <f>Data!H229</f>
        <v/>
      </c>
      <c r="G230" s="4">
        <f>SUM(Data!Q229:Data!Y229)</f>
        <v/>
      </c>
      <c r="H230" s="4">
        <f>Data!Z229</f>
        <v/>
      </c>
      <c r="I230" s="4">
        <f>Data!AB229</f>
        <v/>
      </c>
      <c r="J230" s="4">
        <f>Data!AD229</f>
        <v/>
      </c>
      <c r="K230" s="4">
        <f>Data!AE229</f>
        <v/>
      </c>
      <c r="L230" s="4">
        <f>Data!AF229</f>
        <v/>
      </c>
      <c r="M230" s="4">
        <f>Data!AG229</f>
        <v/>
      </c>
      <c r="N230" s="4">
        <f>Data!AH229</f>
        <v/>
      </c>
      <c r="O230" s="4">
        <f>Data!AI229</f>
        <v/>
      </c>
      <c r="P230" s="4">
        <f>Data!AJ229</f>
        <v/>
      </c>
      <c r="Q230" s="4">
        <f>Data!AK229</f>
        <v/>
      </c>
      <c r="R230" s="4">
        <f>Data!AL229</f>
        <v/>
      </c>
    </row>
    <row r="231">
      <c r="A231" s="4">
        <f>Data!A230</f>
        <v/>
      </c>
      <c r="B231" s="4">
        <f>Data!B230</f>
        <v/>
      </c>
      <c r="C231" s="4">
        <f>Data!C230</f>
        <v/>
      </c>
      <c r="D231" s="4">
        <f>Data!I230</f>
        <v/>
      </c>
      <c r="E231" s="4">
        <f>Data!J230</f>
        <v/>
      </c>
      <c r="F231" s="4">
        <f>Data!H230</f>
        <v/>
      </c>
      <c r="G231" s="4">
        <f>SUM(Data!Q230:Data!Y230)</f>
        <v/>
      </c>
      <c r="H231" s="4">
        <f>Data!Z230</f>
        <v/>
      </c>
      <c r="I231" s="4">
        <f>Data!AB230</f>
        <v/>
      </c>
      <c r="J231" s="4">
        <f>Data!AD230</f>
        <v/>
      </c>
      <c r="K231" s="4">
        <f>Data!AE230</f>
        <v/>
      </c>
      <c r="L231" s="4">
        <f>Data!AF230</f>
        <v/>
      </c>
      <c r="M231" s="4">
        <f>Data!AG230</f>
        <v/>
      </c>
      <c r="N231" s="4">
        <f>Data!AH230</f>
        <v/>
      </c>
      <c r="O231" s="4">
        <f>Data!AI230</f>
        <v/>
      </c>
      <c r="P231" s="4">
        <f>Data!AJ230</f>
        <v/>
      </c>
      <c r="Q231" s="4">
        <f>Data!AK230</f>
        <v/>
      </c>
      <c r="R231" s="4">
        <f>Data!AL230</f>
        <v/>
      </c>
    </row>
    <row r="232">
      <c r="A232" s="4">
        <f>Data!A231</f>
        <v/>
      </c>
      <c r="B232" s="4">
        <f>Data!B231</f>
        <v/>
      </c>
      <c r="C232" s="4">
        <f>Data!C231</f>
        <v/>
      </c>
      <c r="D232" s="4">
        <f>Data!I231</f>
        <v/>
      </c>
      <c r="E232" s="4">
        <f>Data!J231</f>
        <v/>
      </c>
      <c r="F232" s="4">
        <f>Data!H231</f>
        <v/>
      </c>
      <c r="G232" s="4">
        <f>SUM(Data!Q231:Data!Y231)</f>
        <v/>
      </c>
      <c r="H232" s="4">
        <f>Data!Z231</f>
        <v/>
      </c>
      <c r="I232" s="4">
        <f>Data!AB231</f>
        <v/>
      </c>
      <c r="J232" s="4">
        <f>Data!AD231</f>
        <v/>
      </c>
      <c r="K232" s="4">
        <f>Data!AE231</f>
        <v/>
      </c>
      <c r="L232" s="4">
        <f>Data!AF231</f>
        <v/>
      </c>
      <c r="M232" s="4">
        <f>Data!AG231</f>
        <v/>
      </c>
      <c r="N232" s="4">
        <f>Data!AH231</f>
        <v/>
      </c>
      <c r="O232" s="4">
        <f>Data!AI231</f>
        <v/>
      </c>
      <c r="P232" s="4">
        <f>Data!AJ231</f>
        <v/>
      </c>
      <c r="Q232" s="4">
        <f>Data!AK231</f>
        <v/>
      </c>
      <c r="R232" s="4">
        <f>Data!AL231</f>
        <v/>
      </c>
    </row>
    <row r="233">
      <c r="A233" s="4">
        <f>Data!A232</f>
        <v/>
      </c>
      <c r="B233" s="4">
        <f>Data!B232</f>
        <v/>
      </c>
      <c r="C233" s="4">
        <f>Data!C232</f>
        <v/>
      </c>
      <c r="D233" s="4">
        <f>Data!I232</f>
        <v/>
      </c>
      <c r="E233" s="4">
        <f>Data!J232</f>
        <v/>
      </c>
      <c r="F233" s="4">
        <f>Data!H232</f>
        <v/>
      </c>
      <c r="G233" s="4">
        <f>SUM(Data!Q232:Data!Y232)</f>
        <v/>
      </c>
      <c r="H233" s="4">
        <f>Data!Z232</f>
        <v/>
      </c>
      <c r="I233" s="4">
        <f>Data!AB232</f>
        <v/>
      </c>
      <c r="J233" s="4">
        <f>Data!AD232</f>
        <v/>
      </c>
      <c r="K233" s="4">
        <f>Data!AE232</f>
        <v/>
      </c>
      <c r="L233" s="4">
        <f>Data!AF232</f>
        <v/>
      </c>
      <c r="M233" s="4">
        <f>Data!AG232</f>
        <v/>
      </c>
      <c r="N233" s="4">
        <f>Data!AH232</f>
        <v/>
      </c>
      <c r="O233" s="4">
        <f>Data!AI232</f>
        <v/>
      </c>
      <c r="P233" s="4">
        <f>Data!AJ232</f>
        <v/>
      </c>
      <c r="Q233" s="4">
        <f>Data!AK232</f>
        <v/>
      </c>
      <c r="R233" s="4">
        <f>Data!AL232</f>
        <v/>
      </c>
    </row>
    <row r="234">
      <c r="A234" s="4">
        <f>Data!A233</f>
        <v/>
      </c>
      <c r="B234" s="4">
        <f>Data!B233</f>
        <v/>
      </c>
      <c r="C234" s="4">
        <f>Data!C233</f>
        <v/>
      </c>
      <c r="D234" s="4">
        <f>Data!I233</f>
        <v/>
      </c>
      <c r="E234" s="4">
        <f>Data!J233</f>
        <v/>
      </c>
      <c r="F234" s="4">
        <f>Data!H233</f>
        <v/>
      </c>
      <c r="G234" s="4">
        <f>SUM(Data!Q233:Data!Y233)</f>
        <v/>
      </c>
      <c r="H234" s="4">
        <f>Data!Z233</f>
        <v/>
      </c>
      <c r="I234" s="4">
        <f>Data!AB233</f>
        <v/>
      </c>
      <c r="J234" s="4">
        <f>Data!AD233</f>
        <v/>
      </c>
      <c r="K234" s="4">
        <f>Data!AE233</f>
        <v/>
      </c>
      <c r="L234" s="4">
        <f>Data!AF233</f>
        <v/>
      </c>
      <c r="M234" s="4">
        <f>Data!AG233</f>
        <v/>
      </c>
      <c r="N234" s="4">
        <f>Data!AH233</f>
        <v/>
      </c>
      <c r="O234" s="4">
        <f>Data!AI233</f>
        <v/>
      </c>
      <c r="P234" s="4">
        <f>Data!AJ233</f>
        <v/>
      </c>
      <c r="Q234" s="4">
        <f>Data!AK233</f>
        <v/>
      </c>
      <c r="R234" s="4">
        <f>Data!AL233</f>
        <v/>
      </c>
    </row>
    <row r="235">
      <c r="A235" s="4">
        <f>Data!A234</f>
        <v/>
      </c>
      <c r="B235" s="4">
        <f>Data!B234</f>
        <v/>
      </c>
      <c r="C235" s="4">
        <f>Data!C234</f>
        <v/>
      </c>
      <c r="D235" s="4">
        <f>Data!I234</f>
        <v/>
      </c>
      <c r="E235" s="4">
        <f>Data!J234</f>
        <v/>
      </c>
      <c r="F235" s="4">
        <f>Data!H234</f>
        <v/>
      </c>
      <c r="G235" s="4">
        <f>SUM(Data!Q234:Data!Y234)</f>
        <v/>
      </c>
      <c r="H235" s="4">
        <f>Data!Z234</f>
        <v/>
      </c>
      <c r="I235" s="4">
        <f>Data!AB234</f>
        <v/>
      </c>
      <c r="J235" s="4">
        <f>Data!AD234</f>
        <v/>
      </c>
      <c r="K235" s="4">
        <f>Data!AE234</f>
        <v/>
      </c>
      <c r="L235" s="4">
        <f>Data!AF234</f>
        <v/>
      </c>
      <c r="M235" s="4">
        <f>Data!AG234</f>
        <v/>
      </c>
      <c r="N235" s="4">
        <f>Data!AH234</f>
        <v/>
      </c>
      <c r="O235" s="4">
        <f>Data!AI234</f>
        <v/>
      </c>
      <c r="P235" s="4">
        <f>Data!AJ234</f>
        <v/>
      </c>
      <c r="Q235" s="4">
        <f>Data!AK234</f>
        <v/>
      </c>
      <c r="R235" s="4">
        <f>Data!AL234</f>
        <v/>
      </c>
    </row>
    <row r="236">
      <c r="A236" s="4">
        <f>Data!A235</f>
        <v/>
      </c>
      <c r="B236" s="4">
        <f>Data!B235</f>
        <v/>
      </c>
      <c r="C236" s="4">
        <f>Data!C235</f>
        <v/>
      </c>
      <c r="D236" s="4">
        <f>Data!I235</f>
        <v/>
      </c>
      <c r="E236" s="4">
        <f>Data!J235</f>
        <v/>
      </c>
      <c r="F236" s="4">
        <f>Data!H235</f>
        <v/>
      </c>
      <c r="G236" s="4">
        <f>SUM(Data!Q235:Data!Y235)</f>
        <v/>
      </c>
      <c r="H236" s="4">
        <f>Data!Z235</f>
        <v/>
      </c>
      <c r="I236" s="4">
        <f>Data!AB235</f>
        <v/>
      </c>
      <c r="J236" s="4">
        <f>Data!AD235</f>
        <v/>
      </c>
      <c r="K236" s="4">
        <f>Data!AE235</f>
        <v/>
      </c>
      <c r="L236" s="4">
        <f>Data!AF235</f>
        <v/>
      </c>
      <c r="M236" s="4">
        <f>Data!AG235</f>
        <v/>
      </c>
      <c r="N236" s="4">
        <f>Data!AH235</f>
        <v/>
      </c>
      <c r="O236" s="4">
        <f>Data!AI235</f>
        <v/>
      </c>
      <c r="P236" s="4">
        <f>Data!AJ235</f>
        <v/>
      </c>
      <c r="Q236" s="4">
        <f>Data!AK235</f>
        <v/>
      </c>
      <c r="R236" s="4">
        <f>Data!AL235</f>
        <v/>
      </c>
    </row>
    <row r="237">
      <c r="A237" s="4">
        <f>Data!A236</f>
        <v/>
      </c>
      <c r="B237" s="4">
        <f>Data!B236</f>
        <v/>
      </c>
      <c r="C237" s="4">
        <f>Data!C236</f>
        <v/>
      </c>
      <c r="D237" s="4">
        <f>Data!I236</f>
        <v/>
      </c>
      <c r="E237" s="4">
        <f>Data!J236</f>
        <v/>
      </c>
      <c r="F237" s="4">
        <f>Data!H236</f>
        <v/>
      </c>
      <c r="G237" s="4">
        <f>SUM(Data!Q236:Data!Y236)</f>
        <v/>
      </c>
      <c r="H237" s="4">
        <f>Data!Z236</f>
        <v/>
      </c>
      <c r="I237" s="4">
        <f>Data!AB236</f>
        <v/>
      </c>
      <c r="J237" s="4">
        <f>Data!AD236</f>
        <v/>
      </c>
      <c r="K237" s="4">
        <f>Data!AE236</f>
        <v/>
      </c>
      <c r="L237" s="4">
        <f>Data!AF236</f>
        <v/>
      </c>
      <c r="M237" s="4">
        <f>Data!AG236</f>
        <v/>
      </c>
      <c r="N237" s="4">
        <f>Data!AH236</f>
        <v/>
      </c>
      <c r="O237" s="4">
        <f>Data!AI236</f>
        <v/>
      </c>
      <c r="P237" s="4">
        <f>Data!AJ236</f>
        <v/>
      </c>
      <c r="Q237" s="4">
        <f>Data!AK236</f>
        <v/>
      </c>
      <c r="R237" s="4">
        <f>Data!AL236</f>
        <v/>
      </c>
    </row>
    <row r="238">
      <c r="A238" s="4">
        <f>Data!A237</f>
        <v/>
      </c>
      <c r="B238" s="4">
        <f>Data!B237</f>
        <v/>
      </c>
      <c r="C238" s="4">
        <f>Data!C237</f>
        <v/>
      </c>
      <c r="D238" s="4">
        <f>Data!I237</f>
        <v/>
      </c>
      <c r="E238" s="4">
        <f>Data!J237</f>
        <v/>
      </c>
      <c r="F238" s="4">
        <f>Data!H237</f>
        <v/>
      </c>
      <c r="G238" s="4">
        <f>SUM(Data!Q237:Data!Y237)</f>
        <v/>
      </c>
      <c r="H238" s="4">
        <f>Data!Z237</f>
        <v/>
      </c>
      <c r="I238" s="4">
        <f>Data!AB237</f>
        <v/>
      </c>
      <c r="J238" s="4">
        <f>Data!AD237</f>
        <v/>
      </c>
      <c r="K238" s="4">
        <f>Data!AE237</f>
        <v/>
      </c>
      <c r="L238" s="4">
        <f>Data!AF237</f>
        <v/>
      </c>
      <c r="M238" s="4">
        <f>Data!AG237</f>
        <v/>
      </c>
      <c r="N238" s="4">
        <f>Data!AH237</f>
        <v/>
      </c>
      <c r="O238" s="4">
        <f>Data!AI237</f>
        <v/>
      </c>
      <c r="P238" s="4">
        <f>Data!AJ237</f>
        <v/>
      </c>
      <c r="Q238" s="4">
        <f>Data!AK237</f>
        <v/>
      </c>
      <c r="R238" s="4">
        <f>Data!AL237</f>
        <v/>
      </c>
    </row>
    <row r="239">
      <c r="A239" s="4">
        <f>Data!A238</f>
        <v/>
      </c>
      <c r="B239" s="4">
        <f>Data!B238</f>
        <v/>
      </c>
      <c r="C239" s="4">
        <f>Data!C238</f>
        <v/>
      </c>
      <c r="D239" s="4">
        <f>Data!I238</f>
        <v/>
      </c>
      <c r="E239" s="4">
        <f>Data!J238</f>
        <v/>
      </c>
      <c r="F239" s="4">
        <f>Data!H238</f>
        <v/>
      </c>
      <c r="G239" s="4">
        <f>SUM(Data!Q238:Data!Y238)</f>
        <v/>
      </c>
      <c r="H239" s="4">
        <f>Data!Z238</f>
        <v/>
      </c>
      <c r="I239" s="4">
        <f>Data!AB238</f>
        <v/>
      </c>
      <c r="J239" s="4">
        <f>Data!AD238</f>
        <v/>
      </c>
      <c r="K239" s="4">
        <f>Data!AE238</f>
        <v/>
      </c>
      <c r="L239" s="4">
        <f>Data!AF238</f>
        <v/>
      </c>
      <c r="M239" s="4">
        <f>Data!AG238</f>
        <v/>
      </c>
      <c r="N239" s="4">
        <f>Data!AH238</f>
        <v/>
      </c>
      <c r="O239" s="4">
        <f>Data!AI238</f>
        <v/>
      </c>
      <c r="P239" s="4">
        <f>Data!AJ238</f>
        <v/>
      </c>
      <c r="Q239" s="4">
        <f>Data!AK238</f>
        <v/>
      </c>
      <c r="R239" s="4">
        <f>Data!AL238</f>
        <v/>
      </c>
    </row>
    <row r="240">
      <c r="A240" s="4">
        <f>Data!A239</f>
        <v/>
      </c>
      <c r="B240" s="4">
        <f>Data!B239</f>
        <v/>
      </c>
      <c r="C240" s="4">
        <f>Data!C239</f>
        <v/>
      </c>
      <c r="D240" s="4">
        <f>Data!I239</f>
        <v/>
      </c>
      <c r="E240" s="4">
        <f>Data!J239</f>
        <v/>
      </c>
      <c r="F240" s="4">
        <f>Data!H239</f>
        <v/>
      </c>
      <c r="G240" s="4">
        <f>SUM(Data!Q239:Data!Y239)</f>
        <v/>
      </c>
      <c r="H240" s="4">
        <f>Data!Z239</f>
        <v/>
      </c>
      <c r="I240" s="4">
        <f>Data!AB239</f>
        <v/>
      </c>
      <c r="J240" s="4">
        <f>Data!AD239</f>
        <v/>
      </c>
      <c r="K240" s="4">
        <f>Data!AE239</f>
        <v/>
      </c>
      <c r="L240" s="4">
        <f>Data!AF239</f>
        <v/>
      </c>
      <c r="M240" s="4">
        <f>Data!AG239</f>
        <v/>
      </c>
      <c r="N240" s="4">
        <f>Data!AH239</f>
        <v/>
      </c>
      <c r="O240" s="4">
        <f>Data!AI239</f>
        <v/>
      </c>
      <c r="P240" s="4">
        <f>Data!AJ239</f>
        <v/>
      </c>
      <c r="Q240" s="4">
        <f>Data!AK239</f>
        <v/>
      </c>
      <c r="R240" s="4">
        <f>Data!AL239</f>
        <v/>
      </c>
    </row>
    <row r="241">
      <c r="A241" s="4">
        <f>Data!A240</f>
        <v/>
      </c>
      <c r="B241" s="4">
        <f>Data!B240</f>
        <v/>
      </c>
      <c r="C241" s="4">
        <f>Data!C240</f>
        <v/>
      </c>
      <c r="D241" s="4">
        <f>Data!I240</f>
        <v/>
      </c>
      <c r="E241" s="4">
        <f>Data!J240</f>
        <v/>
      </c>
      <c r="F241" s="4">
        <f>Data!H240</f>
        <v/>
      </c>
      <c r="G241" s="4">
        <f>SUM(Data!Q240:Data!Y240)</f>
        <v/>
      </c>
      <c r="H241" s="4">
        <f>Data!Z240</f>
        <v/>
      </c>
      <c r="I241" s="4">
        <f>Data!AB240</f>
        <v/>
      </c>
      <c r="J241" s="4">
        <f>Data!AD240</f>
        <v/>
      </c>
      <c r="K241" s="4">
        <f>Data!AE240</f>
        <v/>
      </c>
      <c r="L241" s="4">
        <f>Data!AF240</f>
        <v/>
      </c>
      <c r="M241" s="4">
        <f>Data!AG240</f>
        <v/>
      </c>
      <c r="N241" s="4">
        <f>Data!AH240</f>
        <v/>
      </c>
      <c r="O241" s="4">
        <f>Data!AI240</f>
        <v/>
      </c>
      <c r="P241" s="4">
        <f>Data!AJ240</f>
        <v/>
      </c>
      <c r="Q241" s="4">
        <f>Data!AK240</f>
        <v/>
      </c>
      <c r="R241" s="4">
        <f>Data!AL240</f>
        <v/>
      </c>
    </row>
    <row r="242">
      <c r="A242" s="4">
        <f>Data!A241</f>
        <v/>
      </c>
      <c r="B242" s="4">
        <f>Data!B241</f>
        <v/>
      </c>
      <c r="C242" s="4">
        <f>Data!C241</f>
        <v/>
      </c>
      <c r="D242" s="4">
        <f>Data!I241</f>
        <v/>
      </c>
      <c r="E242" s="4">
        <f>Data!J241</f>
        <v/>
      </c>
      <c r="F242" s="4">
        <f>Data!H241</f>
        <v/>
      </c>
      <c r="G242" s="4">
        <f>SUM(Data!Q241:Data!Y241)</f>
        <v/>
      </c>
      <c r="H242" s="4">
        <f>Data!Z241</f>
        <v/>
      </c>
      <c r="I242" s="4">
        <f>Data!AB241</f>
        <v/>
      </c>
      <c r="J242" s="4">
        <f>Data!AD241</f>
        <v/>
      </c>
      <c r="K242" s="4">
        <f>Data!AE241</f>
        <v/>
      </c>
      <c r="L242" s="4">
        <f>Data!AF241</f>
        <v/>
      </c>
      <c r="M242" s="4">
        <f>Data!AG241</f>
        <v/>
      </c>
      <c r="N242" s="4">
        <f>Data!AH241</f>
        <v/>
      </c>
      <c r="O242" s="4">
        <f>Data!AI241</f>
        <v/>
      </c>
      <c r="P242" s="4">
        <f>Data!AJ241</f>
        <v/>
      </c>
      <c r="Q242" s="4">
        <f>Data!AK241</f>
        <v/>
      </c>
      <c r="R242" s="4">
        <f>Data!AL241</f>
        <v/>
      </c>
    </row>
    <row r="243">
      <c r="A243" s="4">
        <f>Data!A242</f>
        <v/>
      </c>
      <c r="B243" s="4">
        <f>Data!B242</f>
        <v/>
      </c>
      <c r="C243" s="4">
        <f>Data!C242</f>
        <v/>
      </c>
      <c r="D243" s="4">
        <f>Data!I242</f>
        <v/>
      </c>
      <c r="E243" s="4">
        <f>Data!J242</f>
        <v/>
      </c>
      <c r="F243" s="4">
        <f>Data!H242</f>
        <v/>
      </c>
      <c r="G243" s="4">
        <f>SUM(Data!Q242:Data!Y242)</f>
        <v/>
      </c>
      <c r="H243" s="4">
        <f>Data!Z242</f>
        <v/>
      </c>
      <c r="I243" s="4">
        <f>Data!AB242</f>
        <v/>
      </c>
      <c r="J243" s="4">
        <f>Data!AD242</f>
        <v/>
      </c>
      <c r="K243" s="4">
        <f>Data!AE242</f>
        <v/>
      </c>
      <c r="L243" s="4">
        <f>Data!AF242</f>
        <v/>
      </c>
      <c r="M243" s="4">
        <f>Data!AG242</f>
        <v/>
      </c>
      <c r="N243" s="4">
        <f>Data!AH242</f>
        <v/>
      </c>
      <c r="O243" s="4">
        <f>Data!AI242</f>
        <v/>
      </c>
      <c r="P243" s="4">
        <f>Data!AJ242</f>
        <v/>
      </c>
      <c r="Q243" s="4">
        <f>Data!AK242</f>
        <v/>
      </c>
      <c r="R243" s="4">
        <f>Data!AL242</f>
        <v/>
      </c>
    </row>
    <row r="244">
      <c r="A244" s="4">
        <f>Data!A243</f>
        <v/>
      </c>
      <c r="B244" s="4">
        <f>Data!B243</f>
        <v/>
      </c>
      <c r="C244" s="4">
        <f>Data!C243</f>
        <v/>
      </c>
      <c r="D244" s="4">
        <f>Data!I243</f>
        <v/>
      </c>
      <c r="E244" s="4">
        <f>Data!J243</f>
        <v/>
      </c>
      <c r="F244" s="4">
        <f>Data!H243</f>
        <v/>
      </c>
      <c r="G244" s="4">
        <f>SUM(Data!Q243:Data!Y243)</f>
        <v/>
      </c>
      <c r="H244" s="4">
        <f>Data!Z243</f>
        <v/>
      </c>
      <c r="I244" s="4">
        <f>Data!AB243</f>
        <v/>
      </c>
      <c r="J244" s="4">
        <f>Data!AD243</f>
        <v/>
      </c>
      <c r="K244" s="4">
        <f>Data!AE243</f>
        <v/>
      </c>
      <c r="L244" s="4">
        <f>Data!AF243</f>
        <v/>
      </c>
      <c r="M244" s="4">
        <f>Data!AG243</f>
        <v/>
      </c>
      <c r="N244" s="4">
        <f>Data!AH243</f>
        <v/>
      </c>
      <c r="O244" s="4">
        <f>Data!AI243</f>
        <v/>
      </c>
      <c r="P244" s="4">
        <f>Data!AJ243</f>
        <v/>
      </c>
      <c r="Q244" s="4">
        <f>Data!AK243</f>
        <v/>
      </c>
      <c r="R244" s="4">
        <f>Data!AL243</f>
        <v/>
      </c>
    </row>
    <row r="245">
      <c r="A245" s="4">
        <f>Data!A244</f>
        <v/>
      </c>
      <c r="B245" s="4">
        <f>Data!B244</f>
        <v/>
      </c>
      <c r="C245" s="4">
        <f>Data!C244</f>
        <v/>
      </c>
      <c r="D245" s="4">
        <f>Data!I244</f>
        <v/>
      </c>
      <c r="E245" s="4">
        <f>Data!J244</f>
        <v/>
      </c>
      <c r="F245" s="4">
        <f>Data!H244</f>
        <v/>
      </c>
      <c r="G245" s="4">
        <f>SUM(Data!Q244:Data!Y244)</f>
        <v/>
      </c>
      <c r="H245" s="4">
        <f>Data!Z244</f>
        <v/>
      </c>
      <c r="I245" s="4">
        <f>Data!AB244</f>
        <v/>
      </c>
      <c r="J245" s="4">
        <f>Data!AD244</f>
        <v/>
      </c>
      <c r="K245" s="4">
        <f>Data!AE244</f>
        <v/>
      </c>
      <c r="L245" s="4">
        <f>Data!AF244</f>
        <v/>
      </c>
      <c r="M245" s="4">
        <f>Data!AG244</f>
        <v/>
      </c>
      <c r="N245" s="4">
        <f>Data!AH244</f>
        <v/>
      </c>
      <c r="O245" s="4">
        <f>Data!AI244</f>
        <v/>
      </c>
      <c r="P245" s="4">
        <f>Data!AJ244</f>
        <v/>
      </c>
      <c r="Q245" s="4">
        <f>Data!AK244</f>
        <v/>
      </c>
      <c r="R245" s="4">
        <f>Data!AL244</f>
        <v/>
      </c>
    </row>
    <row r="246">
      <c r="A246" s="4">
        <f>Data!A245</f>
        <v/>
      </c>
      <c r="B246" s="4">
        <f>Data!B245</f>
        <v/>
      </c>
      <c r="C246" s="4">
        <f>Data!C245</f>
        <v/>
      </c>
      <c r="D246" s="4">
        <f>Data!I245</f>
        <v/>
      </c>
      <c r="E246" s="4">
        <f>Data!J245</f>
        <v/>
      </c>
      <c r="F246" s="4">
        <f>Data!H245</f>
        <v/>
      </c>
      <c r="G246" s="4">
        <f>SUM(Data!Q245:Data!Y245)</f>
        <v/>
      </c>
      <c r="H246" s="4">
        <f>Data!Z245</f>
        <v/>
      </c>
      <c r="I246" s="4">
        <f>Data!AB245</f>
        <v/>
      </c>
      <c r="J246" s="4">
        <f>Data!AD245</f>
        <v/>
      </c>
      <c r="K246" s="4">
        <f>Data!AE245</f>
        <v/>
      </c>
      <c r="L246" s="4">
        <f>Data!AF245</f>
        <v/>
      </c>
      <c r="M246" s="4">
        <f>Data!AG245</f>
        <v/>
      </c>
      <c r="N246" s="4">
        <f>Data!AH245</f>
        <v/>
      </c>
      <c r="O246" s="4">
        <f>Data!AI245</f>
        <v/>
      </c>
      <c r="P246" s="4">
        <f>Data!AJ245</f>
        <v/>
      </c>
      <c r="Q246" s="4">
        <f>Data!AK245</f>
        <v/>
      </c>
      <c r="R246" s="4">
        <f>Data!AL245</f>
        <v/>
      </c>
    </row>
    <row r="247">
      <c r="A247" s="4">
        <f>Data!A246</f>
        <v/>
      </c>
      <c r="B247" s="4">
        <f>Data!B246</f>
        <v/>
      </c>
      <c r="C247" s="4">
        <f>Data!C246</f>
        <v/>
      </c>
      <c r="D247" s="4">
        <f>Data!I246</f>
        <v/>
      </c>
      <c r="E247" s="4">
        <f>Data!J246</f>
        <v/>
      </c>
      <c r="F247" s="4">
        <f>Data!H246</f>
        <v/>
      </c>
      <c r="G247" s="4">
        <f>SUM(Data!Q246:Data!Y246)</f>
        <v/>
      </c>
      <c r="H247" s="4">
        <f>Data!Z246</f>
        <v/>
      </c>
      <c r="I247" s="4">
        <f>Data!AB246</f>
        <v/>
      </c>
      <c r="J247" s="4">
        <f>Data!AD246</f>
        <v/>
      </c>
      <c r="K247" s="4">
        <f>Data!AE246</f>
        <v/>
      </c>
      <c r="L247" s="4">
        <f>Data!AF246</f>
        <v/>
      </c>
      <c r="M247" s="4">
        <f>Data!AG246</f>
        <v/>
      </c>
      <c r="N247" s="4">
        <f>Data!AH246</f>
        <v/>
      </c>
      <c r="O247" s="4">
        <f>Data!AI246</f>
        <v/>
      </c>
      <c r="P247" s="4">
        <f>Data!AJ246</f>
        <v/>
      </c>
      <c r="Q247" s="4">
        <f>Data!AK246</f>
        <v/>
      </c>
      <c r="R247" s="4">
        <f>Data!AL246</f>
        <v/>
      </c>
    </row>
    <row r="248">
      <c r="A248" s="4">
        <f>Data!A247</f>
        <v/>
      </c>
      <c r="B248" s="4">
        <f>Data!B247</f>
        <v/>
      </c>
      <c r="C248" s="4">
        <f>Data!C247</f>
        <v/>
      </c>
      <c r="D248" s="4">
        <f>Data!I247</f>
        <v/>
      </c>
      <c r="E248" s="4">
        <f>Data!J247</f>
        <v/>
      </c>
      <c r="F248" s="4">
        <f>Data!H247</f>
        <v/>
      </c>
      <c r="G248" s="4">
        <f>SUM(Data!Q247:Data!Y247)</f>
        <v/>
      </c>
      <c r="H248" s="4">
        <f>Data!Z247</f>
        <v/>
      </c>
      <c r="I248" s="4">
        <f>Data!AB247</f>
        <v/>
      </c>
      <c r="J248" s="4">
        <f>Data!AD247</f>
        <v/>
      </c>
      <c r="K248" s="4">
        <f>Data!AE247</f>
        <v/>
      </c>
      <c r="L248" s="4">
        <f>Data!AF247</f>
        <v/>
      </c>
      <c r="M248" s="4">
        <f>Data!AG247</f>
        <v/>
      </c>
      <c r="N248" s="4">
        <f>Data!AH247</f>
        <v/>
      </c>
      <c r="O248" s="4">
        <f>Data!AI247</f>
        <v/>
      </c>
      <c r="P248" s="4">
        <f>Data!AJ247</f>
        <v/>
      </c>
      <c r="Q248" s="4">
        <f>Data!AK247</f>
        <v/>
      </c>
      <c r="R248" s="4">
        <f>Data!AL247</f>
        <v/>
      </c>
    </row>
    <row r="249">
      <c r="A249" s="4">
        <f>Data!A248</f>
        <v/>
      </c>
      <c r="B249" s="4">
        <f>Data!B248</f>
        <v/>
      </c>
      <c r="C249" s="4">
        <f>Data!C248</f>
        <v/>
      </c>
      <c r="D249" s="4">
        <f>Data!I248</f>
        <v/>
      </c>
      <c r="E249" s="4">
        <f>Data!J248</f>
        <v/>
      </c>
      <c r="F249" s="4">
        <f>Data!H248</f>
        <v/>
      </c>
      <c r="G249" s="4">
        <f>SUM(Data!Q248:Data!Y248)</f>
        <v/>
      </c>
      <c r="H249" s="4">
        <f>Data!Z248</f>
        <v/>
      </c>
      <c r="I249" s="4">
        <f>Data!AB248</f>
        <v/>
      </c>
      <c r="J249" s="4">
        <f>Data!AD248</f>
        <v/>
      </c>
      <c r="K249" s="4">
        <f>Data!AE248</f>
        <v/>
      </c>
      <c r="L249" s="4">
        <f>Data!AF248</f>
        <v/>
      </c>
      <c r="M249" s="4">
        <f>Data!AG248</f>
        <v/>
      </c>
      <c r="N249" s="4">
        <f>Data!AH248</f>
        <v/>
      </c>
      <c r="O249" s="4">
        <f>Data!AI248</f>
        <v/>
      </c>
      <c r="P249" s="4">
        <f>Data!AJ248</f>
        <v/>
      </c>
      <c r="Q249" s="4">
        <f>Data!AK248</f>
        <v/>
      </c>
      <c r="R249" s="4">
        <f>Data!AL248</f>
        <v/>
      </c>
    </row>
    <row r="250">
      <c r="A250" s="4">
        <f>Data!A249</f>
        <v/>
      </c>
      <c r="B250" s="4">
        <f>Data!B249</f>
        <v/>
      </c>
      <c r="C250" s="4">
        <f>Data!C249</f>
        <v/>
      </c>
      <c r="D250" s="4">
        <f>Data!I249</f>
        <v/>
      </c>
      <c r="E250" s="4">
        <f>Data!J249</f>
        <v/>
      </c>
      <c r="F250" s="4">
        <f>Data!H249</f>
        <v/>
      </c>
      <c r="G250" s="4">
        <f>SUM(Data!Q249:Data!Y249)</f>
        <v/>
      </c>
      <c r="H250" s="4">
        <f>Data!Z249</f>
        <v/>
      </c>
      <c r="I250" s="4">
        <f>Data!AB249</f>
        <v/>
      </c>
      <c r="J250" s="4">
        <f>Data!AD249</f>
        <v/>
      </c>
      <c r="K250" s="4">
        <f>Data!AE249</f>
        <v/>
      </c>
      <c r="L250" s="4">
        <f>Data!AF249</f>
        <v/>
      </c>
      <c r="M250" s="4">
        <f>Data!AG249</f>
        <v/>
      </c>
      <c r="N250" s="4">
        <f>Data!AH249</f>
        <v/>
      </c>
      <c r="O250" s="4">
        <f>Data!AI249</f>
        <v/>
      </c>
      <c r="P250" s="4">
        <f>Data!AJ249</f>
        <v/>
      </c>
      <c r="Q250" s="4">
        <f>Data!AK249</f>
        <v/>
      </c>
      <c r="R250" s="4">
        <f>Data!AL249</f>
        <v/>
      </c>
    </row>
    <row r="251">
      <c r="A251" s="4">
        <f>Data!A250</f>
        <v/>
      </c>
      <c r="B251" s="4">
        <f>Data!B250</f>
        <v/>
      </c>
      <c r="C251" s="4">
        <f>Data!C250</f>
        <v/>
      </c>
      <c r="D251" s="4">
        <f>Data!I250</f>
        <v/>
      </c>
      <c r="E251" s="4">
        <f>Data!J250</f>
        <v/>
      </c>
      <c r="F251" s="4">
        <f>Data!H250</f>
        <v/>
      </c>
      <c r="G251" s="4">
        <f>SUM(Data!Q250:Data!Y250)</f>
        <v/>
      </c>
      <c r="H251" s="4">
        <f>Data!Z250</f>
        <v/>
      </c>
      <c r="I251" s="4">
        <f>Data!AB250</f>
        <v/>
      </c>
      <c r="J251" s="4">
        <f>Data!AD250</f>
        <v/>
      </c>
      <c r="K251" s="4">
        <f>Data!AE250</f>
        <v/>
      </c>
      <c r="L251" s="4">
        <f>Data!AF250</f>
        <v/>
      </c>
      <c r="M251" s="4">
        <f>Data!AG250</f>
        <v/>
      </c>
      <c r="N251" s="4">
        <f>Data!AH250</f>
        <v/>
      </c>
      <c r="O251" s="4">
        <f>Data!AI250</f>
        <v/>
      </c>
      <c r="P251" s="4">
        <f>Data!AJ250</f>
        <v/>
      </c>
      <c r="Q251" s="4">
        <f>Data!AK250</f>
        <v/>
      </c>
      <c r="R251" s="4">
        <f>Data!AL250</f>
        <v/>
      </c>
    </row>
    <row r="252">
      <c r="A252" s="4">
        <f>Data!A251</f>
        <v/>
      </c>
      <c r="B252" s="4">
        <f>Data!B251</f>
        <v/>
      </c>
      <c r="C252" s="4">
        <f>Data!C251</f>
        <v/>
      </c>
      <c r="D252" s="4">
        <f>Data!I251</f>
        <v/>
      </c>
      <c r="E252" s="4">
        <f>Data!J251</f>
        <v/>
      </c>
      <c r="F252" s="4">
        <f>Data!H251</f>
        <v/>
      </c>
      <c r="G252" s="4">
        <f>SUM(Data!Q251:Data!Y251)</f>
        <v/>
      </c>
      <c r="H252" s="4">
        <f>Data!Z251</f>
        <v/>
      </c>
      <c r="I252" s="4">
        <f>Data!AB251</f>
        <v/>
      </c>
      <c r="J252" s="4">
        <f>Data!AD251</f>
        <v/>
      </c>
      <c r="K252" s="4">
        <f>Data!AE251</f>
        <v/>
      </c>
      <c r="L252" s="4">
        <f>Data!AF251</f>
        <v/>
      </c>
      <c r="M252" s="4">
        <f>Data!AG251</f>
        <v/>
      </c>
      <c r="N252" s="4">
        <f>Data!AH251</f>
        <v/>
      </c>
      <c r="O252" s="4">
        <f>Data!AI251</f>
        <v/>
      </c>
      <c r="P252" s="4">
        <f>Data!AJ251</f>
        <v/>
      </c>
      <c r="Q252" s="4">
        <f>Data!AK251</f>
        <v/>
      </c>
      <c r="R252" s="4">
        <f>Data!AL251</f>
        <v/>
      </c>
    </row>
    <row r="253">
      <c r="A253" s="4">
        <f>Data!A252</f>
        <v/>
      </c>
      <c r="B253" s="4">
        <f>Data!B252</f>
        <v/>
      </c>
      <c r="C253" s="4">
        <f>Data!C252</f>
        <v/>
      </c>
      <c r="D253" s="4">
        <f>Data!I252</f>
        <v/>
      </c>
      <c r="E253" s="4">
        <f>Data!J252</f>
        <v/>
      </c>
      <c r="F253" s="4">
        <f>Data!H252</f>
        <v/>
      </c>
      <c r="G253" s="4">
        <f>SUM(Data!Q252:Data!Y252)</f>
        <v/>
      </c>
      <c r="H253" s="4">
        <f>Data!Z252</f>
        <v/>
      </c>
      <c r="I253" s="4">
        <f>Data!AB252</f>
        <v/>
      </c>
      <c r="J253" s="4">
        <f>Data!AD252</f>
        <v/>
      </c>
      <c r="K253" s="4">
        <f>Data!AE252</f>
        <v/>
      </c>
      <c r="L253" s="4">
        <f>Data!AF252</f>
        <v/>
      </c>
      <c r="M253" s="4">
        <f>Data!AG252</f>
        <v/>
      </c>
      <c r="N253" s="4">
        <f>Data!AH252</f>
        <v/>
      </c>
      <c r="O253" s="4">
        <f>Data!AI252</f>
        <v/>
      </c>
      <c r="P253" s="4">
        <f>Data!AJ252</f>
        <v/>
      </c>
      <c r="Q253" s="4">
        <f>Data!AK252</f>
        <v/>
      </c>
      <c r="R253" s="4">
        <f>Data!AL252</f>
        <v/>
      </c>
    </row>
    <row r="254">
      <c r="A254" s="4">
        <f>Data!A253</f>
        <v/>
      </c>
      <c r="B254" s="4">
        <f>Data!B253</f>
        <v/>
      </c>
      <c r="C254" s="4">
        <f>Data!C253</f>
        <v/>
      </c>
      <c r="D254" s="4">
        <f>Data!I253</f>
        <v/>
      </c>
      <c r="E254" s="4">
        <f>Data!J253</f>
        <v/>
      </c>
      <c r="F254" s="4">
        <f>Data!H253</f>
        <v/>
      </c>
      <c r="G254" s="4">
        <f>SUM(Data!Q253:Data!Y253)</f>
        <v/>
      </c>
      <c r="H254" s="4">
        <f>Data!Z253</f>
        <v/>
      </c>
      <c r="I254" s="4">
        <f>Data!AB253</f>
        <v/>
      </c>
      <c r="J254" s="4">
        <f>Data!AD253</f>
        <v/>
      </c>
      <c r="K254" s="4">
        <f>Data!AE253</f>
        <v/>
      </c>
      <c r="L254" s="4">
        <f>Data!AF253</f>
        <v/>
      </c>
      <c r="M254" s="4">
        <f>Data!AG253</f>
        <v/>
      </c>
      <c r="N254" s="4">
        <f>Data!AH253</f>
        <v/>
      </c>
      <c r="O254" s="4">
        <f>Data!AI253</f>
        <v/>
      </c>
      <c r="P254" s="4">
        <f>Data!AJ253</f>
        <v/>
      </c>
      <c r="Q254" s="4">
        <f>Data!AK253</f>
        <v/>
      </c>
      <c r="R254" s="4">
        <f>Data!AL253</f>
        <v/>
      </c>
    </row>
    <row r="255">
      <c r="A255" s="4">
        <f>Data!A254</f>
        <v/>
      </c>
      <c r="B255" s="4">
        <f>Data!B254</f>
        <v/>
      </c>
      <c r="C255" s="4">
        <f>Data!C254</f>
        <v/>
      </c>
      <c r="D255" s="4">
        <f>Data!I254</f>
        <v/>
      </c>
      <c r="E255" s="4">
        <f>Data!J254</f>
        <v/>
      </c>
      <c r="F255" s="4">
        <f>Data!H254</f>
        <v/>
      </c>
      <c r="G255" s="4">
        <f>SUM(Data!Q254:Data!Y254)</f>
        <v/>
      </c>
      <c r="H255" s="4">
        <f>Data!Z254</f>
        <v/>
      </c>
      <c r="I255" s="4">
        <f>Data!AB254</f>
        <v/>
      </c>
      <c r="J255" s="4">
        <f>Data!AD254</f>
        <v/>
      </c>
      <c r="K255" s="4">
        <f>Data!AE254</f>
        <v/>
      </c>
      <c r="L255" s="4">
        <f>Data!AF254</f>
        <v/>
      </c>
      <c r="M255" s="4">
        <f>Data!AG254</f>
        <v/>
      </c>
      <c r="N255" s="4">
        <f>Data!AH254</f>
        <v/>
      </c>
      <c r="O255" s="4">
        <f>Data!AI254</f>
        <v/>
      </c>
      <c r="P255" s="4">
        <f>Data!AJ254</f>
        <v/>
      </c>
      <c r="Q255" s="4">
        <f>Data!AK254</f>
        <v/>
      </c>
      <c r="R255" s="4">
        <f>Data!AL254</f>
        <v/>
      </c>
    </row>
    <row r="256">
      <c r="A256" s="4">
        <f>Data!A255</f>
        <v/>
      </c>
      <c r="B256" s="4">
        <f>Data!B255</f>
        <v/>
      </c>
      <c r="C256" s="4">
        <f>Data!C255</f>
        <v/>
      </c>
      <c r="D256" s="4">
        <f>Data!I255</f>
        <v/>
      </c>
      <c r="E256" s="4">
        <f>Data!J255</f>
        <v/>
      </c>
      <c r="F256" s="4">
        <f>Data!H255</f>
        <v/>
      </c>
      <c r="G256" s="4">
        <f>SUM(Data!Q255:Data!Y255)</f>
        <v/>
      </c>
      <c r="H256" s="4">
        <f>Data!Z255</f>
        <v/>
      </c>
      <c r="I256" s="4">
        <f>Data!AB255</f>
        <v/>
      </c>
      <c r="J256" s="4">
        <f>Data!AD255</f>
        <v/>
      </c>
      <c r="K256" s="4">
        <f>Data!AE255</f>
        <v/>
      </c>
      <c r="L256" s="4">
        <f>Data!AF255</f>
        <v/>
      </c>
      <c r="M256" s="4">
        <f>Data!AG255</f>
        <v/>
      </c>
      <c r="N256" s="4">
        <f>Data!AH255</f>
        <v/>
      </c>
      <c r="O256" s="4">
        <f>Data!AI255</f>
        <v/>
      </c>
      <c r="P256" s="4">
        <f>Data!AJ255</f>
        <v/>
      </c>
      <c r="Q256" s="4">
        <f>Data!AK255</f>
        <v/>
      </c>
      <c r="R256" s="4">
        <f>Data!AL255</f>
        <v/>
      </c>
    </row>
    <row r="257">
      <c r="A257" s="4">
        <f>Data!A256</f>
        <v/>
      </c>
      <c r="B257" s="4">
        <f>Data!B256</f>
        <v/>
      </c>
      <c r="C257" s="4">
        <f>Data!C256</f>
        <v/>
      </c>
      <c r="D257" s="4">
        <f>Data!I256</f>
        <v/>
      </c>
      <c r="E257" s="4">
        <f>Data!J256</f>
        <v/>
      </c>
      <c r="F257" s="4">
        <f>Data!H256</f>
        <v/>
      </c>
      <c r="G257" s="4">
        <f>SUM(Data!Q256:Data!Y256)</f>
        <v/>
      </c>
      <c r="H257" s="4">
        <f>Data!Z256</f>
        <v/>
      </c>
      <c r="I257" s="4">
        <f>Data!AB256</f>
        <v/>
      </c>
      <c r="J257" s="4">
        <f>Data!AD256</f>
        <v/>
      </c>
      <c r="K257" s="4">
        <f>Data!AE256</f>
        <v/>
      </c>
      <c r="L257" s="4">
        <f>Data!AF256</f>
        <v/>
      </c>
      <c r="M257" s="4">
        <f>Data!AG256</f>
        <v/>
      </c>
      <c r="N257" s="4">
        <f>Data!AH256</f>
        <v/>
      </c>
      <c r="O257" s="4">
        <f>Data!AI256</f>
        <v/>
      </c>
      <c r="P257" s="4">
        <f>Data!AJ256</f>
        <v/>
      </c>
      <c r="Q257" s="4">
        <f>Data!AK256</f>
        <v/>
      </c>
      <c r="R257" s="4">
        <f>Data!AL256</f>
        <v/>
      </c>
    </row>
    <row r="258">
      <c r="A258" s="4">
        <f>Data!A257</f>
        <v/>
      </c>
      <c r="B258" s="4">
        <f>Data!B257</f>
        <v/>
      </c>
      <c r="C258" s="4">
        <f>Data!C257</f>
        <v/>
      </c>
      <c r="D258" s="4">
        <f>Data!I257</f>
        <v/>
      </c>
      <c r="E258" s="4">
        <f>Data!J257</f>
        <v/>
      </c>
      <c r="F258" s="4">
        <f>Data!H257</f>
        <v/>
      </c>
      <c r="G258" s="4">
        <f>SUM(Data!Q257:Data!Y257)</f>
        <v/>
      </c>
      <c r="H258" s="4">
        <f>Data!Z257</f>
        <v/>
      </c>
      <c r="I258" s="4">
        <f>Data!AB257</f>
        <v/>
      </c>
      <c r="J258" s="4">
        <f>Data!AD257</f>
        <v/>
      </c>
      <c r="K258" s="4">
        <f>Data!AE257</f>
        <v/>
      </c>
      <c r="L258" s="4">
        <f>Data!AF257</f>
        <v/>
      </c>
      <c r="M258" s="4">
        <f>Data!AG257</f>
        <v/>
      </c>
      <c r="N258" s="4">
        <f>Data!AH257</f>
        <v/>
      </c>
      <c r="O258" s="4">
        <f>Data!AI257</f>
        <v/>
      </c>
      <c r="P258" s="4">
        <f>Data!AJ257</f>
        <v/>
      </c>
      <c r="Q258" s="4">
        <f>Data!AK257</f>
        <v/>
      </c>
      <c r="R258" s="4">
        <f>Data!AL257</f>
        <v/>
      </c>
    </row>
    <row r="259">
      <c r="A259" s="4">
        <f>Data!A258</f>
        <v/>
      </c>
      <c r="B259" s="4">
        <f>Data!B258</f>
        <v/>
      </c>
      <c r="C259" s="4">
        <f>Data!C258</f>
        <v/>
      </c>
      <c r="D259" s="4">
        <f>Data!I258</f>
        <v/>
      </c>
      <c r="E259" s="4">
        <f>Data!J258</f>
        <v/>
      </c>
      <c r="F259" s="4">
        <f>Data!H258</f>
        <v/>
      </c>
      <c r="G259" s="4">
        <f>SUM(Data!Q258:Data!Y258)</f>
        <v/>
      </c>
      <c r="H259" s="4">
        <f>Data!Z258</f>
        <v/>
      </c>
      <c r="I259" s="4">
        <f>Data!AB258</f>
        <v/>
      </c>
      <c r="J259" s="4">
        <f>Data!AD258</f>
        <v/>
      </c>
      <c r="K259" s="4">
        <f>Data!AE258</f>
        <v/>
      </c>
      <c r="L259" s="4">
        <f>Data!AF258</f>
        <v/>
      </c>
      <c r="M259" s="4">
        <f>Data!AG258</f>
        <v/>
      </c>
      <c r="N259" s="4">
        <f>Data!AH258</f>
        <v/>
      </c>
      <c r="O259" s="4">
        <f>Data!AI258</f>
        <v/>
      </c>
      <c r="P259" s="4">
        <f>Data!AJ258</f>
        <v/>
      </c>
      <c r="Q259" s="4">
        <f>Data!AK258</f>
        <v/>
      </c>
      <c r="R259" s="4">
        <f>Data!AL258</f>
        <v/>
      </c>
    </row>
    <row r="260">
      <c r="A260" s="4">
        <f>Data!A259</f>
        <v/>
      </c>
      <c r="B260" s="4">
        <f>Data!B259</f>
        <v/>
      </c>
      <c r="C260" s="4">
        <f>Data!C259</f>
        <v/>
      </c>
      <c r="D260" s="4">
        <f>Data!I259</f>
        <v/>
      </c>
      <c r="E260" s="4">
        <f>Data!J259</f>
        <v/>
      </c>
      <c r="F260" s="4">
        <f>Data!H259</f>
        <v/>
      </c>
      <c r="G260" s="4">
        <f>SUM(Data!Q259:Data!Y259)</f>
        <v/>
      </c>
      <c r="H260" s="4">
        <f>Data!Z259</f>
        <v/>
      </c>
      <c r="I260" s="4">
        <f>Data!AB259</f>
        <v/>
      </c>
      <c r="J260" s="4">
        <f>Data!AD259</f>
        <v/>
      </c>
      <c r="K260" s="4">
        <f>Data!AE259</f>
        <v/>
      </c>
      <c r="L260" s="4">
        <f>Data!AF259</f>
        <v/>
      </c>
      <c r="M260" s="4">
        <f>Data!AG259</f>
        <v/>
      </c>
      <c r="N260" s="4">
        <f>Data!AH259</f>
        <v/>
      </c>
      <c r="O260" s="4">
        <f>Data!AI259</f>
        <v/>
      </c>
      <c r="P260" s="4">
        <f>Data!AJ259</f>
        <v/>
      </c>
      <c r="Q260" s="4">
        <f>Data!AK259</f>
        <v/>
      </c>
      <c r="R260" s="4">
        <f>Data!AL259</f>
        <v/>
      </c>
    </row>
    <row r="261">
      <c r="A261" s="4">
        <f>Data!A260</f>
        <v/>
      </c>
      <c r="B261" s="4">
        <f>Data!B260</f>
        <v/>
      </c>
      <c r="C261" s="4">
        <f>Data!C260</f>
        <v/>
      </c>
      <c r="D261" s="4">
        <f>Data!I260</f>
        <v/>
      </c>
      <c r="E261" s="4">
        <f>Data!J260</f>
        <v/>
      </c>
      <c r="F261" s="4">
        <f>Data!H260</f>
        <v/>
      </c>
      <c r="G261" s="4">
        <f>SUM(Data!Q260:Data!Y260)</f>
        <v/>
      </c>
      <c r="H261" s="4">
        <f>Data!Z260</f>
        <v/>
      </c>
      <c r="I261" s="4">
        <f>Data!AB260</f>
        <v/>
      </c>
      <c r="J261" s="4">
        <f>Data!AD260</f>
        <v/>
      </c>
      <c r="K261" s="4">
        <f>Data!AE260</f>
        <v/>
      </c>
      <c r="L261" s="4">
        <f>Data!AF260</f>
        <v/>
      </c>
      <c r="M261" s="4">
        <f>Data!AG260</f>
        <v/>
      </c>
      <c r="N261" s="4">
        <f>Data!AH260</f>
        <v/>
      </c>
      <c r="O261" s="4">
        <f>Data!AI260</f>
        <v/>
      </c>
      <c r="P261" s="4">
        <f>Data!AJ260</f>
        <v/>
      </c>
      <c r="Q261" s="4">
        <f>Data!AK260</f>
        <v/>
      </c>
      <c r="R261" s="4">
        <f>Data!AL260</f>
        <v/>
      </c>
    </row>
    <row r="262">
      <c r="A262" s="4">
        <f>Data!A261</f>
        <v/>
      </c>
      <c r="B262" s="4">
        <f>Data!B261</f>
        <v/>
      </c>
      <c r="C262" s="4">
        <f>Data!C261</f>
        <v/>
      </c>
      <c r="D262" s="4">
        <f>Data!I261</f>
        <v/>
      </c>
      <c r="E262" s="4">
        <f>Data!J261</f>
        <v/>
      </c>
      <c r="F262" s="4">
        <f>Data!H261</f>
        <v/>
      </c>
      <c r="G262" s="4">
        <f>SUM(Data!Q261:Data!Y261)</f>
        <v/>
      </c>
      <c r="H262" s="4">
        <f>Data!Z261</f>
        <v/>
      </c>
      <c r="I262" s="4">
        <f>Data!AB261</f>
        <v/>
      </c>
      <c r="J262" s="4">
        <f>Data!AD261</f>
        <v/>
      </c>
      <c r="K262" s="4">
        <f>Data!AE261</f>
        <v/>
      </c>
      <c r="L262" s="4">
        <f>Data!AF261</f>
        <v/>
      </c>
      <c r="M262" s="4">
        <f>Data!AG261</f>
        <v/>
      </c>
      <c r="N262" s="4">
        <f>Data!AH261</f>
        <v/>
      </c>
      <c r="O262" s="4">
        <f>Data!AI261</f>
        <v/>
      </c>
      <c r="P262" s="4">
        <f>Data!AJ261</f>
        <v/>
      </c>
      <c r="Q262" s="4">
        <f>Data!AK261</f>
        <v/>
      </c>
      <c r="R262" s="4">
        <f>Data!AL261</f>
        <v/>
      </c>
    </row>
    <row r="263">
      <c r="A263" s="4">
        <f>Data!A262</f>
        <v/>
      </c>
      <c r="B263" s="4">
        <f>Data!B262</f>
        <v/>
      </c>
      <c r="C263" s="4">
        <f>Data!C262</f>
        <v/>
      </c>
      <c r="D263" s="4">
        <f>Data!I262</f>
        <v/>
      </c>
      <c r="E263" s="4">
        <f>Data!J262</f>
        <v/>
      </c>
      <c r="F263" s="4">
        <f>Data!H262</f>
        <v/>
      </c>
      <c r="G263" s="4">
        <f>SUM(Data!Q262:Data!Y262)</f>
        <v/>
      </c>
      <c r="H263" s="4">
        <f>Data!Z262</f>
        <v/>
      </c>
      <c r="I263" s="4">
        <f>Data!AB262</f>
        <v/>
      </c>
      <c r="J263" s="4">
        <f>Data!AD262</f>
        <v/>
      </c>
      <c r="K263" s="4">
        <f>Data!AE262</f>
        <v/>
      </c>
      <c r="L263" s="4">
        <f>Data!AF262</f>
        <v/>
      </c>
      <c r="M263" s="4">
        <f>Data!AG262</f>
        <v/>
      </c>
      <c r="N263" s="4">
        <f>Data!AH262</f>
        <v/>
      </c>
      <c r="O263" s="4">
        <f>Data!AI262</f>
        <v/>
      </c>
      <c r="P263" s="4">
        <f>Data!AJ262</f>
        <v/>
      </c>
      <c r="Q263" s="4">
        <f>Data!AK262</f>
        <v/>
      </c>
      <c r="R263" s="4">
        <f>Data!AL262</f>
        <v/>
      </c>
    </row>
    <row r="264">
      <c r="A264" s="4">
        <f>Data!A263</f>
        <v/>
      </c>
      <c r="B264" s="4">
        <f>Data!B263</f>
        <v/>
      </c>
      <c r="C264" s="4">
        <f>Data!C263</f>
        <v/>
      </c>
      <c r="D264" s="4">
        <f>Data!I263</f>
        <v/>
      </c>
      <c r="E264" s="4">
        <f>Data!J263</f>
        <v/>
      </c>
      <c r="F264" s="4">
        <f>Data!H263</f>
        <v/>
      </c>
      <c r="G264" s="4">
        <f>SUM(Data!Q263:Data!Y263)</f>
        <v/>
      </c>
      <c r="H264" s="4">
        <f>Data!Z263</f>
        <v/>
      </c>
      <c r="I264" s="4">
        <f>Data!AB263</f>
        <v/>
      </c>
      <c r="J264" s="4">
        <f>Data!AD263</f>
        <v/>
      </c>
      <c r="K264" s="4">
        <f>Data!AE263</f>
        <v/>
      </c>
      <c r="L264" s="4">
        <f>Data!AF263</f>
        <v/>
      </c>
      <c r="M264" s="4">
        <f>Data!AG263</f>
        <v/>
      </c>
      <c r="N264" s="4">
        <f>Data!AH263</f>
        <v/>
      </c>
      <c r="O264" s="4">
        <f>Data!AI263</f>
        <v/>
      </c>
      <c r="P264" s="4">
        <f>Data!AJ263</f>
        <v/>
      </c>
      <c r="Q264" s="4">
        <f>Data!AK263</f>
        <v/>
      </c>
      <c r="R264" s="4">
        <f>Data!AL263</f>
        <v/>
      </c>
    </row>
    <row r="265">
      <c r="A265" s="4">
        <f>Data!A264</f>
        <v/>
      </c>
      <c r="B265" s="4">
        <f>Data!B264</f>
        <v/>
      </c>
      <c r="C265" s="4">
        <f>Data!C264</f>
        <v/>
      </c>
      <c r="D265" s="4">
        <f>Data!I264</f>
        <v/>
      </c>
      <c r="E265" s="4">
        <f>Data!J264</f>
        <v/>
      </c>
      <c r="F265" s="4">
        <f>Data!H264</f>
        <v/>
      </c>
      <c r="G265" s="4">
        <f>SUM(Data!Q264:Data!Y264)</f>
        <v/>
      </c>
      <c r="H265" s="4">
        <f>Data!Z264</f>
        <v/>
      </c>
      <c r="I265" s="4">
        <f>Data!AB264</f>
        <v/>
      </c>
      <c r="J265" s="4">
        <f>Data!AD264</f>
        <v/>
      </c>
      <c r="K265" s="4">
        <f>Data!AE264</f>
        <v/>
      </c>
      <c r="L265" s="4">
        <f>Data!AF264</f>
        <v/>
      </c>
      <c r="M265" s="4">
        <f>Data!AG264</f>
        <v/>
      </c>
      <c r="N265" s="4">
        <f>Data!AH264</f>
        <v/>
      </c>
      <c r="O265" s="4">
        <f>Data!AI264</f>
        <v/>
      </c>
      <c r="P265" s="4">
        <f>Data!AJ264</f>
        <v/>
      </c>
      <c r="Q265" s="4">
        <f>Data!AK264</f>
        <v/>
      </c>
      <c r="R265" s="4">
        <f>Data!AL264</f>
        <v/>
      </c>
    </row>
    <row r="266">
      <c r="A266" s="4">
        <f>Data!A265</f>
        <v/>
      </c>
      <c r="B266" s="4">
        <f>Data!B265</f>
        <v/>
      </c>
      <c r="C266" s="4">
        <f>Data!C265</f>
        <v/>
      </c>
      <c r="D266" s="4">
        <f>Data!I265</f>
        <v/>
      </c>
      <c r="E266" s="4">
        <f>Data!J265</f>
        <v/>
      </c>
      <c r="F266" s="4">
        <f>Data!H265</f>
        <v/>
      </c>
      <c r="G266" s="4">
        <f>SUM(Data!Q265:Data!Y265)</f>
        <v/>
      </c>
      <c r="H266" s="4">
        <f>Data!Z265</f>
        <v/>
      </c>
      <c r="I266" s="4">
        <f>Data!AB265</f>
        <v/>
      </c>
      <c r="J266" s="4">
        <f>Data!AD265</f>
        <v/>
      </c>
      <c r="K266" s="4">
        <f>Data!AE265</f>
        <v/>
      </c>
      <c r="L266" s="4">
        <f>Data!AF265</f>
        <v/>
      </c>
      <c r="M266" s="4">
        <f>Data!AG265</f>
        <v/>
      </c>
      <c r="N266" s="4">
        <f>Data!AH265</f>
        <v/>
      </c>
      <c r="O266" s="4">
        <f>Data!AI265</f>
        <v/>
      </c>
      <c r="P266" s="4">
        <f>Data!AJ265</f>
        <v/>
      </c>
      <c r="Q266" s="4">
        <f>Data!AK265</f>
        <v/>
      </c>
      <c r="R266" s="4">
        <f>Data!AL265</f>
        <v/>
      </c>
    </row>
    <row r="267">
      <c r="A267" s="4">
        <f>Data!A266</f>
        <v/>
      </c>
      <c r="B267" s="4">
        <f>Data!B266</f>
        <v/>
      </c>
      <c r="C267" s="4">
        <f>Data!C266</f>
        <v/>
      </c>
      <c r="D267" s="4">
        <f>Data!I266</f>
        <v/>
      </c>
      <c r="E267" s="4">
        <f>Data!J266</f>
        <v/>
      </c>
      <c r="F267" s="4">
        <f>Data!H266</f>
        <v/>
      </c>
      <c r="G267" s="4">
        <f>SUM(Data!Q266:Data!Y266)</f>
        <v/>
      </c>
      <c r="H267" s="4">
        <f>Data!Z266</f>
        <v/>
      </c>
      <c r="I267" s="4">
        <f>Data!AB266</f>
        <v/>
      </c>
      <c r="J267" s="4">
        <f>Data!AD266</f>
        <v/>
      </c>
      <c r="K267" s="4">
        <f>Data!AE266</f>
        <v/>
      </c>
      <c r="L267" s="4">
        <f>Data!AF266</f>
        <v/>
      </c>
      <c r="M267" s="4">
        <f>Data!AG266</f>
        <v/>
      </c>
      <c r="N267" s="4">
        <f>Data!AH266</f>
        <v/>
      </c>
      <c r="O267" s="4">
        <f>Data!AI266</f>
        <v/>
      </c>
      <c r="P267" s="4">
        <f>Data!AJ266</f>
        <v/>
      </c>
      <c r="Q267" s="4">
        <f>Data!AK266</f>
        <v/>
      </c>
      <c r="R267" s="4">
        <f>Data!AL266</f>
        <v/>
      </c>
    </row>
    <row r="268">
      <c r="A268" s="4">
        <f>Data!A267</f>
        <v/>
      </c>
      <c r="B268" s="4">
        <f>Data!B267</f>
        <v/>
      </c>
      <c r="C268" s="4">
        <f>Data!C267</f>
        <v/>
      </c>
      <c r="D268" s="4">
        <f>Data!I267</f>
        <v/>
      </c>
      <c r="E268" s="4">
        <f>Data!J267</f>
        <v/>
      </c>
      <c r="F268" s="4">
        <f>Data!H267</f>
        <v/>
      </c>
      <c r="G268" s="4">
        <f>SUM(Data!Q267:Data!Y267)</f>
        <v/>
      </c>
      <c r="H268" s="4">
        <f>Data!Z267</f>
        <v/>
      </c>
      <c r="I268" s="4">
        <f>Data!AB267</f>
        <v/>
      </c>
      <c r="J268" s="4">
        <f>Data!AD267</f>
        <v/>
      </c>
      <c r="K268" s="4">
        <f>Data!AE267</f>
        <v/>
      </c>
      <c r="L268" s="4">
        <f>Data!AF267</f>
        <v/>
      </c>
      <c r="M268" s="4">
        <f>Data!AG267</f>
        <v/>
      </c>
      <c r="N268" s="4">
        <f>Data!AH267</f>
        <v/>
      </c>
      <c r="O268" s="4">
        <f>Data!AI267</f>
        <v/>
      </c>
      <c r="P268" s="4">
        <f>Data!AJ267</f>
        <v/>
      </c>
      <c r="Q268" s="4">
        <f>Data!AK267</f>
        <v/>
      </c>
      <c r="R268" s="4">
        <f>Data!AL267</f>
        <v/>
      </c>
    </row>
    <row r="269">
      <c r="A269" s="4">
        <f>Data!A268</f>
        <v/>
      </c>
      <c r="B269" s="4">
        <f>Data!B268</f>
        <v/>
      </c>
      <c r="C269" s="4">
        <f>Data!C268</f>
        <v/>
      </c>
      <c r="D269" s="4">
        <f>Data!I268</f>
        <v/>
      </c>
      <c r="E269" s="4">
        <f>Data!J268</f>
        <v/>
      </c>
      <c r="F269" s="4">
        <f>Data!H268</f>
        <v/>
      </c>
      <c r="G269" s="4">
        <f>SUM(Data!Q268:Data!Y268)</f>
        <v/>
      </c>
      <c r="H269" s="4">
        <f>Data!Z268</f>
        <v/>
      </c>
      <c r="I269" s="4">
        <f>Data!AB268</f>
        <v/>
      </c>
      <c r="J269" s="4">
        <f>Data!AD268</f>
        <v/>
      </c>
      <c r="K269" s="4">
        <f>Data!AE268</f>
        <v/>
      </c>
      <c r="L269" s="4">
        <f>Data!AF268</f>
        <v/>
      </c>
      <c r="M269" s="4">
        <f>Data!AG268</f>
        <v/>
      </c>
      <c r="N269" s="4">
        <f>Data!AH268</f>
        <v/>
      </c>
      <c r="O269" s="4">
        <f>Data!AI268</f>
        <v/>
      </c>
      <c r="P269" s="4">
        <f>Data!AJ268</f>
        <v/>
      </c>
      <c r="Q269" s="4">
        <f>Data!AK268</f>
        <v/>
      </c>
      <c r="R269" s="4">
        <f>Data!AL268</f>
        <v/>
      </c>
    </row>
    <row r="270">
      <c r="A270" s="4">
        <f>Data!A269</f>
        <v/>
      </c>
      <c r="B270" s="4">
        <f>Data!B269</f>
        <v/>
      </c>
      <c r="C270" s="4">
        <f>Data!C269</f>
        <v/>
      </c>
      <c r="D270" s="4">
        <f>Data!I269</f>
        <v/>
      </c>
      <c r="E270" s="4">
        <f>Data!J269</f>
        <v/>
      </c>
      <c r="F270" s="4">
        <f>Data!H269</f>
        <v/>
      </c>
      <c r="G270" s="4">
        <f>SUM(Data!Q269:Data!Y269)</f>
        <v/>
      </c>
      <c r="H270" s="4">
        <f>Data!Z269</f>
        <v/>
      </c>
      <c r="I270" s="4">
        <f>Data!AB269</f>
        <v/>
      </c>
      <c r="J270" s="4">
        <f>Data!AD269</f>
        <v/>
      </c>
      <c r="K270" s="4">
        <f>Data!AE269</f>
        <v/>
      </c>
      <c r="L270" s="4">
        <f>Data!AF269</f>
        <v/>
      </c>
      <c r="M270" s="4">
        <f>Data!AG269</f>
        <v/>
      </c>
      <c r="N270" s="4">
        <f>Data!AH269</f>
        <v/>
      </c>
      <c r="O270" s="4">
        <f>Data!AI269</f>
        <v/>
      </c>
      <c r="P270" s="4">
        <f>Data!AJ269</f>
        <v/>
      </c>
      <c r="Q270" s="4">
        <f>Data!AK269</f>
        <v/>
      </c>
      <c r="R270" s="4">
        <f>Data!AL269</f>
        <v/>
      </c>
    </row>
    <row r="271">
      <c r="A271" s="4">
        <f>Data!A270</f>
        <v/>
      </c>
      <c r="B271" s="4">
        <f>Data!B270</f>
        <v/>
      </c>
      <c r="C271" s="4">
        <f>Data!C270</f>
        <v/>
      </c>
      <c r="D271" s="4">
        <f>Data!I270</f>
        <v/>
      </c>
      <c r="E271" s="4">
        <f>Data!J270</f>
        <v/>
      </c>
      <c r="F271" s="4">
        <f>Data!H270</f>
        <v/>
      </c>
      <c r="G271" s="4">
        <f>SUM(Data!Q270:Data!Y270)</f>
        <v/>
      </c>
      <c r="H271" s="4">
        <f>Data!Z270</f>
        <v/>
      </c>
      <c r="I271" s="4">
        <f>Data!AB270</f>
        <v/>
      </c>
      <c r="J271" s="4">
        <f>Data!AD270</f>
        <v/>
      </c>
      <c r="K271" s="4">
        <f>Data!AE270</f>
        <v/>
      </c>
      <c r="L271" s="4">
        <f>Data!AF270</f>
        <v/>
      </c>
      <c r="M271" s="4">
        <f>Data!AG270</f>
        <v/>
      </c>
      <c r="N271" s="4">
        <f>Data!AH270</f>
        <v/>
      </c>
      <c r="O271" s="4">
        <f>Data!AI270</f>
        <v/>
      </c>
      <c r="P271" s="4">
        <f>Data!AJ270</f>
        <v/>
      </c>
      <c r="Q271" s="4">
        <f>Data!AK270</f>
        <v/>
      </c>
      <c r="R271" s="4">
        <f>Data!AL270</f>
        <v/>
      </c>
    </row>
    <row r="272">
      <c r="A272" s="4">
        <f>Data!A271</f>
        <v/>
      </c>
      <c r="B272" s="4">
        <f>Data!B271</f>
        <v/>
      </c>
      <c r="C272" s="4">
        <f>Data!C271</f>
        <v/>
      </c>
      <c r="D272" s="4">
        <f>Data!I271</f>
        <v/>
      </c>
      <c r="E272" s="4">
        <f>Data!J271</f>
        <v/>
      </c>
      <c r="F272" s="4">
        <f>Data!H271</f>
        <v/>
      </c>
      <c r="G272" s="4">
        <f>SUM(Data!Q271:Data!Y271)</f>
        <v/>
      </c>
      <c r="H272" s="4">
        <f>Data!Z271</f>
        <v/>
      </c>
      <c r="I272" s="4">
        <f>Data!AB271</f>
        <v/>
      </c>
      <c r="J272" s="4">
        <f>Data!AD271</f>
        <v/>
      </c>
      <c r="K272" s="4">
        <f>Data!AE271</f>
        <v/>
      </c>
      <c r="L272" s="4">
        <f>Data!AF271</f>
        <v/>
      </c>
      <c r="M272" s="4">
        <f>Data!AG271</f>
        <v/>
      </c>
      <c r="N272" s="4">
        <f>Data!AH271</f>
        <v/>
      </c>
      <c r="O272" s="4">
        <f>Data!AI271</f>
        <v/>
      </c>
      <c r="P272" s="4">
        <f>Data!AJ271</f>
        <v/>
      </c>
      <c r="Q272" s="4">
        <f>Data!AK271</f>
        <v/>
      </c>
      <c r="R272" s="4">
        <f>Data!AL271</f>
        <v/>
      </c>
    </row>
    <row r="273">
      <c r="A273" s="4">
        <f>Data!A272</f>
        <v/>
      </c>
      <c r="B273" s="4">
        <f>Data!B272</f>
        <v/>
      </c>
      <c r="C273" s="4">
        <f>Data!C272</f>
        <v/>
      </c>
      <c r="D273" s="4">
        <f>Data!I272</f>
        <v/>
      </c>
      <c r="E273" s="4">
        <f>Data!J272</f>
        <v/>
      </c>
      <c r="F273" s="4">
        <f>Data!H272</f>
        <v/>
      </c>
      <c r="G273" s="4">
        <f>SUM(Data!Q272:Data!Y272)</f>
        <v/>
      </c>
      <c r="H273" s="4">
        <f>Data!Z272</f>
        <v/>
      </c>
      <c r="I273" s="4">
        <f>Data!AB272</f>
        <v/>
      </c>
      <c r="J273" s="4">
        <f>Data!AD272</f>
        <v/>
      </c>
      <c r="K273" s="4">
        <f>Data!AE272</f>
        <v/>
      </c>
      <c r="L273" s="4">
        <f>Data!AF272</f>
        <v/>
      </c>
      <c r="M273" s="4">
        <f>Data!AG272</f>
        <v/>
      </c>
      <c r="N273" s="4">
        <f>Data!AH272</f>
        <v/>
      </c>
      <c r="O273" s="4">
        <f>Data!AI272</f>
        <v/>
      </c>
      <c r="P273" s="4">
        <f>Data!AJ272</f>
        <v/>
      </c>
      <c r="Q273" s="4">
        <f>Data!AK272</f>
        <v/>
      </c>
      <c r="R273" s="4">
        <f>Data!AL272</f>
        <v/>
      </c>
    </row>
    <row r="274">
      <c r="A274" s="4">
        <f>Data!A273</f>
        <v/>
      </c>
      <c r="B274" s="4">
        <f>Data!B273</f>
        <v/>
      </c>
      <c r="C274" s="4">
        <f>Data!C273</f>
        <v/>
      </c>
      <c r="D274" s="4">
        <f>Data!I273</f>
        <v/>
      </c>
      <c r="E274" s="4">
        <f>Data!J273</f>
        <v/>
      </c>
      <c r="F274" s="4">
        <f>Data!H273</f>
        <v/>
      </c>
      <c r="G274" s="4">
        <f>SUM(Data!Q273:Data!Y273)</f>
        <v/>
      </c>
      <c r="H274" s="4">
        <f>Data!Z273</f>
        <v/>
      </c>
      <c r="I274" s="4">
        <f>Data!AB273</f>
        <v/>
      </c>
      <c r="J274" s="4">
        <f>Data!AD273</f>
        <v/>
      </c>
      <c r="K274" s="4">
        <f>Data!AE273</f>
        <v/>
      </c>
      <c r="L274" s="4">
        <f>Data!AF273</f>
        <v/>
      </c>
      <c r="M274" s="4">
        <f>Data!AG273</f>
        <v/>
      </c>
      <c r="N274" s="4">
        <f>Data!AH273</f>
        <v/>
      </c>
      <c r="O274" s="4">
        <f>Data!AI273</f>
        <v/>
      </c>
      <c r="P274" s="4">
        <f>Data!AJ273</f>
        <v/>
      </c>
      <c r="Q274" s="4">
        <f>Data!AK273</f>
        <v/>
      </c>
      <c r="R274" s="4">
        <f>Data!AL273</f>
        <v/>
      </c>
    </row>
    <row r="275">
      <c r="A275" s="4">
        <f>Data!A274</f>
        <v/>
      </c>
      <c r="B275" s="4">
        <f>Data!B274</f>
        <v/>
      </c>
      <c r="C275" s="4">
        <f>Data!C274</f>
        <v/>
      </c>
      <c r="D275" s="4">
        <f>Data!I274</f>
        <v/>
      </c>
      <c r="E275" s="4">
        <f>Data!J274</f>
        <v/>
      </c>
      <c r="F275" s="4">
        <f>Data!H274</f>
        <v/>
      </c>
      <c r="G275" s="4">
        <f>SUM(Data!Q274:Data!Y274)</f>
        <v/>
      </c>
      <c r="H275" s="4">
        <f>Data!Z274</f>
        <v/>
      </c>
      <c r="I275" s="4">
        <f>Data!AB274</f>
        <v/>
      </c>
      <c r="J275" s="4">
        <f>Data!AD274</f>
        <v/>
      </c>
      <c r="K275" s="4">
        <f>Data!AE274</f>
        <v/>
      </c>
      <c r="L275" s="4">
        <f>Data!AF274</f>
        <v/>
      </c>
      <c r="M275" s="4">
        <f>Data!AG274</f>
        <v/>
      </c>
      <c r="N275" s="4">
        <f>Data!AH274</f>
        <v/>
      </c>
      <c r="O275" s="4">
        <f>Data!AI274</f>
        <v/>
      </c>
      <c r="P275" s="4">
        <f>Data!AJ274</f>
        <v/>
      </c>
      <c r="Q275" s="4">
        <f>Data!AK274</f>
        <v/>
      </c>
      <c r="R275" s="4">
        <f>Data!AL274</f>
        <v/>
      </c>
    </row>
    <row r="276">
      <c r="A276" s="4">
        <f>Data!A275</f>
        <v/>
      </c>
      <c r="B276" s="4">
        <f>Data!B275</f>
        <v/>
      </c>
      <c r="C276" s="4">
        <f>Data!C275</f>
        <v/>
      </c>
      <c r="D276" s="4">
        <f>Data!I275</f>
        <v/>
      </c>
      <c r="E276" s="4">
        <f>Data!J275</f>
        <v/>
      </c>
      <c r="F276" s="4">
        <f>Data!H275</f>
        <v/>
      </c>
      <c r="G276" s="4">
        <f>SUM(Data!Q275:Data!Y275)</f>
        <v/>
      </c>
      <c r="H276" s="4">
        <f>Data!Z275</f>
        <v/>
      </c>
      <c r="I276" s="4">
        <f>Data!AB275</f>
        <v/>
      </c>
      <c r="J276" s="4">
        <f>Data!AD275</f>
        <v/>
      </c>
      <c r="K276" s="4">
        <f>Data!AE275</f>
        <v/>
      </c>
      <c r="L276" s="4">
        <f>Data!AF275</f>
        <v/>
      </c>
      <c r="M276" s="4">
        <f>Data!AG275</f>
        <v/>
      </c>
      <c r="N276" s="4">
        <f>Data!AH275</f>
        <v/>
      </c>
      <c r="O276" s="4">
        <f>Data!AI275</f>
        <v/>
      </c>
      <c r="P276" s="4">
        <f>Data!AJ275</f>
        <v/>
      </c>
      <c r="Q276" s="4">
        <f>Data!AK275</f>
        <v/>
      </c>
      <c r="R276" s="4">
        <f>Data!AL275</f>
        <v/>
      </c>
    </row>
    <row r="277">
      <c r="A277" s="4">
        <f>Data!A276</f>
        <v/>
      </c>
      <c r="B277" s="4">
        <f>Data!B276</f>
        <v/>
      </c>
      <c r="C277" s="4">
        <f>Data!C276</f>
        <v/>
      </c>
      <c r="D277" s="4">
        <f>Data!I276</f>
        <v/>
      </c>
      <c r="E277" s="4">
        <f>Data!J276</f>
        <v/>
      </c>
      <c r="F277" s="4">
        <f>Data!H276</f>
        <v/>
      </c>
      <c r="G277" s="4">
        <f>SUM(Data!Q276:Data!Y276)</f>
        <v/>
      </c>
      <c r="H277" s="4">
        <f>Data!Z276</f>
        <v/>
      </c>
      <c r="I277" s="4">
        <f>Data!AB276</f>
        <v/>
      </c>
      <c r="J277" s="4">
        <f>Data!AD276</f>
        <v/>
      </c>
      <c r="K277" s="4">
        <f>Data!AE276</f>
        <v/>
      </c>
      <c r="L277" s="4">
        <f>Data!AF276</f>
        <v/>
      </c>
      <c r="M277" s="4">
        <f>Data!AG276</f>
        <v/>
      </c>
      <c r="N277" s="4">
        <f>Data!AH276</f>
        <v/>
      </c>
      <c r="O277" s="4">
        <f>Data!AI276</f>
        <v/>
      </c>
      <c r="P277" s="4">
        <f>Data!AJ276</f>
        <v/>
      </c>
      <c r="Q277" s="4">
        <f>Data!AK276</f>
        <v/>
      </c>
      <c r="R277" s="4">
        <f>Data!AL276</f>
        <v/>
      </c>
    </row>
    <row r="278">
      <c r="A278" s="4">
        <f>Data!A277</f>
        <v/>
      </c>
      <c r="B278" s="4">
        <f>Data!B277</f>
        <v/>
      </c>
      <c r="C278" s="4">
        <f>Data!C277</f>
        <v/>
      </c>
      <c r="D278" s="4">
        <f>Data!I277</f>
        <v/>
      </c>
      <c r="E278" s="4">
        <f>Data!J277</f>
        <v/>
      </c>
      <c r="F278" s="4">
        <f>Data!H277</f>
        <v/>
      </c>
      <c r="G278" s="4">
        <f>SUM(Data!Q277:Data!Y277)</f>
        <v/>
      </c>
      <c r="H278" s="4">
        <f>Data!Z277</f>
        <v/>
      </c>
      <c r="I278" s="4">
        <f>Data!AB277</f>
        <v/>
      </c>
      <c r="J278" s="4">
        <f>Data!AD277</f>
        <v/>
      </c>
      <c r="K278" s="4">
        <f>Data!AE277</f>
        <v/>
      </c>
      <c r="L278" s="4">
        <f>Data!AF277</f>
        <v/>
      </c>
      <c r="M278" s="4">
        <f>Data!AG277</f>
        <v/>
      </c>
      <c r="N278" s="4">
        <f>Data!AH277</f>
        <v/>
      </c>
      <c r="O278" s="4">
        <f>Data!AI277</f>
        <v/>
      </c>
      <c r="P278" s="4">
        <f>Data!AJ277</f>
        <v/>
      </c>
      <c r="Q278" s="4">
        <f>Data!AK277</f>
        <v/>
      </c>
      <c r="R278" s="4">
        <f>Data!AL277</f>
        <v/>
      </c>
    </row>
    <row r="279">
      <c r="A279" s="4">
        <f>Data!A278</f>
        <v/>
      </c>
      <c r="B279" s="4">
        <f>Data!B278</f>
        <v/>
      </c>
      <c r="C279" s="4">
        <f>Data!C278</f>
        <v/>
      </c>
      <c r="D279" s="4">
        <f>Data!I278</f>
        <v/>
      </c>
      <c r="E279" s="4">
        <f>Data!J278</f>
        <v/>
      </c>
      <c r="F279" s="4">
        <f>Data!H278</f>
        <v/>
      </c>
      <c r="G279" s="4">
        <f>SUM(Data!Q278:Data!Y278)</f>
        <v/>
      </c>
      <c r="H279" s="4">
        <f>Data!Z278</f>
        <v/>
      </c>
      <c r="I279" s="4">
        <f>Data!AB278</f>
        <v/>
      </c>
      <c r="J279" s="4">
        <f>Data!AD278</f>
        <v/>
      </c>
      <c r="K279" s="4">
        <f>Data!AE278</f>
        <v/>
      </c>
      <c r="L279" s="4">
        <f>Data!AF278</f>
        <v/>
      </c>
      <c r="M279" s="4">
        <f>Data!AG278</f>
        <v/>
      </c>
      <c r="N279" s="4">
        <f>Data!AH278</f>
        <v/>
      </c>
      <c r="O279" s="4">
        <f>Data!AI278</f>
        <v/>
      </c>
      <c r="P279" s="4">
        <f>Data!AJ278</f>
        <v/>
      </c>
      <c r="Q279" s="4">
        <f>Data!AK278</f>
        <v/>
      </c>
      <c r="R279" s="4">
        <f>Data!AL278</f>
        <v/>
      </c>
    </row>
    <row r="280">
      <c r="A280" s="4">
        <f>Data!A279</f>
        <v/>
      </c>
      <c r="B280" s="4">
        <f>Data!B279</f>
        <v/>
      </c>
      <c r="C280" s="4">
        <f>Data!C279</f>
        <v/>
      </c>
      <c r="D280" s="4">
        <f>Data!I279</f>
        <v/>
      </c>
      <c r="E280" s="4">
        <f>Data!J279</f>
        <v/>
      </c>
      <c r="F280" s="4">
        <f>Data!H279</f>
        <v/>
      </c>
      <c r="G280" s="4">
        <f>SUM(Data!Q279:Data!Y279)</f>
        <v/>
      </c>
      <c r="H280" s="4">
        <f>Data!Z279</f>
        <v/>
      </c>
      <c r="I280" s="4">
        <f>Data!AB279</f>
        <v/>
      </c>
      <c r="J280" s="4">
        <f>Data!AD279</f>
        <v/>
      </c>
      <c r="K280" s="4">
        <f>Data!AE279</f>
        <v/>
      </c>
      <c r="L280" s="4">
        <f>Data!AF279</f>
        <v/>
      </c>
      <c r="M280" s="4">
        <f>Data!AG279</f>
        <v/>
      </c>
      <c r="N280" s="4">
        <f>Data!AH279</f>
        <v/>
      </c>
      <c r="O280" s="4">
        <f>Data!AI279</f>
        <v/>
      </c>
      <c r="P280" s="4">
        <f>Data!AJ279</f>
        <v/>
      </c>
      <c r="Q280" s="4">
        <f>Data!AK279</f>
        <v/>
      </c>
      <c r="R280" s="4">
        <f>Data!AL279</f>
        <v/>
      </c>
    </row>
    <row r="281">
      <c r="A281" s="4">
        <f>Data!A280</f>
        <v/>
      </c>
      <c r="B281" s="4">
        <f>Data!B280</f>
        <v/>
      </c>
      <c r="C281" s="4">
        <f>Data!C280</f>
        <v/>
      </c>
      <c r="D281" s="4">
        <f>Data!I280</f>
        <v/>
      </c>
      <c r="E281" s="4">
        <f>Data!J280</f>
        <v/>
      </c>
      <c r="F281" s="4">
        <f>Data!H280</f>
        <v/>
      </c>
      <c r="G281" s="4">
        <f>SUM(Data!Q280:Data!Y280)</f>
        <v/>
      </c>
      <c r="H281" s="4">
        <f>Data!Z280</f>
        <v/>
      </c>
      <c r="I281" s="4">
        <f>Data!AB280</f>
        <v/>
      </c>
      <c r="J281" s="4">
        <f>Data!AD280</f>
        <v/>
      </c>
      <c r="K281" s="4">
        <f>Data!AE280</f>
        <v/>
      </c>
      <c r="L281" s="4">
        <f>Data!AF280</f>
        <v/>
      </c>
      <c r="M281" s="4">
        <f>Data!AG280</f>
        <v/>
      </c>
      <c r="N281" s="4">
        <f>Data!AH280</f>
        <v/>
      </c>
      <c r="O281" s="4">
        <f>Data!AI280</f>
        <v/>
      </c>
      <c r="P281" s="4">
        <f>Data!AJ280</f>
        <v/>
      </c>
      <c r="Q281" s="4">
        <f>Data!AK280</f>
        <v/>
      </c>
      <c r="R281" s="4">
        <f>Data!AL280</f>
        <v/>
      </c>
    </row>
    <row r="282">
      <c r="A282" s="4">
        <f>Data!A281</f>
        <v/>
      </c>
      <c r="B282" s="4">
        <f>Data!B281</f>
        <v/>
      </c>
      <c r="C282" s="4">
        <f>Data!C281</f>
        <v/>
      </c>
      <c r="D282" s="4">
        <f>Data!I281</f>
        <v/>
      </c>
      <c r="E282" s="4">
        <f>Data!J281</f>
        <v/>
      </c>
      <c r="F282" s="4">
        <f>Data!H281</f>
        <v/>
      </c>
      <c r="G282" s="4">
        <f>SUM(Data!Q281:Data!Y281)</f>
        <v/>
      </c>
      <c r="H282" s="4">
        <f>Data!Z281</f>
        <v/>
      </c>
      <c r="I282" s="4">
        <f>Data!AB281</f>
        <v/>
      </c>
      <c r="J282" s="4">
        <f>Data!AD281</f>
        <v/>
      </c>
      <c r="K282" s="4">
        <f>Data!AE281</f>
        <v/>
      </c>
      <c r="L282" s="4">
        <f>Data!AF281</f>
        <v/>
      </c>
      <c r="M282" s="4">
        <f>Data!AG281</f>
        <v/>
      </c>
      <c r="N282" s="4">
        <f>Data!AH281</f>
        <v/>
      </c>
      <c r="O282" s="4">
        <f>Data!AI281</f>
        <v/>
      </c>
      <c r="P282" s="4">
        <f>Data!AJ281</f>
        <v/>
      </c>
      <c r="Q282" s="4">
        <f>Data!AK281</f>
        <v/>
      </c>
      <c r="R282" s="4">
        <f>Data!AL281</f>
        <v/>
      </c>
    </row>
    <row r="283">
      <c r="A283" s="4">
        <f>Data!A282</f>
        <v/>
      </c>
      <c r="B283" s="4">
        <f>Data!B282</f>
        <v/>
      </c>
      <c r="C283" s="4">
        <f>Data!C282</f>
        <v/>
      </c>
      <c r="D283" s="4">
        <f>Data!I282</f>
        <v/>
      </c>
      <c r="E283" s="4">
        <f>Data!J282</f>
        <v/>
      </c>
      <c r="F283" s="4">
        <f>Data!H282</f>
        <v/>
      </c>
      <c r="G283" s="4">
        <f>SUM(Data!Q282:Data!Y282)</f>
        <v/>
      </c>
      <c r="H283" s="4">
        <f>Data!Z282</f>
        <v/>
      </c>
      <c r="I283" s="4">
        <f>Data!AB282</f>
        <v/>
      </c>
      <c r="J283" s="4">
        <f>Data!AD282</f>
        <v/>
      </c>
      <c r="K283" s="4">
        <f>Data!AE282</f>
        <v/>
      </c>
      <c r="L283" s="4">
        <f>Data!AF282</f>
        <v/>
      </c>
      <c r="M283" s="4">
        <f>Data!AG282</f>
        <v/>
      </c>
      <c r="N283" s="4">
        <f>Data!AH282</f>
        <v/>
      </c>
      <c r="O283" s="4">
        <f>Data!AI282</f>
        <v/>
      </c>
      <c r="P283" s="4">
        <f>Data!AJ282</f>
        <v/>
      </c>
      <c r="Q283" s="4">
        <f>Data!AK282</f>
        <v/>
      </c>
      <c r="R283" s="4">
        <f>Data!AL282</f>
        <v/>
      </c>
    </row>
    <row r="284">
      <c r="A284" s="4">
        <f>Data!A283</f>
        <v/>
      </c>
      <c r="B284" s="4">
        <f>Data!B283</f>
        <v/>
      </c>
      <c r="C284" s="4">
        <f>Data!C283</f>
        <v/>
      </c>
      <c r="D284" s="4">
        <f>Data!I283</f>
        <v/>
      </c>
      <c r="E284" s="4">
        <f>Data!J283</f>
        <v/>
      </c>
      <c r="F284" s="4">
        <f>Data!H283</f>
        <v/>
      </c>
      <c r="G284" s="4">
        <f>SUM(Data!Q283:Data!Y283)</f>
        <v/>
      </c>
      <c r="H284" s="4">
        <f>Data!Z283</f>
        <v/>
      </c>
      <c r="I284" s="4">
        <f>Data!AB283</f>
        <v/>
      </c>
      <c r="J284" s="4">
        <f>Data!AD283</f>
        <v/>
      </c>
      <c r="K284" s="4">
        <f>Data!AE283</f>
        <v/>
      </c>
      <c r="L284" s="4">
        <f>Data!AF283</f>
        <v/>
      </c>
      <c r="M284" s="4">
        <f>Data!AG283</f>
        <v/>
      </c>
      <c r="N284" s="4">
        <f>Data!AH283</f>
        <v/>
      </c>
      <c r="O284" s="4">
        <f>Data!AI283</f>
        <v/>
      </c>
      <c r="P284" s="4">
        <f>Data!AJ283</f>
        <v/>
      </c>
      <c r="Q284" s="4">
        <f>Data!AK283</f>
        <v/>
      </c>
      <c r="R284" s="4">
        <f>Data!AL283</f>
        <v/>
      </c>
    </row>
    <row r="285">
      <c r="A285" s="4">
        <f>Data!A284</f>
        <v/>
      </c>
      <c r="B285" s="4">
        <f>Data!B284</f>
        <v/>
      </c>
      <c r="C285" s="4">
        <f>Data!C284</f>
        <v/>
      </c>
      <c r="D285" s="4">
        <f>Data!I284</f>
        <v/>
      </c>
      <c r="E285" s="4">
        <f>Data!J284</f>
        <v/>
      </c>
      <c r="F285" s="4">
        <f>Data!H284</f>
        <v/>
      </c>
      <c r="G285" s="4">
        <f>SUM(Data!Q284:Data!Y284)</f>
        <v/>
      </c>
      <c r="H285" s="4">
        <f>Data!Z284</f>
        <v/>
      </c>
      <c r="I285" s="4">
        <f>Data!AB284</f>
        <v/>
      </c>
      <c r="J285" s="4">
        <f>Data!AD284</f>
        <v/>
      </c>
      <c r="K285" s="4">
        <f>Data!AE284</f>
        <v/>
      </c>
      <c r="L285" s="4">
        <f>Data!AF284</f>
        <v/>
      </c>
      <c r="M285" s="4">
        <f>Data!AG284</f>
        <v/>
      </c>
      <c r="N285" s="4">
        <f>Data!AH284</f>
        <v/>
      </c>
      <c r="O285" s="4">
        <f>Data!AI284</f>
        <v/>
      </c>
      <c r="P285" s="4">
        <f>Data!AJ284</f>
        <v/>
      </c>
      <c r="Q285" s="4">
        <f>Data!AK284</f>
        <v/>
      </c>
      <c r="R285" s="4">
        <f>Data!AL284</f>
        <v/>
      </c>
    </row>
    <row r="286">
      <c r="A286" s="4">
        <f>Data!A285</f>
        <v/>
      </c>
      <c r="B286" s="4">
        <f>Data!B285</f>
        <v/>
      </c>
      <c r="C286" s="4">
        <f>Data!C285</f>
        <v/>
      </c>
      <c r="D286" s="4">
        <f>Data!I285</f>
        <v/>
      </c>
      <c r="E286" s="4">
        <f>Data!J285</f>
        <v/>
      </c>
      <c r="F286" s="4">
        <f>Data!H285</f>
        <v/>
      </c>
      <c r="G286" s="4">
        <f>SUM(Data!Q285:Data!Y285)</f>
        <v/>
      </c>
      <c r="H286" s="4">
        <f>Data!Z285</f>
        <v/>
      </c>
      <c r="I286" s="4">
        <f>Data!AB285</f>
        <v/>
      </c>
      <c r="J286" s="4">
        <f>Data!AD285</f>
        <v/>
      </c>
      <c r="K286" s="4">
        <f>Data!AE285</f>
        <v/>
      </c>
      <c r="L286" s="4">
        <f>Data!AF285</f>
        <v/>
      </c>
      <c r="M286" s="4">
        <f>Data!AG285</f>
        <v/>
      </c>
      <c r="N286" s="4">
        <f>Data!AH285</f>
        <v/>
      </c>
      <c r="O286" s="4">
        <f>Data!AI285</f>
        <v/>
      </c>
      <c r="P286" s="4">
        <f>Data!AJ285</f>
        <v/>
      </c>
      <c r="Q286" s="4">
        <f>Data!AK285</f>
        <v/>
      </c>
      <c r="R286" s="4">
        <f>Data!AL285</f>
        <v/>
      </c>
    </row>
    <row r="287">
      <c r="A287" s="4">
        <f>Data!A286</f>
        <v/>
      </c>
      <c r="B287" s="4">
        <f>Data!B286</f>
        <v/>
      </c>
      <c r="C287" s="4">
        <f>Data!C286</f>
        <v/>
      </c>
      <c r="D287" s="4">
        <f>Data!I286</f>
        <v/>
      </c>
      <c r="E287" s="4">
        <f>Data!J286</f>
        <v/>
      </c>
      <c r="F287" s="4">
        <f>Data!H286</f>
        <v/>
      </c>
      <c r="G287" s="4">
        <f>SUM(Data!Q286:Data!Y286)</f>
        <v/>
      </c>
      <c r="H287" s="4">
        <f>Data!Z286</f>
        <v/>
      </c>
      <c r="I287" s="4">
        <f>Data!AB286</f>
        <v/>
      </c>
      <c r="J287" s="4">
        <f>Data!AD286</f>
        <v/>
      </c>
      <c r="K287" s="4">
        <f>Data!AE286</f>
        <v/>
      </c>
      <c r="L287" s="4">
        <f>Data!AF286</f>
        <v/>
      </c>
      <c r="M287" s="4">
        <f>Data!AG286</f>
        <v/>
      </c>
      <c r="N287" s="4">
        <f>Data!AH286</f>
        <v/>
      </c>
      <c r="O287" s="4">
        <f>Data!AI286</f>
        <v/>
      </c>
      <c r="P287" s="4">
        <f>Data!AJ286</f>
        <v/>
      </c>
      <c r="Q287" s="4">
        <f>Data!AK286</f>
        <v/>
      </c>
      <c r="R287" s="4">
        <f>Data!AL286</f>
        <v/>
      </c>
    </row>
    <row r="288">
      <c r="A288" s="4">
        <f>Data!A287</f>
        <v/>
      </c>
      <c r="B288" s="4">
        <f>Data!B287</f>
        <v/>
      </c>
      <c r="C288" s="4">
        <f>Data!C287</f>
        <v/>
      </c>
      <c r="D288" s="4">
        <f>Data!I287</f>
        <v/>
      </c>
      <c r="E288" s="4">
        <f>Data!J287</f>
        <v/>
      </c>
      <c r="F288" s="4">
        <f>Data!H287</f>
        <v/>
      </c>
      <c r="G288" s="4">
        <f>SUM(Data!Q287:Data!Y287)</f>
        <v/>
      </c>
      <c r="H288" s="4">
        <f>Data!Z287</f>
        <v/>
      </c>
      <c r="I288" s="4">
        <f>Data!AB287</f>
        <v/>
      </c>
      <c r="J288" s="4">
        <f>Data!AD287</f>
        <v/>
      </c>
      <c r="K288" s="4">
        <f>Data!AE287</f>
        <v/>
      </c>
      <c r="L288" s="4">
        <f>Data!AF287</f>
        <v/>
      </c>
      <c r="M288" s="4">
        <f>Data!AG287</f>
        <v/>
      </c>
      <c r="N288" s="4">
        <f>Data!AH287</f>
        <v/>
      </c>
      <c r="O288" s="4">
        <f>Data!AI287</f>
        <v/>
      </c>
      <c r="P288" s="4">
        <f>Data!AJ287</f>
        <v/>
      </c>
      <c r="Q288" s="4">
        <f>Data!AK287</f>
        <v/>
      </c>
      <c r="R288" s="4">
        <f>Data!AL287</f>
        <v/>
      </c>
    </row>
    <row r="289">
      <c r="A289" s="4">
        <f>Data!A288</f>
        <v/>
      </c>
      <c r="B289" s="4">
        <f>Data!B288</f>
        <v/>
      </c>
      <c r="C289" s="4">
        <f>Data!C288</f>
        <v/>
      </c>
      <c r="D289" s="4">
        <f>Data!I288</f>
        <v/>
      </c>
      <c r="E289" s="4">
        <f>Data!J288</f>
        <v/>
      </c>
      <c r="F289" s="4">
        <f>Data!H288</f>
        <v/>
      </c>
      <c r="G289" s="4">
        <f>SUM(Data!Q288:Data!Y288)</f>
        <v/>
      </c>
      <c r="H289" s="4">
        <f>Data!Z288</f>
        <v/>
      </c>
      <c r="I289" s="4">
        <f>Data!AB288</f>
        <v/>
      </c>
      <c r="J289" s="4">
        <f>Data!AD288</f>
        <v/>
      </c>
      <c r="K289" s="4">
        <f>Data!AE288</f>
        <v/>
      </c>
      <c r="L289" s="4">
        <f>Data!AF288</f>
        <v/>
      </c>
      <c r="M289" s="4">
        <f>Data!AG288</f>
        <v/>
      </c>
      <c r="N289" s="4">
        <f>Data!AH288</f>
        <v/>
      </c>
      <c r="O289" s="4">
        <f>Data!AI288</f>
        <v/>
      </c>
      <c r="P289" s="4">
        <f>Data!AJ288</f>
        <v/>
      </c>
      <c r="Q289" s="4">
        <f>Data!AK288</f>
        <v/>
      </c>
      <c r="R289" s="4">
        <f>Data!AL288</f>
        <v/>
      </c>
    </row>
    <row r="290">
      <c r="A290" s="4">
        <f>Data!A289</f>
        <v/>
      </c>
      <c r="B290" s="4">
        <f>Data!B289</f>
        <v/>
      </c>
      <c r="C290" s="4">
        <f>Data!C289</f>
        <v/>
      </c>
      <c r="D290" s="4">
        <f>Data!I289</f>
        <v/>
      </c>
      <c r="E290" s="4">
        <f>Data!J289</f>
        <v/>
      </c>
      <c r="F290" s="4">
        <f>Data!H289</f>
        <v/>
      </c>
      <c r="G290" s="4">
        <f>SUM(Data!Q289:Data!Y289)</f>
        <v/>
      </c>
      <c r="H290" s="4">
        <f>Data!Z289</f>
        <v/>
      </c>
      <c r="I290" s="4">
        <f>Data!AB289</f>
        <v/>
      </c>
      <c r="J290" s="4">
        <f>Data!AD289</f>
        <v/>
      </c>
      <c r="K290" s="4">
        <f>Data!AE289</f>
        <v/>
      </c>
      <c r="L290" s="4">
        <f>Data!AF289</f>
        <v/>
      </c>
      <c r="M290" s="4">
        <f>Data!AG289</f>
        <v/>
      </c>
      <c r="N290" s="4">
        <f>Data!AH289</f>
        <v/>
      </c>
      <c r="O290" s="4">
        <f>Data!AI289</f>
        <v/>
      </c>
      <c r="P290" s="4">
        <f>Data!AJ289</f>
        <v/>
      </c>
      <c r="Q290" s="4">
        <f>Data!AK289</f>
        <v/>
      </c>
      <c r="R290" s="4">
        <f>Data!AL289</f>
        <v/>
      </c>
    </row>
    <row r="291">
      <c r="A291" s="4">
        <f>Data!A290</f>
        <v/>
      </c>
      <c r="B291" s="4">
        <f>Data!B290</f>
        <v/>
      </c>
      <c r="C291" s="4">
        <f>Data!C290</f>
        <v/>
      </c>
      <c r="D291" s="4">
        <f>Data!I290</f>
        <v/>
      </c>
      <c r="E291" s="4">
        <f>Data!J290</f>
        <v/>
      </c>
      <c r="F291" s="4">
        <f>Data!H290</f>
        <v/>
      </c>
      <c r="G291" s="4">
        <f>SUM(Data!Q290:Data!Y290)</f>
        <v/>
      </c>
      <c r="H291" s="4">
        <f>Data!Z290</f>
        <v/>
      </c>
      <c r="I291" s="4">
        <f>Data!AB290</f>
        <v/>
      </c>
      <c r="J291" s="4">
        <f>Data!AD290</f>
        <v/>
      </c>
      <c r="K291" s="4">
        <f>Data!AE290</f>
        <v/>
      </c>
      <c r="L291" s="4">
        <f>Data!AF290</f>
        <v/>
      </c>
      <c r="M291" s="4">
        <f>Data!AG290</f>
        <v/>
      </c>
      <c r="N291" s="4">
        <f>Data!AH290</f>
        <v/>
      </c>
      <c r="O291" s="4">
        <f>Data!AI290</f>
        <v/>
      </c>
      <c r="P291" s="4">
        <f>Data!AJ290</f>
        <v/>
      </c>
      <c r="Q291" s="4">
        <f>Data!AK290</f>
        <v/>
      </c>
      <c r="R291" s="4">
        <f>Data!AL290</f>
        <v/>
      </c>
    </row>
    <row r="292">
      <c r="A292" s="4">
        <f>Data!A291</f>
        <v/>
      </c>
      <c r="B292" s="4">
        <f>Data!B291</f>
        <v/>
      </c>
      <c r="C292" s="4">
        <f>Data!C291</f>
        <v/>
      </c>
      <c r="D292" s="4">
        <f>Data!I291</f>
        <v/>
      </c>
      <c r="E292" s="4">
        <f>Data!J291</f>
        <v/>
      </c>
      <c r="F292" s="4">
        <f>Data!H291</f>
        <v/>
      </c>
      <c r="G292" s="4">
        <f>SUM(Data!Q291:Data!Y291)</f>
        <v/>
      </c>
      <c r="H292" s="4">
        <f>Data!Z291</f>
        <v/>
      </c>
      <c r="I292" s="4">
        <f>Data!AB291</f>
        <v/>
      </c>
      <c r="J292" s="4">
        <f>Data!AD291</f>
        <v/>
      </c>
      <c r="K292" s="4">
        <f>Data!AE291</f>
        <v/>
      </c>
      <c r="L292" s="4">
        <f>Data!AF291</f>
        <v/>
      </c>
      <c r="M292" s="4">
        <f>Data!AG291</f>
        <v/>
      </c>
      <c r="N292" s="4">
        <f>Data!AH291</f>
        <v/>
      </c>
      <c r="O292" s="4">
        <f>Data!AI291</f>
        <v/>
      </c>
      <c r="P292" s="4">
        <f>Data!AJ291</f>
        <v/>
      </c>
      <c r="Q292" s="4">
        <f>Data!AK291</f>
        <v/>
      </c>
      <c r="R292" s="4">
        <f>Data!AL291</f>
        <v/>
      </c>
    </row>
    <row r="293">
      <c r="A293" s="4">
        <f>Data!A292</f>
        <v/>
      </c>
      <c r="B293" s="4">
        <f>Data!B292</f>
        <v/>
      </c>
      <c r="C293" s="4">
        <f>Data!C292</f>
        <v/>
      </c>
      <c r="D293" s="4">
        <f>Data!I292</f>
        <v/>
      </c>
      <c r="E293" s="4">
        <f>Data!J292</f>
        <v/>
      </c>
      <c r="F293" s="4">
        <f>Data!H292</f>
        <v/>
      </c>
      <c r="G293" s="4">
        <f>SUM(Data!Q292:Data!Y292)</f>
        <v/>
      </c>
      <c r="H293" s="4">
        <f>Data!Z292</f>
        <v/>
      </c>
      <c r="I293" s="4">
        <f>Data!AB292</f>
        <v/>
      </c>
      <c r="J293" s="4">
        <f>Data!AD292</f>
        <v/>
      </c>
      <c r="K293" s="4">
        <f>Data!AE292</f>
        <v/>
      </c>
      <c r="L293" s="4">
        <f>Data!AF292</f>
        <v/>
      </c>
      <c r="M293" s="4">
        <f>Data!AG292</f>
        <v/>
      </c>
      <c r="N293" s="4">
        <f>Data!AH292</f>
        <v/>
      </c>
      <c r="O293" s="4">
        <f>Data!AI292</f>
        <v/>
      </c>
      <c r="P293" s="4">
        <f>Data!AJ292</f>
        <v/>
      </c>
      <c r="Q293" s="4">
        <f>Data!AK292</f>
        <v/>
      </c>
      <c r="R293" s="4">
        <f>Data!AL292</f>
        <v/>
      </c>
    </row>
    <row r="294">
      <c r="A294" s="4">
        <f>Data!A293</f>
        <v/>
      </c>
      <c r="B294" s="4">
        <f>Data!B293</f>
        <v/>
      </c>
      <c r="C294" s="4">
        <f>Data!C293</f>
        <v/>
      </c>
      <c r="D294" s="4">
        <f>Data!I293</f>
        <v/>
      </c>
      <c r="E294" s="4">
        <f>Data!J293</f>
        <v/>
      </c>
      <c r="F294" s="4">
        <f>Data!H293</f>
        <v/>
      </c>
      <c r="G294" s="4">
        <f>SUM(Data!Q293:Data!Y293)</f>
        <v/>
      </c>
      <c r="H294" s="4">
        <f>Data!Z293</f>
        <v/>
      </c>
      <c r="I294" s="4">
        <f>Data!AB293</f>
        <v/>
      </c>
      <c r="J294" s="4">
        <f>Data!AD293</f>
        <v/>
      </c>
      <c r="K294" s="4">
        <f>Data!AE293</f>
        <v/>
      </c>
      <c r="L294" s="4">
        <f>Data!AF293</f>
        <v/>
      </c>
      <c r="M294" s="4">
        <f>Data!AG293</f>
        <v/>
      </c>
      <c r="N294" s="4">
        <f>Data!AH293</f>
        <v/>
      </c>
      <c r="O294" s="4">
        <f>Data!AI293</f>
        <v/>
      </c>
      <c r="P294" s="4">
        <f>Data!AJ293</f>
        <v/>
      </c>
      <c r="Q294" s="4">
        <f>Data!AK293</f>
        <v/>
      </c>
      <c r="R294" s="4">
        <f>Data!AL293</f>
        <v/>
      </c>
    </row>
    <row r="295">
      <c r="A295" s="4">
        <f>Data!A294</f>
        <v/>
      </c>
      <c r="B295" s="4">
        <f>Data!B294</f>
        <v/>
      </c>
      <c r="C295" s="4">
        <f>Data!C294</f>
        <v/>
      </c>
      <c r="D295" s="4">
        <f>Data!I294</f>
        <v/>
      </c>
      <c r="E295" s="4">
        <f>Data!J294</f>
        <v/>
      </c>
      <c r="F295" s="4">
        <f>Data!H294</f>
        <v/>
      </c>
      <c r="G295" s="4">
        <f>SUM(Data!Q294:Data!Y294)</f>
        <v/>
      </c>
      <c r="H295" s="4">
        <f>Data!Z294</f>
        <v/>
      </c>
      <c r="I295" s="4">
        <f>Data!AB294</f>
        <v/>
      </c>
      <c r="J295" s="4">
        <f>Data!AD294</f>
        <v/>
      </c>
      <c r="K295" s="4">
        <f>Data!AE294</f>
        <v/>
      </c>
      <c r="L295" s="4">
        <f>Data!AF294</f>
        <v/>
      </c>
      <c r="M295" s="4">
        <f>Data!AG294</f>
        <v/>
      </c>
      <c r="N295" s="4">
        <f>Data!AH294</f>
        <v/>
      </c>
      <c r="O295" s="4">
        <f>Data!AI294</f>
        <v/>
      </c>
      <c r="P295" s="4">
        <f>Data!AJ294</f>
        <v/>
      </c>
      <c r="Q295" s="4">
        <f>Data!AK294</f>
        <v/>
      </c>
      <c r="R295" s="4">
        <f>Data!AL294</f>
        <v/>
      </c>
    </row>
    <row r="296">
      <c r="A296" s="4">
        <f>Data!A295</f>
        <v/>
      </c>
      <c r="B296" s="4">
        <f>Data!B295</f>
        <v/>
      </c>
      <c r="C296" s="4">
        <f>Data!C295</f>
        <v/>
      </c>
      <c r="D296" s="4">
        <f>Data!I295</f>
        <v/>
      </c>
      <c r="E296" s="4">
        <f>Data!J295</f>
        <v/>
      </c>
      <c r="F296" s="4">
        <f>Data!H295</f>
        <v/>
      </c>
      <c r="G296" s="4">
        <f>SUM(Data!Q295:Data!Y295)</f>
        <v/>
      </c>
      <c r="H296" s="4">
        <f>Data!Z295</f>
        <v/>
      </c>
      <c r="I296" s="4">
        <f>Data!AB295</f>
        <v/>
      </c>
      <c r="J296" s="4">
        <f>Data!AD295</f>
        <v/>
      </c>
      <c r="K296" s="4">
        <f>Data!AE295</f>
        <v/>
      </c>
      <c r="L296" s="4">
        <f>Data!AF295</f>
        <v/>
      </c>
      <c r="M296" s="4">
        <f>Data!AG295</f>
        <v/>
      </c>
      <c r="N296" s="4">
        <f>Data!AH295</f>
        <v/>
      </c>
      <c r="O296" s="4">
        <f>Data!AI295</f>
        <v/>
      </c>
      <c r="P296" s="4">
        <f>Data!AJ295</f>
        <v/>
      </c>
      <c r="Q296" s="4">
        <f>Data!AK295</f>
        <v/>
      </c>
      <c r="R296" s="4">
        <f>Data!AL295</f>
        <v/>
      </c>
    </row>
    <row r="297">
      <c r="A297" s="4">
        <f>Data!A296</f>
        <v/>
      </c>
      <c r="B297" s="4">
        <f>Data!B296</f>
        <v/>
      </c>
      <c r="C297" s="4">
        <f>Data!C296</f>
        <v/>
      </c>
      <c r="D297" s="4">
        <f>Data!I296</f>
        <v/>
      </c>
      <c r="E297" s="4">
        <f>Data!J296</f>
        <v/>
      </c>
      <c r="F297" s="4">
        <f>Data!H296</f>
        <v/>
      </c>
      <c r="G297" s="4">
        <f>SUM(Data!Q296:Data!Y296)</f>
        <v/>
      </c>
      <c r="H297" s="4">
        <f>Data!Z296</f>
        <v/>
      </c>
      <c r="I297" s="4">
        <f>Data!AB296</f>
        <v/>
      </c>
      <c r="J297" s="4">
        <f>Data!AD296</f>
        <v/>
      </c>
      <c r="K297" s="4">
        <f>Data!AE296</f>
        <v/>
      </c>
      <c r="L297" s="4">
        <f>Data!AF296</f>
        <v/>
      </c>
      <c r="M297" s="4">
        <f>Data!AG296</f>
        <v/>
      </c>
      <c r="N297" s="4">
        <f>Data!AH296</f>
        <v/>
      </c>
      <c r="O297" s="4">
        <f>Data!AI296</f>
        <v/>
      </c>
      <c r="P297" s="4">
        <f>Data!AJ296</f>
        <v/>
      </c>
      <c r="Q297" s="4">
        <f>Data!AK296</f>
        <v/>
      </c>
      <c r="R297" s="4">
        <f>Data!AL296</f>
        <v/>
      </c>
    </row>
    <row r="298">
      <c r="A298" s="4">
        <f>Data!A297</f>
        <v/>
      </c>
      <c r="B298" s="4">
        <f>Data!B297</f>
        <v/>
      </c>
      <c r="C298" s="4">
        <f>Data!C297</f>
        <v/>
      </c>
      <c r="D298" s="4">
        <f>Data!I297</f>
        <v/>
      </c>
      <c r="E298" s="4">
        <f>Data!J297</f>
        <v/>
      </c>
      <c r="F298" s="4">
        <f>Data!H297</f>
        <v/>
      </c>
      <c r="G298" s="4">
        <f>SUM(Data!Q297:Data!Y297)</f>
        <v/>
      </c>
      <c r="H298" s="4">
        <f>Data!Z297</f>
        <v/>
      </c>
      <c r="I298" s="4">
        <f>Data!AB297</f>
        <v/>
      </c>
      <c r="J298" s="4">
        <f>Data!AD297</f>
        <v/>
      </c>
      <c r="K298" s="4">
        <f>Data!AE297</f>
        <v/>
      </c>
      <c r="L298" s="4">
        <f>Data!AF297</f>
        <v/>
      </c>
      <c r="M298" s="4">
        <f>Data!AG297</f>
        <v/>
      </c>
      <c r="N298" s="4">
        <f>Data!AH297</f>
        <v/>
      </c>
      <c r="O298" s="4">
        <f>Data!AI297</f>
        <v/>
      </c>
      <c r="P298" s="4">
        <f>Data!AJ297</f>
        <v/>
      </c>
      <c r="Q298" s="4">
        <f>Data!AK297</f>
        <v/>
      </c>
      <c r="R298" s="4">
        <f>Data!AL297</f>
        <v/>
      </c>
    </row>
    <row r="299">
      <c r="A299" s="4">
        <f>Data!A298</f>
        <v/>
      </c>
      <c r="B299" s="4">
        <f>Data!B298</f>
        <v/>
      </c>
      <c r="C299" s="4">
        <f>Data!C298</f>
        <v/>
      </c>
      <c r="D299" s="4">
        <f>Data!I298</f>
        <v/>
      </c>
      <c r="E299" s="4">
        <f>Data!J298</f>
        <v/>
      </c>
      <c r="F299" s="4">
        <f>Data!H298</f>
        <v/>
      </c>
      <c r="G299" s="4">
        <f>SUM(Data!Q298:Data!Y298)</f>
        <v/>
      </c>
      <c r="H299" s="4">
        <f>Data!Z298</f>
        <v/>
      </c>
      <c r="I299" s="4">
        <f>Data!AB298</f>
        <v/>
      </c>
      <c r="J299" s="4">
        <f>Data!AD298</f>
        <v/>
      </c>
      <c r="K299" s="4">
        <f>Data!AE298</f>
        <v/>
      </c>
      <c r="L299" s="4">
        <f>Data!AF298</f>
        <v/>
      </c>
      <c r="M299" s="4">
        <f>Data!AG298</f>
        <v/>
      </c>
      <c r="N299" s="4">
        <f>Data!AH298</f>
        <v/>
      </c>
      <c r="O299" s="4">
        <f>Data!AI298</f>
        <v/>
      </c>
      <c r="P299" s="4">
        <f>Data!AJ298</f>
        <v/>
      </c>
      <c r="Q299" s="4">
        <f>Data!AK298</f>
        <v/>
      </c>
      <c r="R299" s="4">
        <f>Data!AL298</f>
        <v/>
      </c>
    </row>
    <row r="300">
      <c r="A300" s="4">
        <f>Data!A299</f>
        <v/>
      </c>
      <c r="B300" s="4">
        <f>Data!B299</f>
        <v/>
      </c>
      <c r="C300" s="4">
        <f>Data!C299</f>
        <v/>
      </c>
      <c r="D300" s="4">
        <f>Data!I299</f>
        <v/>
      </c>
      <c r="E300" s="4">
        <f>Data!J299</f>
        <v/>
      </c>
      <c r="F300" s="4">
        <f>Data!H299</f>
        <v/>
      </c>
      <c r="G300" s="4">
        <f>SUM(Data!Q299:Data!Y299)</f>
        <v/>
      </c>
      <c r="H300" s="4">
        <f>Data!Z299</f>
        <v/>
      </c>
      <c r="I300" s="4">
        <f>Data!AB299</f>
        <v/>
      </c>
      <c r="J300" s="4">
        <f>Data!AD299</f>
        <v/>
      </c>
      <c r="K300" s="4">
        <f>Data!AE299</f>
        <v/>
      </c>
      <c r="L300" s="4">
        <f>Data!AF299</f>
        <v/>
      </c>
      <c r="M300" s="4">
        <f>Data!AG299</f>
        <v/>
      </c>
      <c r="N300" s="4">
        <f>Data!AH299</f>
        <v/>
      </c>
      <c r="O300" s="4">
        <f>Data!AI299</f>
        <v/>
      </c>
      <c r="P300" s="4">
        <f>Data!AJ299</f>
        <v/>
      </c>
      <c r="Q300" s="4">
        <f>Data!AK299</f>
        <v/>
      </c>
      <c r="R300" s="4">
        <f>Data!AL299</f>
        <v/>
      </c>
    </row>
    <row r="301">
      <c r="A301" s="4">
        <f>Data!A300</f>
        <v/>
      </c>
      <c r="B301" s="4">
        <f>Data!B300</f>
        <v/>
      </c>
      <c r="C301" s="4">
        <f>Data!C300</f>
        <v/>
      </c>
      <c r="D301" s="4">
        <f>Data!I300</f>
        <v/>
      </c>
      <c r="E301" s="4">
        <f>Data!J300</f>
        <v/>
      </c>
      <c r="F301" s="4">
        <f>Data!H300</f>
        <v/>
      </c>
      <c r="G301" s="4">
        <f>SUM(Data!Q300:Data!Y300)</f>
        <v/>
      </c>
      <c r="H301" s="4">
        <f>Data!Z300</f>
        <v/>
      </c>
      <c r="I301" s="4">
        <f>Data!AB300</f>
        <v/>
      </c>
      <c r="J301" s="4">
        <f>Data!AD300</f>
        <v/>
      </c>
      <c r="K301" s="4">
        <f>Data!AE300</f>
        <v/>
      </c>
      <c r="L301" s="4">
        <f>Data!AF300</f>
        <v/>
      </c>
      <c r="M301" s="4">
        <f>Data!AG300</f>
        <v/>
      </c>
      <c r="N301" s="4">
        <f>Data!AH300</f>
        <v/>
      </c>
      <c r="O301" s="4">
        <f>Data!AI300</f>
        <v/>
      </c>
      <c r="P301" s="4">
        <f>Data!AJ300</f>
        <v/>
      </c>
      <c r="Q301" s="4">
        <f>Data!AK300</f>
        <v/>
      </c>
      <c r="R301" s="4">
        <f>Data!AL300</f>
        <v/>
      </c>
    </row>
    <row r="302">
      <c r="A302" s="4">
        <f>Data!A301</f>
        <v/>
      </c>
      <c r="B302" s="4">
        <f>Data!B301</f>
        <v/>
      </c>
      <c r="C302" s="4">
        <f>Data!C301</f>
        <v/>
      </c>
      <c r="D302" s="4">
        <f>Data!I301</f>
        <v/>
      </c>
      <c r="E302" s="4">
        <f>Data!J301</f>
        <v/>
      </c>
      <c r="F302" s="4">
        <f>Data!H301</f>
        <v/>
      </c>
      <c r="G302" s="4">
        <f>SUM(Data!Q301:Data!Y301)</f>
        <v/>
      </c>
      <c r="H302" s="4">
        <f>Data!Z301</f>
        <v/>
      </c>
      <c r="I302" s="4">
        <f>Data!AB301</f>
        <v/>
      </c>
      <c r="J302" s="4">
        <f>Data!AD301</f>
        <v/>
      </c>
      <c r="K302" s="4">
        <f>Data!AE301</f>
        <v/>
      </c>
      <c r="L302" s="4">
        <f>Data!AF301</f>
        <v/>
      </c>
      <c r="M302" s="4">
        <f>Data!AG301</f>
        <v/>
      </c>
      <c r="N302" s="4">
        <f>Data!AH301</f>
        <v/>
      </c>
      <c r="O302" s="4">
        <f>Data!AI301</f>
        <v/>
      </c>
      <c r="P302" s="4">
        <f>Data!AJ301</f>
        <v/>
      </c>
      <c r="Q302" s="4">
        <f>Data!AK301</f>
        <v/>
      </c>
      <c r="R302" s="4">
        <f>Data!AL301</f>
        <v/>
      </c>
    </row>
    <row r="303">
      <c r="A303" s="4">
        <f>Data!A302</f>
        <v/>
      </c>
      <c r="B303" s="4">
        <f>Data!B302</f>
        <v/>
      </c>
      <c r="C303" s="4">
        <f>Data!C302</f>
        <v/>
      </c>
      <c r="D303" s="4">
        <f>Data!I302</f>
        <v/>
      </c>
      <c r="E303" s="4">
        <f>Data!J302</f>
        <v/>
      </c>
      <c r="F303" s="4">
        <f>Data!H302</f>
        <v/>
      </c>
      <c r="G303" s="4">
        <f>SUM(Data!Q302:Data!Y302)</f>
        <v/>
      </c>
      <c r="H303" s="4">
        <f>Data!Z302</f>
        <v/>
      </c>
      <c r="I303" s="4">
        <f>Data!AB302</f>
        <v/>
      </c>
      <c r="J303" s="4">
        <f>Data!AD302</f>
        <v/>
      </c>
      <c r="K303" s="4">
        <f>Data!AE302</f>
        <v/>
      </c>
      <c r="L303" s="4">
        <f>Data!AF302</f>
        <v/>
      </c>
      <c r="M303" s="4">
        <f>Data!AG302</f>
        <v/>
      </c>
      <c r="N303" s="4">
        <f>Data!AH302</f>
        <v/>
      </c>
      <c r="O303" s="4">
        <f>Data!AI302</f>
        <v/>
      </c>
      <c r="P303" s="4">
        <f>Data!AJ302</f>
        <v/>
      </c>
      <c r="Q303" s="4">
        <f>Data!AK302</f>
        <v/>
      </c>
      <c r="R303" s="4">
        <f>Data!AL302</f>
        <v/>
      </c>
    </row>
    <row r="304">
      <c r="A304" s="4">
        <f>Data!A303</f>
        <v/>
      </c>
      <c r="B304" s="4">
        <f>Data!B303</f>
        <v/>
      </c>
      <c r="C304" s="4">
        <f>Data!C303</f>
        <v/>
      </c>
      <c r="D304" s="4">
        <f>Data!I303</f>
        <v/>
      </c>
      <c r="E304" s="4">
        <f>Data!J303</f>
        <v/>
      </c>
      <c r="F304" s="4">
        <f>Data!H303</f>
        <v/>
      </c>
      <c r="G304" s="4">
        <f>SUM(Data!Q303:Data!Y303)</f>
        <v/>
      </c>
      <c r="H304" s="4">
        <f>Data!Z303</f>
        <v/>
      </c>
      <c r="I304" s="4">
        <f>Data!AB303</f>
        <v/>
      </c>
      <c r="J304" s="4">
        <f>Data!AD303</f>
        <v/>
      </c>
      <c r="K304" s="4">
        <f>Data!AE303</f>
        <v/>
      </c>
      <c r="L304" s="4">
        <f>Data!AF303</f>
        <v/>
      </c>
      <c r="M304" s="4">
        <f>Data!AG303</f>
        <v/>
      </c>
      <c r="N304" s="4">
        <f>Data!AH303</f>
        <v/>
      </c>
      <c r="O304" s="4">
        <f>Data!AI303</f>
        <v/>
      </c>
      <c r="P304" s="4">
        <f>Data!AJ303</f>
        <v/>
      </c>
      <c r="Q304" s="4">
        <f>Data!AK303</f>
        <v/>
      </c>
      <c r="R304" s="4">
        <f>Data!AL303</f>
        <v/>
      </c>
    </row>
    <row r="305">
      <c r="A305" s="4">
        <f>Data!A304</f>
        <v/>
      </c>
      <c r="B305" s="4">
        <f>Data!B304</f>
        <v/>
      </c>
      <c r="C305" s="4">
        <f>Data!C304</f>
        <v/>
      </c>
      <c r="D305" s="4">
        <f>Data!I304</f>
        <v/>
      </c>
      <c r="E305" s="4">
        <f>Data!J304</f>
        <v/>
      </c>
      <c r="F305" s="4">
        <f>Data!H304</f>
        <v/>
      </c>
      <c r="G305" s="4">
        <f>SUM(Data!Q304:Data!Y304)</f>
        <v/>
      </c>
      <c r="H305" s="4">
        <f>Data!Z304</f>
        <v/>
      </c>
      <c r="I305" s="4">
        <f>Data!AB304</f>
        <v/>
      </c>
      <c r="J305" s="4">
        <f>Data!AD304</f>
        <v/>
      </c>
      <c r="K305" s="4">
        <f>Data!AE304</f>
        <v/>
      </c>
      <c r="L305" s="4">
        <f>Data!AF304</f>
        <v/>
      </c>
      <c r="M305" s="4">
        <f>Data!AG304</f>
        <v/>
      </c>
      <c r="N305" s="4">
        <f>Data!AH304</f>
        <v/>
      </c>
      <c r="O305" s="4">
        <f>Data!AI304</f>
        <v/>
      </c>
      <c r="P305" s="4">
        <f>Data!AJ304</f>
        <v/>
      </c>
      <c r="Q305" s="4">
        <f>Data!AK304</f>
        <v/>
      </c>
      <c r="R305" s="4">
        <f>Data!AL304</f>
        <v/>
      </c>
    </row>
    <row r="306">
      <c r="A306" s="4">
        <f>Data!A305</f>
        <v/>
      </c>
      <c r="B306" s="4">
        <f>Data!B305</f>
        <v/>
      </c>
      <c r="C306" s="4">
        <f>Data!C305</f>
        <v/>
      </c>
      <c r="D306" s="4">
        <f>Data!I305</f>
        <v/>
      </c>
      <c r="E306" s="4">
        <f>Data!J305</f>
        <v/>
      </c>
      <c r="F306" s="4">
        <f>Data!H305</f>
        <v/>
      </c>
      <c r="G306" s="4">
        <f>SUM(Data!Q305:Data!Y305)</f>
        <v/>
      </c>
      <c r="H306" s="4">
        <f>Data!Z305</f>
        <v/>
      </c>
      <c r="I306" s="4">
        <f>Data!AB305</f>
        <v/>
      </c>
      <c r="J306" s="4">
        <f>Data!AD305</f>
        <v/>
      </c>
      <c r="K306" s="4">
        <f>Data!AE305</f>
        <v/>
      </c>
      <c r="L306" s="4">
        <f>Data!AF305</f>
        <v/>
      </c>
      <c r="M306" s="4">
        <f>Data!AG305</f>
        <v/>
      </c>
      <c r="N306" s="4">
        <f>Data!AH305</f>
        <v/>
      </c>
      <c r="O306" s="4">
        <f>Data!AI305</f>
        <v/>
      </c>
      <c r="P306" s="4">
        <f>Data!AJ305</f>
        <v/>
      </c>
      <c r="Q306" s="4">
        <f>Data!AK305</f>
        <v/>
      </c>
      <c r="R306" s="4">
        <f>Data!AL305</f>
        <v/>
      </c>
    </row>
    <row r="307">
      <c r="A307" s="4">
        <f>Data!A306</f>
        <v/>
      </c>
      <c r="B307" s="4">
        <f>Data!B306</f>
        <v/>
      </c>
      <c r="C307" s="4">
        <f>Data!C306</f>
        <v/>
      </c>
      <c r="D307" s="4">
        <f>Data!I306</f>
        <v/>
      </c>
      <c r="E307" s="4">
        <f>Data!J306</f>
        <v/>
      </c>
      <c r="F307" s="4">
        <f>Data!H306</f>
        <v/>
      </c>
      <c r="G307" s="4">
        <f>SUM(Data!Q306:Data!Y306)</f>
        <v/>
      </c>
      <c r="H307" s="4">
        <f>Data!Z306</f>
        <v/>
      </c>
      <c r="I307" s="4">
        <f>Data!AB306</f>
        <v/>
      </c>
      <c r="J307" s="4">
        <f>Data!AD306</f>
        <v/>
      </c>
      <c r="K307" s="4">
        <f>Data!AE306</f>
        <v/>
      </c>
      <c r="L307" s="4">
        <f>Data!AF306</f>
        <v/>
      </c>
      <c r="M307" s="4">
        <f>Data!AG306</f>
        <v/>
      </c>
      <c r="N307" s="4">
        <f>Data!AH306</f>
        <v/>
      </c>
      <c r="O307" s="4">
        <f>Data!AI306</f>
        <v/>
      </c>
      <c r="P307" s="4">
        <f>Data!AJ306</f>
        <v/>
      </c>
      <c r="Q307" s="4">
        <f>Data!AK306</f>
        <v/>
      </c>
      <c r="R307" s="4">
        <f>Data!AL306</f>
        <v/>
      </c>
    </row>
    <row r="308">
      <c r="A308" s="4">
        <f>Data!A307</f>
        <v/>
      </c>
      <c r="B308" s="4">
        <f>Data!B307</f>
        <v/>
      </c>
      <c r="C308" s="4">
        <f>Data!C307</f>
        <v/>
      </c>
      <c r="D308" s="4">
        <f>Data!I307</f>
        <v/>
      </c>
      <c r="E308" s="4">
        <f>Data!J307</f>
        <v/>
      </c>
      <c r="F308" s="4">
        <f>Data!H307</f>
        <v/>
      </c>
      <c r="G308" s="4">
        <f>SUM(Data!Q307:Data!Y307)</f>
        <v/>
      </c>
      <c r="H308" s="4">
        <f>Data!Z307</f>
        <v/>
      </c>
      <c r="I308" s="4">
        <f>Data!AB307</f>
        <v/>
      </c>
      <c r="J308" s="4">
        <f>Data!AD307</f>
        <v/>
      </c>
      <c r="K308" s="4">
        <f>Data!AE307</f>
        <v/>
      </c>
      <c r="L308" s="4">
        <f>Data!AF307</f>
        <v/>
      </c>
      <c r="M308" s="4">
        <f>Data!AG307</f>
        <v/>
      </c>
      <c r="N308" s="4">
        <f>Data!AH307</f>
        <v/>
      </c>
      <c r="O308" s="4">
        <f>Data!AI307</f>
        <v/>
      </c>
      <c r="P308" s="4">
        <f>Data!AJ307</f>
        <v/>
      </c>
      <c r="Q308" s="4">
        <f>Data!AK307</f>
        <v/>
      </c>
      <c r="R308" s="4">
        <f>Data!AL307</f>
        <v/>
      </c>
    </row>
    <row r="309">
      <c r="A309" s="4">
        <f>Data!A308</f>
        <v/>
      </c>
      <c r="B309" s="4">
        <f>Data!B308</f>
        <v/>
      </c>
      <c r="C309" s="4">
        <f>Data!C308</f>
        <v/>
      </c>
      <c r="D309" s="4">
        <f>Data!I308</f>
        <v/>
      </c>
      <c r="E309" s="4">
        <f>Data!J308</f>
        <v/>
      </c>
      <c r="F309" s="4">
        <f>Data!H308</f>
        <v/>
      </c>
      <c r="G309" s="4">
        <f>SUM(Data!Q308:Data!Y308)</f>
        <v/>
      </c>
      <c r="H309" s="4">
        <f>Data!Z308</f>
        <v/>
      </c>
      <c r="I309" s="4">
        <f>Data!AB308</f>
        <v/>
      </c>
      <c r="J309" s="4">
        <f>Data!AD308</f>
        <v/>
      </c>
      <c r="K309" s="4">
        <f>Data!AE308</f>
        <v/>
      </c>
      <c r="L309" s="4">
        <f>Data!AF308</f>
        <v/>
      </c>
      <c r="M309" s="4">
        <f>Data!AG308</f>
        <v/>
      </c>
      <c r="N309" s="4">
        <f>Data!AH308</f>
        <v/>
      </c>
      <c r="O309" s="4">
        <f>Data!AI308</f>
        <v/>
      </c>
      <c r="P309" s="4">
        <f>Data!AJ308</f>
        <v/>
      </c>
      <c r="Q309" s="4">
        <f>Data!AK308</f>
        <v/>
      </c>
      <c r="R309" s="4">
        <f>Data!AL308</f>
        <v/>
      </c>
    </row>
    <row r="310">
      <c r="A310" s="4">
        <f>Data!A309</f>
        <v/>
      </c>
      <c r="B310" s="4">
        <f>Data!B309</f>
        <v/>
      </c>
      <c r="C310" s="4">
        <f>Data!C309</f>
        <v/>
      </c>
      <c r="D310" s="4">
        <f>Data!I309</f>
        <v/>
      </c>
      <c r="E310" s="4">
        <f>Data!J309</f>
        <v/>
      </c>
      <c r="F310" s="4">
        <f>Data!H309</f>
        <v/>
      </c>
      <c r="G310" s="4">
        <f>SUM(Data!Q309:Data!Y309)</f>
        <v/>
      </c>
      <c r="H310" s="4">
        <f>Data!Z309</f>
        <v/>
      </c>
      <c r="I310" s="4">
        <f>Data!AB309</f>
        <v/>
      </c>
      <c r="J310" s="4">
        <f>Data!AD309</f>
        <v/>
      </c>
      <c r="K310" s="4">
        <f>Data!AE309</f>
        <v/>
      </c>
      <c r="L310" s="4">
        <f>Data!AF309</f>
        <v/>
      </c>
      <c r="M310" s="4">
        <f>Data!AG309</f>
        <v/>
      </c>
      <c r="N310" s="4">
        <f>Data!AH309</f>
        <v/>
      </c>
      <c r="O310" s="4">
        <f>Data!AI309</f>
        <v/>
      </c>
      <c r="P310" s="4">
        <f>Data!AJ309</f>
        <v/>
      </c>
      <c r="Q310" s="4">
        <f>Data!AK309</f>
        <v/>
      </c>
      <c r="R310" s="4">
        <f>Data!AL309</f>
        <v/>
      </c>
    </row>
    <row r="311">
      <c r="A311" s="4">
        <f>Data!A310</f>
        <v/>
      </c>
      <c r="B311" s="4">
        <f>Data!B310</f>
        <v/>
      </c>
      <c r="C311" s="4">
        <f>Data!C310</f>
        <v/>
      </c>
      <c r="D311" s="4">
        <f>Data!I310</f>
        <v/>
      </c>
      <c r="E311" s="4">
        <f>Data!J310</f>
        <v/>
      </c>
      <c r="F311" s="4">
        <f>Data!H310</f>
        <v/>
      </c>
      <c r="G311" s="4">
        <f>SUM(Data!Q310:Data!Y310)</f>
        <v/>
      </c>
      <c r="H311" s="4">
        <f>Data!Z310</f>
        <v/>
      </c>
      <c r="I311" s="4">
        <f>Data!AB310</f>
        <v/>
      </c>
      <c r="J311" s="4">
        <f>Data!AD310</f>
        <v/>
      </c>
      <c r="K311" s="4">
        <f>Data!AE310</f>
        <v/>
      </c>
      <c r="L311" s="4">
        <f>Data!AF310</f>
        <v/>
      </c>
      <c r="M311" s="4">
        <f>Data!AG310</f>
        <v/>
      </c>
      <c r="N311" s="4">
        <f>Data!AH310</f>
        <v/>
      </c>
      <c r="O311" s="4">
        <f>Data!AI310</f>
        <v/>
      </c>
      <c r="P311" s="4">
        <f>Data!AJ310</f>
        <v/>
      </c>
      <c r="Q311" s="4">
        <f>Data!AK310</f>
        <v/>
      </c>
      <c r="R311" s="4">
        <f>Data!AL310</f>
        <v/>
      </c>
    </row>
    <row r="312">
      <c r="A312" s="4">
        <f>Data!A311</f>
        <v/>
      </c>
      <c r="B312" s="4">
        <f>Data!B311</f>
        <v/>
      </c>
      <c r="C312" s="4">
        <f>Data!C311</f>
        <v/>
      </c>
      <c r="D312" s="4">
        <f>Data!I311</f>
        <v/>
      </c>
      <c r="E312" s="4">
        <f>Data!J311</f>
        <v/>
      </c>
      <c r="F312" s="4">
        <f>Data!H311</f>
        <v/>
      </c>
      <c r="G312" s="4">
        <f>SUM(Data!Q311:Data!Y311)</f>
        <v/>
      </c>
      <c r="H312" s="4">
        <f>Data!Z311</f>
        <v/>
      </c>
      <c r="I312" s="4">
        <f>Data!AB311</f>
        <v/>
      </c>
      <c r="J312" s="4">
        <f>Data!AD311</f>
        <v/>
      </c>
      <c r="K312" s="4">
        <f>Data!AE311</f>
        <v/>
      </c>
      <c r="L312" s="4">
        <f>Data!AF311</f>
        <v/>
      </c>
      <c r="M312" s="4">
        <f>Data!AG311</f>
        <v/>
      </c>
      <c r="N312" s="4">
        <f>Data!AH311</f>
        <v/>
      </c>
      <c r="O312" s="4">
        <f>Data!AI311</f>
        <v/>
      </c>
      <c r="P312" s="4">
        <f>Data!AJ311</f>
        <v/>
      </c>
      <c r="Q312" s="4">
        <f>Data!AK311</f>
        <v/>
      </c>
      <c r="R312" s="4">
        <f>Data!AL311</f>
        <v/>
      </c>
    </row>
    <row r="313">
      <c r="A313" s="4">
        <f>Data!A312</f>
        <v/>
      </c>
      <c r="B313" s="4">
        <f>Data!B312</f>
        <v/>
      </c>
      <c r="C313" s="4">
        <f>Data!C312</f>
        <v/>
      </c>
      <c r="D313" s="4">
        <f>Data!I312</f>
        <v/>
      </c>
      <c r="E313" s="4">
        <f>Data!J312</f>
        <v/>
      </c>
      <c r="F313" s="4">
        <f>Data!H312</f>
        <v/>
      </c>
      <c r="G313" s="4">
        <f>SUM(Data!Q312:Data!Y312)</f>
        <v/>
      </c>
      <c r="H313" s="4">
        <f>Data!Z312</f>
        <v/>
      </c>
      <c r="I313" s="4">
        <f>Data!AB312</f>
        <v/>
      </c>
      <c r="J313" s="4">
        <f>Data!AD312</f>
        <v/>
      </c>
      <c r="K313" s="4">
        <f>Data!AE312</f>
        <v/>
      </c>
      <c r="L313" s="4">
        <f>Data!AF312</f>
        <v/>
      </c>
      <c r="M313" s="4">
        <f>Data!AG312</f>
        <v/>
      </c>
      <c r="N313" s="4">
        <f>Data!AH312</f>
        <v/>
      </c>
      <c r="O313" s="4">
        <f>Data!AI312</f>
        <v/>
      </c>
      <c r="P313" s="4">
        <f>Data!AJ312</f>
        <v/>
      </c>
      <c r="Q313" s="4">
        <f>Data!AK312</f>
        <v/>
      </c>
      <c r="R313" s="4">
        <f>Data!AL312</f>
        <v/>
      </c>
    </row>
    <row r="314">
      <c r="A314" s="4">
        <f>Data!A313</f>
        <v/>
      </c>
      <c r="B314" s="4">
        <f>Data!B313</f>
        <v/>
      </c>
      <c r="C314" s="4">
        <f>Data!C313</f>
        <v/>
      </c>
      <c r="D314" s="4">
        <f>Data!I313</f>
        <v/>
      </c>
      <c r="E314" s="4">
        <f>Data!J313</f>
        <v/>
      </c>
      <c r="F314" s="4">
        <f>Data!H313</f>
        <v/>
      </c>
      <c r="G314" s="4">
        <f>SUM(Data!Q313:Data!Y313)</f>
        <v/>
      </c>
      <c r="H314" s="4">
        <f>Data!Z313</f>
        <v/>
      </c>
      <c r="I314" s="4">
        <f>Data!AB313</f>
        <v/>
      </c>
      <c r="J314" s="4">
        <f>Data!AD313</f>
        <v/>
      </c>
      <c r="K314" s="4">
        <f>Data!AE313</f>
        <v/>
      </c>
      <c r="L314" s="4">
        <f>Data!AF313</f>
        <v/>
      </c>
      <c r="M314" s="4">
        <f>Data!AG313</f>
        <v/>
      </c>
      <c r="N314" s="4">
        <f>Data!AH313</f>
        <v/>
      </c>
      <c r="O314" s="4">
        <f>Data!AI313</f>
        <v/>
      </c>
      <c r="P314" s="4">
        <f>Data!AJ313</f>
        <v/>
      </c>
      <c r="Q314" s="4">
        <f>Data!AK313</f>
        <v/>
      </c>
      <c r="R314" s="4">
        <f>Data!AL313</f>
        <v/>
      </c>
    </row>
    <row r="315">
      <c r="A315" s="4">
        <f>Data!A314</f>
        <v/>
      </c>
      <c r="B315" s="4">
        <f>Data!B314</f>
        <v/>
      </c>
      <c r="C315" s="4">
        <f>Data!C314</f>
        <v/>
      </c>
      <c r="D315" s="4">
        <f>Data!I314</f>
        <v/>
      </c>
      <c r="E315" s="4">
        <f>Data!J314</f>
        <v/>
      </c>
      <c r="F315" s="4">
        <f>Data!H314</f>
        <v/>
      </c>
      <c r="G315" s="4">
        <f>SUM(Data!Q314:Data!Y314)</f>
        <v/>
      </c>
      <c r="H315" s="4">
        <f>Data!Z314</f>
        <v/>
      </c>
      <c r="I315" s="4">
        <f>Data!AB314</f>
        <v/>
      </c>
      <c r="J315" s="4">
        <f>Data!AD314</f>
        <v/>
      </c>
      <c r="K315" s="4">
        <f>Data!AE314</f>
        <v/>
      </c>
      <c r="L315" s="4">
        <f>Data!AF314</f>
        <v/>
      </c>
      <c r="M315" s="4">
        <f>Data!AG314</f>
        <v/>
      </c>
      <c r="N315" s="4">
        <f>Data!AH314</f>
        <v/>
      </c>
      <c r="O315" s="4">
        <f>Data!AI314</f>
        <v/>
      </c>
      <c r="P315" s="4">
        <f>Data!AJ314</f>
        <v/>
      </c>
      <c r="Q315" s="4">
        <f>Data!AK314</f>
        <v/>
      </c>
      <c r="R315" s="4">
        <f>Data!AL314</f>
        <v/>
      </c>
    </row>
    <row r="316">
      <c r="A316" s="4">
        <f>Data!A315</f>
        <v/>
      </c>
      <c r="B316" s="4">
        <f>Data!B315</f>
        <v/>
      </c>
      <c r="C316" s="4">
        <f>Data!C315</f>
        <v/>
      </c>
      <c r="D316" s="4">
        <f>Data!I315</f>
        <v/>
      </c>
      <c r="E316" s="4">
        <f>Data!J315</f>
        <v/>
      </c>
      <c r="F316" s="4">
        <f>Data!H315</f>
        <v/>
      </c>
      <c r="G316" s="4">
        <f>SUM(Data!Q315:Data!Y315)</f>
        <v/>
      </c>
      <c r="H316" s="4">
        <f>Data!Z315</f>
        <v/>
      </c>
      <c r="I316" s="4">
        <f>Data!AB315</f>
        <v/>
      </c>
      <c r="J316" s="4">
        <f>Data!AD315</f>
        <v/>
      </c>
      <c r="K316" s="4">
        <f>Data!AE315</f>
        <v/>
      </c>
      <c r="L316" s="4">
        <f>Data!AF315</f>
        <v/>
      </c>
      <c r="M316" s="4">
        <f>Data!AG315</f>
        <v/>
      </c>
      <c r="N316" s="4">
        <f>Data!AH315</f>
        <v/>
      </c>
      <c r="O316" s="4">
        <f>Data!AI315</f>
        <v/>
      </c>
      <c r="P316" s="4">
        <f>Data!AJ315</f>
        <v/>
      </c>
      <c r="Q316" s="4">
        <f>Data!AK315</f>
        <v/>
      </c>
      <c r="R316" s="4">
        <f>Data!AL315</f>
        <v/>
      </c>
    </row>
    <row r="317">
      <c r="A317" s="4">
        <f>Data!A316</f>
        <v/>
      </c>
      <c r="B317" s="4">
        <f>Data!B316</f>
        <v/>
      </c>
      <c r="C317" s="4">
        <f>Data!C316</f>
        <v/>
      </c>
      <c r="D317" s="4">
        <f>Data!I316</f>
        <v/>
      </c>
      <c r="E317" s="4">
        <f>Data!J316</f>
        <v/>
      </c>
      <c r="F317" s="4">
        <f>Data!H316</f>
        <v/>
      </c>
      <c r="G317" s="4">
        <f>SUM(Data!Q316:Data!Y316)</f>
        <v/>
      </c>
      <c r="H317" s="4">
        <f>Data!Z316</f>
        <v/>
      </c>
      <c r="I317" s="4">
        <f>Data!AB316</f>
        <v/>
      </c>
      <c r="J317" s="4">
        <f>Data!AD316</f>
        <v/>
      </c>
      <c r="K317" s="4">
        <f>Data!AE316</f>
        <v/>
      </c>
      <c r="L317" s="4">
        <f>Data!AF316</f>
        <v/>
      </c>
      <c r="M317" s="4">
        <f>Data!AG316</f>
        <v/>
      </c>
      <c r="N317" s="4">
        <f>Data!AH316</f>
        <v/>
      </c>
      <c r="O317" s="4">
        <f>Data!AI316</f>
        <v/>
      </c>
      <c r="P317" s="4">
        <f>Data!AJ316</f>
        <v/>
      </c>
      <c r="Q317" s="4">
        <f>Data!AK316</f>
        <v/>
      </c>
      <c r="R317" s="4">
        <f>Data!AL316</f>
        <v/>
      </c>
    </row>
    <row r="318">
      <c r="A318" s="4">
        <f>Data!A317</f>
        <v/>
      </c>
      <c r="B318" s="4">
        <f>Data!B317</f>
        <v/>
      </c>
      <c r="C318" s="4">
        <f>Data!C317</f>
        <v/>
      </c>
      <c r="D318" s="4">
        <f>Data!I317</f>
        <v/>
      </c>
      <c r="E318" s="4">
        <f>Data!J317</f>
        <v/>
      </c>
      <c r="F318" s="4">
        <f>Data!H317</f>
        <v/>
      </c>
      <c r="G318" s="4">
        <f>SUM(Data!Q317:Data!Y317)</f>
        <v/>
      </c>
      <c r="H318" s="4">
        <f>Data!Z317</f>
        <v/>
      </c>
      <c r="I318" s="4">
        <f>Data!AB317</f>
        <v/>
      </c>
      <c r="J318" s="4">
        <f>Data!AD317</f>
        <v/>
      </c>
      <c r="K318" s="4">
        <f>Data!AE317</f>
        <v/>
      </c>
      <c r="L318" s="4">
        <f>Data!AF317</f>
        <v/>
      </c>
      <c r="M318" s="4">
        <f>Data!AG317</f>
        <v/>
      </c>
      <c r="N318" s="4">
        <f>Data!AH317</f>
        <v/>
      </c>
      <c r="O318" s="4">
        <f>Data!AI317</f>
        <v/>
      </c>
      <c r="P318" s="4">
        <f>Data!AJ317</f>
        <v/>
      </c>
      <c r="Q318" s="4">
        <f>Data!AK317</f>
        <v/>
      </c>
      <c r="R318" s="4">
        <f>Data!AL317</f>
        <v/>
      </c>
    </row>
    <row r="319">
      <c r="A319" s="4">
        <f>Data!A318</f>
        <v/>
      </c>
      <c r="B319" s="4">
        <f>Data!B318</f>
        <v/>
      </c>
      <c r="C319" s="4">
        <f>Data!C318</f>
        <v/>
      </c>
      <c r="D319" s="4">
        <f>Data!I318</f>
        <v/>
      </c>
      <c r="E319" s="4">
        <f>Data!J318</f>
        <v/>
      </c>
      <c r="F319" s="4">
        <f>Data!H318</f>
        <v/>
      </c>
      <c r="G319" s="4">
        <f>SUM(Data!Q318:Data!Y318)</f>
        <v/>
      </c>
      <c r="H319" s="4">
        <f>Data!Z318</f>
        <v/>
      </c>
      <c r="I319" s="4">
        <f>Data!AB318</f>
        <v/>
      </c>
      <c r="J319" s="4">
        <f>Data!AD318</f>
        <v/>
      </c>
      <c r="K319" s="4">
        <f>Data!AE318</f>
        <v/>
      </c>
      <c r="L319" s="4">
        <f>Data!AF318</f>
        <v/>
      </c>
      <c r="M319" s="4">
        <f>Data!AG318</f>
        <v/>
      </c>
      <c r="N319" s="4">
        <f>Data!AH318</f>
        <v/>
      </c>
      <c r="O319" s="4">
        <f>Data!AI318</f>
        <v/>
      </c>
      <c r="P319" s="4">
        <f>Data!AJ318</f>
        <v/>
      </c>
      <c r="Q319" s="4">
        <f>Data!AK318</f>
        <v/>
      </c>
      <c r="R319" s="4">
        <f>Data!AL318</f>
        <v/>
      </c>
    </row>
    <row r="320">
      <c r="A320" s="4">
        <f>Data!A319</f>
        <v/>
      </c>
      <c r="B320" s="4">
        <f>Data!B319</f>
        <v/>
      </c>
      <c r="C320" s="4">
        <f>Data!C319</f>
        <v/>
      </c>
      <c r="D320" s="4">
        <f>Data!I319</f>
        <v/>
      </c>
      <c r="E320" s="4">
        <f>Data!J319</f>
        <v/>
      </c>
      <c r="F320" s="4">
        <f>Data!H319</f>
        <v/>
      </c>
      <c r="G320" s="4">
        <f>SUM(Data!Q319:Data!Y319)</f>
        <v/>
      </c>
      <c r="H320" s="4">
        <f>Data!Z319</f>
        <v/>
      </c>
      <c r="I320" s="4">
        <f>Data!AB319</f>
        <v/>
      </c>
      <c r="J320" s="4">
        <f>Data!AD319</f>
        <v/>
      </c>
      <c r="K320" s="4">
        <f>Data!AE319</f>
        <v/>
      </c>
      <c r="L320" s="4">
        <f>Data!AF319</f>
        <v/>
      </c>
      <c r="M320" s="4">
        <f>Data!AG319</f>
        <v/>
      </c>
      <c r="N320" s="4">
        <f>Data!AH319</f>
        <v/>
      </c>
      <c r="O320" s="4">
        <f>Data!AI319</f>
        <v/>
      </c>
      <c r="P320" s="4">
        <f>Data!AJ319</f>
        <v/>
      </c>
      <c r="Q320" s="4">
        <f>Data!AK319</f>
        <v/>
      </c>
      <c r="R320" s="4">
        <f>Data!AL319</f>
        <v/>
      </c>
    </row>
    <row r="321">
      <c r="A321" s="4">
        <f>Data!A320</f>
        <v/>
      </c>
      <c r="B321" s="4">
        <f>Data!B320</f>
        <v/>
      </c>
      <c r="C321" s="4">
        <f>Data!C320</f>
        <v/>
      </c>
      <c r="D321" s="4">
        <f>Data!I320</f>
        <v/>
      </c>
      <c r="E321" s="4">
        <f>Data!J320</f>
        <v/>
      </c>
      <c r="F321" s="4">
        <f>Data!H320</f>
        <v/>
      </c>
      <c r="G321" s="4">
        <f>SUM(Data!Q320:Data!Y320)</f>
        <v/>
      </c>
      <c r="H321" s="4">
        <f>Data!Z320</f>
        <v/>
      </c>
      <c r="I321" s="4">
        <f>Data!AB320</f>
        <v/>
      </c>
      <c r="J321" s="4">
        <f>Data!AD320</f>
        <v/>
      </c>
      <c r="K321" s="4">
        <f>Data!AE320</f>
        <v/>
      </c>
      <c r="L321" s="4">
        <f>Data!AF320</f>
        <v/>
      </c>
      <c r="M321" s="4">
        <f>Data!AG320</f>
        <v/>
      </c>
      <c r="N321" s="4">
        <f>Data!AH320</f>
        <v/>
      </c>
      <c r="O321" s="4">
        <f>Data!AI320</f>
        <v/>
      </c>
      <c r="P321" s="4">
        <f>Data!AJ320</f>
        <v/>
      </c>
      <c r="Q321" s="4">
        <f>Data!AK320</f>
        <v/>
      </c>
      <c r="R321" s="4">
        <f>Data!AL320</f>
        <v/>
      </c>
    </row>
    <row r="322">
      <c r="A322" s="4">
        <f>Data!A321</f>
        <v/>
      </c>
      <c r="B322" s="4">
        <f>Data!B321</f>
        <v/>
      </c>
      <c r="C322" s="4">
        <f>Data!C321</f>
        <v/>
      </c>
      <c r="D322" s="4">
        <f>Data!I321</f>
        <v/>
      </c>
      <c r="E322" s="4">
        <f>Data!J321</f>
        <v/>
      </c>
      <c r="F322" s="4">
        <f>Data!H321</f>
        <v/>
      </c>
      <c r="G322" s="4">
        <f>SUM(Data!Q321:Data!Y321)</f>
        <v/>
      </c>
      <c r="H322" s="4">
        <f>Data!Z321</f>
        <v/>
      </c>
      <c r="I322" s="4">
        <f>Data!AB321</f>
        <v/>
      </c>
      <c r="J322" s="4">
        <f>Data!AD321</f>
        <v/>
      </c>
      <c r="K322" s="4">
        <f>Data!AE321</f>
        <v/>
      </c>
      <c r="L322" s="4">
        <f>Data!AF321</f>
        <v/>
      </c>
      <c r="M322" s="4">
        <f>Data!AG321</f>
        <v/>
      </c>
      <c r="N322" s="4">
        <f>Data!AH321</f>
        <v/>
      </c>
      <c r="O322" s="4">
        <f>Data!AI321</f>
        <v/>
      </c>
      <c r="P322" s="4">
        <f>Data!AJ321</f>
        <v/>
      </c>
      <c r="Q322" s="4">
        <f>Data!AK321</f>
        <v/>
      </c>
      <c r="R322" s="4">
        <f>Data!AL321</f>
        <v/>
      </c>
    </row>
    <row r="323">
      <c r="A323" s="4">
        <f>Data!A322</f>
        <v/>
      </c>
      <c r="B323" s="4">
        <f>Data!B322</f>
        <v/>
      </c>
      <c r="C323" s="4">
        <f>Data!C322</f>
        <v/>
      </c>
      <c r="D323" s="4">
        <f>Data!I322</f>
        <v/>
      </c>
      <c r="E323" s="4">
        <f>Data!J322</f>
        <v/>
      </c>
      <c r="F323" s="4">
        <f>Data!H322</f>
        <v/>
      </c>
      <c r="G323" s="4">
        <f>SUM(Data!Q322:Data!Y322)</f>
        <v/>
      </c>
      <c r="H323" s="4">
        <f>Data!Z322</f>
        <v/>
      </c>
      <c r="I323" s="4">
        <f>Data!AB322</f>
        <v/>
      </c>
      <c r="J323" s="4">
        <f>Data!AD322</f>
        <v/>
      </c>
      <c r="K323" s="4">
        <f>Data!AE322</f>
        <v/>
      </c>
      <c r="L323" s="4">
        <f>Data!AF322</f>
        <v/>
      </c>
      <c r="M323" s="4">
        <f>Data!AG322</f>
        <v/>
      </c>
      <c r="N323" s="4">
        <f>Data!AH322</f>
        <v/>
      </c>
      <c r="O323" s="4">
        <f>Data!AI322</f>
        <v/>
      </c>
      <c r="P323" s="4">
        <f>Data!AJ322</f>
        <v/>
      </c>
      <c r="Q323" s="4">
        <f>Data!AK322</f>
        <v/>
      </c>
      <c r="R323" s="4">
        <f>Data!AL322</f>
        <v/>
      </c>
    </row>
    <row r="324">
      <c r="A324" s="4">
        <f>Data!A323</f>
        <v/>
      </c>
      <c r="B324" s="4">
        <f>Data!B323</f>
        <v/>
      </c>
      <c r="C324" s="4">
        <f>Data!C323</f>
        <v/>
      </c>
      <c r="D324" s="4">
        <f>Data!I323</f>
        <v/>
      </c>
      <c r="E324" s="4">
        <f>Data!J323</f>
        <v/>
      </c>
      <c r="F324" s="4">
        <f>Data!H323</f>
        <v/>
      </c>
      <c r="G324" s="4">
        <f>SUM(Data!Q323:Data!Y323)</f>
        <v/>
      </c>
      <c r="H324" s="4">
        <f>Data!Z323</f>
        <v/>
      </c>
      <c r="I324" s="4">
        <f>Data!AB323</f>
        <v/>
      </c>
      <c r="J324" s="4">
        <f>Data!AD323</f>
        <v/>
      </c>
      <c r="K324" s="4">
        <f>Data!AE323</f>
        <v/>
      </c>
      <c r="L324" s="4">
        <f>Data!AF323</f>
        <v/>
      </c>
      <c r="M324" s="4">
        <f>Data!AG323</f>
        <v/>
      </c>
      <c r="N324" s="4">
        <f>Data!AH323</f>
        <v/>
      </c>
      <c r="O324" s="4">
        <f>Data!AI323</f>
        <v/>
      </c>
      <c r="P324" s="4">
        <f>Data!AJ323</f>
        <v/>
      </c>
      <c r="Q324" s="4">
        <f>Data!AK323</f>
        <v/>
      </c>
      <c r="R324" s="4">
        <f>Data!AL323</f>
        <v/>
      </c>
    </row>
    <row r="325">
      <c r="A325" s="4">
        <f>Data!A324</f>
        <v/>
      </c>
      <c r="B325" s="4">
        <f>Data!B324</f>
        <v/>
      </c>
      <c r="C325" s="4">
        <f>Data!C324</f>
        <v/>
      </c>
      <c r="D325" s="4">
        <f>Data!I324</f>
        <v/>
      </c>
      <c r="E325" s="4">
        <f>Data!J324</f>
        <v/>
      </c>
      <c r="F325" s="4">
        <f>Data!H324</f>
        <v/>
      </c>
      <c r="G325" s="4">
        <f>SUM(Data!Q324:Data!Y324)</f>
        <v/>
      </c>
      <c r="H325" s="4">
        <f>Data!Z324</f>
        <v/>
      </c>
      <c r="I325" s="4">
        <f>Data!AB324</f>
        <v/>
      </c>
      <c r="J325" s="4">
        <f>Data!AD324</f>
        <v/>
      </c>
      <c r="K325" s="4">
        <f>Data!AE324</f>
        <v/>
      </c>
      <c r="L325" s="4">
        <f>Data!AF324</f>
        <v/>
      </c>
      <c r="M325" s="4">
        <f>Data!AG324</f>
        <v/>
      </c>
      <c r="N325" s="4">
        <f>Data!AH324</f>
        <v/>
      </c>
      <c r="O325" s="4">
        <f>Data!AI324</f>
        <v/>
      </c>
      <c r="P325" s="4">
        <f>Data!AJ324</f>
        <v/>
      </c>
      <c r="Q325" s="4">
        <f>Data!AK324</f>
        <v/>
      </c>
      <c r="R325" s="4">
        <f>Data!AL324</f>
        <v/>
      </c>
    </row>
    <row r="326">
      <c r="A326" s="4">
        <f>Data!A325</f>
        <v/>
      </c>
      <c r="B326" s="4">
        <f>Data!B325</f>
        <v/>
      </c>
      <c r="C326" s="4">
        <f>Data!C325</f>
        <v/>
      </c>
      <c r="D326" s="4">
        <f>Data!I325</f>
        <v/>
      </c>
      <c r="E326" s="4">
        <f>Data!J325</f>
        <v/>
      </c>
      <c r="F326" s="4">
        <f>Data!H325</f>
        <v/>
      </c>
      <c r="G326" s="4">
        <f>SUM(Data!Q325:Data!Y325)</f>
        <v/>
      </c>
      <c r="H326" s="4">
        <f>Data!Z325</f>
        <v/>
      </c>
      <c r="I326" s="4">
        <f>Data!AB325</f>
        <v/>
      </c>
      <c r="J326" s="4">
        <f>Data!AD325</f>
        <v/>
      </c>
      <c r="K326" s="4">
        <f>Data!AE325</f>
        <v/>
      </c>
      <c r="L326" s="4">
        <f>Data!AF325</f>
        <v/>
      </c>
      <c r="M326" s="4">
        <f>Data!AG325</f>
        <v/>
      </c>
      <c r="N326" s="4">
        <f>Data!AH325</f>
        <v/>
      </c>
      <c r="O326" s="4">
        <f>Data!AI325</f>
        <v/>
      </c>
      <c r="P326" s="4">
        <f>Data!AJ325</f>
        <v/>
      </c>
      <c r="Q326" s="4">
        <f>Data!AK325</f>
        <v/>
      </c>
      <c r="R326" s="4">
        <f>Data!AL325</f>
        <v/>
      </c>
    </row>
    <row r="327">
      <c r="A327" s="4">
        <f>Data!A326</f>
        <v/>
      </c>
      <c r="B327" s="4">
        <f>Data!B326</f>
        <v/>
      </c>
      <c r="C327" s="4">
        <f>Data!C326</f>
        <v/>
      </c>
      <c r="D327" s="4">
        <f>Data!I326</f>
        <v/>
      </c>
      <c r="E327" s="4">
        <f>Data!J326</f>
        <v/>
      </c>
      <c r="F327" s="4">
        <f>Data!H326</f>
        <v/>
      </c>
      <c r="G327" s="4">
        <f>SUM(Data!Q326:Data!Y326)</f>
        <v/>
      </c>
      <c r="H327" s="4">
        <f>Data!Z326</f>
        <v/>
      </c>
      <c r="I327" s="4">
        <f>Data!AB326</f>
        <v/>
      </c>
      <c r="J327" s="4">
        <f>Data!AD326</f>
        <v/>
      </c>
      <c r="K327" s="4">
        <f>Data!AE326</f>
        <v/>
      </c>
      <c r="L327" s="4">
        <f>Data!AF326</f>
        <v/>
      </c>
      <c r="M327" s="4">
        <f>Data!AG326</f>
        <v/>
      </c>
      <c r="N327" s="4">
        <f>Data!AH326</f>
        <v/>
      </c>
      <c r="O327" s="4">
        <f>Data!AI326</f>
        <v/>
      </c>
      <c r="P327" s="4">
        <f>Data!AJ326</f>
        <v/>
      </c>
      <c r="Q327" s="4">
        <f>Data!AK326</f>
        <v/>
      </c>
      <c r="R327" s="4">
        <f>Data!AL326</f>
        <v/>
      </c>
    </row>
    <row r="328">
      <c r="A328" s="4">
        <f>Data!A327</f>
        <v/>
      </c>
      <c r="B328" s="4">
        <f>Data!B327</f>
        <v/>
      </c>
      <c r="C328" s="4">
        <f>Data!C327</f>
        <v/>
      </c>
      <c r="D328" s="4">
        <f>Data!I327</f>
        <v/>
      </c>
      <c r="E328" s="4">
        <f>Data!J327</f>
        <v/>
      </c>
      <c r="F328" s="4">
        <f>Data!H327</f>
        <v/>
      </c>
      <c r="G328" s="4">
        <f>SUM(Data!Q327:Data!Y327)</f>
        <v/>
      </c>
      <c r="H328" s="4">
        <f>Data!Z327</f>
        <v/>
      </c>
      <c r="I328" s="4">
        <f>Data!AB327</f>
        <v/>
      </c>
      <c r="J328" s="4">
        <f>Data!AD327</f>
        <v/>
      </c>
      <c r="K328" s="4">
        <f>Data!AE327</f>
        <v/>
      </c>
      <c r="L328" s="4">
        <f>Data!AF327</f>
        <v/>
      </c>
      <c r="M328" s="4">
        <f>Data!AG327</f>
        <v/>
      </c>
      <c r="N328" s="4">
        <f>Data!AH327</f>
        <v/>
      </c>
      <c r="O328" s="4">
        <f>Data!AI327</f>
        <v/>
      </c>
      <c r="P328" s="4">
        <f>Data!AJ327</f>
        <v/>
      </c>
      <c r="Q328" s="4">
        <f>Data!AK327</f>
        <v/>
      </c>
      <c r="R328" s="4">
        <f>Data!AL327</f>
        <v/>
      </c>
    </row>
    <row r="329">
      <c r="A329" s="4">
        <f>Data!A328</f>
        <v/>
      </c>
      <c r="B329" s="4">
        <f>Data!B328</f>
        <v/>
      </c>
      <c r="C329" s="4">
        <f>Data!C328</f>
        <v/>
      </c>
      <c r="D329" s="4">
        <f>Data!I328</f>
        <v/>
      </c>
      <c r="E329" s="4">
        <f>Data!J328</f>
        <v/>
      </c>
      <c r="F329" s="4">
        <f>Data!H328</f>
        <v/>
      </c>
      <c r="G329" s="4">
        <f>SUM(Data!Q328:Data!Y328)</f>
        <v/>
      </c>
      <c r="H329" s="4">
        <f>Data!Z328</f>
        <v/>
      </c>
      <c r="I329" s="4">
        <f>Data!AB328</f>
        <v/>
      </c>
      <c r="J329" s="4">
        <f>Data!AD328</f>
        <v/>
      </c>
      <c r="K329" s="4">
        <f>Data!AE328</f>
        <v/>
      </c>
      <c r="L329" s="4">
        <f>Data!AF328</f>
        <v/>
      </c>
      <c r="M329" s="4">
        <f>Data!AG328</f>
        <v/>
      </c>
      <c r="N329" s="4">
        <f>Data!AH328</f>
        <v/>
      </c>
      <c r="O329" s="4">
        <f>Data!AI328</f>
        <v/>
      </c>
      <c r="P329" s="4">
        <f>Data!AJ328</f>
        <v/>
      </c>
      <c r="Q329" s="4">
        <f>Data!AK328</f>
        <v/>
      </c>
      <c r="R329" s="4">
        <f>Data!AL328</f>
        <v/>
      </c>
    </row>
    <row r="330">
      <c r="A330" s="4">
        <f>Data!A329</f>
        <v/>
      </c>
      <c r="B330" s="4">
        <f>Data!B329</f>
        <v/>
      </c>
      <c r="C330" s="4">
        <f>Data!C329</f>
        <v/>
      </c>
      <c r="D330" s="4">
        <f>Data!I329</f>
        <v/>
      </c>
      <c r="E330" s="4">
        <f>Data!J329</f>
        <v/>
      </c>
      <c r="F330" s="4">
        <f>Data!H329</f>
        <v/>
      </c>
      <c r="G330" s="4">
        <f>SUM(Data!Q329:Data!Y329)</f>
        <v/>
      </c>
      <c r="H330" s="4">
        <f>Data!Z329</f>
        <v/>
      </c>
      <c r="I330" s="4">
        <f>Data!AB329</f>
        <v/>
      </c>
      <c r="J330" s="4">
        <f>Data!AD329</f>
        <v/>
      </c>
      <c r="K330" s="4">
        <f>Data!AE329</f>
        <v/>
      </c>
      <c r="L330" s="4">
        <f>Data!AF329</f>
        <v/>
      </c>
      <c r="M330" s="4">
        <f>Data!AG329</f>
        <v/>
      </c>
      <c r="N330" s="4">
        <f>Data!AH329</f>
        <v/>
      </c>
      <c r="O330" s="4">
        <f>Data!AI329</f>
        <v/>
      </c>
      <c r="P330" s="4">
        <f>Data!AJ329</f>
        <v/>
      </c>
      <c r="Q330" s="4">
        <f>Data!AK329</f>
        <v/>
      </c>
      <c r="R330" s="4">
        <f>Data!AL329</f>
        <v/>
      </c>
    </row>
    <row r="331">
      <c r="A331" s="4">
        <f>Data!A330</f>
        <v/>
      </c>
      <c r="B331" s="4">
        <f>Data!B330</f>
        <v/>
      </c>
      <c r="C331" s="4">
        <f>Data!C330</f>
        <v/>
      </c>
      <c r="D331" s="4">
        <f>Data!I330</f>
        <v/>
      </c>
      <c r="E331" s="4">
        <f>Data!J330</f>
        <v/>
      </c>
      <c r="F331" s="4">
        <f>Data!H330</f>
        <v/>
      </c>
      <c r="G331" s="4">
        <f>SUM(Data!Q330:Data!Y330)</f>
        <v/>
      </c>
      <c r="H331" s="4">
        <f>Data!Z330</f>
        <v/>
      </c>
      <c r="I331" s="4">
        <f>Data!AB330</f>
        <v/>
      </c>
      <c r="J331" s="4">
        <f>Data!AD330</f>
        <v/>
      </c>
      <c r="K331" s="4">
        <f>Data!AE330</f>
        <v/>
      </c>
      <c r="L331" s="4">
        <f>Data!AF330</f>
        <v/>
      </c>
      <c r="M331" s="4">
        <f>Data!AG330</f>
        <v/>
      </c>
      <c r="N331" s="4">
        <f>Data!AH330</f>
        <v/>
      </c>
      <c r="O331" s="4">
        <f>Data!AI330</f>
        <v/>
      </c>
      <c r="P331" s="4">
        <f>Data!AJ330</f>
        <v/>
      </c>
      <c r="Q331" s="4">
        <f>Data!AK330</f>
        <v/>
      </c>
      <c r="R331" s="4">
        <f>Data!AL330</f>
        <v/>
      </c>
    </row>
    <row r="332">
      <c r="A332" s="4">
        <f>Data!A331</f>
        <v/>
      </c>
      <c r="B332" s="4">
        <f>Data!B331</f>
        <v/>
      </c>
      <c r="C332" s="4">
        <f>Data!C331</f>
        <v/>
      </c>
      <c r="D332" s="4">
        <f>Data!I331</f>
        <v/>
      </c>
      <c r="E332" s="4">
        <f>Data!J331</f>
        <v/>
      </c>
      <c r="F332" s="4">
        <f>Data!H331</f>
        <v/>
      </c>
      <c r="G332" s="4">
        <f>SUM(Data!Q331:Data!Y331)</f>
        <v/>
      </c>
      <c r="H332" s="4">
        <f>Data!Z331</f>
        <v/>
      </c>
      <c r="I332" s="4">
        <f>Data!AB331</f>
        <v/>
      </c>
      <c r="J332" s="4">
        <f>Data!AD331</f>
        <v/>
      </c>
      <c r="K332" s="4">
        <f>Data!AE331</f>
        <v/>
      </c>
      <c r="L332" s="4">
        <f>Data!AF331</f>
        <v/>
      </c>
      <c r="M332" s="4">
        <f>Data!AG331</f>
        <v/>
      </c>
      <c r="N332" s="4">
        <f>Data!AH331</f>
        <v/>
      </c>
      <c r="O332" s="4">
        <f>Data!AI331</f>
        <v/>
      </c>
      <c r="P332" s="4">
        <f>Data!AJ331</f>
        <v/>
      </c>
      <c r="Q332" s="4">
        <f>Data!AK331</f>
        <v/>
      </c>
      <c r="R332" s="4">
        <f>Data!AL331</f>
        <v/>
      </c>
    </row>
    <row r="333">
      <c r="A333" s="4">
        <f>Data!A332</f>
        <v/>
      </c>
      <c r="B333" s="4">
        <f>Data!B332</f>
        <v/>
      </c>
      <c r="C333" s="4">
        <f>Data!C332</f>
        <v/>
      </c>
      <c r="D333" s="4">
        <f>Data!I332</f>
        <v/>
      </c>
      <c r="E333" s="4">
        <f>Data!J332</f>
        <v/>
      </c>
      <c r="F333" s="4">
        <f>Data!H332</f>
        <v/>
      </c>
      <c r="G333" s="4">
        <f>SUM(Data!Q332:Data!Y332)</f>
        <v/>
      </c>
      <c r="H333" s="4">
        <f>Data!Z332</f>
        <v/>
      </c>
      <c r="I333" s="4">
        <f>Data!AB332</f>
        <v/>
      </c>
      <c r="J333" s="4">
        <f>Data!AD332</f>
        <v/>
      </c>
      <c r="K333" s="4">
        <f>Data!AE332</f>
        <v/>
      </c>
      <c r="L333" s="4">
        <f>Data!AF332</f>
        <v/>
      </c>
      <c r="M333" s="4">
        <f>Data!AG332</f>
        <v/>
      </c>
      <c r="N333" s="4">
        <f>Data!AH332</f>
        <v/>
      </c>
      <c r="O333" s="4">
        <f>Data!AI332</f>
        <v/>
      </c>
      <c r="P333" s="4">
        <f>Data!AJ332</f>
        <v/>
      </c>
      <c r="Q333" s="4">
        <f>Data!AK332</f>
        <v/>
      </c>
      <c r="R333" s="4">
        <f>Data!AL332</f>
        <v/>
      </c>
    </row>
    <row r="334">
      <c r="A334" s="4">
        <f>Data!A333</f>
        <v/>
      </c>
      <c r="B334" s="4">
        <f>Data!B333</f>
        <v/>
      </c>
      <c r="C334" s="4">
        <f>Data!C333</f>
        <v/>
      </c>
      <c r="D334" s="4">
        <f>Data!I333</f>
        <v/>
      </c>
      <c r="E334" s="4">
        <f>Data!J333</f>
        <v/>
      </c>
      <c r="F334" s="4">
        <f>Data!H333</f>
        <v/>
      </c>
      <c r="G334" s="4">
        <f>SUM(Data!Q333:Data!Y333)</f>
        <v/>
      </c>
      <c r="H334" s="4">
        <f>Data!Z333</f>
        <v/>
      </c>
      <c r="I334" s="4">
        <f>Data!AB333</f>
        <v/>
      </c>
      <c r="J334" s="4">
        <f>Data!AD333</f>
        <v/>
      </c>
      <c r="K334" s="4">
        <f>Data!AE333</f>
        <v/>
      </c>
      <c r="L334" s="4">
        <f>Data!AF333</f>
        <v/>
      </c>
      <c r="M334" s="4">
        <f>Data!AG333</f>
        <v/>
      </c>
      <c r="N334" s="4">
        <f>Data!AH333</f>
        <v/>
      </c>
      <c r="O334" s="4">
        <f>Data!AI333</f>
        <v/>
      </c>
      <c r="P334" s="4">
        <f>Data!AJ333</f>
        <v/>
      </c>
      <c r="Q334" s="4">
        <f>Data!AK333</f>
        <v/>
      </c>
      <c r="R334" s="4">
        <f>Data!AL333</f>
        <v/>
      </c>
    </row>
    <row r="335">
      <c r="A335" s="4">
        <f>Data!A334</f>
        <v/>
      </c>
      <c r="B335" s="4">
        <f>Data!B334</f>
        <v/>
      </c>
      <c r="C335" s="4">
        <f>Data!C334</f>
        <v/>
      </c>
      <c r="D335" s="4">
        <f>Data!I334</f>
        <v/>
      </c>
      <c r="E335" s="4">
        <f>Data!J334</f>
        <v/>
      </c>
      <c r="F335" s="4">
        <f>Data!H334</f>
        <v/>
      </c>
      <c r="G335" s="4">
        <f>SUM(Data!Q334:Data!Y334)</f>
        <v/>
      </c>
      <c r="H335" s="4">
        <f>Data!Z334</f>
        <v/>
      </c>
      <c r="I335" s="4">
        <f>Data!AB334</f>
        <v/>
      </c>
      <c r="J335" s="4">
        <f>Data!AD334</f>
        <v/>
      </c>
      <c r="K335" s="4">
        <f>Data!AE334</f>
        <v/>
      </c>
      <c r="L335" s="4">
        <f>Data!AF334</f>
        <v/>
      </c>
      <c r="M335" s="4">
        <f>Data!AG334</f>
        <v/>
      </c>
      <c r="N335" s="4">
        <f>Data!AH334</f>
        <v/>
      </c>
      <c r="O335" s="4">
        <f>Data!AI334</f>
        <v/>
      </c>
      <c r="P335" s="4">
        <f>Data!AJ334</f>
        <v/>
      </c>
      <c r="Q335" s="4">
        <f>Data!AK334</f>
        <v/>
      </c>
      <c r="R335" s="4">
        <f>Data!AL334</f>
        <v/>
      </c>
    </row>
    <row r="336">
      <c r="A336" s="4">
        <f>Data!A335</f>
        <v/>
      </c>
      <c r="B336" s="4">
        <f>Data!B335</f>
        <v/>
      </c>
      <c r="C336" s="4">
        <f>Data!C335</f>
        <v/>
      </c>
      <c r="D336" s="4">
        <f>Data!I335</f>
        <v/>
      </c>
      <c r="E336" s="4">
        <f>Data!J335</f>
        <v/>
      </c>
      <c r="F336" s="4">
        <f>Data!H335</f>
        <v/>
      </c>
      <c r="G336" s="4">
        <f>SUM(Data!Q335:Data!Y335)</f>
        <v/>
      </c>
      <c r="H336" s="4">
        <f>Data!Z335</f>
        <v/>
      </c>
      <c r="I336" s="4">
        <f>Data!AB335</f>
        <v/>
      </c>
      <c r="J336" s="4">
        <f>Data!AD335</f>
        <v/>
      </c>
      <c r="K336" s="4">
        <f>Data!AE335</f>
        <v/>
      </c>
      <c r="L336" s="4">
        <f>Data!AF335</f>
        <v/>
      </c>
      <c r="M336" s="4">
        <f>Data!AG335</f>
        <v/>
      </c>
      <c r="N336" s="4">
        <f>Data!AH335</f>
        <v/>
      </c>
      <c r="O336" s="4">
        <f>Data!AI335</f>
        <v/>
      </c>
      <c r="P336" s="4">
        <f>Data!AJ335</f>
        <v/>
      </c>
      <c r="Q336" s="4">
        <f>Data!AK335</f>
        <v/>
      </c>
      <c r="R336" s="4">
        <f>Data!AL335</f>
        <v/>
      </c>
    </row>
    <row r="337">
      <c r="A337" s="4">
        <f>Data!A336</f>
        <v/>
      </c>
      <c r="B337" s="4">
        <f>Data!B336</f>
        <v/>
      </c>
      <c r="C337" s="4">
        <f>Data!C336</f>
        <v/>
      </c>
      <c r="D337" s="4">
        <f>Data!I336</f>
        <v/>
      </c>
      <c r="E337" s="4">
        <f>Data!J336</f>
        <v/>
      </c>
      <c r="F337" s="4">
        <f>Data!H336</f>
        <v/>
      </c>
      <c r="G337" s="4">
        <f>SUM(Data!Q336:Data!Y336)</f>
        <v/>
      </c>
      <c r="H337" s="4">
        <f>Data!Z336</f>
        <v/>
      </c>
      <c r="I337" s="4">
        <f>Data!AB336</f>
        <v/>
      </c>
      <c r="J337" s="4">
        <f>Data!AD336</f>
        <v/>
      </c>
      <c r="K337" s="4">
        <f>Data!AE336</f>
        <v/>
      </c>
      <c r="L337" s="4">
        <f>Data!AF336</f>
        <v/>
      </c>
      <c r="M337" s="4">
        <f>Data!AG336</f>
        <v/>
      </c>
      <c r="N337" s="4">
        <f>Data!AH336</f>
        <v/>
      </c>
      <c r="O337" s="4">
        <f>Data!AI336</f>
        <v/>
      </c>
      <c r="P337" s="4">
        <f>Data!AJ336</f>
        <v/>
      </c>
      <c r="Q337" s="4">
        <f>Data!AK336</f>
        <v/>
      </c>
      <c r="R337" s="4">
        <f>Data!AL336</f>
        <v/>
      </c>
    </row>
    <row r="338">
      <c r="A338" s="4">
        <f>Data!A337</f>
        <v/>
      </c>
      <c r="B338" s="4">
        <f>Data!B337</f>
        <v/>
      </c>
      <c r="C338" s="4">
        <f>Data!C337</f>
        <v/>
      </c>
      <c r="D338" s="4">
        <f>Data!I337</f>
        <v/>
      </c>
      <c r="E338" s="4">
        <f>Data!J337</f>
        <v/>
      </c>
      <c r="F338" s="4">
        <f>Data!H337</f>
        <v/>
      </c>
      <c r="G338" s="4">
        <f>SUM(Data!Q337:Data!Y337)</f>
        <v/>
      </c>
      <c r="H338" s="4">
        <f>Data!Z337</f>
        <v/>
      </c>
      <c r="I338" s="4">
        <f>Data!AB337</f>
        <v/>
      </c>
      <c r="J338" s="4">
        <f>Data!AD337</f>
        <v/>
      </c>
      <c r="K338" s="4">
        <f>Data!AE337</f>
        <v/>
      </c>
      <c r="L338" s="4">
        <f>Data!AF337</f>
        <v/>
      </c>
      <c r="M338" s="4">
        <f>Data!AG337</f>
        <v/>
      </c>
      <c r="N338" s="4">
        <f>Data!AH337</f>
        <v/>
      </c>
      <c r="O338" s="4">
        <f>Data!AI337</f>
        <v/>
      </c>
      <c r="P338" s="4">
        <f>Data!AJ337</f>
        <v/>
      </c>
      <c r="Q338" s="4">
        <f>Data!AK337</f>
        <v/>
      </c>
      <c r="R338" s="4">
        <f>Data!AL337</f>
        <v/>
      </c>
    </row>
    <row r="339">
      <c r="A339" s="4">
        <f>Data!A338</f>
        <v/>
      </c>
      <c r="B339" s="4">
        <f>Data!B338</f>
        <v/>
      </c>
      <c r="C339" s="4">
        <f>Data!C338</f>
        <v/>
      </c>
      <c r="D339" s="4">
        <f>Data!I338</f>
        <v/>
      </c>
      <c r="E339" s="4">
        <f>Data!J338</f>
        <v/>
      </c>
      <c r="F339" s="4">
        <f>Data!H338</f>
        <v/>
      </c>
      <c r="G339" s="4">
        <f>SUM(Data!Q338:Data!Y338)</f>
        <v/>
      </c>
      <c r="H339" s="4">
        <f>Data!Z338</f>
        <v/>
      </c>
      <c r="I339" s="4">
        <f>Data!AB338</f>
        <v/>
      </c>
      <c r="J339" s="4">
        <f>Data!AD338</f>
        <v/>
      </c>
      <c r="K339" s="4">
        <f>Data!AE338</f>
        <v/>
      </c>
      <c r="L339" s="4">
        <f>Data!AF338</f>
        <v/>
      </c>
      <c r="M339" s="4">
        <f>Data!AG338</f>
        <v/>
      </c>
      <c r="N339" s="4">
        <f>Data!AH338</f>
        <v/>
      </c>
      <c r="O339" s="4">
        <f>Data!AI338</f>
        <v/>
      </c>
      <c r="P339" s="4">
        <f>Data!AJ338</f>
        <v/>
      </c>
      <c r="Q339" s="4">
        <f>Data!AK338</f>
        <v/>
      </c>
      <c r="R339" s="4">
        <f>Data!AL338</f>
        <v/>
      </c>
    </row>
    <row r="340">
      <c r="A340" s="4">
        <f>Data!A339</f>
        <v/>
      </c>
      <c r="B340" s="4">
        <f>Data!B339</f>
        <v/>
      </c>
      <c r="C340" s="4">
        <f>Data!C339</f>
        <v/>
      </c>
      <c r="D340" s="4">
        <f>Data!I339</f>
        <v/>
      </c>
      <c r="E340" s="4">
        <f>Data!J339</f>
        <v/>
      </c>
      <c r="F340" s="4">
        <f>Data!H339</f>
        <v/>
      </c>
      <c r="G340" s="4">
        <f>SUM(Data!Q339:Data!Y339)</f>
        <v/>
      </c>
      <c r="H340" s="4">
        <f>Data!Z339</f>
        <v/>
      </c>
      <c r="I340" s="4">
        <f>Data!AB339</f>
        <v/>
      </c>
      <c r="J340" s="4">
        <f>Data!AD339</f>
        <v/>
      </c>
      <c r="K340" s="4">
        <f>Data!AE339</f>
        <v/>
      </c>
      <c r="L340" s="4">
        <f>Data!AF339</f>
        <v/>
      </c>
      <c r="M340" s="4">
        <f>Data!AG339</f>
        <v/>
      </c>
      <c r="N340" s="4">
        <f>Data!AH339</f>
        <v/>
      </c>
      <c r="O340" s="4">
        <f>Data!AI339</f>
        <v/>
      </c>
      <c r="P340" s="4">
        <f>Data!AJ339</f>
        <v/>
      </c>
      <c r="Q340" s="4">
        <f>Data!AK339</f>
        <v/>
      </c>
      <c r="R340" s="4">
        <f>Data!AL339</f>
        <v/>
      </c>
    </row>
    <row r="341">
      <c r="A341" s="4">
        <f>Data!A340</f>
        <v/>
      </c>
      <c r="B341" s="4">
        <f>Data!B340</f>
        <v/>
      </c>
      <c r="C341" s="4">
        <f>Data!C340</f>
        <v/>
      </c>
      <c r="D341" s="4">
        <f>Data!I340</f>
        <v/>
      </c>
      <c r="E341" s="4">
        <f>Data!J340</f>
        <v/>
      </c>
      <c r="F341" s="4">
        <f>Data!H340</f>
        <v/>
      </c>
      <c r="G341" s="4">
        <f>SUM(Data!Q340:Data!Y340)</f>
        <v/>
      </c>
      <c r="H341" s="4">
        <f>Data!Z340</f>
        <v/>
      </c>
      <c r="I341" s="4">
        <f>Data!AB340</f>
        <v/>
      </c>
      <c r="J341" s="4">
        <f>Data!AD340</f>
        <v/>
      </c>
      <c r="K341" s="4">
        <f>Data!AE340</f>
        <v/>
      </c>
      <c r="L341" s="4">
        <f>Data!AF340</f>
        <v/>
      </c>
      <c r="M341" s="4">
        <f>Data!AG340</f>
        <v/>
      </c>
      <c r="N341" s="4">
        <f>Data!AH340</f>
        <v/>
      </c>
      <c r="O341" s="4">
        <f>Data!AI340</f>
        <v/>
      </c>
      <c r="P341" s="4">
        <f>Data!AJ340</f>
        <v/>
      </c>
      <c r="Q341" s="4">
        <f>Data!AK340</f>
        <v/>
      </c>
      <c r="R341" s="4">
        <f>Data!AL340</f>
        <v/>
      </c>
    </row>
    <row r="342">
      <c r="A342" s="4">
        <f>Data!A341</f>
        <v/>
      </c>
      <c r="B342" s="4">
        <f>Data!B341</f>
        <v/>
      </c>
      <c r="C342" s="4">
        <f>Data!C341</f>
        <v/>
      </c>
      <c r="D342" s="4">
        <f>Data!I341</f>
        <v/>
      </c>
      <c r="E342" s="4">
        <f>Data!J341</f>
        <v/>
      </c>
      <c r="F342" s="4">
        <f>Data!H341</f>
        <v/>
      </c>
      <c r="G342" s="4">
        <f>SUM(Data!Q341:Data!Y341)</f>
        <v/>
      </c>
      <c r="H342" s="4">
        <f>Data!Z341</f>
        <v/>
      </c>
      <c r="I342" s="4">
        <f>Data!AB341</f>
        <v/>
      </c>
      <c r="J342" s="4">
        <f>Data!AD341</f>
        <v/>
      </c>
      <c r="K342" s="4">
        <f>Data!AE341</f>
        <v/>
      </c>
      <c r="L342" s="4">
        <f>Data!AF341</f>
        <v/>
      </c>
      <c r="M342" s="4">
        <f>Data!AG341</f>
        <v/>
      </c>
      <c r="N342" s="4">
        <f>Data!AH341</f>
        <v/>
      </c>
      <c r="O342" s="4">
        <f>Data!AI341</f>
        <v/>
      </c>
      <c r="P342" s="4">
        <f>Data!AJ341</f>
        <v/>
      </c>
      <c r="Q342" s="4">
        <f>Data!AK341</f>
        <v/>
      </c>
      <c r="R342" s="4">
        <f>Data!AL341</f>
        <v/>
      </c>
    </row>
    <row r="343">
      <c r="A343" s="4">
        <f>Data!A342</f>
        <v/>
      </c>
      <c r="B343" s="4">
        <f>Data!B342</f>
        <v/>
      </c>
      <c r="C343" s="4">
        <f>Data!C342</f>
        <v/>
      </c>
      <c r="D343" s="4">
        <f>Data!I342</f>
        <v/>
      </c>
      <c r="E343" s="4">
        <f>Data!J342</f>
        <v/>
      </c>
      <c r="F343" s="4">
        <f>Data!H342</f>
        <v/>
      </c>
      <c r="G343" s="4">
        <f>SUM(Data!Q342:Data!Y342)</f>
        <v/>
      </c>
      <c r="H343" s="4">
        <f>Data!Z342</f>
        <v/>
      </c>
      <c r="I343" s="4">
        <f>Data!AB342</f>
        <v/>
      </c>
      <c r="J343" s="4">
        <f>Data!AD342</f>
        <v/>
      </c>
      <c r="K343" s="4">
        <f>Data!AE342</f>
        <v/>
      </c>
      <c r="L343" s="4">
        <f>Data!AF342</f>
        <v/>
      </c>
      <c r="M343" s="4">
        <f>Data!AG342</f>
        <v/>
      </c>
      <c r="N343" s="4">
        <f>Data!AH342</f>
        <v/>
      </c>
      <c r="O343" s="4">
        <f>Data!AI342</f>
        <v/>
      </c>
      <c r="P343" s="4">
        <f>Data!AJ342</f>
        <v/>
      </c>
      <c r="Q343" s="4">
        <f>Data!AK342</f>
        <v/>
      </c>
      <c r="R343" s="4">
        <f>Data!AL342</f>
        <v/>
      </c>
    </row>
    <row r="344">
      <c r="A344" s="4">
        <f>Data!A343</f>
        <v/>
      </c>
      <c r="B344" s="4">
        <f>Data!B343</f>
        <v/>
      </c>
      <c r="C344" s="4">
        <f>Data!C343</f>
        <v/>
      </c>
      <c r="D344" s="4">
        <f>Data!I343</f>
        <v/>
      </c>
      <c r="E344" s="4">
        <f>Data!J343</f>
        <v/>
      </c>
      <c r="F344" s="4">
        <f>Data!H343</f>
        <v/>
      </c>
      <c r="G344" s="4">
        <f>SUM(Data!Q343:Data!Y343)</f>
        <v/>
      </c>
      <c r="H344" s="4">
        <f>Data!Z343</f>
        <v/>
      </c>
      <c r="I344" s="4">
        <f>Data!AB343</f>
        <v/>
      </c>
      <c r="J344" s="4">
        <f>Data!AD343</f>
        <v/>
      </c>
      <c r="K344" s="4">
        <f>Data!AE343</f>
        <v/>
      </c>
      <c r="L344" s="4">
        <f>Data!AF343</f>
        <v/>
      </c>
      <c r="M344" s="4">
        <f>Data!AG343</f>
        <v/>
      </c>
      <c r="N344" s="4">
        <f>Data!AH343</f>
        <v/>
      </c>
      <c r="O344" s="4">
        <f>Data!AI343</f>
        <v/>
      </c>
      <c r="P344" s="4">
        <f>Data!AJ343</f>
        <v/>
      </c>
      <c r="Q344" s="4">
        <f>Data!AK343</f>
        <v/>
      </c>
      <c r="R344" s="4">
        <f>Data!AL343</f>
        <v/>
      </c>
    </row>
    <row r="345">
      <c r="A345" s="4">
        <f>Data!A344</f>
        <v/>
      </c>
      <c r="B345" s="4">
        <f>Data!B344</f>
        <v/>
      </c>
      <c r="C345" s="4">
        <f>Data!C344</f>
        <v/>
      </c>
      <c r="D345" s="4">
        <f>Data!I344</f>
        <v/>
      </c>
      <c r="E345" s="4">
        <f>Data!J344</f>
        <v/>
      </c>
      <c r="F345" s="4">
        <f>Data!H344</f>
        <v/>
      </c>
      <c r="G345" s="4">
        <f>SUM(Data!Q344:Data!Y344)</f>
        <v/>
      </c>
      <c r="H345" s="4">
        <f>Data!Z344</f>
        <v/>
      </c>
      <c r="I345" s="4">
        <f>Data!AB344</f>
        <v/>
      </c>
      <c r="J345" s="4">
        <f>Data!AD344</f>
        <v/>
      </c>
      <c r="K345" s="4">
        <f>Data!AE344</f>
        <v/>
      </c>
      <c r="L345" s="4">
        <f>Data!AF344</f>
        <v/>
      </c>
      <c r="M345" s="4">
        <f>Data!AG344</f>
        <v/>
      </c>
      <c r="N345" s="4">
        <f>Data!AH344</f>
        <v/>
      </c>
      <c r="O345" s="4">
        <f>Data!AI344</f>
        <v/>
      </c>
      <c r="P345" s="4">
        <f>Data!AJ344</f>
        <v/>
      </c>
      <c r="Q345" s="4">
        <f>Data!AK344</f>
        <v/>
      </c>
      <c r="R345" s="4">
        <f>Data!AL344</f>
        <v/>
      </c>
    </row>
    <row r="346">
      <c r="A346" s="4">
        <f>Data!A345</f>
        <v/>
      </c>
      <c r="B346" s="4">
        <f>Data!B345</f>
        <v/>
      </c>
      <c r="C346" s="4">
        <f>Data!C345</f>
        <v/>
      </c>
      <c r="D346" s="4">
        <f>Data!I345</f>
        <v/>
      </c>
      <c r="E346" s="4">
        <f>Data!J345</f>
        <v/>
      </c>
      <c r="F346" s="4">
        <f>Data!H345</f>
        <v/>
      </c>
      <c r="G346" s="4">
        <f>SUM(Data!Q345:Data!Y345)</f>
        <v/>
      </c>
      <c r="H346" s="4">
        <f>Data!Z345</f>
        <v/>
      </c>
      <c r="I346" s="4">
        <f>Data!AB345</f>
        <v/>
      </c>
      <c r="J346" s="4">
        <f>Data!AD345</f>
        <v/>
      </c>
      <c r="K346" s="4">
        <f>Data!AE345</f>
        <v/>
      </c>
      <c r="L346" s="4">
        <f>Data!AF345</f>
        <v/>
      </c>
      <c r="M346" s="4">
        <f>Data!AG345</f>
        <v/>
      </c>
      <c r="N346" s="4">
        <f>Data!AH345</f>
        <v/>
      </c>
      <c r="O346" s="4">
        <f>Data!AI345</f>
        <v/>
      </c>
      <c r="P346" s="4">
        <f>Data!AJ345</f>
        <v/>
      </c>
      <c r="Q346" s="4">
        <f>Data!AK345</f>
        <v/>
      </c>
      <c r="R346" s="4">
        <f>Data!AL345</f>
        <v/>
      </c>
    </row>
    <row r="347">
      <c r="A347" s="4">
        <f>Data!A346</f>
        <v/>
      </c>
      <c r="B347" s="4">
        <f>Data!B346</f>
        <v/>
      </c>
      <c r="C347" s="4">
        <f>Data!C346</f>
        <v/>
      </c>
      <c r="D347" s="4">
        <f>Data!I346</f>
        <v/>
      </c>
      <c r="E347" s="4">
        <f>Data!J346</f>
        <v/>
      </c>
      <c r="F347" s="4">
        <f>Data!H346</f>
        <v/>
      </c>
      <c r="G347" s="4">
        <f>SUM(Data!Q346:Data!Y346)</f>
        <v/>
      </c>
      <c r="H347" s="4">
        <f>Data!Z346</f>
        <v/>
      </c>
      <c r="I347" s="4">
        <f>Data!AB346</f>
        <v/>
      </c>
      <c r="J347" s="4">
        <f>Data!AD346</f>
        <v/>
      </c>
      <c r="K347" s="4">
        <f>Data!AE346</f>
        <v/>
      </c>
      <c r="L347" s="4">
        <f>Data!AF346</f>
        <v/>
      </c>
      <c r="M347" s="4">
        <f>Data!AG346</f>
        <v/>
      </c>
      <c r="N347" s="4">
        <f>Data!AH346</f>
        <v/>
      </c>
      <c r="O347" s="4">
        <f>Data!AI346</f>
        <v/>
      </c>
      <c r="P347" s="4">
        <f>Data!AJ346</f>
        <v/>
      </c>
      <c r="Q347" s="4">
        <f>Data!AK346</f>
        <v/>
      </c>
      <c r="R347" s="4">
        <f>Data!AL346</f>
        <v/>
      </c>
    </row>
    <row r="348">
      <c r="A348" s="4">
        <f>Data!A347</f>
        <v/>
      </c>
      <c r="B348" s="4">
        <f>Data!B347</f>
        <v/>
      </c>
      <c r="C348" s="4">
        <f>Data!C347</f>
        <v/>
      </c>
      <c r="D348" s="4">
        <f>Data!I347</f>
        <v/>
      </c>
      <c r="E348" s="4">
        <f>Data!J347</f>
        <v/>
      </c>
      <c r="F348" s="4">
        <f>Data!H347</f>
        <v/>
      </c>
      <c r="G348" s="4">
        <f>SUM(Data!Q347:Data!Y347)</f>
        <v/>
      </c>
      <c r="H348" s="4">
        <f>Data!Z347</f>
        <v/>
      </c>
      <c r="I348" s="4">
        <f>Data!AB347</f>
        <v/>
      </c>
      <c r="J348" s="4">
        <f>Data!AD347</f>
        <v/>
      </c>
      <c r="K348" s="4">
        <f>Data!AE347</f>
        <v/>
      </c>
      <c r="L348" s="4">
        <f>Data!AF347</f>
        <v/>
      </c>
      <c r="M348" s="4">
        <f>Data!AG347</f>
        <v/>
      </c>
      <c r="N348" s="4">
        <f>Data!AH347</f>
        <v/>
      </c>
      <c r="O348" s="4">
        <f>Data!AI347</f>
        <v/>
      </c>
      <c r="P348" s="4">
        <f>Data!AJ347</f>
        <v/>
      </c>
      <c r="Q348" s="4">
        <f>Data!AK347</f>
        <v/>
      </c>
      <c r="R348" s="4">
        <f>Data!AL347</f>
        <v/>
      </c>
    </row>
    <row r="349">
      <c r="A349" s="4">
        <f>Data!A348</f>
        <v/>
      </c>
      <c r="B349" s="4">
        <f>Data!B348</f>
        <v/>
      </c>
      <c r="C349" s="4">
        <f>Data!C348</f>
        <v/>
      </c>
      <c r="D349" s="4">
        <f>Data!I348</f>
        <v/>
      </c>
      <c r="E349" s="4">
        <f>Data!J348</f>
        <v/>
      </c>
      <c r="F349" s="4">
        <f>Data!H348</f>
        <v/>
      </c>
      <c r="G349" s="4">
        <f>SUM(Data!Q348:Data!Y348)</f>
        <v/>
      </c>
      <c r="H349" s="4">
        <f>Data!Z348</f>
        <v/>
      </c>
      <c r="I349" s="4">
        <f>Data!AB348</f>
        <v/>
      </c>
      <c r="J349" s="4">
        <f>Data!AD348</f>
        <v/>
      </c>
      <c r="K349" s="4">
        <f>Data!AE348</f>
        <v/>
      </c>
      <c r="L349" s="4">
        <f>Data!AF348</f>
        <v/>
      </c>
      <c r="M349" s="4">
        <f>Data!AG348</f>
        <v/>
      </c>
      <c r="N349" s="4">
        <f>Data!AH348</f>
        <v/>
      </c>
      <c r="O349" s="4">
        <f>Data!AI348</f>
        <v/>
      </c>
      <c r="P349" s="4">
        <f>Data!AJ348</f>
        <v/>
      </c>
      <c r="Q349" s="4">
        <f>Data!AK348</f>
        <v/>
      </c>
      <c r="R349" s="4">
        <f>Data!AL348</f>
        <v/>
      </c>
    </row>
    <row r="350">
      <c r="A350" s="4">
        <f>Data!A349</f>
        <v/>
      </c>
      <c r="B350" s="4">
        <f>Data!B349</f>
        <v/>
      </c>
      <c r="C350" s="4">
        <f>Data!C349</f>
        <v/>
      </c>
      <c r="D350" s="4">
        <f>Data!I349</f>
        <v/>
      </c>
      <c r="E350" s="4">
        <f>Data!J349</f>
        <v/>
      </c>
      <c r="F350" s="4">
        <f>Data!H349</f>
        <v/>
      </c>
      <c r="G350" s="4">
        <f>SUM(Data!Q349:Data!Y349)</f>
        <v/>
      </c>
      <c r="H350" s="4">
        <f>Data!Z349</f>
        <v/>
      </c>
      <c r="I350" s="4">
        <f>Data!AB349</f>
        <v/>
      </c>
      <c r="J350" s="4">
        <f>Data!AD349</f>
        <v/>
      </c>
      <c r="K350" s="4">
        <f>Data!AE349</f>
        <v/>
      </c>
      <c r="L350" s="4">
        <f>Data!AF349</f>
        <v/>
      </c>
      <c r="M350" s="4">
        <f>Data!AG349</f>
        <v/>
      </c>
      <c r="N350" s="4">
        <f>Data!AH349</f>
        <v/>
      </c>
      <c r="O350" s="4">
        <f>Data!AI349</f>
        <v/>
      </c>
      <c r="P350" s="4">
        <f>Data!AJ349</f>
        <v/>
      </c>
      <c r="Q350" s="4">
        <f>Data!AK349</f>
        <v/>
      </c>
      <c r="R350" s="4">
        <f>Data!AL349</f>
        <v/>
      </c>
    </row>
    <row r="351">
      <c r="A351" s="4">
        <f>Data!A350</f>
        <v/>
      </c>
      <c r="B351" s="4">
        <f>Data!B350</f>
        <v/>
      </c>
      <c r="C351" s="4">
        <f>Data!C350</f>
        <v/>
      </c>
      <c r="D351" s="4">
        <f>Data!I350</f>
        <v/>
      </c>
      <c r="E351" s="4">
        <f>Data!J350</f>
        <v/>
      </c>
      <c r="F351" s="4">
        <f>Data!H350</f>
        <v/>
      </c>
      <c r="G351" s="4">
        <f>SUM(Data!Q350:Data!Y350)</f>
        <v/>
      </c>
      <c r="H351" s="4">
        <f>Data!Z350</f>
        <v/>
      </c>
      <c r="I351" s="4">
        <f>Data!AB350</f>
        <v/>
      </c>
      <c r="J351" s="4">
        <f>Data!AD350</f>
        <v/>
      </c>
      <c r="K351" s="4">
        <f>Data!AE350</f>
        <v/>
      </c>
      <c r="L351" s="4">
        <f>Data!AF350</f>
        <v/>
      </c>
      <c r="M351" s="4">
        <f>Data!AG350</f>
        <v/>
      </c>
      <c r="N351" s="4">
        <f>Data!AH350</f>
        <v/>
      </c>
      <c r="O351" s="4">
        <f>Data!AI350</f>
        <v/>
      </c>
      <c r="P351" s="4">
        <f>Data!AJ350</f>
        <v/>
      </c>
      <c r="Q351" s="4">
        <f>Data!AK350</f>
        <v/>
      </c>
      <c r="R351" s="4">
        <f>Data!AL350</f>
        <v/>
      </c>
    </row>
    <row r="352">
      <c r="A352" s="4">
        <f>Data!A351</f>
        <v/>
      </c>
      <c r="B352" s="4">
        <f>Data!B351</f>
        <v/>
      </c>
      <c r="C352" s="4">
        <f>Data!C351</f>
        <v/>
      </c>
      <c r="D352" s="4">
        <f>Data!I351</f>
        <v/>
      </c>
      <c r="E352" s="4">
        <f>Data!J351</f>
        <v/>
      </c>
      <c r="F352" s="4">
        <f>Data!H351</f>
        <v/>
      </c>
      <c r="G352" s="4">
        <f>SUM(Data!Q351:Data!Y351)</f>
        <v/>
      </c>
      <c r="H352" s="4">
        <f>Data!Z351</f>
        <v/>
      </c>
      <c r="I352" s="4">
        <f>Data!AB351</f>
        <v/>
      </c>
      <c r="J352" s="4">
        <f>Data!AD351</f>
        <v/>
      </c>
      <c r="K352" s="4">
        <f>Data!AE351</f>
        <v/>
      </c>
      <c r="L352" s="4">
        <f>Data!AF351</f>
        <v/>
      </c>
      <c r="M352" s="4">
        <f>Data!AG351</f>
        <v/>
      </c>
      <c r="N352" s="4">
        <f>Data!AH351</f>
        <v/>
      </c>
      <c r="O352" s="4">
        <f>Data!AI351</f>
        <v/>
      </c>
      <c r="P352" s="4">
        <f>Data!AJ351</f>
        <v/>
      </c>
      <c r="Q352" s="4">
        <f>Data!AK351</f>
        <v/>
      </c>
      <c r="R352" s="4">
        <f>Data!AL351</f>
        <v/>
      </c>
    </row>
    <row r="353">
      <c r="A353" s="4">
        <f>Data!A352</f>
        <v/>
      </c>
      <c r="B353" s="4">
        <f>Data!B352</f>
        <v/>
      </c>
      <c r="C353" s="4">
        <f>Data!C352</f>
        <v/>
      </c>
      <c r="D353" s="4">
        <f>Data!I352</f>
        <v/>
      </c>
      <c r="E353" s="4">
        <f>Data!J352</f>
        <v/>
      </c>
      <c r="F353" s="4">
        <f>Data!H352</f>
        <v/>
      </c>
      <c r="G353" s="4">
        <f>SUM(Data!Q352:Data!Y352)</f>
        <v/>
      </c>
      <c r="H353" s="4">
        <f>Data!Z352</f>
        <v/>
      </c>
      <c r="I353" s="4">
        <f>Data!AB352</f>
        <v/>
      </c>
      <c r="J353" s="4">
        <f>Data!AD352</f>
        <v/>
      </c>
      <c r="K353" s="4">
        <f>Data!AE352</f>
        <v/>
      </c>
      <c r="L353" s="4">
        <f>Data!AF352</f>
        <v/>
      </c>
      <c r="M353" s="4">
        <f>Data!AG352</f>
        <v/>
      </c>
      <c r="N353" s="4">
        <f>Data!AH352</f>
        <v/>
      </c>
      <c r="O353" s="4">
        <f>Data!AI352</f>
        <v/>
      </c>
      <c r="P353" s="4">
        <f>Data!AJ352</f>
        <v/>
      </c>
      <c r="Q353" s="4">
        <f>Data!AK352</f>
        <v/>
      </c>
      <c r="R353" s="4">
        <f>Data!AL352</f>
        <v/>
      </c>
    </row>
    <row r="354">
      <c r="A354" s="4">
        <f>Data!A353</f>
        <v/>
      </c>
      <c r="B354" s="4">
        <f>Data!B353</f>
        <v/>
      </c>
      <c r="C354" s="4">
        <f>Data!C353</f>
        <v/>
      </c>
      <c r="D354" s="4">
        <f>Data!I353</f>
        <v/>
      </c>
      <c r="E354" s="4">
        <f>Data!J353</f>
        <v/>
      </c>
      <c r="F354" s="4">
        <f>Data!H353</f>
        <v/>
      </c>
      <c r="G354" s="4">
        <f>SUM(Data!Q353:Data!Y353)</f>
        <v/>
      </c>
      <c r="H354" s="4">
        <f>Data!Z353</f>
        <v/>
      </c>
      <c r="I354" s="4">
        <f>Data!AB353</f>
        <v/>
      </c>
      <c r="J354" s="4">
        <f>Data!AD353</f>
        <v/>
      </c>
      <c r="K354" s="4">
        <f>Data!AE353</f>
        <v/>
      </c>
      <c r="L354" s="4">
        <f>Data!AF353</f>
        <v/>
      </c>
      <c r="M354" s="4">
        <f>Data!AG353</f>
        <v/>
      </c>
      <c r="N354" s="4">
        <f>Data!AH353</f>
        <v/>
      </c>
      <c r="O354" s="4">
        <f>Data!AI353</f>
        <v/>
      </c>
      <c r="P354" s="4">
        <f>Data!AJ353</f>
        <v/>
      </c>
      <c r="Q354" s="4">
        <f>Data!AK353</f>
        <v/>
      </c>
      <c r="R354" s="4">
        <f>Data!AL353</f>
        <v/>
      </c>
    </row>
    <row r="355">
      <c r="A355" s="4">
        <f>Data!A354</f>
        <v/>
      </c>
      <c r="B355" s="4">
        <f>Data!B354</f>
        <v/>
      </c>
      <c r="C355" s="4">
        <f>Data!C354</f>
        <v/>
      </c>
      <c r="D355" s="4">
        <f>Data!I354</f>
        <v/>
      </c>
      <c r="E355" s="4">
        <f>Data!J354</f>
        <v/>
      </c>
      <c r="F355" s="4">
        <f>Data!H354</f>
        <v/>
      </c>
      <c r="G355" s="4">
        <f>SUM(Data!Q354:Data!Y354)</f>
        <v/>
      </c>
      <c r="H355" s="4">
        <f>Data!Z354</f>
        <v/>
      </c>
      <c r="I355" s="4">
        <f>Data!AB354</f>
        <v/>
      </c>
      <c r="J355" s="4">
        <f>Data!AD354</f>
        <v/>
      </c>
      <c r="K355" s="4">
        <f>Data!AE354</f>
        <v/>
      </c>
      <c r="L355" s="4">
        <f>Data!AF354</f>
        <v/>
      </c>
      <c r="M355" s="4">
        <f>Data!AG354</f>
        <v/>
      </c>
      <c r="N355" s="4">
        <f>Data!AH354</f>
        <v/>
      </c>
      <c r="O355" s="4">
        <f>Data!AI354</f>
        <v/>
      </c>
      <c r="P355" s="4">
        <f>Data!AJ354</f>
        <v/>
      </c>
      <c r="Q355" s="4">
        <f>Data!AK354</f>
        <v/>
      </c>
      <c r="R355" s="4">
        <f>Data!AL354</f>
        <v/>
      </c>
    </row>
    <row r="356">
      <c r="A356" s="4">
        <f>Data!A355</f>
        <v/>
      </c>
      <c r="B356" s="4">
        <f>Data!B355</f>
        <v/>
      </c>
      <c r="C356" s="4">
        <f>Data!C355</f>
        <v/>
      </c>
      <c r="D356" s="4">
        <f>Data!I355</f>
        <v/>
      </c>
      <c r="E356" s="4">
        <f>Data!J355</f>
        <v/>
      </c>
      <c r="F356" s="4">
        <f>Data!H355</f>
        <v/>
      </c>
      <c r="G356" s="4">
        <f>SUM(Data!Q355:Data!Y355)</f>
        <v/>
      </c>
      <c r="H356" s="4">
        <f>Data!Z355</f>
        <v/>
      </c>
      <c r="I356" s="4">
        <f>Data!AB355</f>
        <v/>
      </c>
      <c r="J356" s="4">
        <f>Data!AD355</f>
        <v/>
      </c>
      <c r="K356" s="4">
        <f>Data!AE355</f>
        <v/>
      </c>
      <c r="L356" s="4">
        <f>Data!AF355</f>
        <v/>
      </c>
      <c r="M356" s="4">
        <f>Data!AG355</f>
        <v/>
      </c>
      <c r="N356" s="4">
        <f>Data!AH355</f>
        <v/>
      </c>
      <c r="O356" s="4">
        <f>Data!AI355</f>
        <v/>
      </c>
      <c r="P356" s="4">
        <f>Data!AJ355</f>
        <v/>
      </c>
      <c r="Q356" s="4">
        <f>Data!AK355</f>
        <v/>
      </c>
      <c r="R356" s="4">
        <f>Data!AL355</f>
        <v/>
      </c>
    </row>
    <row r="357">
      <c r="A357" s="4">
        <f>Data!A356</f>
        <v/>
      </c>
      <c r="B357" s="4">
        <f>Data!B356</f>
        <v/>
      </c>
      <c r="C357" s="4">
        <f>Data!C356</f>
        <v/>
      </c>
      <c r="D357" s="4">
        <f>Data!I356</f>
        <v/>
      </c>
      <c r="E357" s="4">
        <f>Data!J356</f>
        <v/>
      </c>
      <c r="F357" s="4">
        <f>Data!H356</f>
        <v/>
      </c>
      <c r="G357" s="4">
        <f>SUM(Data!Q356:Data!Y356)</f>
        <v/>
      </c>
      <c r="H357" s="4">
        <f>Data!Z356</f>
        <v/>
      </c>
      <c r="I357" s="4">
        <f>Data!AB356</f>
        <v/>
      </c>
      <c r="J357" s="4">
        <f>Data!AD356</f>
        <v/>
      </c>
      <c r="K357" s="4">
        <f>Data!AE356</f>
        <v/>
      </c>
      <c r="L357" s="4">
        <f>Data!AF356</f>
        <v/>
      </c>
      <c r="M357" s="4">
        <f>Data!AG356</f>
        <v/>
      </c>
      <c r="N357" s="4">
        <f>Data!AH356</f>
        <v/>
      </c>
      <c r="O357" s="4">
        <f>Data!AI356</f>
        <v/>
      </c>
      <c r="P357" s="4">
        <f>Data!AJ356</f>
        <v/>
      </c>
      <c r="Q357" s="4">
        <f>Data!AK356</f>
        <v/>
      </c>
      <c r="R357" s="4">
        <f>Data!AL356</f>
        <v/>
      </c>
    </row>
    <row r="358">
      <c r="A358" s="4">
        <f>Data!A357</f>
        <v/>
      </c>
      <c r="B358" s="4">
        <f>Data!B357</f>
        <v/>
      </c>
      <c r="C358" s="4">
        <f>Data!C357</f>
        <v/>
      </c>
      <c r="D358" s="4">
        <f>Data!I357</f>
        <v/>
      </c>
      <c r="E358" s="4">
        <f>Data!J357</f>
        <v/>
      </c>
      <c r="F358" s="4">
        <f>Data!H357</f>
        <v/>
      </c>
      <c r="G358" s="4">
        <f>SUM(Data!Q357:Data!Y357)</f>
        <v/>
      </c>
      <c r="H358" s="4">
        <f>Data!Z357</f>
        <v/>
      </c>
      <c r="I358" s="4">
        <f>Data!AB357</f>
        <v/>
      </c>
      <c r="J358" s="4">
        <f>Data!AD357</f>
        <v/>
      </c>
      <c r="K358" s="4">
        <f>Data!AE357</f>
        <v/>
      </c>
      <c r="L358" s="4">
        <f>Data!AF357</f>
        <v/>
      </c>
      <c r="M358" s="4">
        <f>Data!AG357</f>
        <v/>
      </c>
      <c r="N358" s="4">
        <f>Data!AH357</f>
        <v/>
      </c>
      <c r="O358" s="4">
        <f>Data!AI357</f>
        <v/>
      </c>
      <c r="P358" s="4">
        <f>Data!AJ357</f>
        <v/>
      </c>
      <c r="Q358" s="4">
        <f>Data!AK357</f>
        <v/>
      </c>
      <c r="R358" s="4">
        <f>Data!AL357</f>
        <v/>
      </c>
    </row>
    <row r="359">
      <c r="A359" s="4">
        <f>Data!A358</f>
        <v/>
      </c>
      <c r="B359" s="4">
        <f>Data!B358</f>
        <v/>
      </c>
      <c r="C359" s="4">
        <f>Data!C358</f>
        <v/>
      </c>
      <c r="D359" s="4">
        <f>Data!I358</f>
        <v/>
      </c>
      <c r="E359" s="4">
        <f>Data!J358</f>
        <v/>
      </c>
      <c r="F359" s="4">
        <f>Data!H358</f>
        <v/>
      </c>
      <c r="G359" s="4">
        <f>SUM(Data!Q358:Data!Y358)</f>
        <v/>
      </c>
      <c r="H359" s="4">
        <f>Data!Z358</f>
        <v/>
      </c>
      <c r="I359" s="4">
        <f>Data!AB358</f>
        <v/>
      </c>
      <c r="J359" s="4">
        <f>Data!AD358</f>
        <v/>
      </c>
      <c r="K359" s="4">
        <f>Data!AE358</f>
        <v/>
      </c>
      <c r="L359" s="4">
        <f>Data!AF358</f>
        <v/>
      </c>
      <c r="M359" s="4">
        <f>Data!AG358</f>
        <v/>
      </c>
      <c r="N359" s="4">
        <f>Data!AH358</f>
        <v/>
      </c>
      <c r="O359" s="4">
        <f>Data!AI358</f>
        <v/>
      </c>
      <c r="P359" s="4">
        <f>Data!AJ358</f>
        <v/>
      </c>
      <c r="Q359" s="4">
        <f>Data!AK358</f>
        <v/>
      </c>
      <c r="R359" s="4">
        <f>Data!AL358</f>
        <v/>
      </c>
    </row>
    <row r="360">
      <c r="A360" s="4">
        <f>Data!A359</f>
        <v/>
      </c>
      <c r="B360" s="4">
        <f>Data!B359</f>
        <v/>
      </c>
      <c r="C360" s="4">
        <f>Data!C359</f>
        <v/>
      </c>
      <c r="D360" s="4">
        <f>Data!I359</f>
        <v/>
      </c>
      <c r="E360" s="4">
        <f>Data!J359</f>
        <v/>
      </c>
      <c r="F360" s="4">
        <f>Data!H359</f>
        <v/>
      </c>
      <c r="G360" s="4">
        <f>SUM(Data!Q359:Data!Y359)</f>
        <v/>
      </c>
      <c r="H360" s="4">
        <f>Data!Z359</f>
        <v/>
      </c>
      <c r="I360" s="4">
        <f>Data!AB359</f>
        <v/>
      </c>
      <c r="J360" s="4">
        <f>Data!AD359</f>
        <v/>
      </c>
      <c r="K360" s="4">
        <f>Data!AE359</f>
        <v/>
      </c>
      <c r="L360" s="4">
        <f>Data!AF359</f>
        <v/>
      </c>
      <c r="M360" s="4">
        <f>Data!AG359</f>
        <v/>
      </c>
      <c r="N360" s="4">
        <f>Data!AH359</f>
        <v/>
      </c>
      <c r="O360" s="4">
        <f>Data!AI359</f>
        <v/>
      </c>
      <c r="P360" s="4">
        <f>Data!AJ359</f>
        <v/>
      </c>
      <c r="Q360" s="4">
        <f>Data!AK359</f>
        <v/>
      </c>
      <c r="R360" s="4">
        <f>Data!AL359</f>
        <v/>
      </c>
    </row>
    <row r="361">
      <c r="A361" s="4">
        <f>Data!A360</f>
        <v/>
      </c>
      <c r="B361" s="4">
        <f>Data!B360</f>
        <v/>
      </c>
      <c r="C361" s="4">
        <f>Data!C360</f>
        <v/>
      </c>
      <c r="D361" s="4">
        <f>Data!I360</f>
        <v/>
      </c>
      <c r="E361" s="4">
        <f>Data!J360</f>
        <v/>
      </c>
      <c r="F361" s="4">
        <f>Data!H360</f>
        <v/>
      </c>
      <c r="G361" s="4">
        <f>SUM(Data!Q360:Data!Y360)</f>
        <v/>
      </c>
      <c r="H361" s="4">
        <f>Data!Z360</f>
        <v/>
      </c>
      <c r="I361" s="4">
        <f>Data!AB360</f>
        <v/>
      </c>
      <c r="J361" s="4">
        <f>Data!AD360</f>
        <v/>
      </c>
      <c r="K361" s="4">
        <f>Data!AE360</f>
        <v/>
      </c>
      <c r="L361" s="4">
        <f>Data!AF360</f>
        <v/>
      </c>
      <c r="M361" s="4">
        <f>Data!AG360</f>
        <v/>
      </c>
      <c r="N361" s="4">
        <f>Data!AH360</f>
        <v/>
      </c>
      <c r="O361" s="4">
        <f>Data!AI360</f>
        <v/>
      </c>
      <c r="P361" s="4">
        <f>Data!AJ360</f>
        <v/>
      </c>
      <c r="Q361" s="4">
        <f>Data!AK360</f>
        <v/>
      </c>
      <c r="R361" s="4">
        <f>Data!AL360</f>
        <v/>
      </c>
    </row>
    <row r="362">
      <c r="A362" s="4">
        <f>Data!A361</f>
        <v/>
      </c>
      <c r="B362" s="4">
        <f>Data!B361</f>
        <v/>
      </c>
      <c r="C362" s="4">
        <f>Data!C361</f>
        <v/>
      </c>
      <c r="D362" s="4">
        <f>Data!I361</f>
        <v/>
      </c>
      <c r="E362" s="4">
        <f>Data!J361</f>
        <v/>
      </c>
      <c r="F362" s="4">
        <f>Data!H361</f>
        <v/>
      </c>
      <c r="G362" s="4">
        <f>SUM(Data!Q361:Data!Y361)</f>
        <v/>
      </c>
      <c r="H362" s="4">
        <f>Data!Z361</f>
        <v/>
      </c>
      <c r="I362" s="4">
        <f>Data!AB361</f>
        <v/>
      </c>
      <c r="J362" s="4">
        <f>Data!AD361</f>
        <v/>
      </c>
      <c r="K362" s="4">
        <f>Data!AE361</f>
        <v/>
      </c>
      <c r="L362" s="4">
        <f>Data!AF361</f>
        <v/>
      </c>
      <c r="M362" s="4">
        <f>Data!AG361</f>
        <v/>
      </c>
      <c r="N362" s="4">
        <f>Data!AH361</f>
        <v/>
      </c>
      <c r="O362" s="4">
        <f>Data!AI361</f>
        <v/>
      </c>
      <c r="P362" s="4">
        <f>Data!AJ361</f>
        <v/>
      </c>
      <c r="Q362" s="4">
        <f>Data!AK361</f>
        <v/>
      </c>
      <c r="R362" s="4">
        <f>Data!AL361</f>
        <v/>
      </c>
    </row>
    <row r="363">
      <c r="A363" s="4">
        <f>Data!A362</f>
        <v/>
      </c>
      <c r="B363" s="4">
        <f>Data!B362</f>
        <v/>
      </c>
      <c r="C363" s="4">
        <f>Data!C362</f>
        <v/>
      </c>
      <c r="D363" s="4">
        <f>Data!I362</f>
        <v/>
      </c>
      <c r="E363" s="4">
        <f>Data!J362</f>
        <v/>
      </c>
      <c r="F363" s="4">
        <f>Data!H362</f>
        <v/>
      </c>
      <c r="G363" s="4">
        <f>SUM(Data!Q362:Data!Y362)</f>
        <v/>
      </c>
      <c r="H363" s="4">
        <f>Data!Z362</f>
        <v/>
      </c>
      <c r="I363" s="4">
        <f>Data!AB362</f>
        <v/>
      </c>
      <c r="J363" s="4">
        <f>Data!AD362</f>
        <v/>
      </c>
      <c r="K363" s="4">
        <f>Data!AE362</f>
        <v/>
      </c>
      <c r="L363" s="4">
        <f>Data!AF362</f>
        <v/>
      </c>
      <c r="M363" s="4">
        <f>Data!AG362</f>
        <v/>
      </c>
      <c r="N363" s="4">
        <f>Data!AH362</f>
        <v/>
      </c>
      <c r="O363" s="4">
        <f>Data!AI362</f>
        <v/>
      </c>
      <c r="P363" s="4">
        <f>Data!AJ362</f>
        <v/>
      </c>
      <c r="Q363" s="4">
        <f>Data!AK362</f>
        <v/>
      </c>
      <c r="R363" s="4">
        <f>Data!AL362</f>
        <v/>
      </c>
    </row>
    <row r="364">
      <c r="A364" s="4">
        <f>Data!A363</f>
        <v/>
      </c>
      <c r="B364" s="4">
        <f>Data!B363</f>
        <v/>
      </c>
      <c r="C364" s="4">
        <f>Data!C363</f>
        <v/>
      </c>
      <c r="D364" s="4">
        <f>Data!I363</f>
        <v/>
      </c>
      <c r="E364" s="4">
        <f>Data!J363</f>
        <v/>
      </c>
      <c r="F364" s="4">
        <f>Data!H363</f>
        <v/>
      </c>
      <c r="G364" s="4">
        <f>SUM(Data!Q363:Data!Y363)</f>
        <v/>
      </c>
      <c r="H364" s="4">
        <f>Data!Z363</f>
        <v/>
      </c>
      <c r="I364" s="4">
        <f>Data!AB363</f>
        <v/>
      </c>
      <c r="J364" s="4">
        <f>Data!AD363</f>
        <v/>
      </c>
      <c r="K364" s="4">
        <f>Data!AE363</f>
        <v/>
      </c>
      <c r="L364" s="4">
        <f>Data!AF363</f>
        <v/>
      </c>
      <c r="M364" s="4">
        <f>Data!AG363</f>
        <v/>
      </c>
      <c r="N364" s="4">
        <f>Data!AH363</f>
        <v/>
      </c>
      <c r="O364" s="4">
        <f>Data!AI363</f>
        <v/>
      </c>
      <c r="P364" s="4">
        <f>Data!AJ363</f>
        <v/>
      </c>
      <c r="Q364" s="4">
        <f>Data!AK363</f>
        <v/>
      </c>
      <c r="R364" s="4">
        <f>Data!AL363</f>
        <v/>
      </c>
    </row>
    <row r="365">
      <c r="A365" s="4">
        <f>Data!A364</f>
        <v/>
      </c>
      <c r="B365" s="4">
        <f>Data!B364</f>
        <v/>
      </c>
      <c r="C365" s="4">
        <f>Data!C364</f>
        <v/>
      </c>
      <c r="D365" s="4">
        <f>Data!I364</f>
        <v/>
      </c>
      <c r="E365" s="4">
        <f>Data!J364</f>
        <v/>
      </c>
      <c r="F365" s="4">
        <f>Data!H364</f>
        <v/>
      </c>
      <c r="G365" s="4">
        <f>SUM(Data!Q364:Data!Y364)</f>
        <v/>
      </c>
      <c r="H365" s="4">
        <f>Data!Z364</f>
        <v/>
      </c>
      <c r="I365" s="4">
        <f>Data!AB364</f>
        <v/>
      </c>
      <c r="J365" s="4">
        <f>Data!AD364</f>
        <v/>
      </c>
      <c r="K365" s="4">
        <f>Data!AE364</f>
        <v/>
      </c>
      <c r="L365" s="4">
        <f>Data!AF364</f>
        <v/>
      </c>
      <c r="M365" s="4">
        <f>Data!AG364</f>
        <v/>
      </c>
      <c r="N365" s="4">
        <f>Data!AH364</f>
        <v/>
      </c>
      <c r="O365" s="4">
        <f>Data!AI364</f>
        <v/>
      </c>
      <c r="P365" s="4">
        <f>Data!AJ364</f>
        <v/>
      </c>
      <c r="Q365" s="4">
        <f>Data!AK364</f>
        <v/>
      </c>
      <c r="R365" s="4">
        <f>Data!AL364</f>
        <v/>
      </c>
    </row>
    <row r="366">
      <c r="A366" s="4">
        <f>Data!A365</f>
        <v/>
      </c>
      <c r="B366" s="4">
        <f>Data!B365</f>
        <v/>
      </c>
      <c r="C366" s="4">
        <f>Data!C365</f>
        <v/>
      </c>
      <c r="D366" s="4">
        <f>Data!I365</f>
        <v/>
      </c>
      <c r="E366" s="4">
        <f>Data!J365</f>
        <v/>
      </c>
      <c r="F366" s="4">
        <f>Data!H365</f>
        <v/>
      </c>
      <c r="G366" s="4">
        <f>SUM(Data!Q365:Data!Y365)</f>
        <v/>
      </c>
      <c r="H366" s="4">
        <f>Data!Z365</f>
        <v/>
      </c>
      <c r="I366" s="4">
        <f>Data!AB365</f>
        <v/>
      </c>
      <c r="J366" s="4">
        <f>Data!AD365</f>
        <v/>
      </c>
      <c r="K366" s="4">
        <f>Data!AE365</f>
        <v/>
      </c>
      <c r="L366" s="4">
        <f>Data!AF365</f>
        <v/>
      </c>
      <c r="M366" s="4">
        <f>Data!AG365</f>
        <v/>
      </c>
      <c r="N366" s="4">
        <f>Data!AH365</f>
        <v/>
      </c>
      <c r="O366" s="4">
        <f>Data!AI365</f>
        <v/>
      </c>
      <c r="P366" s="4">
        <f>Data!AJ365</f>
        <v/>
      </c>
      <c r="Q366" s="4">
        <f>Data!AK365</f>
        <v/>
      </c>
      <c r="R366" s="4">
        <f>Data!AL365</f>
        <v/>
      </c>
    </row>
    <row r="367">
      <c r="A367" s="4">
        <f>Data!A366</f>
        <v/>
      </c>
      <c r="B367" s="4">
        <f>Data!B366</f>
        <v/>
      </c>
      <c r="C367" s="4">
        <f>Data!C366</f>
        <v/>
      </c>
      <c r="D367" s="4">
        <f>Data!I366</f>
        <v/>
      </c>
      <c r="E367" s="4">
        <f>Data!J366</f>
        <v/>
      </c>
      <c r="F367" s="4">
        <f>Data!H366</f>
        <v/>
      </c>
      <c r="G367" s="4">
        <f>SUM(Data!Q366:Data!Y366)</f>
        <v/>
      </c>
      <c r="H367" s="4">
        <f>Data!Z366</f>
        <v/>
      </c>
      <c r="I367" s="4">
        <f>Data!AB366</f>
        <v/>
      </c>
      <c r="J367" s="4">
        <f>Data!AD366</f>
        <v/>
      </c>
      <c r="K367" s="4">
        <f>Data!AE366</f>
        <v/>
      </c>
      <c r="L367" s="4">
        <f>Data!AF366</f>
        <v/>
      </c>
      <c r="M367" s="4">
        <f>Data!AG366</f>
        <v/>
      </c>
      <c r="N367" s="4">
        <f>Data!AH366</f>
        <v/>
      </c>
      <c r="O367" s="4">
        <f>Data!AI366</f>
        <v/>
      </c>
      <c r="P367" s="4">
        <f>Data!AJ366</f>
        <v/>
      </c>
      <c r="Q367" s="4">
        <f>Data!AK366</f>
        <v/>
      </c>
      <c r="R367" s="4">
        <f>Data!AL366</f>
        <v/>
      </c>
    </row>
    <row r="368">
      <c r="A368" s="4">
        <f>Data!A367</f>
        <v/>
      </c>
      <c r="B368" s="4">
        <f>Data!B367</f>
        <v/>
      </c>
      <c r="C368" s="4">
        <f>Data!C367</f>
        <v/>
      </c>
      <c r="D368" s="4">
        <f>Data!I367</f>
        <v/>
      </c>
      <c r="E368" s="4">
        <f>Data!J367</f>
        <v/>
      </c>
      <c r="F368" s="4">
        <f>Data!H367</f>
        <v/>
      </c>
      <c r="G368" s="4">
        <f>SUM(Data!Q367:Data!Y367)</f>
        <v/>
      </c>
      <c r="H368" s="4">
        <f>Data!Z367</f>
        <v/>
      </c>
      <c r="I368" s="4">
        <f>Data!AB367</f>
        <v/>
      </c>
      <c r="J368" s="4">
        <f>Data!AD367</f>
        <v/>
      </c>
      <c r="K368" s="4">
        <f>Data!AE367</f>
        <v/>
      </c>
      <c r="L368" s="4">
        <f>Data!AF367</f>
        <v/>
      </c>
      <c r="M368" s="4">
        <f>Data!AG367</f>
        <v/>
      </c>
      <c r="N368" s="4">
        <f>Data!AH367</f>
        <v/>
      </c>
      <c r="O368" s="4">
        <f>Data!AI367</f>
        <v/>
      </c>
      <c r="P368" s="4">
        <f>Data!AJ367</f>
        <v/>
      </c>
      <c r="Q368" s="4">
        <f>Data!AK367</f>
        <v/>
      </c>
      <c r="R368" s="4">
        <f>Data!AL367</f>
        <v/>
      </c>
    </row>
    <row r="369">
      <c r="A369" s="4">
        <f>Data!A368</f>
        <v/>
      </c>
      <c r="B369" s="4">
        <f>Data!B368</f>
        <v/>
      </c>
      <c r="C369" s="4">
        <f>Data!C368</f>
        <v/>
      </c>
      <c r="D369" s="4">
        <f>Data!I368</f>
        <v/>
      </c>
      <c r="E369" s="4">
        <f>Data!J368</f>
        <v/>
      </c>
      <c r="F369" s="4">
        <f>Data!H368</f>
        <v/>
      </c>
      <c r="G369" s="4">
        <f>SUM(Data!Q368:Data!Y368)</f>
        <v/>
      </c>
      <c r="H369" s="4">
        <f>Data!Z368</f>
        <v/>
      </c>
      <c r="I369" s="4">
        <f>Data!AB368</f>
        <v/>
      </c>
      <c r="J369" s="4">
        <f>Data!AD368</f>
        <v/>
      </c>
      <c r="K369" s="4">
        <f>Data!AE368</f>
        <v/>
      </c>
      <c r="L369" s="4">
        <f>Data!AF368</f>
        <v/>
      </c>
      <c r="M369" s="4">
        <f>Data!AG368</f>
        <v/>
      </c>
      <c r="N369" s="4">
        <f>Data!AH368</f>
        <v/>
      </c>
      <c r="O369" s="4">
        <f>Data!AI368</f>
        <v/>
      </c>
      <c r="P369" s="4">
        <f>Data!AJ368</f>
        <v/>
      </c>
      <c r="Q369" s="4">
        <f>Data!AK368</f>
        <v/>
      </c>
      <c r="R369" s="4">
        <f>Data!AL368</f>
        <v/>
      </c>
    </row>
    <row r="370">
      <c r="A370" s="4">
        <f>Data!A369</f>
        <v/>
      </c>
      <c r="B370" s="4">
        <f>Data!B369</f>
        <v/>
      </c>
      <c r="C370" s="4">
        <f>Data!C369</f>
        <v/>
      </c>
      <c r="D370" s="4">
        <f>Data!I369</f>
        <v/>
      </c>
      <c r="E370" s="4">
        <f>Data!J369</f>
        <v/>
      </c>
      <c r="F370" s="4">
        <f>Data!H369</f>
        <v/>
      </c>
      <c r="G370" s="4">
        <f>SUM(Data!Q369:Data!Y369)</f>
        <v/>
      </c>
      <c r="H370" s="4">
        <f>Data!Z369</f>
        <v/>
      </c>
      <c r="I370" s="4">
        <f>Data!AB369</f>
        <v/>
      </c>
      <c r="J370" s="4">
        <f>Data!AD369</f>
        <v/>
      </c>
      <c r="K370" s="4">
        <f>Data!AE369</f>
        <v/>
      </c>
      <c r="L370" s="4">
        <f>Data!AF369</f>
        <v/>
      </c>
      <c r="M370" s="4">
        <f>Data!AG369</f>
        <v/>
      </c>
      <c r="N370" s="4">
        <f>Data!AH369</f>
        <v/>
      </c>
      <c r="O370" s="4">
        <f>Data!AI369</f>
        <v/>
      </c>
      <c r="P370" s="4">
        <f>Data!AJ369</f>
        <v/>
      </c>
      <c r="Q370" s="4">
        <f>Data!AK369</f>
        <v/>
      </c>
      <c r="R370" s="4">
        <f>Data!AL369</f>
        <v/>
      </c>
    </row>
    <row r="371">
      <c r="A371" s="4">
        <f>Data!A370</f>
        <v/>
      </c>
      <c r="B371" s="4">
        <f>Data!B370</f>
        <v/>
      </c>
      <c r="C371" s="4">
        <f>Data!C370</f>
        <v/>
      </c>
      <c r="D371" s="4">
        <f>Data!I370</f>
        <v/>
      </c>
      <c r="E371" s="4">
        <f>Data!J370</f>
        <v/>
      </c>
      <c r="F371" s="4">
        <f>Data!H370</f>
        <v/>
      </c>
      <c r="G371" s="4">
        <f>SUM(Data!Q370:Data!Y370)</f>
        <v/>
      </c>
      <c r="H371" s="4">
        <f>Data!Z370</f>
        <v/>
      </c>
      <c r="I371" s="4">
        <f>Data!AB370</f>
        <v/>
      </c>
      <c r="J371" s="4">
        <f>Data!AD370</f>
        <v/>
      </c>
      <c r="K371" s="4">
        <f>Data!AE370</f>
        <v/>
      </c>
      <c r="L371" s="4">
        <f>Data!AF370</f>
        <v/>
      </c>
      <c r="M371" s="4">
        <f>Data!AG370</f>
        <v/>
      </c>
      <c r="N371" s="4">
        <f>Data!AH370</f>
        <v/>
      </c>
      <c r="O371" s="4">
        <f>Data!AI370</f>
        <v/>
      </c>
      <c r="P371" s="4">
        <f>Data!AJ370</f>
        <v/>
      </c>
      <c r="Q371" s="4">
        <f>Data!AK370</f>
        <v/>
      </c>
      <c r="R371" s="4">
        <f>Data!AL370</f>
        <v/>
      </c>
    </row>
    <row r="372">
      <c r="A372" s="4">
        <f>Data!A371</f>
        <v/>
      </c>
      <c r="B372" s="4">
        <f>Data!B371</f>
        <v/>
      </c>
      <c r="C372" s="4">
        <f>Data!C371</f>
        <v/>
      </c>
      <c r="D372" s="4">
        <f>Data!I371</f>
        <v/>
      </c>
      <c r="E372" s="4">
        <f>Data!J371</f>
        <v/>
      </c>
      <c r="F372" s="4">
        <f>Data!H371</f>
        <v/>
      </c>
      <c r="G372" s="4">
        <f>SUM(Data!Q371:Data!Y371)</f>
        <v/>
      </c>
      <c r="H372" s="4">
        <f>Data!Z371</f>
        <v/>
      </c>
      <c r="I372" s="4">
        <f>Data!AB371</f>
        <v/>
      </c>
      <c r="J372" s="4">
        <f>Data!AD371</f>
        <v/>
      </c>
      <c r="K372" s="4">
        <f>Data!AE371</f>
        <v/>
      </c>
      <c r="L372" s="4">
        <f>Data!AF371</f>
        <v/>
      </c>
      <c r="M372" s="4">
        <f>Data!AG371</f>
        <v/>
      </c>
      <c r="N372" s="4">
        <f>Data!AH371</f>
        <v/>
      </c>
      <c r="O372" s="4">
        <f>Data!AI371</f>
        <v/>
      </c>
      <c r="P372" s="4">
        <f>Data!AJ371</f>
        <v/>
      </c>
      <c r="Q372" s="4">
        <f>Data!AK371</f>
        <v/>
      </c>
      <c r="R372" s="4">
        <f>Data!AL371</f>
        <v/>
      </c>
    </row>
    <row r="373">
      <c r="A373" s="4">
        <f>Data!A372</f>
        <v/>
      </c>
      <c r="B373" s="4">
        <f>Data!B372</f>
        <v/>
      </c>
      <c r="C373" s="4">
        <f>Data!C372</f>
        <v/>
      </c>
      <c r="D373" s="4">
        <f>Data!I372</f>
        <v/>
      </c>
      <c r="E373" s="4">
        <f>Data!J372</f>
        <v/>
      </c>
      <c r="F373" s="4">
        <f>Data!H372</f>
        <v/>
      </c>
      <c r="G373" s="4">
        <f>SUM(Data!Q372:Data!Y372)</f>
        <v/>
      </c>
      <c r="H373" s="4">
        <f>Data!Z372</f>
        <v/>
      </c>
      <c r="I373" s="4">
        <f>Data!AB372</f>
        <v/>
      </c>
      <c r="J373" s="4">
        <f>Data!AD372</f>
        <v/>
      </c>
      <c r="K373" s="4">
        <f>Data!AE372</f>
        <v/>
      </c>
      <c r="L373" s="4">
        <f>Data!AF372</f>
        <v/>
      </c>
      <c r="M373" s="4">
        <f>Data!AG372</f>
        <v/>
      </c>
      <c r="N373" s="4">
        <f>Data!AH372</f>
        <v/>
      </c>
      <c r="O373" s="4">
        <f>Data!AI372</f>
        <v/>
      </c>
      <c r="P373" s="4">
        <f>Data!AJ372</f>
        <v/>
      </c>
      <c r="Q373" s="4">
        <f>Data!AK372</f>
        <v/>
      </c>
      <c r="R373" s="4">
        <f>Data!AL372</f>
        <v/>
      </c>
    </row>
    <row r="374">
      <c r="A374" s="4">
        <f>Data!A373</f>
        <v/>
      </c>
      <c r="B374" s="4">
        <f>Data!B373</f>
        <v/>
      </c>
      <c r="C374" s="4">
        <f>Data!C373</f>
        <v/>
      </c>
      <c r="D374" s="4">
        <f>Data!I373</f>
        <v/>
      </c>
      <c r="E374" s="4">
        <f>Data!J373</f>
        <v/>
      </c>
      <c r="F374" s="4">
        <f>Data!H373</f>
        <v/>
      </c>
      <c r="G374" s="4">
        <f>SUM(Data!Q373:Data!Y373)</f>
        <v/>
      </c>
      <c r="H374" s="4">
        <f>Data!Z373</f>
        <v/>
      </c>
      <c r="I374" s="4">
        <f>Data!AB373</f>
        <v/>
      </c>
      <c r="J374" s="4">
        <f>Data!AD373</f>
        <v/>
      </c>
      <c r="K374" s="4">
        <f>Data!AE373</f>
        <v/>
      </c>
      <c r="L374" s="4">
        <f>Data!AF373</f>
        <v/>
      </c>
      <c r="M374" s="4">
        <f>Data!AG373</f>
        <v/>
      </c>
      <c r="N374" s="4">
        <f>Data!AH373</f>
        <v/>
      </c>
      <c r="O374" s="4">
        <f>Data!AI373</f>
        <v/>
      </c>
      <c r="P374" s="4">
        <f>Data!AJ373</f>
        <v/>
      </c>
      <c r="Q374" s="4">
        <f>Data!AK373</f>
        <v/>
      </c>
      <c r="R374" s="4">
        <f>Data!AL373</f>
        <v/>
      </c>
    </row>
    <row r="375">
      <c r="A375" s="4">
        <f>Data!A374</f>
        <v/>
      </c>
      <c r="B375" s="4">
        <f>Data!B374</f>
        <v/>
      </c>
      <c r="C375" s="4">
        <f>Data!C374</f>
        <v/>
      </c>
      <c r="D375" s="4">
        <f>Data!I374</f>
        <v/>
      </c>
      <c r="E375" s="4">
        <f>Data!J374</f>
        <v/>
      </c>
      <c r="F375" s="4">
        <f>Data!H374</f>
        <v/>
      </c>
      <c r="G375" s="4">
        <f>SUM(Data!Q374:Data!Y374)</f>
        <v/>
      </c>
      <c r="H375" s="4">
        <f>Data!Z374</f>
        <v/>
      </c>
      <c r="I375" s="4">
        <f>Data!AB374</f>
        <v/>
      </c>
      <c r="J375" s="4">
        <f>Data!AD374</f>
        <v/>
      </c>
      <c r="K375" s="4">
        <f>Data!AE374</f>
        <v/>
      </c>
      <c r="L375" s="4">
        <f>Data!AF374</f>
        <v/>
      </c>
      <c r="M375" s="4">
        <f>Data!AG374</f>
        <v/>
      </c>
      <c r="N375" s="4">
        <f>Data!AH374</f>
        <v/>
      </c>
      <c r="O375" s="4">
        <f>Data!AI374</f>
        <v/>
      </c>
      <c r="P375" s="4">
        <f>Data!AJ374</f>
        <v/>
      </c>
      <c r="Q375" s="4">
        <f>Data!AK374</f>
        <v/>
      </c>
      <c r="R375" s="4">
        <f>Data!AL374</f>
        <v/>
      </c>
    </row>
    <row r="376">
      <c r="A376" s="4">
        <f>Data!A375</f>
        <v/>
      </c>
      <c r="B376" s="4">
        <f>Data!B375</f>
        <v/>
      </c>
      <c r="C376" s="4">
        <f>Data!C375</f>
        <v/>
      </c>
      <c r="D376" s="4">
        <f>Data!I375</f>
        <v/>
      </c>
      <c r="E376" s="4">
        <f>Data!J375</f>
        <v/>
      </c>
      <c r="F376" s="4">
        <f>Data!H375</f>
        <v/>
      </c>
      <c r="G376" s="4">
        <f>SUM(Data!Q375:Data!Y375)</f>
        <v/>
      </c>
      <c r="H376" s="4">
        <f>Data!Z375</f>
        <v/>
      </c>
      <c r="I376" s="4">
        <f>Data!AB375</f>
        <v/>
      </c>
      <c r="J376" s="4">
        <f>Data!AD375</f>
        <v/>
      </c>
      <c r="K376" s="4">
        <f>Data!AE375</f>
        <v/>
      </c>
      <c r="L376" s="4">
        <f>Data!AF375</f>
        <v/>
      </c>
      <c r="M376" s="4">
        <f>Data!AG375</f>
        <v/>
      </c>
      <c r="N376" s="4">
        <f>Data!AH375</f>
        <v/>
      </c>
      <c r="O376" s="4">
        <f>Data!AI375</f>
        <v/>
      </c>
      <c r="P376" s="4">
        <f>Data!AJ375</f>
        <v/>
      </c>
      <c r="Q376" s="4">
        <f>Data!AK375</f>
        <v/>
      </c>
      <c r="R376" s="4">
        <f>Data!AL375</f>
        <v/>
      </c>
    </row>
    <row r="377">
      <c r="A377" s="4">
        <f>Data!A376</f>
        <v/>
      </c>
      <c r="B377" s="4">
        <f>Data!B376</f>
        <v/>
      </c>
      <c r="C377" s="4">
        <f>Data!C376</f>
        <v/>
      </c>
      <c r="D377" s="4">
        <f>Data!I376</f>
        <v/>
      </c>
      <c r="E377" s="4">
        <f>Data!J376</f>
        <v/>
      </c>
      <c r="F377" s="4">
        <f>Data!H376</f>
        <v/>
      </c>
      <c r="G377" s="4">
        <f>SUM(Data!Q376:Data!Y376)</f>
        <v/>
      </c>
      <c r="H377" s="4">
        <f>Data!Z376</f>
        <v/>
      </c>
      <c r="I377" s="4">
        <f>Data!AB376</f>
        <v/>
      </c>
      <c r="J377" s="4">
        <f>Data!AD376</f>
        <v/>
      </c>
      <c r="K377" s="4">
        <f>Data!AE376</f>
        <v/>
      </c>
      <c r="L377" s="4">
        <f>Data!AF376</f>
        <v/>
      </c>
      <c r="M377" s="4">
        <f>Data!AG376</f>
        <v/>
      </c>
      <c r="N377" s="4">
        <f>Data!AH376</f>
        <v/>
      </c>
      <c r="O377" s="4">
        <f>Data!AI376</f>
        <v/>
      </c>
      <c r="P377" s="4">
        <f>Data!AJ376</f>
        <v/>
      </c>
      <c r="Q377" s="4">
        <f>Data!AK376</f>
        <v/>
      </c>
      <c r="R377" s="4">
        <f>Data!AL376</f>
        <v/>
      </c>
    </row>
    <row r="378">
      <c r="A378" s="4">
        <f>Data!A377</f>
        <v/>
      </c>
      <c r="B378" s="4">
        <f>Data!B377</f>
        <v/>
      </c>
      <c r="C378" s="4">
        <f>Data!C377</f>
        <v/>
      </c>
      <c r="D378" s="4">
        <f>Data!I377</f>
        <v/>
      </c>
      <c r="E378" s="4">
        <f>Data!J377</f>
        <v/>
      </c>
      <c r="F378" s="4">
        <f>Data!H377</f>
        <v/>
      </c>
      <c r="G378" s="4">
        <f>SUM(Data!Q377:Data!Y377)</f>
        <v/>
      </c>
      <c r="H378" s="4">
        <f>Data!Z377</f>
        <v/>
      </c>
      <c r="I378" s="4">
        <f>Data!AB377</f>
        <v/>
      </c>
      <c r="J378" s="4">
        <f>Data!AD377</f>
        <v/>
      </c>
      <c r="K378" s="4">
        <f>Data!AE377</f>
        <v/>
      </c>
      <c r="L378" s="4">
        <f>Data!AF377</f>
        <v/>
      </c>
      <c r="M378" s="4">
        <f>Data!AG377</f>
        <v/>
      </c>
      <c r="N378" s="4">
        <f>Data!AH377</f>
        <v/>
      </c>
      <c r="O378" s="4">
        <f>Data!AI377</f>
        <v/>
      </c>
      <c r="P378" s="4">
        <f>Data!AJ377</f>
        <v/>
      </c>
      <c r="Q378" s="4">
        <f>Data!AK377</f>
        <v/>
      </c>
      <c r="R378" s="4">
        <f>Data!AL377</f>
        <v/>
      </c>
    </row>
    <row r="379">
      <c r="A379" s="4">
        <f>Data!A378</f>
        <v/>
      </c>
      <c r="B379" s="4">
        <f>Data!B378</f>
        <v/>
      </c>
      <c r="C379" s="4">
        <f>Data!C378</f>
        <v/>
      </c>
      <c r="D379" s="4">
        <f>Data!I378</f>
        <v/>
      </c>
      <c r="E379" s="4">
        <f>Data!J378</f>
        <v/>
      </c>
      <c r="F379" s="4">
        <f>Data!H378</f>
        <v/>
      </c>
      <c r="G379" s="4">
        <f>SUM(Data!Q378:Data!Y378)</f>
        <v/>
      </c>
      <c r="H379" s="4">
        <f>Data!Z378</f>
        <v/>
      </c>
      <c r="I379" s="4">
        <f>Data!AB378</f>
        <v/>
      </c>
      <c r="J379" s="4">
        <f>Data!AD378</f>
        <v/>
      </c>
      <c r="K379" s="4">
        <f>Data!AE378</f>
        <v/>
      </c>
      <c r="L379" s="4">
        <f>Data!AF378</f>
        <v/>
      </c>
      <c r="M379" s="4">
        <f>Data!AG378</f>
        <v/>
      </c>
      <c r="N379" s="4">
        <f>Data!AH378</f>
        <v/>
      </c>
      <c r="O379" s="4">
        <f>Data!AI378</f>
        <v/>
      </c>
      <c r="P379" s="4">
        <f>Data!AJ378</f>
        <v/>
      </c>
      <c r="Q379" s="4">
        <f>Data!AK378</f>
        <v/>
      </c>
      <c r="R379" s="4">
        <f>Data!AL378</f>
        <v/>
      </c>
    </row>
    <row r="380">
      <c r="A380" s="4">
        <f>Data!A379</f>
        <v/>
      </c>
      <c r="B380" s="4">
        <f>Data!B379</f>
        <v/>
      </c>
      <c r="C380" s="4">
        <f>Data!C379</f>
        <v/>
      </c>
      <c r="D380" s="4">
        <f>Data!I379</f>
        <v/>
      </c>
      <c r="E380" s="4">
        <f>Data!J379</f>
        <v/>
      </c>
      <c r="F380" s="4">
        <f>Data!H379</f>
        <v/>
      </c>
      <c r="G380" s="4">
        <f>SUM(Data!Q379:Data!Y379)</f>
        <v/>
      </c>
      <c r="H380" s="4">
        <f>Data!Z379</f>
        <v/>
      </c>
      <c r="I380" s="4">
        <f>Data!AB379</f>
        <v/>
      </c>
      <c r="J380" s="4">
        <f>Data!AD379</f>
        <v/>
      </c>
      <c r="K380" s="4">
        <f>Data!AE379</f>
        <v/>
      </c>
      <c r="L380" s="4">
        <f>Data!AF379</f>
        <v/>
      </c>
      <c r="M380" s="4">
        <f>Data!AG379</f>
        <v/>
      </c>
      <c r="N380" s="4">
        <f>Data!AH379</f>
        <v/>
      </c>
      <c r="O380" s="4">
        <f>Data!AI379</f>
        <v/>
      </c>
      <c r="P380" s="4">
        <f>Data!AJ379</f>
        <v/>
      </c>
      <c r="Q380" s="4">
        <f>Data!AK379</f>
        <v/>
      </c>
      <c r="R380" s="4">
        <f>Data!AL379</f>
        <v/>
      </c>
    </row>
    <row r="381">
      <c r="A381" s="4">
        <f>Data!A380</f>
        <v/>
      </c>
      <c r="B381" s="4">
        <f>Data!B380</f>
        <v/>
      </c>
      <c r="C381" s="4">
        <f>Data!C380</f>
        <v/>
      </c>
      <c r="D381" s="4">
        <f>Data!I380</f>
        <v/>
      </c>
      <c r="E381" s="4">
        <f>Data!J380</f>
        <v/>
      </c>
      <c r="F381" s="4">
        <f>Data!H380</f>
        <v/>
      </c>
      <c r="G381" s="4">
        <f>SUM(Data!Q380:Data!Y380)</f>
        <v/>
      </c>
      <c r="H381" s="4">
        <f>Data!Z380</f>
        <v/>
      </c>
      <c r="I381" s="4">
        <f>Data!AB380</f>
        <v/>
      </c>
      <c r="J381" s="4">
        <f>Data!AD380</f>
        <v/>
      </c>
      <c r="K381" s="4">
        <f>Data!AE380</f>
        <v/>
      </c>
      <c r="L381" s="4">
        <f>Data!AF380</f>
        <v/>
      </c>
      <c r="M381" s="4">
        <f>Data!AG380</f>
        <v/>
      </c>
      <c r="N381" s="4">
        <f>Data!AH380</f>
        <v/>
      </c>
      <c r="O381" s="4">
        <f>Data!AI380</f>
        <v/>
      </c>
      <c r="P381" s="4">
        <f>Data!AJ380</f>
        <v/>
      </c>
      <c r="Q381" s="4">
        <f>Data!AK380</f>
        <v/>
      </c>
      <c r="R381" s="4">
        <f>Data!AL380</f>
        <v/>
      </c>
    </row>
    <row r="382">
      <c r="A382" s="4">
        <f>Data!A381</f>
        <v/>
      </c>
      <c r="B382" s="4">
        <f>Data!B381</f>
        <v/>
      </c>
      <c r="C382" s="4">
        <f>Data!C381</f>
        <v/>
      </c>
      <c r="D382" s="4">
        <f>Data!I381</f>
        <v/>
      </c>
      <c r="E382" s="4">
        <f>Data!J381</f>
        <v/>
      </c>
      <c r="F382" s="4">
        <f>Data!H381</f>
        <v/>
      </c>
      <c r="G382" s="4">
        <f>SUM(Data!Q381:Data!Y381)</f>
        <v/>
      </c>
      <c r="H382" s="4">
        <f>Data!Z381</f>
        <v/>
      </c>
      <c r="I382" s="4">
        <f>Data!AB381</f>
        <v/>
      </c>
      <c r="J382" s="4">
        <f>Data!AD381</f>
        <v/>
      </c>
      <c r="K382" s="4">
        <f>Data!AE381</f>
        <v/>
      </c>
      <c r="L382" s="4">
        <f>Data!AF381</f>
        <v/>
      </c>
      <c r="M382" s="4">
        <f>Data!AG381</f>
        <v/>
      </c>
      <c r="N382" s="4">
        <f>Data!AH381</f>
        <v/>
      </c>
      <c r="O382" s="4">
        <f>Data!AI381</f>
        <v/>
      </c>
      <c r="P382" s="4">
        <f>Data!AJ381</f>
        <v/>
      </c>
      <c r="Q382" s="4">
        <f>Data!AK381</f>
        <v/>
      </c>
      <c r="R382" s="4">
        <f>Data!AL381</f>
        <v/>
      </c>
    </row>
    <row r="383">
      <c r="A383" s="4">
        <f>Data!A382</f>
        <v/>
      </c>
      <c r="B383" s="4">
        <f>Data!B382</f>
        <v/>
      </c>
      <c r="C383" s="4">
        <f>Data!C382</f>
        <v/>
      </c>
      <c r="D383" s="4">
        <f>Data!I382</f>
        <v/>
      </c>
      <c r="E383" s="4">
        <f>Data!J382</f>
        <v/>
      </c>
      <c r="F383" s="4">
        <f>Data!H382</f>
        <v/>
      </c>
      <c r="G383" s="4">
        <f>SUM(Data!Q382:Data!Y382)</f>
        <v/>
      </c>
      <c r="H383" s="4">
        <f>Data!Z382</f>
        <v/>
      </c>
      <c r="I383" s="4">
        <f>Data!AB382</f>
        <v/>
      </c>
      <c r="J383" s="4">
        <f>Data!AD382</f>
        <v/>
      </c>
      <c r="K383" s="4">
        <f>Data!AE382</f>
        <v/>
      </c>
      <c r="L383" s="4">
        <f>Data!AF382</f>
        <v/>
      </c>
      <c r="M383" s="4">
        <f>Data!AG382</f>
        <v/>
      </c>
      <c r="N383" s="4">
        <f>Data!AH382</f>
        <v/>
      </c>
      <c r="O383" s="4">
        <f>Data!AI382</f>
        <v/>
      </c>
      <c r="P383" s="4">
        <f>Data!AJ382</f>
        <v/>
      </c>
      <c r="Q383" s="4">
        <f>Data!AK382</f>
        <v/>
      </c>
      <c r="R383" s="4">
        <f>Data!AL382</f>
        <v/>
      </c>
    </row>
    <row r="384">
      <c r="A384" s="4">
        <f>Data!A383</f>
        <v/>
      </c>
      <c r="B384" s="4">
        <f>Data!B383</f>
        <v/>
      </c>
      <c r="C384" s="4">
        <f>Data!C383</f>
        <v/>
      </c>
      <c r="D384" s="4">
        <f>Data!I383</f>
        <v/>
      </c>
      <c r="E384" s="4">
        <f>Data!J383</f>
        <v/>
      </c>
      <c r="F384" s="4">
        <f>Data!H383</f>
        <v/>
      </c>
      <c r="G384" s="4">
        <f>SUM(Data!Q383:Data!Y383)</f>
        <v/>
      </c>
      <c r="H384" s="4">
        <f>Data!Z383</f>
        <v/>
      </c>
      <c r="I384" s="4">
        <f>Data!AB383</f>
        <v/>
      </c>
      <c r="J384" s="4">
        <f>Data!AD383</f>
        <v/>
      </c>
      <c r="K384" s="4">
        <f>Data!AE383</f>
        <v/>
      </c>
      <c r="L384" s="4">
        <f>Data!AF383</f>
        <v/>
      </c>
      <c r="M384" s="4">
        <f>Data!AG383</f>
        <v/>
      </c>
      <c r="N384" s="4">
        <f>Data!AH383</f>
        <v/>
      </c>
      <c r="O384" s="4">
        <f>Data!AI383</f>
        <v/>
      </c>
      <c r="P384" s="4">
        <f>Data!AJ383</f>
        <v/>
      </c>
      <c r="Q384" s="4">
        <f>Data!AK383</f>
        <v/>
      </c>
      <c r="R384" s="4">
        <f>Data!AL383</f>
        <v/>
      </c>
    </row>
    <row r="385">
      <c r="A385" s="4">
        <f>Data!A384</f>
        <v/>
      </c>
      <c r="B385" s="4">
        <f>Data!B384</f>
        <v/>
      </c>
      <c r="C385" s="4">
        <f>Data!C384</f>
        <v/>
      </c>
      <c r="D385" s="4">
        <f>Data!I384</f>
        <v/>
      </c>
      <c r="E385" s="4">
        <f>Data!J384</f>
        <v/>
      </c>
      <c r="F385" s="4">
        <f>Data!H384</f>
        <v/>
      </c>
      <c r="G385" s="4">
        <f>SUM(Data!Q384:Data!Y384)</f>
        <v/>
      </c>
      <c r="H385" s="4">
        <f>Data!Z384</f>
        <v/>
      </c>
      <c r="I385" s="4">
        <f>Data!AB384</f>
        <v/>
      </c>
      <c r="J385" s="4">
        <f>Data!AD384</f>
        <v/>
      </c>
      <c r="K385" s="4">
        <f>Data!AE384</f>
        <v/>
      </c>
      <c r="L385" s="4">
        <f>Data!AF384</f>
        <v/>
      </c>
      <c r="M385" s="4">
        <f>Data!AG384</f>
        <v/>
      </c>
      <c r="N385" s="4">
        <f>Data!AH384</f>
        <v/>
      </c>
      <c r="O385" s="4">
        <f>Data!AI384</f>
        <v/>
      </c>
      <c r="P385" s="4">
        <f>Data!AJ384</f>
        <v/>
      </c>
      <c r="Q385" s="4">
        <f>Data!AK384</f>
        <v/>
      </c>
      <c r="R385" s="4">
        <f>Data!AL384</f>
        <v/>
      </c>
    </row>
    <row r="386">
      <c r="A386" s="4">
        <f>Data!A385</f>
        <v/>
      </c>
      <c r="B386" s="4">
        <f>Data!B385</f>
        <v/>
      </c>
      <c r="C386" s="4">
        <f>Data!C385</f>
        <v/>
      </c>
      <c r="D386" s="4">
        <f>Data!I385</f>
        <v/>
      </c>
      <c r="E386" s="4">
        <f>Data!J385</f>
        <v/>
      </c>
      <c r="F386" s="4">
        <f>Data!H385</f>
        <v/>
      </c>
      <c r="G386" s="4">
        <f>SUM(Data!Q385:Data!Y385)</f>
        <v/>
      </c>
      <c r="H386" s="4">
        <f>Data!Z385</f>
        <v/>
      </c>
      <c r="I386" s="4">
        <f>Data!AB385</f>
        <v/>
      </c>
      <c r="J386" s="4">
        <f>Data!AD385</f>
        <v/>
      </c>
      <c r="K386" s="4">
        <f>Data!AE385</f>
        <v/>
      </c>
      <c r="L386" s="4">
        <f>Data!AF385</f>
        <v/>
      </c>
      <c r="M386" s="4">
        <f>Data!AG385</f>
        <v/>
      </c>
      <c r="N386" s="4">
        <f>Data!AH385</f>
        <v/>
      </c>
      <c r="O386" s="4">
        <f>Data!AI385</f>
        <v/>
      </c>
      <c r="P386" s="4">
        <f>Data!AJ385</f>
        <v/>
      </c>
      <c r="Q386" s="4">
        <f>Data!AK385</f>
        <v/>
      </c>
      <c r="R386" s="4">
        <f>Data!AL385</f>
        <v/>
      </c>
    </row>
    <row r="387">
      <c r="A387" s="4">
        <f>Data!A386</f>
        <v/>
      </c>
      <c r="B387" s="4">
        <f>Data!B386</f>
        <v/>
      </c>
      <c r="C387" s="4">
        <f>Data!C386</f>
        <v/>
      </c>
      <c r="D387" s="4">
        <f>Data!I386</f>
        <v/>
      </c>
      <c r="E387" s="4">
        <f>Data!J386</f>
        <v/>
      </c>
      <c r="F387" s="4">
        <f>Data!H386</f>
        <v/>
      </c>
      <c r="G387" s="4">
        <f>SUM(Data!Q386:Data!Y386)</f>
        <v/>
      </c>
      <c r="H387" s="4">
        <f>Data!Z386</f>
        <v/>
      </c>
      <c r="I387" s="4">
        <f>Data!AB386</f>
        <v/>
      </c>
      <c r="J387" s="4">
        <f>Data!AD386</f>
        <v/>
      </c>
      <c r="K387" s="4">
        <f>Data!AE386</f>
        <v/>
      </c>
      <c r="L387" s="4">
        <f>Data!AF386</f>
        <v/>
      </c>
      <c r="M387" s="4">
        <f>Data!AG386</f>
        <v/>
      </c>
      <c r="N387" s="4">
        <f>Data!AH386</f>
        <v/>
      </c>
      <c r="O387" s="4">
        <f>Data!AI386</f>
        <v/>
      </c>
      <c r="P387" s="4">
        <f>Data!AJ386</f>
        <v/>
      </c>
      <c r="Q387" s="4">
        <f>Data!AK386</f>
        <v/>
      </c>
      <c r="R387" s="4">
        <f>Data!AL386</f>
        <v/>
      </c>
    </row>
    <row r="388">
      <c r="A388" s="4">
        <f>Data!A387</f>
        <v/>
      </c>
      <c r="B388" s="4">
        <f>Data!B387</f>
        <v/>
      </c>
      <c r="C388" s="4">
        <f>Data!C387</f>
        <v/>
      </c>
      <c r="D388" s="4">
        <f>Data!I387</f>
        <v/>
      </c>
      <c r="E388" s="4">
        <f>Data!J387</f>
        <v/>
      </c>
      <c r="F388" s="4">
        <f>Data!H387</f>
        <v/>
      </c>
      <c r="G388" s="4">
        <f>SUM(Data!Q387:Data!Y387)</f>
        <v/>
      </c>
      <c r="H388" s="4">
        <f>Data!Z387</f>
        <v/>
      </c>
      <c r="I388" s="4">
        <f>Data!AB387</f>
        <v/>
      </c>
      <c r="J388" s="4">
        <f>Data!AD387</f>
        <v/>
      </c>
      <c r="K388" s="4">
        <f>Data!AE387</f>
        <v/>
      </c>
      <c r="L388" s="4">
        <f>Data!AF387</f>
        <v/>
      </c>
      <c r="M388" s="4">
        <f>Data!AG387</f>
        <v/>
      </c>
      <c r="N388" s="4">
        <f>Data!AH387</f>
        <v/>
      </c>
      <c r="O388" s="4">
        <f>Data!AI387</f>
        <v/>
      </c>
      <c r="P388" s="4">
        <f>Data!AJ387</f>
        <v/>
      </c>
      <c r="Q388" s="4">
        <f>Data!AK387</f>
        <v/>
      </c>
      <c r="R388" s="4">
        <f>Data!AL387</f>
        <v/>
      </c>
    </row>
    <row r="389">
      <c r="A389" s="4">
        <f>Data!A388</f>
        <v/>
      </c>
      <c r="B389" s="4">
        <f>Data!B388</f>
        <v/>
      </c>
      <c r="C389" s="4">
        <f>Data!C388</f>
        <v/>
      </c>
      <c r="D389" s="4">
        <f>Data!I388</f>
        <v/>
      </c>
      <c r="E389" s="4">
        <f>Data!J388</f>
        <v/>
      </c>
      <c r="F389" s="4">
        <f>Data!H388</f>
        <v/>
      </c>
      <c r="G389" s="4">
        <f>SUM(Data!Q388:Data!Y388)</f>
        <v/>
      </c>
      <c r="H389" s="4">
        <f>Data!Z388</f>
        <v/>
      </c>
      <c r="I389" s="4">
        <f>Data!AB388</f>
        <v/>
      </c>
      <c r="J389" s="4">
        <f>Data!AD388</f>
        <v/>
      </c>
      <c r="K389" s="4">
        <f>Data!AE388</f>
        <v/>
      </c>
      <c r="L389" s="4">
        <f>Data!AF388</f>
        <v/>
      </c>
      <c r="M389" s="4">
        <f>Data!AG388</f>
        <v/>
      </c>
      <c r="N389" s="4">
        <f>Data!AH388</f>
        <v/>
      </c>
      <c r="O389" s="4">
        <f>Data!AI388</f>
        <v/>
      </c>
      <c r="P389" s="4">
        <f>Data!AJ388</f>
        <v/>
      </c>
      <c r="Q389" s="4">
        <f>Data!AK388</f>
        <v/>
      </c>
      <c r="R389" s="4">
        <f>Data!AL388</f>
        <v/>
      </c>
    </row>
    <row r="390">
      <c r="A390" s="4">
        <f>Data!A389</f>
        <v/>
      </c>
      <c r="B390" s="4">
        <f>Data!B389</f>
        <v/>
      </c>
      <c r="C390" s="4">
        <f>Data!C389</f>
        <v/>
      </c>
      <c r="D390" s="4">
        <f>Data!I389</f>
        <v/>
      </c>
      <c r="E390" s="4">
        <f>Data!J389</f>
        <v/>
      </c>
      <c r="F390" s="4">
        <f>Data!H389</f>
        <v/>
      </c>
      <c r="G390" s="4">
        <f>SUM(Data!Q389:Data!Y389)</f>
        <v/>
      </c>
      <c r="H390" s="4">
        <f>Data!Z389</f>
        <v/>
      </c>
      <c r="I390" s="4">
        <f>Data!AB389</f>
        <v/>
      </c>
      <c r="J390" s="4">
        <f>Data!AD389</f>
        <v/>
      </c>
      <c r="K390" s="4">
        <f>Data!AE389</f>
        <v/>
      </c>
      <c r="L390" s="4">
        <f>Data!AF389</f>
        <v/>
      </c>
      <c r="M390" s="4">
        <f>Data!AG389</f>
        <v/>
      </c>
      <c r="N390" s="4">
        <f>Data!AH389</f>
        <v/>
      </c>
      <c r="O390" s="4">
        <f>Data!AI389</f>
        <v/>
      </c>
      <c r="P390" s="4">
        <f>Data!AJ389</f>
        <v/>
      </c>
      <c r="Q390" s="4">
        <f>Data!AK389</f>
        <v/>
      </c>
      <c r="R390" s="4">
        <f>Data!AL389</f>
        <v/>
      </c>
    </row>
    <row r="391">
      <c r="A391" s="4">
        <f>Data!A390</f>
        <v/>
      </c>
      <c r="B391" s="4">
        <f>Data!B390</f>
        <v/>
      </c>
      <c r="C391" s="4">
        <f>Data!C390</f>
        <v/>
      </c>
      <c r="D391" s="4">
        <f>Data!I390</f>
        <v/>
      </c>
      <c r="E391" s="4">
        <f>Data!J390</f>
        <v/>
      </c>
      <c r="F391" s="4">
        <f>Data!H390</f>
        <v/>
      </c>
      <c r="G391" s="4">
        <f>SUM(Data!Q390:Data!Y390)</f>
        <v/>
      </c>
      <c r="H391" s="4">
        <f>Data!Z390</f>
        <v/>
      </c>
      <c r="I391" s="4">
        <f>Data!AB390</f>
        <v/>
      </c>
      <c r="J391" s="4">
        <f>Data!AD390</f>
        <v/>
      </c>
      <c r="K391" s="4">
        <f>Data!AE390</f>
        <v/>
      </c>
      <c r="L391" s="4">
        <f>Data!AF390</f>
        <v/>
      </c>
      <c r="M391" s="4">
        <f>Data!AG390</f>
        <v/>
      </c>
      <c r="N391" s="4">
        <f>Data!AH390</f>
        <v/>
      </c>
      <c r="O391" s="4">
        <f>Data!AI390</f>
        <v/>
      </c>
      <c r="P391" s="4">
        <f>Data!AJ390</f>
        <v/>
      </c>
      <c r="Q391" s="4">
        <f>Data!AK390</f>
        <v/>
      </c>
      <c r="R391" s="4">
        <f>Data!AL390</f>
        <v/>
      </c>
    </row>
    <row r="392">
      <c r="A392" s="4">
        <f>Data!A391</f>
        <v/>
      </c>
      <c r="B392" s="4">
        <f>Data!B391</f>
        <v/>
      </c>
      <c r="C392" s="4">
        <f>Data!C391</f>
        <v/>
      </c>
      <c r="D392" s="4">
        <f>Data!I391</f>
        <v/>
      </c>
      <c r="E392" s="4">
        <f>Data!J391</f>
        <v/>
      </c>
      <c r="F392" s="4">
        <f>Data!H391</f>
        <v/>
      </c>
      <c r="G392" s="4">
        <f>SUM(Data!Q391:Data!Y391)</f>
        <v/>
      </c>
      <c r="H392" s="4">
        <f>Data!Z391</f>
        <v/>
      </c>
      <c r="I392" s="4">
        <f>Data!AB391</f>
        <v/>
      </c>
      <c r="J392" s="4">
        <f>Data!AD391</f>
        <v/>
      </c>
      <c r="K392" s="4">
        <f>Data!AE391</f>
        <v/>
      </c>
      <c r="L392" s="4">
        <f>Data!AF391</f>
        <v/>
      </c>
      <c r="M392" s="4">
        <f>Data!AG391</f>
        <v/>
      </c>
      <c r="N392" s="4">
        <f>Data!AH391</f>
        <v/>
      </c>
      <c r="O392" s="4">
        <f>Data!AI391</f>
        <v/>
      </c>
      <c r="P392" s="4">
        <f>Data!AJ391</f>
        <v/>
      </c>
      <c r="Q392" s="4">
        <f>Data!AK391</f>
        <v/>
      </c>
      <c r="R392" s="4">
        <f>Data!AL391</f>
        <v/>
      </c>
    </row>
    <row r="393">
      <c r="A393" s="4">
        <f>Data!A392</f>
        <v/>
      </c>
      <c r="B393" s="4">
        <f>Data!B392</f>
        <v/>
      </c>
      <c r="C393" s="4">
        <f>Data!C392</f>
        <v/>
      </c>
      <c r="D393" s="4">
        <f>Data!I392</f>
        <v/>
      </c>
      <c r="E393" s="4">
        <f>Data!J392</f>
        <v/>
      </c>
      <c r="F393" s="4">
        <f>Data!H392</f>
        <v/>
      </c>
      <c r="G393" s="4">
        <f>SUM(Data!Q392:Data!Y392)</f>
        <v/>
      </c>
      <c r="H393" s="4">
        <f>Data!Z392</f>
        <v/>
      </c>
      <c r="I393" s="4">
        <f>Data!AB392</f>
        <v/>
      </c>
      <c r="J393" s="4">
        <f>Data!AD392</f>
        <v/>
      </c>
      <c r="K393" s="4">
        <f>Data!AE392</f>
        <v/>
      </c>
      <c r="L393" s="4">
        <f>Data!AF392</f>
        <v/>
      </c>
      <c r="M393" s="4">
        <f>Data!AG392</f>
        <v/>
      </c>
      <c r="N393" s="4">
        <f>Data!AH392</f>
        <v/>
      </c>
      <c r="O393" s="4">
        <f>Data!AI392</f>
        <v/>
      </c>
      <c r="P393" s="4">
        <f>Data!AJ392</f>
        <v/>
      </c>
      <c r="Q393" s="4">
        <f>Data!AK392</f>
        <v/>
      </c>
      <c r="R393" s="4">
        <f>Data!AL392</f>
        <v/>
      </c>
    </row>
    <row r="394">
      <c r="A394" s="4">
        <f>Data!A393</f>
        <v/>
      </c>
      <c r="B394" s="4">
        <f>Data!B393</f>
        <v/>
      </c>
      <c r="C394" s="4">
        <f>Data!C393</f>
        <v/>
      </c>
      <c r="D394" s="4">
        <f>Data!I393</f>
        <v/>
      </c>
      <c r="E394" s="4">
        <f>Data!J393</f>
        <v/>
      </c>
      <c r="F394" s="4">
        <f>Data!H393</f>
        <v/>
      </c>
      <c r="G394" s="4">
        <f>SUM(Data!Q393:Data!Y393)</f>
        <v/>
      </c>
      <c r="H394" s="4">
        <f>Data!Z393</f>
        <v/>
      </c>
      <c r="I394" s="4">
        <f>Data!AB393</f>
        <v/>
      </c>
      <c r="J394" s="4">
        <f>Data!AD393</f>
        <v/>
      </c>
      <c r="K394" s="4">
        <f>Data!AE393</f>
        <v/>
      </c>
      <c r="L394" s="4">
        <f>Data!AF393</f>
        <v/>
      </c>
      <c r="M394" s="4">
        <f>Data!AG393</f>
        <v/>
      </c>
      <c r="N394" s="4">
        <f>Data!AH393</f>
        <v/>
      </c>
      <c r="O394" s="4">
        <f>Data!AI393</f>
        <v/>
      </c>
      <c r="P394" s="4">
        <f>Data!AJ393</f>
        <v/>
      </c>
      <c r="Q394" s="4">
        <f>Data!AK393</f>
        <v/>
      </c>
      <c r="R394" s="4">
        <f>Data!AL393</f>
        <v/>
      </c>
    </row>
    <row r="395">
      <c r="A395" s="4">
        <f>Data!A394</f>
        <v/>
      </c>
      <c r="B395" s="4">
        <f>Data!B394</f>
        <v/>
      </c>
      <c r="C395" s="4">
        <f>Data!C394</f>
        <v/>
      </c>
      <c r="D395" s="4">
        <f>Data!I394</f>
        <v/>
      </c>
      <c r="E395" s="4">
        <f>Data!J394</f>
        <v/>
      </c>
      <c r="F395" s="4">
        <f>Data!H394</f>
        <v/>
      </c>
      <c r="G395" s="4">
        <f>SUM(Data!Q394:Data!Y394)</f>
        <v/>
      </c>
      <c r="H395" s="4">
        <f>Data!Z394</f>
        <v/>
      </c>
      <c r="I395" s="4">
        <f>Data!AB394</f>
        <v/>
      </c>
      <c r="J395" s="4">
        <f>Data!AD394</f>
        <v/>
      </c>
      <c r="K395" s="4">
        <f>Data!AE394</f>
        <v/>
      </c>
      <c r="L395" s="4">
        <f>Data!AF394</f>
        <v/>
      </c>
      <c r="M395" s="4">
        <f>Data!AG394</f>
        <v/>
      </c>
      <c r="N395" s="4">
        <f>Data!AH394</f>
        <v/>
      </c>
      <c r="O395" s="4">
        <f>Data!AI394</f>
        <v/>
      </c>
      <c r="P395" s="4">
        <f>Data!AJ394</f>
        <v/>
      </c>
      <c r="Q395" s="4">
        <f>Data!AK394</f>
        <v/>
      </c>
      <c r="R395" s="4">
        <f>Data!AL394</f>
        <v/>
      </c>
    </row>
    <row r="396">
      <c r="A396" s="4">
        <f>Data!A395</f>
        <v/>
      </c>
      <c r="B396" s="4">
        <f>Data!B395</f>
        <v/>
      </c>
      <c r="C396" s="4">
        <f>Data!C395</f>
        <v/>
      </c>
      <c r="D396" s="4">
        <f>Data!I395</f>
        <v/>
      </c>
      <c r="E396" s="4">
        <f>Data!J395</f>
        <v/>
      </c>
      <c r="F396" s="4">
        <f>Data!H395</f>
        <v/>
      </c>
      <c r="G396" s="4">
        <f>SUM(Data!Q395:Data!Y395)</f>
        <v/>
      </c>
      <c r="H396" s="4">
        <f>Data!Z395</f>
        <v/>
      </c>
      <c r="I396" s="4">
        <f>Data!AB395</f>
        <v/>
      </c>
      <c r="J396" s="4">
        <f>Data!AD395</f>
        <v/>
      </c>
      <c r="K396" s="4">
        <f>Data!AE395</f>
        <v/>
      </c>
      <c r="L396" s="4">
        <f>Data!AF395</f>
        <v/>
      </c>
      <c r="M396" s="4">
        <f>Data!AG395</f>
        <v/>
      </c>
      <c r="N396" s="4">
        <f>Data!AH395</f>
        <v/>
      </c>
      <c r="O396" s="4">
        <f>Data!AI395</f>
        <v/>
      </c>
      <c r="P396" s="4">
        <f>Data!AJ395</f>
        <v/>
      </c>
      <c r="Q396" s="4">
        <f>Data!AK395</f>
        <v/>
      </c>
      <c r="R396" s="4">
        <f>Data!AL395</f>
        <v/>
      </c>
    </row>
    <row r="397">
      <c r="A397" s="4">
        <f>Data!A396</f>
        <v/>
      </c>
      <c r="B397" s="4">
        <f>Data!B396</f>
        <v/>
      </c>
      <c r="C397" s="4">
        <f>Data!C396</f>
        <v/>
      </c>
      <c r="D397" s="4">
        <f>Data!I396</f>
        <v/>
      </c>
      <c r="E397" s="4">
        <f>Data!J396</f>
        <v/>
      </c>
      <c r="F397" s="4">
        <f>Data!H396</f>
        <v/>
      </c>
      <c r="G397" s="4">
        <f>SUM(Data!Q396:Data!Y396)</f>
        <v/>
      </c>
      <c r="H397" s="4">
        <f>Data!Z396</f>
        <v/>
      </c>
      <c r="I397" s="4">
        <f>Data!AB396</f>
        <v/>
      </c>
      <c r="J397" s="4">
        <f>Data!AD396</f>
        <v/>
      </c>
      <c r="K397" s="4">
        <f>Data!AE396</f>
        <v/>
      </c>
      <c r="L397" s="4">
        <f>Data!AF396</f>
        <v/>
      </c>
      <c r="M397" s="4">
        <f>Data!AG396</f>
        <v/>
      </c>
      <c r="N397" s="4">
        <f>Data!AH396</f>
        <v/>
      </c>
      <c r="O397" s="4">
        <f>Data!AI396</f>
        <v/>
      </c>
      <c r="P397" s="4">
        <f>Data!AJ396</f>
        <v/>
      </c>
      <c r="Q397" s="4">
        <f>Data!AK396</f>
        <v/>
      </c>
      <c r="R397" s="4">
        <f>Data!AL396</f>
        <v/>
      </c>
    </row>
    <row r="398">
      <c r="A398" s="4">
        <f>Data!A397</f>
        <v/>
      </c>
      <c r="B398" s="4">
        <f>Data!B397</f>
        <v/>
      </c>
      <c r="C398" s="4">
        <f>Data!C397</f>
        <v/>
      </c>
      <c r="D398" s="4">
        <f>Data!I397</f>
        <v/>
      </c>
      <c r="E398" s="4">
        <f>Data!J397</f>
        <v/>
      </c>
      <c r="F398" s="4">
        <f>Data!H397</f>
        <v/>
      </c>
      <c r="G398" s="4">
        <f>SUM(Data!Q397:Data!Y397)</f>
        <v/>
      </c>
      <c r="H398" s="4">
        <f>Data!Z397</f>
        <v/>
      </c>
      <c r="I398" s="4">
        <f>Data!AB397</f>
        <v/>
      </c>
      <c r="J398" s="4">
        <f>Data!AD397</f>
        <v/>
      </c>
      <c r="K398" s="4">
        <f>Data!AE397</f>
        <v/>
      </c>
      <c r="L398" s="4">
        <f>Data!AF397</f>
        <v/>
      </c>
      <c r="M398" s="4">
        <f>Data!AG397</f>
        <v/>
      </c>
      <c r="N398" s="4">
        <f>Data!AH397</f>
        <v/>
      </c>
      <c r="O398" s="4">
        <f>Data!AI397</f>
        <v/>
      </c>
      <c r="P398" s="4">
        <f>Data!AJ397</f>
        <v/>
      </c>
      <c r="Q398" s="4">
        <f>Data!AK397</f>
        <v/>
      </c>
      <c r="R398" s="4">
        <f>Data!AL397</f>
        <v/>
      </c>
    </row>
    <row r="399">
      <c r="A399" s="4">
        <f>Data!A398</f>
        <v/>
      </c>
      <c r="B399" s="4">
        <f>Data!B398</f>
        <v/>
      </c>
      <c r="C399" s="4">
        <f>Data!C398</f>
        <v/>
      </c>
      <c r="D399" s="4">
        <f>Data!I398</f>
        <v/>
      </c>
      <c r="E399" s="4">
        <f>Data!J398</f>
        <v/>
      </c>
      <c r="F399" s="4">
        <f>Data!H398</f>
        <v/>
      </c>
      <c r="G399" s="4">
        <f>SUM(Data!Q398:Data!Y398)</f>
        <v/>
      </c>
      <c r="H399" s="4">
        <f>Data!Z398</f>
        <v/>
      </c>
      <c r="I399" s="4">
        <f>Data!AB398</f>
        <v/>
      </c>
      <c r="J399" s="4">
        <f>Data!AD398</f>
        <v/>
      </c>
      <c r="K399" s="4">
        <f>Data!AE398</f>
        <v/>
      </c>
      <c r="L399" s="4">
        <f>Data!AF398</f>
        <v/>
      </c>
      <c r="M399" s="4">
        <f>Data!AG398</f>
        <v/>
      </c>
      <c r="N399" s="4">
        <f>Data!AH398</f>
        <v/>
      </c>
      <c r="O399" s="4">
        <f>Data!AI398</f>
        <v/>
      </c>
      <c r="P399" s="4">
        <f>Data!AJ398</f>
        <v/>
      </c>
      <c r="Q399" s="4">
        <f>Data!AK398</f>
        <v/>
      </c>
      <c r="R399" s="4">
        <f>Data!AL398</f>
        <v/>
      </c>
    </row>
    <row r="400">
      <c r="A400" s="4">
        <f>Data!A399</f>
        <v/>
      </c>
      <c r="B400" s="4">
        <f>Data!B399</f>
        <v/>
      </c>
      <c r="C400" s="4">
        <f>Data!C399</f>
        <v/>
      </c>
      <c r="D400" s="4">
        <f>Data!I399</f>
        <v/>
      </c>
      <c r="E400" s="4">
        <f>Data!J399</f>
        <v/>
      </c>
      <c r="F400" s="4">
        <f>Data!H399</f>
        <v/>
      </c>
      <c r="G400" s="4">
        <f>SUM(Data!Q399:Data!Y399)</f>
        <v/>
      </c>
      <c r="H400" s="4">
        <f>Data!Z399</f>
        <v/>
      </c>
      <c r="I400" s="4">
        <f>Data!AB399</f>
        <v/>
      </c>
      <c r="J400" s="4">
        <f>Data!AD399</f>
        <v/>
      </c>
      <c r="K400" s="4">
        <f>Data!AE399</f>
        <v/>
      </c>
      <c r="L400" s="4">
        <f>Data!AF399</f>
        <v/>
      </c>
      <c r="M400" s="4">
        <f>Data!AG399</f>
        <v/>
      </c>
      <c r="N400" s="4">
        <f>Data!AH399</f>
        <v/>
      </c>
      <c r="O400" s="4">
        <f>Data!AI399</f>
        <v/>
      </c>
      <c r="P400" s="4">
        <f>Data!AJ399</f>
        <v/>
      </c>
      <c r="Q400" s="4">
        <f>Data!AK399</f>
        <v/>
      </c>
      <c r="R400" s="4">
        <f>Data!AL399</f>
        <v/>
      </c>
    </row>
    <row r="401">
      <c r="A401" s="4">
        <f>Data!A400</f>
        <v/>
      </c>
      <c r="B401" s="4">
        <f>Data!B400</f>
        <v/>
      </c>
      <c r="C401" s="4">
        <f>Data!C400</f>
        <v/>
      </c>
      <c r="D401" s="4">
        <f>Data!I400</f>
        <v/>
      </c>
      <c r="E401" s="4">
        <f>Data!J400</f>
        <v/>
      </c>
      <c r="F401" s="4">
        <f>Data!H400</f>
        <v/>
      </c>
      <c r="G401" s="4">
        <f>SUM(Data!Q400:Data!Y400)</f>
        <v/>
      </c>
      <c r="H401" s="4">
        <f>Data!Z400</f>
        <v/>
      </c>
      <c r="I401" s="4">
        <f>Data!AB400</f>
        <v/>
      </c>
      <c r="J401" s="4">
        <f>Data!AD400</f>
        <v/>
      </c>
      <c r="K401" s="4">
        <f>Data!AE400</f>
        <v/>
      </c>
      <c r="L401" s="4">
        <f>Data!AF400</f>
        <v/>
      </c>
      <c r="M401" s="4">
        <f>Data!AG400</f>
        <v/>
      </c>
      <c r="N401" s="4">
        <f>Data!AH400</f>
        <v/>
      </c>
      <c r="O401" s="4">
        <f>Data!AI400</f>
        <v/>
      </c>
      <c r="P401" s="4">
        <f>Data!AJ400</f>
        <v/>
      </c>
      <c r="Q401" s="4">
        <f>Data!AK400</f>
        <v/>
      </c>
      <c r="R401" s="4">
        <f>Data!AL400</f>
        <v/>
      </c>
    </row>
    <row r="402">
      <c r="A402" s="4">
        <f>Data!A401</f>
        <v/>
      </c>
      <c r="B402" s="4">
        <f>Data!B401</f>
        <v/>
      </c>
      <c r="C402" s="4">
        <f>Data!C401</f>
        <v/>
      </c>
      <c r="D402" s="4">
        <f>Data!I401</f>
        <v/>
      </c>
      <c r="E402" s="4">
        <f>Data!J401</f>
        <v/>
      </c>
      <c r="F402" s="4">
        <f>Data!H401</f>
        <v/>
      </c>
      <c r="G402" s="4">
        <f>SUM(Data!Q401:Data!Y401)</f>
        <v/>
      </c>
      <c r="H402" s="4">
        <f>Data!Z401</f>
        <v/>
      </c>
      <c r="I402" s="4">
        <f>Data!AB401</f>
        <v/>
      </c>
      <c r="J402" s="4">
        <f>Data!AD401</f>
        <v/>
      </c>
      <c r="K402" s="4">
        <f>Data!AE401</f>
        <v/>
      </c>
      <c r="L402" s="4">
        <f>Data!AF401</f>
        <v/>
      </c>
      <c r="M402" s="4">
        <f>Data!AG401</f>
        <v/>
      </c>
      <c r="N402" s="4">
        <f>Data!AH401</f>
        <v/>
      </c>
      <c r="O402" s="4">
        <f>Data!AI401</f>
        <v/>
      </c>
      <c r="P402" s="4">
        <f>Data!AJ401</f>
        <v/>
      </c>
      <c r="Q402" s="4">
        <f>Data!AK401</f>
        <v/>
      </c>
      <c r="R402" s="4">
        <f>Data!AL401</f>
        <v/>
      </c>
    </row>
    <row r="403">
      <c r="A403" s="4">
        <f>Data!A402</f>
        <v/>
      </c>
      <c r="B403" s="4">
        <f>Data!B402</f>
        <v/>
      </c>
      <c r="C403" s="4">
        <f>Data!C402</f>
        <v/>
      </c>
      <c r="D403" s="4">
        <f>Data!I402</f>
        <v/>
      </c>
      <c r="E403" s="4">
        <f>Data!J402</f>
        <v/>
      </c>
      <c r="F403" s="4">
        <f>Data!H402</f>
        <v/>
      </c>
      <c r="G403" s="4">
        <f>SUM(Data!Q402:Data!Y402)</f>
        <v/>
      </c>
      <c r="H403" s="4">
        <f>Data!Z402</f>
        <v/>
      </c>
      <c r="I403" s="4">
        <f>Data!AB402</f>
        <v/>
      </c>
      <c r="J403" s="4">
        <f>Data!AD402</f>
        <v/>
      </c>
      <c r="K403" s="4">
        <f>Data!AE402</f>
        <v/>
      </c>
      <c r="L403" s="4">
        <f>Data!AF402</f>
        <v/>
      </c>
      <c r="M403" s="4">
        <f>Data!AG402</f>
        <v/>
      </c>
      <c r="N403" s="4">
        <f>Data!AH402</f>
        <v/>
      </c>
      <c r="O403" s="4">
        <f>Data!AI402</f>
        <v/>
      </c>
      <c r="P403" s="4">
        <f>Data!AJ402</f>
        <v/>
      </c>
      <c r="Q403" s="4">
        <f>Data!AK402</f>
        <v/>
      </c>
      <c r="R403" s="4">
        <f>Data!AL402</f>
        <v/>
      </c>
    </row>
    <row r="404">
      <c r="A404" s="4">
        <f>Data!A403</f>
        <v/>
      </c>
      <c r="B404" s="4">
        <f>Data!B403</f>
        <v/>
      </c>
      <c r="C404" s="4">
        <f>Data!C403</f>
        <v/>
      </c>
      <c r="D404" s="4">
        <f>Data!I403</f>
        <v/>
      </c>
      <c r="E404" s="4">
        <f>Data!J403</f>
        <v/>
      </c>
      <c r="F404" s="4">
        <f>Data!H403</f>
        <v/>
      </c>
      <c r="G404" s="4">
        <f>SUM(Data!Q403:Data!Y403)</f>
        <v/>
      </c>
      <c r="H404" s="4">
        <f>Data!Z403</f>
        <v/>
      </c>
      <c r="I404" s="4">
        <f>Data!AB403</f>
        <v/>
      </c>
      <c r="J404" s="4">
        <f>Data!AD403</f>
        <v/>
      </c>
      <c r="K404" s="4">
        <f>Data!AE403</f>
        <v/>
      </c>
      <c r="L404" s="4">
        <f>Data!AF403</f>
        <v/>
      </c>
      <c r="M404" s="4">
        <f>Data!AG403</f>
        <v/>
      </c>
      <c r="N404" s="4">
        <f>Data!AH403</f>
        <v/>
      </c>
      <c r="O404" s="4">
        <f>Data!AI403</f>
        <v/>
      </c>
      <c r="P404" s="4">
        <f>Data!AJ403</f>
        <v/>
      </c>
      <c r="Q404" s="4">
        <f>Data!AK403</f>
        <v/>
      </c>
      <c r="R404" s="4">
        <f>Data!AL403</f>
        <v/>
      </c>
    </row>
    <row r="405">
      <c r="A405" s="4">
        <f>Data!A404</f>
        <v/>
      </c>
      <c r="B405" s="4">
        <f>Data!B404</f>
        <v/>
      </c>
      <c r="C405" s="4">
        <f>Data!C404</f>
        <v/>
      </c>
      <c r="D405" s="4">
        <f>Data!I404</f>
        <v/>
      </c>
      <c r="E405" s="4">
        <f>Data!J404</f>
        <v/>
      </c>
      <c r="F405" s="4">
        <f>Data!H404</f>
        <v/>
      </c>
      <c r="G405" s="4">
        <f>SUM(Data!Q404:Data!Y404)</f>
        <v/>
      </c>
      <c r="H405" s="4">
        <f>Data!Z404</f>
        <v/>
      </c>
      <c r="I405" s="4">
        <f>Data!AB404</f>
        <v/>
      </c>
      <c r="J405" s="4">
        <f>Data!AD404</f>
        <v/>
      </c>
      <c r="K405" s="4">
        <f>Data!AE404</f>
        <v/>
      </c>
      <c r="L405" s="4">
        <f>Data!AF404</f>
        <v/>
      </c>
      <c r="M405" s="4">
        <f>Data!AG404</f>
        <v/>
      </c>
      <c r="N405" s="4">
        <f>Data!AH404</f>
        <v/>
      </c>
      <c r="O405" s="4">
        <f>Data!AI404</f>
        <v/>
      </c>
      <c r="P405" s="4">
        <f>Data!AJ404</f>
        <v/>
      </c>
      <c r="Q405" s="4">
        <f>Data!AK404</f>
        <v/>
      </c>
      <c r="R405" s="4">
        <f>Data!AL404</f>
        <v/>
      </c>
    </row>
    <row r="406">
      <c r="A406" s="4">
        <f>Data!A405</f>
        <v/>
      </c>
      <c r="B406" s="4">
        <f>Data!B405</f>
        <v/>
      </c>
      <c r="C406" s="4">
        <f>Data!C405</f>
        <v/>
      </c>
      <c r="D406" s="4">
        <f>Data!I405</f>
        <v/>
      </c>
      <c r="E406" s="4">
        <f>Data!J405</f>
        <v/>
      </c>
      <c r="F406" s="4">
        <f>Data!H405</f>
        <v/>
      </c>
      <c r="G406" s="4">
        <f>SUM(Data!Q405:Data!Y405)</f>
        <v/>
      </c>
      <c r="H406" s="4">
        <f>Data!Z405</f>
        <v/>
      </c>
      <c r="I406" s="4">
        <f>Data!AB405</f>
        <v/>
      </c>
      <c r="J406" s="4">
        <f>Data!AD405</f>
        <v/>
      </c>
      <c r="K406" s="4">
        <f>Data!AE405</f>
        <v/>
      </c>
      <c r="L406" s="4">
        <f>Data!AF405</f>
        <v/>
      </c>
      <c r="M406" s="4">
        <f>Data!AG405</f>
        <v/>
      </c>
      <c r="N406" s="4">
        <f>Data!AH405</f>
        <v/>
      </c>
      <c r="O406" s="4">
        <f>Data!AI405</f>
        <v/>
      </c>
      <c r="P406" s="4">
        <f>Data!AJ405</f>
        <v/>
      </c>
      <c r="Q406" s="4">
        <f>Data!AK405</f>
        <v/>
      </c>
      <c r="R406" s="4">
        <f>Data!AL405</f>
        <v/>
      </c>
    </row>
    <row r="407">
      <c r="A407" s="4">
        <f>Data!A406</f>
        <v/>
      </c>
      <c r="B407" s="4">
        <f>Data!B406</f>
        <v/>
      </c>
      <c r="C407" s="4">
        <f>Data!C406</f>
        <v/>
      </c>
      <c r="D407" s="4">
        <f>Data!I406</f>
        <v/>
      </c>
      <c r="E407" s="4">
        <f>Data!J406</f>
        <v/>
      </c>
      <c r="F407" s="4">
        <f>Data!H406</f>
        <v/>
      </c>
      <c r="G407" s="4">
        <f>SUM(Data!Q406:Data!Y406)</f>
        <v/>
      </c>
      <c r="H407" s="4">
        <f>Data!Z406</f>
        <v/>
      </c>
      <c r="I407" s="4">
        <f>Data!AB406</f>
        <v/>
      </c>
      <c r="J407" s="4">
        <f>Data!AD406</f>
        <v/>
      </c>
      <c r="K407" s="4">
        <f>Data!AE406</f>
        <v/>
      </c>
      <c r="L407" s="4">
        <f>Data!AF406</f>
        <v/>
      </c>
      <c r="M407" s="4">
        <f>Data!AG406</f>
        <v/>
      </c>
      <c r="N407" s="4">
        <f>Data!AH406</f>
        <v/>
      </c>
      <c r="O407" s="4">
        <f>Data!AI406</f>
        <v/>
      </c>
      <c r="P407" s="4">
        <f>Data!AJ406</f>
        <v/>
      </c>
      <c r="Q407" s="4">
        <f>Data!AK406</f>
        <v/>
      </c>
      <c r="R407" s="4">
        <f>Data!AL406</f>
        <v/>
      </c>
    </row>
    <row r="408">
      <c r="A408" s="4">
        <f>Data!A407</f>
        <v/>
      </c>
      <c r="B408" s="4">
        <f>Data!B407</f>
        <v/>
      </c>
      <c r="C408" s="4">
        <f>Data!C407</f>
        <v/>
      </c>
      <c r="D408" s="4">
        <f>Data!I407</f>
        <v/>
      </c>
      <c r="E408" s="4">
        <f>Data!J407</f>
        <v/>
      </c>
      <c r="F408" s="4">
        <f>Data!H407</f>
        <v/>
      </c>
      <c r="G408" s="4">
        <f>SUM(Data!Q407:Data!Y407)</f>
        <v/>
      </c>
      <c r="H408" s="4">
        <f>Data!Z407</f>
        <v/>
      </c>
      <c r="I408" s="4">
        <f>Data!AB407</f>
        <v/>
      </c>
      <c r="J408" s="4">
        <f>Data!AD407</f>
        <v/>
      </c>
      <c r="K408" s="4">
        <f>Data!AE407</f>
        <v/>
      </c>
      <c r="L408" s="4">
        <f>Data!AF407</f>
        <v/>
      </c>
      <c r="M408" s="4">
        <f>Data!AG407</f>
        <v/>
      </c>
      <c r="N408" s="4">
        <f>Data!AH407</f>
        <v/>
      </c>
      <c r="O408" s="4">
        <f>Data!AI407</f>
        <v/>
      </c>
      <c r="P408" s="4">
        <f>Data!AJ407</f>
        <v/>
      </c>
      <c r="Q408" s="4">
        <f>Data!AK407</f>
        <v/>
      </c>
      <c r="R408" s="4">
        <f>Data!AL407</f>
        <v/>
      </c>
    </row>
    <row r="409">
      <c r="A409" s="4">
        <f>Data!A408</f>
        <v/>
      </c>
      <c r="B409" s="4">
        <f>Data!B408</f>
        <v/>
      </c>
      <c r="C409" s="4">
        <f>Data!C408</f>
        <v/>
      </c>
      <c r="D409" s="4">
        <f>Data!I408</f>
        <v/>
      </c>
      <c r="E409" s="4">
        <f>Data!J408</f>
        <v/>
      </c>
      <c r="F409" s="4">
        <f>Data!H408</f>
        <v/>
      </c>
      <c r="G409" s="4">
        <f>SUM(Data!Q408:Data!Y408)</f>
        <v/>
      </c>
      <c r="H409" s="4">
        <f>Data!Z408</f>
        <v/>
      </c>
      <c r="I409" s="4">
        <f>Data!AB408</f>
        <v/>
      </c>
      <c r="J409" s="4">
        <f>Data!AD408</f>
        <v/>
      </c>
      <c r="K409" s="4">
        <f>Data!AE408</f>
        <v/>
      </c>
      <c r="L409" s="4">
        <f>Data!AF408</f>
        <v/>
      </c>
      <c r="M409" s="4">
        <f>Data!AG408</f>
        <v/>
      </c>
      <c r="N409" s="4">
        <f>Data!AH408</f>
        <v/>
      </c>
      <c r="O409" s="4">
        <f>Data!AI408</f>
        <v/>
      </c>
      <c r="P409" s="4">
        <f>Data!AJ408</f>
        <v/>
      </c>
      <c r="Q409" s="4">
        <f>Data!AK408</f>
        <v/>
      </c>
      <c r="R409" s="4">
        <f>Data!AL408</f>
        <v/>
      </c>
    </row>
    <row r="410">
      <c r="A410" s="4">
        <f>Data!A409</f>
        <v/>
      </c>
      <c r="B410" s="4">
        <f>Data!B409</f>
        <v/>
      </c>
      <c r="C410" s="4">
        <f>Data!C409</f>
        <v/>
      </c>
      <c r="D410" s="4">
        <f>Data!I409</f>
        <v/>
      </c>
      <c r="E410" s="4">
        <f>Data!J409</f>
        <v/>
      </c>
      <c r="F410" s="4">
        <f>Data!H409</f>
        <v/>
      </c>
      <c r="G410" s="4">
        <f>SUM(Data!Q409:Data!Y409)</f>
        <v/>
      </c>
      <c r="H410" s="4">
        <f>Data!Z409</f>
        <v/>
      </c>
      <c r="I410" s="4">
        <f>Data!AB409</f>
        <v/>
      </c>
      <c r="J410" s="4">
        <f>Data!AD409</f>
        <v/>
      </c>
      <c r="K410" s="4">
        <f>Data!AE409</f>
        <v/>
      </c>
      <c r="L410" s="4">
        <f>Data!AF409</f>
        <v/>
      </c>
      <c r="M410" s="4">
        <f>Data!AG409</f>
        <v/>
      </c>
      <c r="N410" s="4">
        <f>Data!AH409</f>
        <v/>
      </c>
      <c r="O410" s="4">
        <f>Data!AI409</f>
        <v/>
      </c>
      <c r="P410" s="4">
        <f>Data!AJ409</f>
        <v/>
      </c>
      <c r="Q410" s="4">
        <f>Data!AK409</f>
        <v/>
      </c>
      <c r="R410" s="4">
        <f>Data!AL409</f>
        <v/>
      </c>
    </row>
    <row r="411">
      <c r="A411" s="4">
        <f>Data!A410</f>
        <v/>
      </c>
      <c r="B411" s="4">
        <f>Data!B410</f>
        <v/>
      </c>
      <c r="C411" s="4">
        <f>Data!C410</f>
        <v/>
      </c>
      <c r="D411" s="4">
        <f>Data!I410</f>
        <v/>
      </c>
      <c r="E411" s="4">
        <f>Data!J410</f>
        <v/>
      </c>
      <c r="F411" s="4">
        <f>Data!H410</f>
        <v/>
      </c>
      <c r="G411" s="4">
        <f>SUM(Data!Q410:Data!Y410)</f>
        <v/>
      </c>
      <c r="H411" s="4">
        <f>Data!Z410</f>
        <v/>
      </c>
      <c r="I411" s="4">
        <f>Data!AB410</f>
        <v/>
      </c>
      <c r="J411" s="4">
        <f>Data!AD410</f>
        <v/>
      </c>
      <c r="K411" s="4">
        <f>Data!AE410</f>
        <v/>
      </c>
      <c r="L411" s="4">
        <f>Data!AF410</f>
        <v/>
      </c>
      <c r="M411" s="4">
        <f>Data!AG410</f>
        <v/>
      </c>
      <c r="N411" s="4">
        <f>Data!AH410</f>
        <v/>
      </c>
      <c r="O411" s="4">
        <f>Data!AI410</f>
        <v/>
      </c>
      <c r="P411" s="4">
        <f>Data!AJ410</f>
        <v/>
      </c>
      <c r="Q411" s="4">
        <f>Data!AK410</f>
        <v/>
      </c>
      <c r="R411" s="4">
        <f>Data!AL410</f>
        <v/>
      </c>
    </row>
    <row r="412">
      <c r="A412" s="4">
        <f>Data!A411</f>
        <v/>
      </c>
      <c r="B412" s="4">
        <f>Data!B411</f>
        <v/>
      </c>
      <c r="C412" s="4">
        <f>Data!C411</f>
        <v/>
      </c>
      <c r="D412" s="4">
        <f>Data!I411</f>
        <v/>
      </c>
      <c r="E412" s="4">
        <f>Data!J411</f>
        <v/>
      </c>
      <c r="F412" s="4">
        <f>Data!H411</f>
        <v/>
      </c>
      <c r="G412" s="4">
        <f>SUM(Data!Q411:Data!Y411)</f>
        <v/>
      </c>
      <c r="H412" s="4">
        <f>Data!Z411</f>
        <v/>
      </c>
      <c r="I412" s="4">
        <f>Data!AB411</f>
        <v/>
      </c>
      <c r="J412" s="4">
        <f>Data!AD411</f>
        <v/>
      </c>
      <c r="K412" s="4">
        <f>Data!AE411</f>
        <v/>
      </c>
      <c r="L412" s="4">
        <f>Data!AF411</f>
        <v/>
      </c>
      <c r="M412" s="4">
        <f>Data!AG411</f>
        <v/>
      </c>
      <c r="N412" s="4">
        <f>Data!AH411</f>
        <v/>
      </c>
      <c r="O412" s="4">
        <f>Data!AI411</f>
        <v/>
      </c>
      <c r="P412" s="4">
        <f>Data!AJ411</f>
        <v/>
      </c>
      <c r="Q412" s="4">
        <f>Data!AK411</f>
        <v/>
      </c>
      <c r="R412" s="4">
        <f>Data!AL411</f>
        <v/>
      </c>
    </row>
    <row r="413">
      <c r="A413" s="4">
        <f>Data!A412</f>
        <v/>
      </c>
      <c r="B413" s="4">
        <f>Data!B412</f>
        <v/>
      </c>
      <c r="C413" s="4">
        <f>Data!C412</f>
        <v/>
      </c>
      <c r="D413" s="4">
        <f>Data!I412</f>
        <v/>
      </c>
      <c r="E413" s="4">
        <f>Data!J412</f>
        <v/>
      </c>
      <c r="F413" s="4">
        <f>Data!H412</f>
        <v/>
      </c>
      <c r="G413" s="4">
        <f>SUM(Data!Q412:Data!Y412)</f>
        <v/>
      </c>
      <c r="H413" s="4">
        <f>Data!Z412</f>
        <v/>
      </c>
      <c r="I413" s="4">
        <f>Data!AB412</f>
        <v/>
      </c>
      <c r="J413" s="4">
        <f>Data!AD412</f>
        <v/>
      </c>
      <c r="K413" s="4">
        <f>Data!AE412</f>
        <v/>
      </c>
      <c r="L413" s="4">
        <f>Data!AF412</f>
        <v/>
      </c>
      <c r="M413" s="4">
        <f>Data!AG412</f>
        <v/>
      </c>
      <c r="N413" s="4">
        <f>Data!AH412</f>
        <v/>
      </c>
      <c r="O413" s="4">
        <f>Data!AI412</f>
        <v/>
      </c>
      <c r="P413" s="4">
        <f>Data!AJ412</f>
        <v/>
      </c>
      <c r="Q413" s="4">
        <f>Data!AK412</f>
        <v/>
      </c>
      <c r="R413" s="4">
        <f>Data!AL412</f>
        <v/>
      </c>
    </row>
    <row r="414">
      <c r="A414" s="4">
        <f>Data!A413</f>
        <v/>
      </c>
      <c r="B414" s="4">
        <f>Data!B413</f>
        <v/>
      </c>
      <c r="C414" s="4">
        <f>Data!C413</f>
        <v/>
      </c>
      <c r="D414" s="4">
        <f>Data!I413</f>
        <v/>
      </c>
      <c r="E414" s="4">
        <f>Data!J413</f>
        <v/>
      </c>
      <c r="F414" s="4">
        <f>Data!H413</f>
        <v/>
      </c>
      <c r="G414" s="4">
        <f>SUM(Data!Q413:Data!Y413)</f>
        <v/>
      </c>
      <c r="H414" s="4">
        <f>Data!Z413</f>
        <v/>
      </c>
      <c r="I414" s="4">
        <f>Data!AB413</f>
        <v/>
      </c>
      <c r="J414" s="4">
        <f>Data!AD413</f>
        <v/>
      </c>
      <c r="K414" s="4">
        <f>Data!AE413</f>
        <v/>
      </c>
      <c r="L414" s="4">
        <f>Data!AF413</f>
        <v/>
      </c>
      <c r="M414" s="4">
        <f>Data!AG413</f>
        <v/>
      </c>
      <c r="N414" s="4">
        <f>Data!AH413</f>
        <v/>
      </c>
      <c r="O414" s="4">
        <f>Data!AI413</f>
        <v/>
      </c>
      <c r="P414" s="4">
        <f>Data!AJ413</f>
        <v/>
      </c>
      <c r="Q414" s="4">
        <f>Data!AK413</f>
        <v/>
      </c>
      <c r="R414" s="4">
        <f>Data!AL413</f>
        <v/>
      </c>
    </row>
    <row r="415">
      <c r="A415" s="4">
        <f>Data!A414</f>
        <v/>
      </c>
      <c r="B415" s="4">
        <f>Data!B414</f>
        <v/>
      </c>
      <c r="C415" s="4">
        <f>Data!C414</f>
        <v/>
      </c>
      <c r="D415" s="4">
        <f>Data!I414</f>
        <v/>
      </c>
      <c r="E415" s="4">
        <f>Data!J414</f>
        <v/>
      </c>
      <c r="F415" s="4">
        <f>Data!H414</f>
        <v/>
      </c>
      <c r="G415" s="4">
        <f>SUM(Data!Q414:Data!Y414)</f>
        <v/>
      </c>
      <c r="H415" s="4">
        <f>Data!Z414</f>
        <v/>
      </c>
      <c r="I415" s="4">
        <f>Data!AB414</f>
        <v/>
      </c>
      <c r="J415" s="4">
        <f>Data!AD414</f>
        <v/>
      </c>
      <c r="K415" s="4">
        <f>Data!AE414</f>
        <v/>
      </c>
      <c r="L415" s="4">
        <f>Data!AF414</f>
        <v/>
      </c>
      <c r="M415" s="4">
        <f>Data!AG414</f>
        <v/>
      </c>
      <c r="N415" s="4">
        <f>Data!AH414</f>
        <v/>
      </c>
      <c r="O415" s="4">
        <f>Data!AI414</f>
        <v/>
      </c>
      <c r="P415" s="4">
        <f>Data!AJ414</f>
        <v/>
      </c>
      <c r="Q415" s="4">
        <f>Data!AK414</f>
        <v/>
      </c>
      <c r="R415" s="4">
        <f>Data!AL414</f>
        <v/>
      </c>
    </row>
    <row r="416">
      <c r="A416" s="4">
        <f>Data!A415</f>
        <v/>
      </c>
      <c r="B416" s="4">
        <f>Data!B415</f>
        <v/>
      </c>
      <c r="C416" s="4">
        <f>Data!C415</f>
        <v/>
      </c>
      <c r="D416" s="4">
        <f>Data!I415</f>
        <v/>
      </c>
      <c r="E416" s="4">
        <f>Data!J415</f>
        <v/>
      </c>
      <c r="F416" s="4">
        <f>Data!H415</f>
        <v/>
      </c>
      <c r="G416" s="4">
        <f>SUM(Data!Q415:Data!Y415)</f>
        <v/>
      </c>
      <c r="H416" s="4">
        <f>Data!Z415</f>
        <v/>
      </c>
      <c r="I416" s="4">
        <f>Data!AB415</f>
        <v/>
      </c>
      <c r="J416" s="4">
        <f>Data!AD415</f>
        <v/>
      </c>
      <c r="K416" s="4">
        <f>Data!AE415</f>
        <v/>
      </c>
      <c r="L416" s="4">
        <f>Data!AF415</f>
        <v/>
      </c>
      <c r="M416" s="4">
        <f>Data!AG415</f>
        <v/>
      </c>
      <c r="N416" s="4">
        <f>Data!AH415</f>
        <v/>
      </c>
      <c r="O416" s="4">
        <f>Data!AI415</f>
        <v/>
      </c>
      <c r="P416" s="4">
        <f>Data!AJ415</f>
        <v/>
      </c>
      <c r="Q416" s="4">
        <f>Data!AK415</f>
        <v/>
      </c>
      <c r="R416" s="4">
        <f>Data!AL415</f>
        <v/>
      </c>
    </row>
    <row r="417">
      <c r="A417" s="4">
        <f>Data!A416</f>
        <v/>
      </c>
      <c r="B417" s="4">
        <f>Data!B416</f>
        <v/>
      </c>
      <c r="C417" s="4">
        <f>Data!C416</f>
        <v/>
      </c>
      <c r="D417" s="4">
        <f>Data!I416</f>
        <v/>
      </c>
      <c r="E417" s="4">
        <f>Data!J416</f>
        <v/>
      </c>
      <c r="F417" s="4">
        <f>Data!H416</f>
        <v/>
      </c>
      <c r="G417" s="4">
        <f>SUM(Data!Q416:Data!Y416)</f>
        <v/>
      </c>
      <c r="H417" s="4">
        <f>Data!Z416</f>
        <v/>
      </c>
      <c r="I417" s="4">
        <f>Data!AB416</f>
        <v/>
      </c>
      <c r="J417" s="4">
        <f>Data!AD416</f>
        <v/>
      </c>
      <c r="K417" s="4">
        <f>Data!AE416</f>
        <v/>
      </c>
      <c r="L417" s="4">
        <f>Data!AF416</f>
        <v/>
      </c>
      <c r="M417" s="4">
        <f>Data!AG416</f>
        <v/>
      </c>
      <c r="N417" s="4">
        <f>Data!AH416</f>
        <v/>
      </c>
      <c r="O417" s="4">
        <f>Data!AI416</f>
        <v/>
      </c>
      <c r="P417" s="4">
        <f>Data!AJ416</f>
        <v/>
      </c>
      <c r="Q417" s="4">
        <f>Data!AK416</f>
        <v/>
      </c>
      <c r="R417" s="4">
        <f>Data!AL416</f>
        <v/>
      </c>
    </row>
    <row r="418">
      <c r="A418" s="4">
        <f>Data!A417</f>
        <v/>
      </c>
      <c r="B418" s="4">
        <f>Data!B417</f>
        <v/>
      </c>
      <c r="C418" s="4">
        <f>Data!C417</f>
        <v/>
      </c>
      <c r="D418" s="4">
        <f>Data!I417</f>
        <v/>
      </c>
      <c r="E418" s="4">
        <f>Data!J417</f>
        <v/>
      </c>
      <c r="F418" s="4">
        <f>Data!H417</f>
        <v/>
      </c>
      <c r="G418" s="4">
        <f>SUM(Data!Q417:Data!Y417)</f>
        <v/>
      </c>
      <c r="H418" s="4">
        <f>Data!Z417</f>
        <v/>
      </c>
      <c r="I418" s="4">
        <f>Data!AB417</f>
        <v/>
      </c>
      <c r="J418" s="4">
        <f>Data!AD417</f>
        <v/>
      </c>
      <c r="K418" s="4">
        <f>Data!AE417</f>
        <v/>
      </c>
      <c r="L418" s="4">
        <f>Data!AF417</f>
        <v/>
      </c>
      <c r="M418" s="4">
        <f>Data!AG417</f>
        <v/>
      </c>
      <c r="N418" s="4">
        <f>Data!AH417</f>
        <v/>
      </c>
      <c r="O418" s="4">
        <f>Data!AI417</f>
        <v/>
      </c>
      <c r="P418" s="4">
        <f>Data!AJ417</f>
        <v/>
      </c>
      <c r="Q418" s="4">
        <f>Data!AK417</f>
        <v/>
      </c>
      <c r="R418" s="4">
        <f>Data!AL417</f>
        <v/>
      </c>
    </row>
    <row r="419">
      <c r="A419" s="4">
        <f>Data!A418</f>
        <v/>
      </c>
      <c r="B419" s="4">
        <f>Data!B418</f>
        <v/>
      </c>
      <c r="C419" s="4">
        <f>Data!C418</f>
        <v/>
      </c>
      <c r="D419" s="4">
        <f>Data!I418</f>
        <v/>
      </c>
      <c r="E419" s="4">
        <f>Data!J418</f>
        <v/>
      </c>
      <c r="F419" s="4">
        <f>Data!H418</f>
        <v/>
      </c>
      <c r="G419" s="4">
        <f>SUM(Data!Q418:Data!Y418)</f>
        <v/>
      </c>
      <c r="H419" s="4">
        <f>Data!Z418</f>
        <v/>
      </c>
      <c r="I419" s="4">
        <f>Data!AB418</f>
        <v/>
      </c>
      <c r="J419" s="4">
        <f>Data!AD418</f>
        <v/>
      </c>
      <c r="K419" s="4">
        <f>Data!AE418</f>
        <v/>
      </c>
      <c r="L419" s="4">
        <f>Data!AF418</f>
        <v/>
      </c>
      <c r="M419" s="4">
        <f>Data!AG418</f>
        <v/>
      </c>
      <c r="N419" s="4">
        <f>Data!AH418</f>
        <v/>
      </c>
      <c r="O419" s="4">
        <f>Data!AI418</f>
        <v/>
      </c>
      <c r="P419" s="4">
        <f>Data!AJ418</f>
        <v/>
      </c>
      <c r="Q419" s="4">
        <f>Data!AK418</f>
        <v/>
      </c>
      <c r="R419" s="4">
        <f>Data!AL418</f>
        <v/>
      </c>
    </row>
    <row r="420">
      <c r="A420" s="4">
        <f>Data!A419</f>
        <v/>
      </c>
      <c r="B420" s="4">
        <f>Data!B419</f>
        <v/>
      </c>
      <c r="C420" s="4">
        <f>Data!C419</f>
        <v/>
      </c>
      <c r="D420" s="4">
        <f>Data!I419</f>
        <v/>
      </c>
      <c r="E420" s="4">
        <f>Data!J419</f>
        <v/>
      </c>
      <c r="F420" s="4">
        <f>Data!H419</f>
        <v/>
      </c>
      <c r="G420" s="4">
        <f>SUM(Data!Q419:Data!Y419)</f>
        <v/>
      </c>
      <c r="H420" s="4">
        <f>Data!Z419</f>
        <v/>
      </c>
      <c r="I420" s="4">
        <f>Data!AB419</f>
        <v/>
      </c>
      <c r="J420" s="4">
        <f>Data!AD419</f>
        <v/>
      </c>
      <c r="K420" s="4">
        <f>Data!AE419</f>
        <v/>
      </c>
      <c r="L420" s="4">
        <f>Data!AF419</f>
        <v/>
      </c>
      <c r="M420" s="4">
        <f>Data!AG419</f>
        <v/>
      </c>
      <c r="N420" s="4">
        <f>Data!AH419</f>
        <v/>
      </c>
      <c r="O420" s="4">
        <f>Data!AI419</f>
        <v/>
      </c>
      <c r="P420" s="4">
        <f>Data!AJ419</f>
        <v/>
      </c>
      <c r="Q420" s="4">
        <f>Data!AK419</f>
        <v/>
      </c>
      <c r="R420" s="4">
        <f>Data!AL419</f>
        <v/>
      </c>
    </row>
    <row r="421">
      <c r="A421" s="4">
        <f>Data!A420</f>
        <v/>
      </c>
      <c r="B421" s="4">
        <f>Data!B420</f>
        <v/>
      </c>
      <c r="C421" s="4">
        <f>Data!C420</f>
        <v/>
      </c>
      <c r="D421" s="4">
        <f>Data!I420</f>
        <v/>
      </c>
      <c r="E421" s="4">
        <f>Data!J420</f>
        <v/>
      </c>
      <c r="F421" s="4">
        <f>Data!H420</f>
        <v/>
      </c>
      <c r="G421" s="4">
        <f>SUM(Data!Q420:Data!Y420)</f>
        <v/>
      </c>
      <c r="H421" s="4">
        <f>Data!Z420</f>
        <v/>
      </c>
      <c r="I421" s="4">
        <f>Data!AB420</f>
        <v/>
      </c>
      <c r="J421" s="4">
        <f>Data!AD420</f>
        <v/>
      </c>
      <c r="K421" s="4">
        <f>Data!AE420</f>
        <v/>
      </c>
      <c r="L421" s="4">
        <f>Data!AF420</f>
        <v/>
      </c>
      <c r="M421" s="4">
        <f>Data!AG420</f>
        <v/>
      </c>
      <c r="N421" s="4">
        <f>Data!AH420</f>
        <v/>
      </c>
      <c r="O421" s="4">
        <f>Data!AI420</f>
        <v/>
      </c>
      <c r="P421" s="4">
        <f>Data!AJ420</f>
        <v/>
      </c>
      <c r="Q421" s="4">
        <f>Data!AK420</f>
        <v/>
      </c>
      <c r="R421" s="4">
        <f>Data!AL420</f>
        <v/>
      </c>
    </row>
    <row r="422">
      <c r="A422" s="4">
        <f>Data!A421</f>
        <v/>
      </c>
      <c r="B422" s="4">
        <f>Data!B421</f>
        <v/>
      </c>
      <c r="C422" s="4">
        <f>Data!C421</f>
        <v/>
      </c>
      <c r="D422" s="4">
        <f>Data!I421</f>
        <v/>
      </c>
      <c r="E422" s="4">
        <f>Data!J421</f>
        <v/>
      </c>
      <c r="F422" s="4">
        <f>Data!H421</f>
        <v/>
      </c>
      <c r="G422" s="4">
        <f>SUM(Data!Q421:Data!Y421)</f>
        <v/>
      </c>
      <c r="H422" s="4">
        <f>Data!Z421</f>
        <v/>
      </c>
      <c r="I422" s="4">
        <f>Data!AB421</f>
        <v/>
      </c>
      <c r="J422" s="4">
        <f>Data!AD421</f>
        <v/>
      </c>
      <c r="K422" s="4">
        <f>Data!AE421</f>
        <v/>
      </c>
      <c r="L422" s="4">
        <f>Data!AF421</f>
        <v/>
      </c>
      <c r="M422" s="4">
        <f>Data!AG421</f>
        <v/>
      </c>
      <c r="N422" s="4">
        <f>Data!AH421</f>
        <v/>
      </c>
      <c r="O422" s="4">
        <f>Data!AI421</f>
        <v/>
      </c>
      <c r="P422" s="4">
        <f>Data!AJ421</f>
        <v/>
      </c>
      <c r="Q422" s="4">
        <f>Data!AK421</f>
        <v/>
      </c>
      <c r="R422" s="4">
        <f>Data!AL421</f>
        <v/>
      </c>
    </row>
    <row r="423">
      <c r="A423" s="4">
        <f>Data!A422</f>
        <v/>
      </c>
      <c r="B423" s="4">
        <f>Data!B422</f>
        <v/>
      </c>
      <c r="C423" s="4">
        <f>Data!C422</f>
        <v/>
      </c>
      <c r="D423" s="4">
        <f>Data!I422</f>
        <v/>
      </c>
      <c r="E423" s="4">
        <f>Data!J422</f>
        <v/>
      </c>
      <c r="F423" s="4">
        <f>Data!H422</f>
        <v/>
      </c>
      <c r="G423" s="4">
        <f>SUM(Data!Q422:Data!Y422)</f>
        <v/>
      </c>
      <c r="H423" s="4">
        <f>Data!Z422</f>
        <v/>
      </c>
      <c r="I423" s="4">
        <f>Data!AB422</f>
        <v/>
      </c>
      <c r="J423" s="4">
        <f>Data!AD422</f>
        <v/>
      </c>
      <c r="K423" s="4">
        <f>Data!AE422</f>
        <v/>
      </c>
      <c r="L423" s="4">
        <f>Data!AF422</f>
        <v/>
      </c>
      <c r="M423" s="4">
        <f>Data!AG422</f>
        <v/>
      </c>
      <c r="N423" s="4">
        <f>Data!AH422</f>
        <v/>
      </c>
      <c r="O423" s="4">
        <f>Data!AI422</f>
        <v/>
      </c>
      <c r="P423" s="4">
        <f>Data!AJ422</f>
        <v/>
      </c>
      <c r="Q423" s="4">
        <f>Data!AK422</f>
        <v/>
      </c>
      <c r="R423" s="4">
        <f>Data!AL422</f>
        <v/>
      </c>
    </row>
    <row r="424">
      <c r="A424" s="4">
        <f>Data!A423</f>
        <v/>
      </c>
      <c r="B424" s="4">
        <f>Data!B423</f>
        <v/>
      </c>
      <c r="C424" s="4">
        <f>Data!C423</f>
        <v/>
      </c>
      <c r="D424" s="4">
        <f>Data!I423</f>
        <v/>
      </c>
      <c r="E424" s="4">
        <f>Data!J423</f>
        <v/>
      </c>
      <c r="F424" s="4">
        <f>Data!H423</f>
        <v/>
      </c>
      <c r="G424" s="4">
        <f>SUM(Data!Q423:Data!Y423)</f>
        <v/>
      </c>
      <c r="H424" s="4">
        <f>Data!Z423</f>
        <v/>
      </c>
      <c r="I424" s="4">
        <f>Data!AB423</f>
        <v/>
      </c>
      <c r="J424" s="4">
        <f>Data!AD423</f>
        <v/>
      </c>
      <c r="K424" s="4">
        <f>Data!AE423</f>
        <v/>
      </c>
      <c r="L424" s="4">
        <f>Data!AF423</f>
        <v/>
      </c>
      <c r="M424" s="4">
        <f>Data!AG423</f>
        <v/>
      </c>
      <c r="N424" s="4">
        <f>Data!AH423</f>
        <v/>
      </c>
      <c r="O424" s="4">
        <f>Data!AI423</f>
        <v/>
      </c>
      <c r="P424" s="4">
        <f>Data!AJ423</f>
        <v/>
      </c>
      <c r="Q424" s="4">
        <f>Data!AK423</f>
        <v/>
      </c>
      <c r="R424" s="4">
        <f>Data!AL423</f>
        <v/>
      </c>
    </row>
    <row r="425">
      <c r="A425" s="4">
        <f>Data!A424</f>
        <v/>
      </c>
      <c r="B425" s="4">
        <f>Data!B424</f>
        <v/>
      </c>
      <c r="C425" s="4">
        <f>Data!C424</f>
        <v/>
      </c>
      <c r="D425" s="4">
        <f>Data!I424</f>
        <v/>
      </c>
      <c r="E425" s="4">
        <f>Data!J424</f>
        <v/>
      </c>
      <c r="F425" s="4">
        <f>Data!H424</f>
        <v/>
      </c>
      <c r="G425" s="4">
        <f>SUM(Data!Q424:Data!Y424)</f>
        <v/>
      </c>
      <c r="H425" s="4">
        <f>Data!Z424</f>
        <v/>
      </c>
      <c r="I425" s="4">
        <f>Data!AB424</f>
        <v/>
      </c>
      <c r="J425" s="4">
        <f>Data!AD424</f>
        <v/>
      </c>
      <c r="K425" s="4">
        <f>Data!AE424</f>
        <v/>
      </c>
      <c r="L425" s="4">
        <f>Data!AF424</f>
        <v/>
      </c>
      <c r="M425" s="4">
        <f>Data!AG424</f>
        <v/>
      </c>
      <c r="N425" s="4">
        <f>Data!AH424</f>
        <v/>
      </c>
      <c r="O425" s="4">
        <f>Data!AI424</f>
        <v/>
      </c>
      <c r="P425" s="4">
        <f>Data!AJ424</f>
        <v/>
      </c>
      <c r="Q425" s="4">
        <f>Data!AK424</f>
        <v/>
      </c>
      <c r="R425" s="4">
        <f>Data!AL424</f>
        <v/>
      </c>
    </row>
    <row r="426">
      <c r="A426" s="4">
        <f>Data!A425</f>
        <v/>
      </c>
      <c r="B426" s="4">
        <f>Data!B425</f>
        <v/>
      </c>
      <c r="C426" s="4">
        <f>Data!C425</f>
        <v/>
      </c>
      <c r="D426" s="4">
        <f>Data!I425</f>
        <v/>
      </c>
      <c r="E426" s="4">
        <f>Data!J425</f>
        <v/>
      </c>
      <c r="F426" s="4">
        <f>Data!H425</f>
        <v/>
      </c>
      <c r="G426" s="4">
        <f>SUM(Data!Q425:Data!Y425)</f>
        <v/>
      </c>
      <c r="H426" s="4">
        <f>Data!Z425</f>
        <v/>
      </c>
      <c r="I426" s="4">
        <f>Data!AB425</f>
        <v/>
      </c>
      <c r="J426" s="4">
        <f>Data!AD425</f>
        <v/>
      </c>
      <c r="K426" s="4">
        <f>Data!AE425</f>
        <v/>
      </c>
      <c r="L426" s="4">
        <f>Data!AF425</f>
        <v/>
      </c>
      <c r="M426" s="4">
        <f>Data!AG425</f>
        <v/>
      </c>
      <c r="N426" s="4">
        <f>Data!AH425</f>
        <v/>
      </c>
      <c r="O426" s="4">
        <f>Data!AI425</f>
        <v/>
      </c>
      <c r="P426" s="4">
        <f>Data!AJ425</f>
        <v/>
      </c>
      <c r="Q426" s="4">
        <f>Data!AK425</f>
        <v/>
      </c>
      <c r="R426" s="4">
        <f>Data!AL425</f>
        <v/>
      </c>
    </row>
    <row r="427">
      <c r="A427" s="4">
        <f>Data!A426</f>
        <v/>
      </c>
      <c r="B427" s="4">
        <f>Data!B426</f>
        <v/>
      </c>
      <c r="C427" s="4">
        <f>Data!C426</f>
        <v/>
      </c>
      <c r="D427" s="4">
        <f>Data!I426</f>
        <v/>
      </c>
      <c r="E427" s="4">
        <f>Data!J426</f>
        <v/>
      </c>
      <c r="F427" s="4">
        <f>Data!H426</f>
        <v/>
      </c>
      <c r="G427" s="4">
        <f>SUM(Data!Q426:Data!Y426)</f>
        <v/>
      </c>
      <c r="H427" s="4">
        <f>Data!Z426</f>
        <v/>
      </c>
      <c r="I427" s="4">
        <f>Data!AB426</f>
        <v/>
      </c>
      <c r="J427" s="4">
        <f>Data!AD426</f>
        <v/>
      </c>
      <c r="K427" s="4">
        <f>Data!AE426</f>
        <v/>
      </c>
      <c r="L427" s="4">
        <f>Data!AF426</f>
        <v/>
      </c>
      <c r="M427" s="4">
        <f>Data!AG426</f>
        <v/>
      </c>
      <c r="N427" s="4">
        <f>Data!AH426</f>
        <v/>
      </c>
      <c r="O427" s="4">
        <f>Data!AI426</f>
        <v/>
      </c>
      <c r="P427" s="4">
        <f>Data!AJ426</f>
        <v/>
      </c>
      <c r="Q427" s="4">
        <f>Data!AK426</f>
        <v/>
      </c>
      <c r="R427" s="4">
        <f>Data!AL426</f>
        <v/>
      </c>
    </row>
    <row r="428">
      <c r="A428" s="4">
        <f>Data!A427</f>
        <v/>
      </c>
      <c r="B428" s="4">
        <f>Data!B427</f>
        <v/>
      </c>
      <c r="C428" s="4">
        <f>Data!C427</f>
        <v/>
      </c>
      <c r="D428" s="4">
        <f>Data!I427</f>
        <v/>
      </c>
      <c r="E428" s="4">
        <f>Data!J427</f>
        <v/>
      </c>
      <c r="F428" s="4">
        <f>Data!H427</f>
        <v/>
      </c>
      <c r="G428" s="4">
        <f>SUM(Data!Q427:Data!Y427)</f>
        <v/>
      </c>
      <c r="H428" s="4">
        <f>Data!Z427</f>
        <v/>
      </c>
      <c r="I428" s="4">
        <f>Data!AB427</f>
        <v/>
      </c>
      <c r="J428" s="4">
        <f>Data!AD427</f>
        <v/>
      </c>
      <c r="K428" s="4">
        <f>Data!AE427</f>
        <v/>
      </c>
      <c r="L428" s="4">
        <f>Data!AF427</f>
        <v/>
      </c>
      <c r="M428" s="4">
        <f>Data!AG427</f>
        <v/>
      </c>
      <c r="N428" s="4">
        <f>Data!AH427</f>
        <v/>
      </c>
      <c r="O428" s="4">
        <f>Data!AI427</f>
        <v/>
      </c>
      <c r="P428" s="4">
        <f>Data!AJ427</f>
        <v/>
      </c>
      <c r="Q428" s="4">
        <f>Data!AK427</f>
        <v/>
      </c>
      <c r="R428" s="4">
        <f>Data!AL427</f>
        <v/>
      </c>
    </row>
    <row r="429">
      <c r="A429" s="4">
        <f>Data!A428</f>
        <v/>
      </c>
      <c r="B429" s="4">
        <f>Data!B428</f>
        <v/>
      </c>
      <c r="C429" s="4">
        <f>Data!C428</f>
        <v/>
      </c>
      <c r="D429" s="4">
        <f>Data!I428</f>
        <v/>
      </c>
      <c r="E429" s="4">
        <f>Data!J428</f>
        <v/>
      </c>
      <c r="F429" s="4">
        <f>Data!H428</f>
        <v/>
      </c>
      <c r="G429" s="4">
        <f>SUM(Data!Q428:Data!Y428)</f>
        <v/>
      </c>
      <c r="H429" s="4">
        <f>Data!Z428</f>
        <v/>
      </c>
      <c r="I429" s="4">
        <f>Data!AB428</f>
        <v/>
      </c>
      <c r="J429" s="4">
        <f>Data!AD428</f>
        <v/>
      </c>
      <c r="K429" s="4">
        <f>Data!AE428</f>
        <v/>
      </c>
      <c r="L429" s="4">
        <f>Data!AF428</f>
        <v/>
      </c>
      <c r="M429" s="4">
        <f>Data!AG428</f>
        <v/>
      </c>
      <c r="N429" s="4">
        <f>Data!AH428</f>
        <v/>
      </c>
      <c r="O429" s="4">
        <f>Data!AI428</f>
        <v/>
      </c>
      <c r="P429" s="4">
        <f>Data!AJ428</f>
        <v/>
      </c>
      <c r="Q429" s="4">
        <f>Data!AK428</f>
        <v/>
      </c>
      <c r="R429" s="4">
        <f>Data!AL428</f>
        <v/>
      </c>
    </row>
    <row r="430">
      <c r="A430" s="4">
        <f>Data!A429</f>
        <v/>
      </c>
      <c r="B430" s="4">
        <f>Data!B429</f>
        <v/>
      </c>
      <c r="C430" s="4">
        <f>Data!C429</f>
        <v/>
      </c>
      <c r="D430" s="4">
        <f>Data!I429</f>
        <v/>
      </c>
      <c r="E430" s="4">
        <f>Data!J429</f>
        <v/>
      </c>
      <c r="F430" s="4">
        <f>Data!H429</f>
        <v/>
      </c>
      <c r="G430" s="4">
        <f>SUM(Data!Q429:Data!Y429)</f>
        <v/>
      </c>
      <c r="H430" s="4">
        <f>Data!Z429</f>
        <v/>
      </c>
      <c r="I430" s="4">
        <f>Data!AB429</f>
        <v/>
      </c>
      <c r="J430" s="4">
        <f>Data!AD429</f>
        <v/>
      </c>
      <c r="K430" s="4">
        <f>Data!AE429</f>
        <v/>
      </c>
      <c r="L430" s="4">
        <f>Data!AF429</f>
        <v/>
      </c>
      <c r="M430" s="4">
        <f>Data!AG429</f>
        <v/>
      </c>
      <c r="N430" s="4">
        <f>Data!AH429</f>
        <v/>
      </c>
      <c r="O430" s="4">
        <f>Data!AI429</f>
        <v/>
      </c>
      <c r="P430" s="4">
        <f>Data!AJ429</f>
        <v/>
      </c>
      <c r="Q430" s="4">
        <f>Data!AK429</f>
        <v/>
      </c>
      <c r="R430" s="4">
        <f>Data!AL429</f>
        <v/>
      </c>
    </row>
    <row r="431">
      <c r="A431" s="4">
        <f>Data!A430</f>
        <v/>
      </c>
      <c r="B431" s="4">
        <f>Data!B430</f>
        <v/>
      </c>
      <c r="C431" s="4">
        <f>Data!C430</f>
        <v/>
      </c>
      <c r="D431" s="4">
        <f>Data!I430</f>
        <v/>
      </c>
      <c r="E431" s="4">
        <f>Data!J430</f>
        <v/>
      </c>
      <c r="F431" s="4">
        <f>Data!H430</f>
        <v/>
      </c>
      <c r="G431" s="4">
        <f>SUM(Data!Q430:Data!Y430)</f>
        <v/>
      </c>
      <c r="H431" s="4">
        <f>Data!Z430</f>
        <v/>
      </c>
      <c r="I431" s="4">
        <f>Data!AB430</f>
        <v/>
      </c>
      <c r="J431" s="4">
        <f>Data!AD430</f>
        <v/>
      </c>
      <c r="K431" s="4">
        <f>Data!AE430</f>
        <v/>
      </c>
      <c r="L431" s="4">
        <f>Data!AF430</f>
        <v/>
      </c>
      <c r="M431" s="4">
        <f>Data!AG430</f>
        <v/>
      </c>
      <c r="N431" s="4">
        <f>Data!AH430</f>
        <v/>
      </c>
      <c r="O431" s="4">
        <f>Data!AI430</f>
        <v/>
      </c>
      <c r="P431" s="4">
        <f>Data!AJ430</f>
        <v/>
      </c>
      <c r="Q431" s="4">
        <f>Data!AK430</f>
        <v/>
      </c>
      <c r="R431" s="4">
        <f>Data!AL430</f>
        <v/>
      </c>
    </row>
    <row r="432">
      <c r="A432" s="4">
        <f>Data!A431</f>
        <v/>
      </c>
      <c r="B432" s="4">
        <f>Data!B431</f>
        <v/>
      </c>
      <c r="C432" s="4">
        <f>Data!C431</f>
        <v/>
      </c>
      <c r="D432" s="4">
        <f>Data!I431</f>
        <v/>
      </c>
      <c r="E432" s="4">
        <f>Data!J431</f>
        <v/>
      </c>
      <c r="F432" s="4">
        <f>Data!H431</f>
        <v/>
      </c>
      <c r="G432" s="4">
        <f>SUM(Data!Q431:Data!Y431)</f>
        <v/>
      </c>
      <c r="H432" s="4">
        <f>Data!Z431</f>
        <v/>
      </c>
      <c r="I432" s="4">
        <f>Data!AB431</f>
        <v/>
      </c>
      <c r="J432" s="4">
        <f>Data!AD431</f>
        <v/>
      </c>
      <c r="K432" s="4">
        <f>Data!AE431</f>
        <v/>
      </c>
      <c r="L432" s="4">
        <f>Data!AF431</f>
        <v/>
      </c>
      <c r="M432" s="4">
        <f>Data!AG431</f>
        <v/>
      </c>
      <c r="N432" s="4">
        <f>Data!AH431</f>
        <v/>
      </c>
      <c r="O432" s="4">
        <f>Data!AI431</f>
        <v/>
      </c>
      <c r="P432" s="4">
        <f>Data!AJ431</f>
        <v/>
      </c>
      <c r="Q432" s="4">
        <f>Data!AK431</f>
        <v/>
      </c>
      <c r="R432" s="4">
        <f>Data!AL431</f>
        <v/>
      </c>
    </row>
    <row r="433">
      <c r="A433" s="4">
        <f>Data!A432</f>
        <v/>
      </c>
      <c r="B433" s="4">
        <f>Data!B432</f>
        <v/>
      </c>
      <c r="C433" s="4">
        <f>Data!C432</f>
        <v/>
      </c>
      <c r="D433" s="4">
        <f>Data!I432</f>
        <v/>
      </c>
      <c r="E433" s="4">
        <f>Data!J432</f>
        <v/>
      </c>
      <c r="F433" s="4">
        <f>Data!H432</f>
        <v/>
      </c>
      <c r="G433" s="4">
        <f>SUM(Data!Q432:Data!Y432)</f>
        <v/>
      </c>
      <c r="H433" s="4">
        <f>Data!Z432</f>
        <v/>
      </c>
      <c r="I433" s="4">
        <f>Data!AB432</f>
        <v/>
      </c>
      <c r="J433" s="4">
        <f>Data!AD432</f>
        <v/>
      </c>
      <c r="K433" s="4">
        <f>Data!AE432</f>
        <v/>
      </c>
      <c r="L433" s="4">
        <f>Data!AF432</f>
        <v/>
      </c>
      <c r="M433" s="4">
        <f>Data!AG432</f>
        <v/>
      </c>
      <c r="N433" s="4">
        <f>Data!AH432</f>
        <v/>
      </c>
      <c r="O433" s="4">
        <f>Data!AI432</f>
        <v/>
      </c>
      <c r="P433" s="4">
        <f>Data!AJ432</f>
        <v/>
      </c>
      <c r="Q433" s="4">
        <f>Data!AK432</f>
        <v/>
      </c>
      <c r="R433" s="4">
        <f>Data!AL432</f>
        <v/>
      </c>
    </row>
    <row r="434">
      <c r="A434" s="4">
        <f>Data!A433</f>
        <v/>
      </c>
      <c r="B434" s="4">
        <f>Data!B433</f>
        <v/>
      </c>
      <c r="C434" s="4">
        <f>Data!C433</f>
        <v/>
      </c>
      <c r="D434" s="4">
        <f>Data!I433</f>
        <v/>
      </c>
      <c r="E434" s="4">
        <f>Data!J433</f>
        <v/>
      </c>
      <c r="F434" s="4">
        <f>Data!H433</f>
        <v/>
      </c>
      <c r="G434" s="4">
        <f>SUM(Data!Q433:Data!Y433)</f>
        <v/>
      </c>
      <c r="H434" s="4">
        <f>Data!Z433</f>
        <v/>
      </c>
      <c r="I434" s="4">
        <f>Data!AB433</f>
        <v/>
      </c>
      <c r="J434" s="4">
        <f>Data!AD433</f>
        <v/>
      </c>
      <c r="K434" s="4">
        <f>Data!AE433</f>
        <v/>
      </c>
      <c r="L434" s="4">
        <f>Data!AF433</f>
        <v/>
      </c>
      <c r="M434" s="4">
        <f>Data!AG433</f>
        <v/>
      </c>
      <c r="N434" s="4">
        <f>Data!AH433</f>
        <v/>
      </c>
      <c r="O434" s="4">
        <f>Data!AI433</f>
        <v/>
      </c>
      <c r="P434" s="4">
        <f>Data!AJ433</f>
        <v/>
      </c>
      <c r="Q434" s="4">
        <f>Data!AK433</f>
        <v/>
      </c>
      <c r="R434" s="4">
        <f>Data!AL433</f>
        <v/>
      </c>
    </row>
    <row r="435">
      <c r="A435" s="4">
        <f>Data!A434</f>
        <v/>
      </c>
      <c r="B435" s="4">
        <f>Data!B434</f>
        <v/>
      </c>
      <c r="C435" s="4">
        <f>Data!C434</f>
        <v/>
      </c>
      <c r="D435" s="4">
        <f>Data!I434</f>
        <v/>
      </c>
      <c r="E435" s="4">
        <f>Data!J434</f>
        <v/>
      </c>
      <c r="F435" s="4">
        <f>Data!H434</f>
        <v/>
      </c>
      <c r="G435" s="4">
        <f>SUM(Data!Q434:Data!Y434)</f>
        <v/>
      </c>
      <c r="H435" s="4">
        <f>Data!Z434</f>
        <v/>
      </c>
      <c r="I435" s="4">
        <f>Data!AB434</f>
        <v/>
      </c>
      <c r="J435" s="4">
        <f>Data!AD434</f>
        <v/>
      </c>
      <c r="K435" s="4">
        <f>Data!AE434</f>
        <v/>
      </c>
      <c r="L435" s="4">
        <f>Data!AF434</f>
        <v/>
      </c>
      <c r="M435" s="4">
        <f>Data!AG434</f>
        <v/>
      </c>
      <c r="N435" s="4">
        <f>Data!AH434</f>
        <v/>
      </c>
      <c r="O435" s="4">
        <f>Data!AI434</f>
        <v/>
      </c>
      <c r="P435" s="4">
        <f>Data!AJ434</f>
        <v/>
      </c>
      <c r="Q435" s="4">
        <f>Data!AK434</f>
        <v/>
      </c>
      <c r="R435" s="4">
        <f>Data!AL434</f>
        <v/>
      </c>
    </row>
    <row r="436">
      <c r="A436" s="4">
        <f>Data!A435</f>
        <v/>
      </c>
      <c r="B436" s="4">
        <f>Data!B435</f>
        <v/>
      </c>
      <c r="C436" s="4">
        <f>Data!C435</f>
        <v/>
      </c>
      <c r="D436" s="4">
        <f>Data!I435</f>
        <v/>
      </c>
      <c r="E436" s="4">
        <f>Data!J435</f>
        <v/>
      </c>
      <c r="F436" s="4">
        <f>Data!H435</f>
        <v/>
      </c>
      <c r="G436" s="4">
        <f>SUM(Data!Q435:Data!Y435)</f>
        <v/>
      </c>
      <c r="H436" s="4">
        <f>Data!Z435</f>
        <v/>
      </c>
      <c r="I436" s="4">
        <f>Data!AB435</f>
        <v/>
      </c>
      <c r="J436" s="4">
        <f>Data!AD435</f>
        <v/>
      </c>
      <c r="K436" s="4">
        <f>Data!AE435</f>
        <v/>
      </c>
      <c r="L436" s="4">
        <f>Data!AF435</f>
        <v/>
      </c>
      <c r="M436" s="4">
        <f>Data!AG435</f>
        <v/>
      </c>
      <c r="N436" s="4">
        <f>Data!AH435</f>
        <v/>
      </c>
      <c r="O436" s="4">
        <f>Data!AI435</f>
        <v/>
      </c>
      <c r="P436" s="4">
        <f>Data!AJ435</f>
        <v/>
      </c>
      <c r="Q436" s="4">
        <f>Data!AK435</f>
        <v/>
      </c>
      <c r="R436" s="4">
        <f>Data!AL435</f>
        <v/>
      </c>
    </row>
    <row r="437">
      <c r="A437" s="4">
        <f>Data!A436</f>
        <v/>
      </c>
      <c r="B437" s="4">
        <f>Data!B436</f>
        <v/>
      </c>
      <c r="C437" s="4">
        <f>Data!C436</f>
        <v/>
      </c>
      <c r="D437" s="4">
        <f>Data!I436</f>
        <v/>
      </c>
      <c r="E437" s="4">
        <f>Data!J436</f>
        <v/>
      </c>
      <c r="F437" s="4">
        <f>Data!H436</f>
        <v/>
      </c>
      <c r="G437" s="4">
        <f>SUM(Data!Q436:Data!Y436)</f>
        <v/>
      </c>
      <c r="H437" s="4">
        <f>Data!Z436</f>
        <v/>
      </c>
      <c r="I437" s="4">
        <f>Data!AB436</f>
        <v/>
      </c>
      <c r="J437" s="4">
        <f>Data!AD436</f>
        <v/>
      </c>
      <c r="K437" s="4">
        <f>Data!AE436</f>
        <v/>
      </c>
      <c r="L437" s="4">
        <f>Data!AF436</f>
        <v/>
      </c>
      <c r="M437" s="4">
        <f>Data!AG436</f>
        <v/>
      </c>
      <c r="N437" s="4">
        <f>Data!AH436</f>
        <v/>
      </c>
      <c r="O437" s="4">
        <f>Data!AI436</f>
        <v/>
      </c>
      <c r="P437" s="4">
        <f>Data!AJ436</f>
        <v/>
      </c>
      <c r="Q437" s="4">
        <f>Data!AK436</f>
        <v/>
      </c>
      <c r="R437" s="4">
        <f>Data!AL436</f>
        <v/>
      </c>
    </row>
    <row r="438">
      <c r="A438" s="4">
        <f>Data!A437</f>
        <v/>
      </c>
      <c r="B438" s="4">
        <f>Data!B437</f>
        <v/>
      </c>
      <c r="C438" s="4">
        <f>Data!C437</f>
        <v/>
      </c>
      <c r="D438" s="4">
        <f>Data!I437</f>
        <v/>
      </c>
      <c r="E438" s="4">
        <f>Data!J437</f>
        <v/>
      </c>
      <c r="F438" s="4">
        <f>Data!H437</f>
        <v/>
      </c>
      <c r="G438" s="4">
        <f>SUM(Data!Q437:Data!Y437)</f>
        <v/>
      </c>
      <c r="H438" s="4">
        <f>Data!Z437</f>
        <v/>
      </c>
      <c r="I438" s="4">
        <f>Data!AB437</f>
        <v/>
      </c>
      <c r="J438" s="4">
        <f>Data!AD437</f>
        <v/>
      </c>
      <c r="K438" s="4">
        <f>Data!AE437</f>
        <v/>
      </c>
      <c r="L438" s="4">
        <f>Data!AF437</f>
        <v/>
      </c>
      <c r="M438" s="4">
        <f>Data!AG437</f>
        <v/>
      </c>
      <c r="N438" s="4">
        <f>Data!AH437</f>
        <v/>
      </c>
      <c r="O438" s="4">
        <f>Data!AI437</f>
        <v/>
      </c>
      <c r="P438" s="4">
        <f>Data!AJ437</f>
        <v/>
      </c>
      <c r="Q438" s="4">
        <f>Data!AK437</f>
        <v/>
      </c>
      <c r="R438" s="4">
        <f>Data!AL437</f>
        <v/>
      </c>
    </row>
    <row r="439">
      <c r="A439" s="4">
        <f>Data!A438</f>
        <v/>
      </c>
      <c r="B439" s="4">
        <f>Data!B438</f>
        <v/>
      </c>
      <c r="C439" s="4">
        <f>Data!C438</f>
        <v/>
      </c>
      <c r="D439" s="4">
        <f>Data!I438</f>
        <v/>
      </c>
      <c r="E439" s="4">
        <f>Data!J438</f>
        <v/>
      </c>
      <c r="F439" s="4">
        <f>Data!H438</f>
        <v/>
      </c>
      <c r="G439" s="4">
        <f>SUM(Data!Q438:Data!Y438)</f>
        <v/>
      </c>
      <c r="H439" s="4">
        <f>Data!Z438</f>
        <v/>
      </c>
      <c r="I439" s="4">
        <f>Data!AB438</f>
        <v/>
      </c>
      <c r="J439" s="4">
        <f>Data!AD438</f>
        <v/>
      </c>
      <c r="K439" s="4">
        <f>Data!AE438</f>
        <v/>
      </c>
      <c r="L439" s="4">
        <f>Data!AF438</f>
        <v/>
      </c>
      <c r="M439" s="4">
        <f>Data!AG438</f>
        <v/>
      </c>
      <c r="N439" s="4">
        <f>Data!AH438</f>
        <v/>
      </c>
      <c r="O439" s="4">
        <f>Data!AI438</f>
        <v/>
      </c>
      <c r="P439" s="4">
        <f>Data!AJ438</f>
        <v/>
      </c>
      <c r="Q439" s="4">
        <f>Data!AK438</f>
        <v/>
      </c>
      <c r="R439" s="4">
        <f>Data!AL438</f>
        <v/>
      </c>
    </row>
    <row r="440">
      <c r="A440" s="4">
        <f>Data!A439</f>
        <v/>
      </c>
      <c r="B440" s="4">
        <f>Data!B439</f>
        <v/>
      </c>
      <c r="C440" s="4">
        <f>Data!C439</f>
        <v/>
      </c>
      <c r="D440" s="4">
        <f>Data!I439</f>
        <v/>
      </c>
      <c r="E440" s="4">
        <f>Data!J439</f>
        <v/>
      </c>
      <c r="F440" s="4">
        <f>Data!H439</f>
        <v/>
      </c>
      <c r="G440" s="4">
        <f>SUM(Data!Q439:Data!Y439)</f>
        <v/>
      </c>
      <c r="H440" s="4">
        <f>Data!Z439</f>
        <v/>
      </c>
      <c r="I440" s="4">
        <f>Data!AB439</f>
        <v/>
      </c>
      <c r="J440" s="4">
        <f>Data!AD439</f>
        <v/>
      </c>
      <c r="K440" s="4">
        <f>Data!AE439</f>
        <v/>
      </c>
      <c r="L440" s="4">
        <f>Data!AF439</f>
        <v/>
      </c>
      <c r="M440" s="4">
        <f>Data!AG439</f>
        <v/>
      </c>
      <c r="N440" s="4">
        <f>Data!AH439</f>
        <v/>
      </c>
      <c r="O440" s="4">
        <f>Data!AI439</f>
        <v/>
      </c>
      <c r="P440" s="4">
        <f>Data!AJ439</f>
        <v/>
      </c>
      <c r="Q440" s="4">
        <f>Data!AK439</f>
        <v/>
      </c>
      <c r="R440" s="4">
        <f>Data!AL439</f>
        <v/>
      </c>
    </row>
    <row r="441">
      <c r="A441" s="4">
        <f>Data!A440</f>
        <v/>
      </c>
      <c r="B441" s="4">
        <f>Data!B440</f>
        <v/>
      </c>
      <c r="C441" s="4">
        <f>Data!C440</f>
        <v/>
      </c>
      <c r="D441" s="4">
        <f>Data!I440</f>
        <v/>
      </c>
      <c r="E441" s="4">
        <f>Data!J440</f>
        <v/>
      </c>
      <c r="F441" s="4">
        <f>Data!H440</f>
        <v/>
      </c>
      <c r="G441" s="4">
        <f>SUM(Data!Q440:Data!Y440)</f>
        <v/>
      </c>
      <c r="H441" s="4">
        <f>Data!Z440</f>
        <v/>
      </c>
      <c r="I441" s="4">
        <f>Data!AB440</f>
        <v/>
      </c>
      <c r="J441" s="4">
        <f>Data!AD440</f>
        <v/>
      </c>
      <c r="K441" s="4">
        <f>Data!AE440</f>
        <v/>
      </c>
      <c r="L441" s="4">
        <f>Data!AF440</f>
        <v/>
      </c>
      <c r="M441" s="4">
        <f>Data!AG440</f>
        <v/>
      </c>
      <c r="N441" s="4">
        <f>Data!AH440</f>
        <v/>
      </c>
      <c r="O441" s="4">
        <f>Data!AI440</f>
        <v/>
      </c>
      <c r="P441" s="4">
        <f>Data!AJ440</f>
        <v/>
      </c>
      <c r="Q441" s="4">
        <f>Data!AK440</f>
        <v/>
      </c>
      <c r="R441" s="4">
        <f>Data!AL440</f>
        <v/>
      </c>
    </row>
    <row r="442">
      <c r="A442" s="4">
        <f>Data!A441</f>
        <v/>
      </c>
      <c r="B442" s="4">
        <f>Data!B441</f>
        <v/>
      </c>
      <c r="C442" s="4">
        <f>Data!C441</f>
        <v/>
      </c>
      <c r="D442" s="4">
        <f>Data!I441</f>
        <v/>
      </c>
      <c r="E442" s="4">
        <f>Data!J441</f>
        <v/>
      </c>
      <c r="F442" s="4">
        <f>Data!H441</f>
        <v/>
      </c>
      <c r="G442" s="4">
        <f>SUM(Data!Q441:Data!Y441)</f>
        <v/>
      </c>
      <c r="H442" s="4">
        <f>Data!Z441</f>
        <v/>
      </c>
      <c r="I442" s="4">
        <f>Data!AB441</f>
        <v/>
      </c>
      <c r="J442" s="4">
        <f>Data!AD441</f>
        <v/>
      </c>
      <c r="K442" s="4">
        <f>Data!AE441</f>
        <v/>
      </c>
      <c r="L442" s="4">
        <f>Data!AF441</f>
        <v/>
      </c>
      <c r="M442" s="4">
        <f>Data!AG441</f>
        <v/>
      </c>
      <c r="N442" s="4">
        <f>Data!AH441</f>
        <v/>
      </c>
      <c r="O442" s="4">
        <f>Data!AI441</f>
        <v/>
      </c>
      <c r="P442" s="4">
        <f>Data!AJ441</f>
        <v/>
      </c>
      <c r="Q442" s="4">
        <f>Data!AK441</f>
        <v/>
      </c>
      <c r="R442" s="4">
        <f>Data!AL441</f>
        <v/>
      </c>
    </row>
    <row r="443">
      <c r="A443" s="4">
        <f>Data!A442</f>
        <v/>
      </c>
      <c r="B443" s="4">
        <f>Data!B442</f>
        <v/>
      </c>
      <c r="C443" s="4">
        <f>Data!C442</f>
        <v/>
      </c>
      <c r="D443" s="4">
        <f>Data!I442</f>
        <v/>
      </c>
      <c r="E443" s="4">
        <f>Data!J442</f>
        <v/>
      </c>
      <c r="F443" s="4">
        <f>Data!H442</f>
        <v/>
      </c>
      <c r="G443" s="4">
        <f>SUM(Data!Q442:Data!Y442)</f>
        <v/>
      </c>
      <c r="H443" s="4">
        <f>Data!Z442</f>
        <v/>
      </c>
      <c r="I443" s="4">
        <f>Data!AB442</f>
        <v/>
      </c>
      <c r="J443" s="4">
        <f>Data!AD442</f>
        <v/>
      </c>
      <c r="K443" s="4">
        <f>Data!AE442</f>
        <v/>
      </c>
      <c r="L443" s="4">
        <f>Data!AF442</f>
        <v/>
      </c>
      <c r="M443" s="4">
        <f>Data!AG442</f>
        <v/>
      </c>
      <c r="N443" s="4">
        <f>Data!AH442</f>
        <v/>
      </c>
      <c r="O443" s="4">
        <f>Data!AI442</f>
        <v/>
      </c>
      <c r="P443" s="4">
        <f>Data!AJ442</f>
        <v/>
      </c>
      <c r="Q443" s="4">
        <f>Data!AK442</f>
        <v/>
      </c>
      <c r="R443" s="4">
        <f>Data!AL442</f>
        <v/>
      </c>
    </row>
    <row r="444">
      <c r="A444" s="4">
        <f>Data!A443</f>
        <v/>
      </c>
      <c r="B444" s="4">
        <f>Data!B443</f>
        <v/>
      </c>
      <c r="C444" s="4">
        <f>Data!C443</f>
        <v/>
      </c>
      <c r="D444" s="4">
        <f>Data!I443</f>
        <v/>
      </c>
      <c r="E444" s="4">
        <f>Data!J443</f>
        <v/>
      </c>
      <c r="F444" s="4">
        <f>Data!H443</f>
        <v/>
      </c>
      <c r="G444" s="4">
        <f>SUM(Data!Q443:Data!Y443)</f>
        <v/>
      </c>
      <c r="H444" s="4">
        <f>Data!Z443</f>
        <v/>
      </c>
      <c r="I444" s="4">
        <f>Data!AB443</f>
        <v/>
      </c>
      <c r="J444" s="4">
        <f>Data!AD443</f>
        <v/>
      </c>
      <c r="K444" s="4">
        <f>Data!AE443</f>
        <v/>
      </c>
      <c r="L444" s="4">
        <f>Data!AF443</f>
        <v/>
      </c>
      <c r="M444" s="4">
        <f>Data!AG443</f>
        <v/>
      </c>
      <c r="N444" s="4">
        <f>Data!AH443</f>
        <v/>
      </c>
      <c r="O444" s="4">
        <f>Data!AI443</f>
        <v/>
      </c>
      <c r="P444" s="4">
        <f>Data!AJ443</f>
        <v/>
      </c>
      <c r="Q444" s="4">
        <f>Data!AK443</f>
        <v/>
      </c>
      <c r="R444" s="4">
        <f>Data!AL443</f>
        <v/>
      </c>
    </row>
    <row r="445">
      <c r="A445" s="4">
        <f>Data!A444</f>
        <v/>
      </c>
      <c r="B445" s="4">
        <f>Data!B444</f>
        <v/>
      </c>
      <c r="C445" s="4">
        <f>Data!C444</f>
        <v/>
      </c>
      <c r="D445" s="4">
        <f>Data!I444</f>
        <v/>
      </c>
      <c r="E445" s="4">
        <f>Data!J444</f>
        <v/>
      </c>
      <c r="F445" s="4">
        <f>Data!H444</f>
        <v/>
      </c>
      <c r="G445" s="4">
        <f>SUM(Data!Q444:Data!Y444)</f>
        <v/>
      </c>
      <c r="H445" s="4">
        <f>Data!Z444</f>
        <v/>
      </c>
      <c r="I445" s="4">
        <f>Data!AB444</f>
        <v/>
      </c>
      <c r="J445" s="4">
        <f>Data!AD444</f>
        <v/>
      </c>
      <c r="K445" s="4">
        <f>Data!AE444</f>
        <v/>
      </c>
      <c r="L445" s="4">
        <f>Data!AF444</f>
        <v/>
      </c>
      <c r="M445" s="4">
        <f>Data!AG444</f>
        <v/>
      </c>
      <c r="N445" s="4">
        <f>Data!AH444</f>
        <v/>
      </c>
      <c r="O445" s="4">
        <f>Data!AI444</f>
        <v/>
      </c>
      <c r="P445" s="4">
        <f>Data!AJ444</f>
        <v/>
      </c>
      <c r="Q445" s="4">
        <f>Data!AK444</f>
        <v/>
      </c>
      <c r="R445" s="4">
        <f>Data!AL444</f>
        <v/>
      </c>
    </row>
    <row r="446">
      <c r="A446" s="4">
        <f>Data!A445</f>
        <v/>
      </c>
      <c r="B446" s="4">
        <f>Data!B445</f>
        <v/>
      </c>
      <c r="C446" s="4">
        <f>Data!C445</f>
        <v/>
      </c>
      <c r="D446" s="4">
        <f>Data!I445</f>
        <v/>
      </c>
      <c r="E446" s="4">
        <f>Data!J445</f>
        <v/>
      </c>
      <c r="F446" s="4">
        <f>Data!H445</f>
        <v/>
      </c>
      <c r="G446" s="4">
        <f>SUM(Data!Q445:Data!Y445)</f>
        <v/>
      </c>
      <c r="H446" s="4">
        <f>Data!Z445</f>
        <v/>
      </c>
      <c r="I446" s="4">
        <f>Data!AB445</f>
        <v/>
      </c>
      <c r="J446" s="4">
        <f>Data!AD445</f>
        <v/>
      </c>
      <c r="K446" s="4">
        <f>Data!AE445</f>
        <v/>
      </c>
      <c r="L446" s="4">
        <f>Data!AF445</f>
        <v/>
      </c>
      <c r="M446" s="4">
        <f>Data!AG445</f>
        <v/>
      </c>
      <c r="N446" s="4">
        <f>Data!AH445</f>
        <v/>
      </c>
      <c r="O446" s="4">
        <f>Data!AI445</f>
        <v/>
      </c>
      <c r="P446" s="4">
        <f>Data!AJ445</f>
        <v/>
      </c>
      <c r="Q446" s="4">
        <f>Data!AK445</f>
        <v/>
      </c>
      <c r="R446" s="4">
        <f>Data!AL445</f>
        <v/>
      </c>
    </row>
    <row r="447">
      <c r="A447" s="4">
        <f>Data!A446</f>
        <v/>
      </c>
      <c r="B447" s="4">
        <f>Data!B446</f>
        <v/>
      </c>
      <c r="C447" s="4">
        <f>Data!C446</f>
        <v/>
      </c>
      <c r="D447" s="4">
        <f>Data!I446</f>
        <v/>
      </c>
      <c r="E447" s="4">
        <f>Data!J446</f>
        <v/>
      </c>
      <c r="F447" s="4">
        <f>Data!H446</f>
        <v/>
      </c>
      <c r="G447" s="4">
        <f>SUM(Data!Q446:Data!Y446)</f>
        <v/>
      </c>
      <c r="H447" s="4">
        <f>Data!Z446</f>
        <v/>
      </c>
      <c r="I447" s="4">
        <f>Data!AB446</f>
        <v/>
      </c>
      <c r="J447" s="4">
        <f>Data!AD446</f>
        <v/>
      </c>
      <c r="K447" s="4">
        <f>Data!AE446</f>
        <v/>
      </c>
      <c r="L447" s="4">
        <f>Data!AF446</f>
        <v/>
      </c>
      <c r="M447" s="4">
        <f>Data!AG446</f>
        <v/>
      </c>
      <c r="N447" s="4">
        <f>Data!AH446</f>
        <v/>
      </c>
      <c r="O447" s="4">
        <f>Data!AI446</f>
        <v/>
      </c>
      <c r="P447" s="4">
        <f>Data!AJ446</f>
        <v/>
      </c>
      <c r="Q447" s="4">
        <f>Data!AK446</f>
        <v/>
      </c>
      <c r="R447" s="4">
        <f>Data!AL446</f>
        <v/>
      </c>
    </row>
    <row r="448">
      <c r="A448" s="4">
        <f>Data!A447</f>
        <v/>
      </c>
      <c r="B448" s="4">
        <f>Data!B447</f>
        <v/>
      </c>
      <c r="C448" s="4">
        <f>Data!C447</f>
        <v/>
      </c>
      <c r="D448" s="4">
        <f>Data!I447</f>
        <v/>
      </c>
      <c r="E448" s="4">
        <f>Data!J447</f>
        <v/>
      </c>
      <c r="F448" s="4">
        <f>Data!H447</f>
        <v/>
      </c>
      <c r="G448" s="4">
        <f>SUM(Data!Q447:Data!Y447)</f>
        <v/>
      </c>
      <c r="H448" s="4">
        <f>Data!Z447</f>
        <v/>
      </c>
      <c r="I448" s="4">
        <f>Data!AB447</f>
        <v/>
      </c>
      <c r="J448" s="4">
        <f>Data!AD447</f>
        <v/>
      </c>
      <c r="K448" s="4">
        <f>Data!AE447</f>
        <v/>
      </c>
      <c r="L448" s="4">
        <f>Data!AF447</f>
        <v/>
      </c>
      <c r="M448" s="4">
        <f>Data!AG447</f>
        <v/>
      </c>
      <c r="N448" s="4">
        <f>Data!AH447</f>
        <v/>
      </c>
      <c r="O448" s="4">
        <f>Data!AI447</f>
        <v/>
      </c>
      <c r="P448" s="4">
        <f>Data!AJ447</f>
        <v/>
      </c>
      <c r="Q448" s="4">
        <f>Data!AK447</f>
        <v/>
      </c>
      <c r="R448" s="4">
        <f>Data!AL447</f>
        <v/>
      </c>
    </row>
    <row r="449">
      <c r="A449" s="4">
        <f>Data!A448</f>
        <v/>
      </c>
      <c r="B449" s="4">
        <f>Data!B448</f>
        <v/>
      </c>
      <c r="C449" s="4">
        <f>Data!C448</f>
        <v/>
      </c>
      <c r="D449" s="4">
        <f>Data!I448</f>
        <v/>
      </c>
      <c r="E449" s="4">
        <f>Data!J448</f>
        <v/>
      </c>
      <c r="F449" s="4">
        <f>Data!H448</f>
        <v/>
      </c>
      <c r="G449" s="4">
        <f>SUM(Data!Q448:Data!Y448)</f>
        <v/>
      </c>
      <c r="H449" s="4">
        <f>Data!Z448</f>
        <v/>
      </c>
      <c r="I449" s="4">
        <f>Data!AB448</f>
        <v/>
      </c>
      <c r="J449" s="4">
        <f>Data!AD448</f>
        <v/>
      </c>
      <c r="K449" s="4">
        <f>Data!AE448</f>
        <v/>
      </c>
      <c r="L449" s="4">
        <f>Data!AF448</f>
        <v/>
      </c>
      <c r="M449" s="4">
        <f>Data!AG448</f>
        <v/>
      </c>
      <c r="N449" s="4">
        <f>Data!AH448</f>
        <v/>
      </c>
      <c r="O449" s="4">
        <f>Data!AI448</f>
        <v/>
      </c>
      <c r="P449" s="4">
        <f>Data!AJ448</f>
        <v/>
      </c>
      <c r="Q449" s="4">
        <f>Data!AK448</f>
        <v/>
      </c>
      <c r="R449" s="4">
        <f>Data!AL448</f>
        <v/>
      </c>
    </row>
    <row r="450">
      <c r="A450" s="4">
        <f>Data!A449</f>
        <v/>
      </c>
      <c r="B450" s="4">
        <f>Data!B449</f>
        <v/>
      </c>
      <c r="C450" s="4">
        <f>Data!C449</f>
        <v/>
      </c>
      <c r="D450" s="4">
        <f>Data!I449</f>
        <v/>
      </c>
      <c r="E450" s="4">
        <f>Data!J449</f>
        <v/>
      </c>
      <c r="F450" s="4">
        <f>Data!H449</f>
        <v/>
      </c>
      <c r="G450" s="4">
        <f>SUM(Data!Q449:Data!Y449)</f>
        <v/>
      </c>
      <c r="H450" s="4">
        <f>Data!Z449</f>
        <v/>
      </c>
      <c r="I450" s="4">
        <f>Data!AB449</f>
        <v/>
      </c>
      <c r="J450" s="4">
        <f>Data!AD449</f>
        <v/>
      </c>
      <c r="K450" s="4">
        <f>Data!AE449</f>
        <v/>
      </c>
      <c r="L450" s="4">
        <f>Data!AF449</f>
        <v/>
      </c>
      <c r="M450" s="4">
        <f>Data!AG449</f>
        <v/>
      </c>
      <c r="N450" s="4">
        <f>Data!AH449</f>
        <v/>
      </c>
      <c r="O450" s="4">
        <f>Data!AI449</f>
        <v/>
      </c>
      <c r="P450" s="4">
        <f>Data!AJ449</f>
        <v/>
      </c>
      <c r="Q450" s="4">
        <f>Data!AK449</f>
        <v/>
      </c>
      <c r="R450" s="4">
        <f>Data!AL449</f>
        <v/>
      </c>
    </row>
    <row r="451">
      <c r="A451" s="4">
        <f>Data!A450</f>
        <v/>
      </c>
      <c r="B451" s="4">
        <f>Data!B450</f>
        <v/>
      </c>
      <c r="C451" s="4">
        <f>Data!C450</f>
        <v/>
      </c>
      <c r="D451" s="4">
        <f>Data!I450</f>
        <v/>
      </c>
      <c r="E451" s="4">
        <f>Data!J450</f>
        <v/>
      </c>
      <c r="F451" s="4">
        <f>Data!H450</f>
        <v/>
      </c>
      <c r="G451" s="4">
        <f>SUM(Data!Q450:Data!Y450)</f>
        <v/>
      </c>
      <c r="H451" s="4">
        <f>Data!Z450</f>
        <v/>
      </c>
      <c r="I451" s="4">
        <f>Data!AB450</f>
        <v/>
      </c>
      <c r="J451" s="4">
        <f>Data!AD450</f>
        <v/>
      </c>
      <c r="K451" s="4">
        <f>Data!AE450</f>
        <v/>
      </c>
      <c r="L451" s="4">
        <f>Data!AF450</f>
        <v/>
      </c>
      <c r="M451" s="4">
        <f>Data!AG450</f>
        <v/>
      </c>
      <c r="N451" s="4">
        <f>Data!AH450</f>
        <v/>
      </c>
      <c r="O451" s="4">
        <f>Data!AI450</f>
        <v/>
      </c>
      <c r="P451" s="4">
        <f>Data!AJ450</f>
        <v/>
      </c>
      <c r="Q451" s="4">
        <f>Data!AK450</f>
        <v/>
      </c>
      <c r="R451" s="4">
        <f>Data!AL450</f>
        <v/>
      </c>
    </row>
    <row r="452">
      <c r="A452" s="4">
        <f>Data!A451</f>
        <v/>
      </c>
      <c r="B452" s="4">
        <f>Data!B451</f>
        <v/>
      </c>
      <c r="C452" s="4">
        <f>Data!C451</f>
        <v/>
      </c>
      <c r="D452" s="4">
        <f>Data!I451</f>
        <v/>
      </c>
      <c r="E452" s="4">
        <f>Data!J451</f>
        <v/>
      </c>
      <c r="F452" s="4">
        <f>Data!H451</f>
        <v/>
      </c>
      <c r="G452" s="4">
        <f>SUM(Data!Q451:Data!Y451)</f>
        <v/>
      </c>
      <c r="H452" s="4">
        <f>Data!Z451</f>
        <v/>
      </c>
      <c r="I452" s="4">
        <f>Data!AB451</f>
        <v/>
      </c>
      <c r="J452" s="4">
        <f>Data!AD451</f>
        <v/>
      </c>
      <c r="K452" s="4">
        <f>Data!AE451</f>
        <v/>
      </c>
      <c r="L452" s="4">
        <f>Data!AF451</f>
        <v/>
      </c>
      <c r="M452" s="4">
        <f>Data!AG451</f>
        <v/>
      </c>
      <c r="N452" s="4">
        <f>Data!AH451</f>
        <v/>
      </c>
      <c r="O452" s="4">
        <f>Data!AI451</f>
        <v/>
      </c>
      <c r="P452" s="4">
        <f>Data!AJ451</f>
        <v/>
      </c>
      <c r="Q452" s="4">
        <f>Data!AK451</f>
        <v/>
      </c>
      <c r="R452" s="4">
        <f>Data!AL451</f>
        <v/>
      </c>
    </row>
    <row r="453">
      <c r="A453" s="4">
        <f>Data!A452</f>
        <v/>
      </c>
      <c r="B453" s="4">
        <f>Data!B452</f>
        <v/>
      </c>
      <c r="C453" s="4">
        <f>Data!C452</f>
        <v/>
      </c>
      <c r="D453" s="4">
        <f>Data!I452</f>
        <v/>
      </c>
      <c r="E453" s="4">
        <f>Data!J452</f>
        <v/>
      </c>
      <c r="F453" s="4">
        <f>Data!H452</f>
        <v/>
      </c>
      <c r="G453" s="4">
        <f>SUM(Data!Q452:Data!Y452)</f>
        <v/>
      </c>
      <c r="H453" s="4">
        <f>Data!Z452</f>
        <v/>
      </c>
      <c r="I453" s="4">
        <f>Data!AB452</f>
        <v/>
      </c>
      <c r="J453" s="4">
        <f>Data!AD452</f>
        <v/>
      </c>
      <c r="K453" s="4">
        <f>Data!AE452</f>
        <v/>
      </c>
      <c r="L453" s="4">
        <f>Data!AF452</f>
        <v/>
      </c>
      <c r="M453" s="4">
        <f>Data!AG452</f>
        <v/>
      </c>
      <c r="N453" s="4">
        <f>Data!AH452</f>
        <v/>
      </c>
      <c r="O453" s="4">
        <f>Data!AI452</f>
        <v/>
      </c>
      <c r="P453" s="4">
        <f>Data!AJ452</f>
        <v/>
      </c>
      <c r="Q453" s="4">
        <f>Data!AK452</f>
        <v/>
      </c>
      <c r="R453" s="4">
        <f>Data!AL452</f>
        <v/>
      </c>
    </row>
    <row r="454">
      <c r="A454" s="4">
        <f>Data!A453</f>
        <v/>
      </c>
      <c r="B454" s="4">
        <f>Data!B453</f>
        <v/>
      </c>
      <c r="C454" s="4">
        <f>Data!C453</f>
        <v/>
      </c>
      <c r="D454" s="4">
        <f>Data!I453</f>
        <v/>
      </c>
      <c r="E454" s="4">
        <f>Data!J453</f>
        <v/>
      </c>
      <c r="F454" s="4">
        <f>Data!H453</f>
        <v/>
      </c>
      <c r="G454" s="4">
        <f>SUM(Data!Q453:Data!Y453)</f>
        <v/>
      </c>
      <c r="H454" s="4">
        <f>Data!Z453</f>
        <v/>
      </c>
      <c r="I454" s="4">
        <f>Data!AB453</f>
        <v/>
      </c>
      <c r="J454" s="4">
        <f>Data!AD453</f>
        <v/>
      </c>
      <c r="K454" s="4">
        <f>Data!AE453</f>
        <v/>
      </c>
      <c r="L454" s="4">
        <f>Data!AF453</f>
        <v/>
      </c>
      <c r="M454" s="4">
        <f>Data!AG453</f>
        <v/>
      </c>
      <c r="N454" s="4">
        <f>Data!AH453</f>
        <v/>
      </c>
      <c r="O454" s="4">
        <f>Data!AI453</f>
        <v/>
      </c>
      <c r="P454" s="4">
        <f>Data!AJ453</f>
        <v/>
      </c>
      <c r="Q454" s="4">
        <f>Data!AK453</f>
        <v/>
      </c>
      <c r="R454" s="4">
        <f>Data!AL453</f>
        <v/>
      </c>
    </row>
    <row r="455">
      <c r="A455" s="4">
        <f>Data!A454</f>
        <v/>
      </c>
      <c r="B455" s="4">
        <f>Data!B454</f>
        <v/>
      </c>
      <c r="C455" s="4">
        <f>Data!C454</f>
        <v/>
      </c>
      <c r="D455" s="4">
        <f>Data!I454</f>
        <v/>
      </c>
      <c r="E455" s="4">
        <f>Data!J454</f>
        <v/>
      </c>
      <c r="F455" s="4">
        <f>Data!H454</f>
        <v/>
      </c>
      <c r="G455" s="4">
        <f>SUM(Data!Q454:Data!Y454)</f>
        <v/>
      </c>
      <c r="H455" s="4">
        <f>Data!Z454</f>
        <v/>
      </c>
      <c r="I455" s="4">
        <f>Data!AB454</f>
        <v/>
      </c>
      <c r="J455" s="4">
        <f>Data!AD454</f>
        <v/>
      </c>
      <c r="K455" s="4">
        <f>Data!AE454</f>
        <v/>
      </c>
      <c r="L455" s="4">
        <f>Data!AF454</f>
        <v/>
      </c>
      <c r="M455" s="4">
        <f>Data!AG454</f>
        <v/>
      </c>
      <c r="N455" s="4">
        <f>Data!AH454</f>
        <v/>
      </c>
      <c r="O455" s="4">
        <f>Data!AI454</f>
        <v/>
      </c>
      <c r="P455" s="4">
        <f>Data!AJ454</f>
        <v/>
      </c>
      <c r="Q455" s="4">
        <f>Data!AK454</f>
        <v/>
      </c>
      <c r="R455" s="4">
        <f>Data!AL454</f>
        <v/>
      </c>
    </row>
    <row r="456">
      <c r="A456" s="4">
        <f>Data!A455</f>
        <v/>
      </c>
      <c r="B456" s="4">
        <f>Data!B455</f>
        <v/>
      </c>
      <c r="C456" s="4">
        <f>Data!C455</f>
        <v/>
      </c>
      <c r="D456" s="4">
        <f>Data!I455</f>
        <v/>
      </c>
      <c r="E456" s="4">
        <f>Data!J455</f>
        <v/>
      </c>
      <c r="F456" s="4">
        <f>Data!H455</f>
        <v/>
      </c>
      <c r="G456" s="4">
        <f>SUM(Data!Q455:Data!Y455)</f>
        <v/>
      </c>
      <c r="H456" s="4">
        <f>Data!Z455</f>
        <v/>
      </c>
      <c r="I456" s="4">
        <f>Data!AB455</f>
        <v/>
      </c>
      <c r="J456" s="4">
        <f>Data!AD455</f>
        <v/>
      </c>
      <c r="K456" s="4">
        <f>Data!AE455</f>
        <v/>
      </c>
      <c r="L456" s="4">
        <f>Data!AF455</f>
        <v/>
      </c>
      <c r="M456" s="4">
        <f>Data!AG455</f>
        <v/>
      </c>
      <c r="N456" s="4">
        <f>Data!AH455</f>
        <v/>
      </c>
      <c r="O456" s="4">
        <f>Data!AI455</f>
        <v/>
      </c>
      <c r="P456" s="4">
        <f>Data!AJ455</f>
        <v/>
      </c>
      <c r="Q456" s="4">
        <f>Data!AK455</f>
        <v/>
      </c>
      <c r="R456" s="4">
        <f>Data!AL455</f>
        <v/>
      </c>
    </row>
    <row r="457">
      <c r="A457" s="4">
        <f>Data!A456</f>
        <v/>
      </c>
      <c r="B457" s="4">
        <f>Data!B456</f>
        <v/>
      </c>
      <c r="C457" s="4">
        <f>Data!C456</f>
        <v/>
      </c>
      <c r="D457" s="4">
        <f>Data!I456</f>
        <v/>
      </c>
      <c r="E457" s="4">
        <f>Data!J456</f>
        <v/>
      </c>
      <c r="F457" s="4">
        <f>Data!H456</f>
        <v/>
      </c>
      <c r="G457" s="4">
        <f>SUM(Data!Q456:Data!Y456)</f>
        <v/>
      </c>
      <c r="H457" s="4">
        <f>Data!Z456</f>
        <v/>
      </c>
      <c r="I457" s="4">
        <f>Data!AB456</f>
        <v/>
      </c>
      <c r="J457" s="4">
        <f>Data!AD456</f>
        <v/>
      </c>
      <c r="K457" s="4">
        <f>Data!AE456</f>
        <v/>
      </c>
      <c r="L457" s="4">
        <f>Data!AF456</f>
        <v/>
      </c>
      <c r="M457" s="4">
        <f>Data!AG456</f>
        <v/>
      </c>
      <c r="N457" s="4">
        <f>Data!AH456</f>
        <v/>
      </c>
      <c r="O457" s="4">
        <f>Data!AI456</f>
        <v/>
      </c>
      <c r="P457" s="4">
        <f>Data!AJ456</f>
        <v/>
      </c>
      <c r="Q457" s="4">
        <f>Data!AK456</f>
        <v/>
      </c>
      <c r="R457" s="4">
        <f>Data!AL456</f>
        <v/>
      </c>
    </row>
    <row r="458">
      <c r="A458" s="4">
        <f>Data!A457</f>
        <v/>
      </c>
      <c r="B458" s="4">
        <f>Data!B457</f>
        <v/>
      </c>
      <c r="C458" s="4">
        <f>Data!C457</f>
        <v/>
      </c>
      <c r="D458" s="4">
        <f>Data!I457</f>
        <v/>
      </c>
      <c r="E458" s="4">
        <f>Data!J457</f>
        <v/>
      </c>
      <c r="F458" s="4">
        <f>Data!H457</f>
        <v/>
      </c>
      <c r="G458" s="4">
        <f>SUM(Data!Q457:Data!Y457)</f>
        <v/>
      </c>
      <c r="H458" s="4">
        <f>Data!Z457</f>
        <v/>
      </c>
      <c r="I458" s="4">
        <f>Data!AB457</f>
        <v/>
      </c>
      <c r="J458" s="4">
        <f>Data!AD457</f>
        <v/>
      </c>
      <c r="K458" s="4">
        <f>Data!AE457</f>
        <v/>
      </c>
      <c r="L458" s="4">
        <f>Data!AF457</f>
        <v/>
      </c>
      <c r="M458" s="4">
        <f>Data!AG457</f>
        <v/>
      </c>
      <c r="N458" s="4">
        <f>Data!AH457</f>
        <v/>
      </c>
      <c r="O458" s="4">
        <f>Data!AI457</f>
        <v/>
      </c>
      <c r="P458" s="4">
        <f>Data!AJ457</f>
        <v/>
      </c>
      <c r="Q458" s="4">
        <f>Data!AK457</f>
        <v/>
      </c>
      <c r="R458" s="4">
        <f>Data!AL457</f>
        <v/>
      </c>
    </row>
    <row r="459">
      <c r="A459" s="4">
        <f>Data!A458</f>
        <v/>
      </c>
      <c r="B459" s="4">
        <f>Data!B458</f>
        <v/>
      </c>
      <c r="C459" s="4">
        <f>Data!C458</f>
        <v/>
      </c>
      <c r="D459" s="4">
        <f>Data!I458</f>
        <v/>
      </c>
      <c r="E459" s="4">
        <f>Data!J458</f>
        <v/>
      </c>
      <c r="F459" s="4">
        <f>Data!H458</f>
        <v/>
      </c>
      <c r="G459" s="4">
        <f>SUM(Data!Q458:Data!Y458)</f>
        <v/>
      </c>
      <c r="H459" s="4">
        <f>Data!Z458</f>
        <v/>
      </c>
      <c r="I459" s="4">
        <f>Data!AB458</f>
        <v/>
      </c>
      <c r="J459" s="4">
        <f>Data!AD458</f>
        <v/>
      </c>
      <c r="K459" s="4">
        <f>Data!AE458</f>
        <v/>
      </c>
      <c r="L459" s="4">
        <f>Data!AF458</f>
        <v/>
      </c>
      <c r="M459" s="4">
        <f>Data!AG458</f>
        <v/>
      </c>
      <c r="N459" s="4">
        <f>Data!AH458</f>
        <v/>
      </c>
      <c r="O459" s="4">
        <f>Data!AI458</f>
        <v/>
      </c>
      <c r="P459" s="4">
        <f>Data!AJ458</f>
        <v/>
      </c>
      <c r="Q459" s="4">
        <f>Data!AK458</f>
        <v/>
      </c>
      <c r="R459" s="4">
        <f>Data!AL458</f>
        <v/>
      </c>
    </row>
    <row r="460">
      <c r="A460" s="4">
        <f>Data!A459</f>
        <v/>
      </c>
      <c r="B460" s="4">
        <f>Data!B459</f>
        <v/>
      </c>
      <c r="C460" s="4">
        <f>Data!C459</f>
        <v/>
      </c>
      <c r="D460" s="4">
        <f>Data!I459</f>
        <v/>
      </c>
      <c r="E460" s="4">
        <f>Data!J459</f>
        <v/>
      </c>
      <c r="F460" s="4">
        <f>Data!H459</f>
        <v/>
      </c>
      <c r="G460" s="4">
        <f>SUM(Data!Q459:Data!Y459)</f>
        <v/>
      </c>
      <c r="H460" s="4">
        <f>Data!Z459</f>
        <v/>
      </c>
      <c r="I460" s="4">
        <f>Data!AB459</f>
        <v/>
      </c>
      <c r="J460" s="4">
        <f>Data!AD459</f>
        <v/>
      </c>
      <c r="K460" s="4">
        <f>Data!AE459</f>
        <v/>
      </c>
      <c r="L460" s="4">
        <f>Data!AF459</f>
        <v/>
      </c>
      <c r="M460" s="4">
        <f>Data!AG459</f>
        <v/>
      </c>
      <c r="N460" s="4">
        <f>Data!AH459</f>
        <v/>
      </c>
      <c r="O460" s="4">
        <f>Data!AI459</f>
        <v/>
      </c>
      <c r="P460" s="4">
        <f>Data!AJ459</f>
        <v/>
      </c>
      <c r="Q460" s="4">
        <f>Data!AK459</f>
        <v/>
      </c>
      <c r="R460" s="4">
        <f>Data!AL459</f>
        <v/>
      </c>
    </row>
    <row r="461">
      <c r="A461" s="4">
        <f>Data!A460</f>
        <v/>
      </c>
      <c r="B461" s="4">
        <f>Data!B460</f>
        <v/>
      </c>
      <c r="C461" s="4">
        <f>Data!C460</f>
        <v/>
      </c>
      <c r="D461" s="4">
        <f>Data!I460</f>
        <v/>
      </c>
      <c r="E461" s="4">
        <f>Data!J460</f>
        <v/>
      </c>
      <c r="F461" s="4">
        <f>Data!H460</f>
        <v/>
      </c>
      <c r="G461" s="4">
        <f>SUM(Data!Q460:Data!Y460)</f>
        <v/>
      </c>
      <c r="H461" s="4">
        <f>Data!Z460</f>
        <v/>
      </c>
      <c r="I461" s="4">
        <f>Data!AB460</f>
        <v/>
      </c>
      <c r="J461" s="4">
        <f>Data!AD460</f>
        <v/>
      </c>
      <c r="K461" s="4">
        <f>Data!AE460</f>
        <v/>
      </c>
      <c r="L461" s="4">
        <f>Data!AF460</f>
        <v/>
      </c>
      <c r="M461" s="4">
        <f>Data!AG460</f>
        <v/>
      </c>
      <c r="N461" s="4">
        <f>Data!AH460</f>
        <v/>
      </c>
      <c r="O461" s="4">
        <f>Data!AI460</f>
        <v/>
      </c>
      <c r="P461" s="4">
        <f>Data!AJ460</f>
        <v/>
      </c>
      <c r="Q461" s="4">
        <f>Data!AK460</f>
        <v/>
      </c>
      <c r="R461" s="4">
        <f>Data!AL460</f>
        <v/>
      </c>
    </row>
    <row r="462">
      <c r="A462" s="4">
        <f>Data!A461</f>
        <v/>
      </c>
      <c r="B462" s="4">
        <f>Data!B461</f>
        <v/>
      </c>
      <c r="C462" s="4">
        <f>Data!C461</f>
        <v/>
      </c>
      <c r="D462" s="4">
        <f>Data!I461</f>
        <v/>
      </c>
      <c r="E462" s="4">
        <f>Data!J461</f>
        <v/>
      </c>
      <c r="F462" s="4">
        <f>Data!H461</f>
        <v/>
      </c>
      <c r="G462" s="4">
        <f>SUM(Data!Q461:Data!Y461)</f>
        <v/>
      </c>
      <c r="H462" s="4">
        <f>Data!Z461</f>
        <v/>
      </c>
      <c r="I462" s="4">
        <f>Data!AB461</f>
        <v/>
      </c>
      <c r="J462" s="4">
        <f>Data!AD461</f>
        <v/>
      </c>
      <c r="K462" s="4">
        <f>Data!AE461</f>
        <v/>
      </c>
      <c r="L462" s="4">
        <f>Data!AF461</f>
        <v/>
      </c>
      <c r="M462" s="4">
        <f>Data!AG461</f>
        <v/>
      </c>
      <c r="N462" s="4">
        <f>Data!AH461</f>
        <v/>
      </c>
      <c r="O462" s="4">
        <f>Data!AI461</f>
        <v/>
      </c>
      <c r="P462" s="4">
        <f>Data!AJ461</f>
        <v/>
      </c>
      <c r="Q462" s="4">
        <f>Data!AK461</f>
        <v/>
      </c>
      <c r="R462" s="4">
        <f>Data!AL461</f>
        <v/>
      </c>
    </row>
    <row r="463">
      <c r="A463" s="4">
        <f>Data!A462</f>
        <v/>
      </c>
      <c r="B463" s="4">
        <f>Data!B462</f>
        <v/>
      </c>
      <c r="C463" s="4">
        <f>Data!C462</f>
        <v/>
      </c>
      <c r="D463" s="4">
        <f>Data!I462</f>
        <v/>
      </c>
      <c r="E463" s="4">
        <f>Data!J462</f>
        <v/>
      </c>
      <c r="F463" s="4">
        <f>Data!H462</f>
        <v/>
      </c>
      <c r="G463" s="4">
        <f>SUM(Data!Q462:Data!Y462)</f>
        <v/>
      </c>
      <c r="H463" s="4">
        <f>Data!Z462</f>
        <v/>
      </c>
      <c r="I463" s="4">
        <f>Data!AB462</f>
        <v/>
      </c>
      <c r="J463" s="4">
        <f>Data!AD462</f>
        <v/>
      </c>
      <c r="K463" s="4">
        <f>Data!AE462</f>
        <v/>
      </c>
      <c r="L463" s="4">
        <f>Data!AF462</f>
        <v/>
      </c>
      <c r="M463" s="4">
        <f>Data!AG462</f>
        <v/>
      </c>
      <c r="N463" s="4">
        <f>Data!AH462</f>
        <v/>
      </c>
      <c r="O463" s="4">
        <f>Data!AI462</f>
        <v/>
      </c>
      <c r="P463" s="4">
        <f>Data!AJ462</f>
        <v/>
      </c>
      <c r="Q463" s="4">
        <f>Data!AK462</f>
        <v/>
      </c>
      <c r="R463" s="4">
        <f>Data!AL462</f>
        <v/>
      </c>
    </row>
    <row r="464">
      <c r="A464" s="4">
        <f>Data!A463</f>
        <v/>
      </c>
      <c r="B464" s="4">
        <f>Data!B463</f>
        <v/>
      </c>
      <c r="C464" s="4">
        <f>Data!C463</f>
        <v/>
      </c>
      <c r="D464" s="4">
        <f>Data!I463</f>
        <v/>
      </c>
      <c r="E464" s="4">
        <f>Data!J463</f>
        <v/>
      </c>
      <c r="F464" s="4">
        <f>Data!H463</f>
        <v/>
      </c>
      <c r="G464" s="4">
        <f>SUM(Data!Q463:Data!Y463)</f>
        <v/>
      </c>
      <c r="H464" s="4">
        <f>Data!Z463</f>
        <v/>
      </c>
      <c r="I464" s="4">
        <f>Data!AB463</f>
        <v/>
      </c>
      <c r="J464" s="4">
        <f>Data!AD463</f>
        <v/>
      </c>
      <c r="K464" s="4">
        <f>Data!AE463</f>
        <v/>
      </c>
      <c r="L464" s="4">
        <f>Data!AF463</f>
        <v/>
      </c>
      <c r="M464" s="4">
        <f>Data!AG463</f>
        <v/>
      </c>
      <c r="N464" s="4">
        <f>Data!AH463</f>
        <v/>
      </c>
      <c r="O464" s="4">
        <f>Data!AI463</f>
        <v/>
      </c>
      <c r="P464" s="4">
        <f>Data!AJ463</f>
        <v/>
      </c>
      <c r="Q464" s="4">
        <f>Data!AK463</f>
        <v/>
      </c>
      <c r="R464" s="4">
        <f>Data!AL463</f>
        <v/>
      </c>
    </row>
    <row r="465">
      <c r="A465" s="4">
        <f>Data!A464</f>
        <v/>
      </c>
      <c r="B465" s="4">
        <f>Data!B464</f>
        <v/>
      </c>
      <c r="C465" s="4">
        <f>Data!C464</f>
        <v/>
      </c>
      <c r="D465" s="4">
        <f>Data!I464</f>
        <v/>
      </c>
      <c r="E465" s="4">
        <f>Data!J464</f>
        <v/>
      </c>
      <c r="F465" s="4">
        <f>Data!H464</f>
        <v/>
      </c>
      <c r="G465" s="4">
        <f>SUM(Data!Q464:Data!Y464)</f>
        <v/>
      </c>
      <c r="H465" s="4">
        <f>Data!Z464</f>
        <v/>
      </c>
      <c r="I465" s="4">
        <f>Data!AB464</f>
        <v/>
      </c>
      <c r="J465" s="4">
        <f>Data!AD464</f>
        <v/>
      </c>
      <c r="K465" s="4">
        <f>Data!AE464</f>
        <v/>
      </c>
      <c r="L465" s="4">
        <f>Data!AF464</f>
        <v/>
      </c>
      <c r="M465" s="4">
        <f>Data!AG464</f>
        <v/>
      </c>
      <c r="N465" s="4">
        <f>Data!AH464</f>
        <v/>
      </c>
      <c r="O465" s="4">
        <f>Data!AI464</f>
        <v/>
      </c>
      <c r="P465" s="4">
        <f>Data!AJ464</f>
        <v/>
      </c>
      <c r="Q465" s="4">
        <f>Data!AK464</f>
        <v/>
      </c>
      <c r="R465" s="4">
        <f>Data!AL464</f>
        <v/>
      </c>
    </row>
    <row r="466">
      <c r="A466" s="4">
        <f>Data!A465</f>
        <v/>
      </c>
      <c r="B466" s="4">
        <f>Data!B465</f>
        <v/>
      </c>
      <c r="C466" s="4">
        <f>Data!C465</f>
        <v/>
      </c>
      <c r="D466" s="4">
        <f>Data!I465</f>
        <v/>
      </c>
      <c r="E466" s="4">
        <f>Data!J465</f>
        <v/>
      </c>
      <c r="F466" s="4">
        <f>Data!H465</f>
        <v/>
      </c>
      <c r="G466" s="4">
        <f>SUM(Data!Q465:Data!Y465)</f>
        <v/>
      </c>
      <c r="H466" s="4">
        <f>Data!Z465</f>
        <v/>
      </c>
      <c r="I466" s="4">
        <f>Data!AB465</f>
        <v/>
      </c>
      <c r="J466" s="4">
        <f>Data!AD465</f>
        <v/>
      </c>
      <c r="K466" s="4">
        <f>Data!AE465</f>
        <v/>
      </c>
      <c r="L466" s="4">
        <f>Data!AF465</f>
        <v/>
      </c>
      <c r="M466" s="4">
        <f>Data!AG465</f>
        <v/>
      </c>
      <c r="N466" s="4">
        <f>Data!AH465</f>
        <v/>
      </c>
      <c r="O466" s="4">
        <f>Data!AI465</f>
        <v/>
      </c>
      <c r="P466" s="4">
        <f>Data!AJ465</f>
        <v/>
      </c>
      <c r="Q466" s="4">
        <f>Data!AK465</f>
        <v/>
      </c>
      <c r="R466" s="4">
        <f>Data!AL465</f>
        <v/>
      </c>
    </row>
    <row r="467">
      <c r="A467" s="4">
        <f>Data!A466</f>
        <v/>
      </c>
      <c r="B467" s="4">
        <f>Data!B466</f>
        <v/>
      </c>
      <c r="C467" s="4">
        <f>Data!C466</f>
        <v/>
      </c>
      <c r="D467" s="4">
        <f>Data!I466</f>
        <v/>
      </c>
      <c r="E467" s="4">
        <f>Data!J466</f>
        <v/>
      </c>
      <c r="F467" s="4">
        <f>Data!H466</f>
        <v/>
      </c>
      <c r="G467" s="4">
        <f>SUM(Data!Q466:Data!Y466)</f>
        <v/>
      </c>
      <c r="H467" s="4">
        <f>Data!Z466</f>
        <v/>
      </c>
      <c r="I467" s="4">
        <f>Data!AB466</f>
        <v/>
      </c>
      <c r="J467" s="4">
        <f>Data!AD466</f>
        <v/>
      </c>
      <c r="K467" s="4">
        <f>Data!AE466</f>
        <v/>
      </c>
      <c r="L467" s="4">
        <f>Data!AF466</f>
        <v/>
      </c>
      <c r="M467" s="4">
        <f>Data!AG466</f>
        <v/>
      </c>
      <c r="N467" s="4">
        <f>Data!AH466</f>
        <v/>
      </c>
      <c r="O467" s="4">
        <f>Data!AI466</f>
        <v/>
      </c>
      <c r="P467" s="4">
        <f>Data!AJ466</f>
        <v/>
      </c>
      <c r="Q467" s="4">
        <f>Data!AK466</f>
        <v/>
      </c>
      <c r="R467" s="4">
        <f>Data!AL466</f>
        <v/>
      </c>
    </row>
    <row r="468">
      <c r="A468" s="4">
        <f>Data!A467</f>
        <v/>
      </c>
      <c r="B468" s="4">
        <f>Data!B467</f>
        <v/>
      </c>
      <c r="C468" s="4">
        <f>Data!C467</f>
        <v/>
      </c>
      <c r="D468" s="4">
        <f>Data!I467</f>
        <v/>
      </c>
      <c r="E468" s="4">
        <f>Data!J467</f>
        <v/>
      </c>
      <c r="F468" s="4">
        <f>Data!H467</f>
        <v/>
      </c>
      <c r="G468" s="4">
        <f>SUM(Data!Q467:Data!Y467)</f>
        <v/>
      </c>
      <c r="H468" s="4">
        <f>Data!Z467</f>
        <v/>
      </c>
      <c r="I468" s="4">
        <f>Data!AB467</f>
        <v/>
      </c>
      <c r="J468" s="4">
        <f>Data!AD467</f>
        <v/>
      </c>
      <c r="K468" s="4">
        <f>Data!AE467</f>
        <v/>
      </c>
      <c r="L468" s="4">
        <f>Data!AF467</f>
        <v/>
      </c>
      <c r="M468" s="4">
        <f>Data!AG467</f>
        <v/>
      </c>
      <c r="N468" s="4">
        <f>Data!AH467</f>
        <v/>
      </c>
      <c r="O468" s="4">
        <f>Data!AI467</f>
        <v/>
      </c>
      <c r="P468" s="4">
        <f>Data!AJ467</f>
        <v/>
      </c>
      <c r="Q468" s="4">
        <f>Data!AK467</f>
        <v/>
      </c>
      <c r="R468" s="4">
        <f>Data!AL467</f>
        <v/>
      </c>
    </row>
    <row r="469">
      <c r="A469" s="4">
        <f>Data!A468</f>
        <v/>
      </c>
      <c r="B469" s="4">
        <f>Data!B468</f>
        <v/>
      </c>
      <c r="C469" s="4">
        <f>Data!C468</f>
        <v/>
      </c>
      <c r="D469" s="4">
        <f>Data!I468</f>
        <v/>
      </c>
      <c r="E469" s="4">
        <f>Data!J468</f>
        <v/>
      </c>
      <c r="F469" s="4">
        <f>Data!H468</f>
        <v/>
      </c>
      <c r="G469" s="4">
        <f>SUM(Data!Q468:Data!Y468)</f>
        <v/>
      </c>
      <c r="H469" s="4">
        <f>Data!Z468</f>
        <v/>
      </c>
      <c r="I469" s="4">
        <f>Data!AB468</f>
        <v/>
      </c>
      <c r="J469" s="4">
        <f>Data!AD468</f>
        <v/>
      </c>
      <c r="K469" s="4">
        <f>Data!AE468</f>
        <v/>
      </c>
      <c r="L469" s="4">
        <f>Data!AF468</f>
        <v/>
      </c>
      <c r="M469" s="4">
        <f>Data!AG468</f>
        <v/>
      </c>
      <c r="N469" s="4">
        <f>Data!AH468</f>
        <v/>
      </c>
      <c r="O469" s="4">
        <f>Data!AI468</f>
        <v/>
      </c>
      <c r="P469" s="4">
        <f>Data!AJ468</f>
        <v/>
      </c>
      <c r="Q469" s="4">
        <f>Data!AK468</f>
        <v/>
      </c>
      <c r="R469" s="4">
        <f>Data!AL468</f>
        <v/>
      </c>
    </row>
    <row r="470">
      <c r="A470" s="4">
        <f>Data!A469</f>
        <v/>
      </c>
      <c r="B470" s="4">
        <f>Data!B469</f>
        <v/>
      </c>
      <c r="C470" s="4">
        <f>Data!C469</f>
        <v/>
      </c>
      <c r="D470" s="4">
        <f>Data!I469</f>
        <v/>
      </c>
      <c r="E470" s="4">
        <f>Data!J469</f>
        <v/>
      </c>
      <c r="F470" s="4">
        <f>Data!H469</f>
        <v/>
      </c>
      <c r="G470" s="4">
        <f>SUM(Data!Q469:Data!Y469)</f>
        <v/>
      </c>
      <c r="H470" s="4">
        <f>Data!Z469</f>
        <v/>
      </c>
      <c r="I470" s="4">
        <f>Data!AB469</f>
        <v/>
      </c>
      <c r="J470" s="4">
        <f>Data!AD469</f>
        <v/>
      </c>
      <c r="K470" s="4">
        <f>Data!AE469</f>
        <v/>
      </c>
      <c r="L470" s="4">
        <f>Data!AF469</f>
        <v/>
      </c>
      <c r="M470" s="4">
        <f>Data!AG469</f>
        <v/>
      </c>
      <c r="N470" s="4">
        <f>Data!AH469</f>
        <v/>
      </c>
      <c r="O470" s="4">
        <f>Data!AI469</f>
        <v/>
      </c>
      <c r="P470" s="4">
        <f>Data!AJ469</f>
        <v/>
      </c>
      <c r="Q470" s="4">
        <f>Data!AK469</f>
        <v/>
      </c>
      <c r="R470" s="4">
        <f>Data!AL469</f>
        <v/>
      </c>
    </row>
    <row r="471">
      <c r="A471" s="4">
        <f>Data!A470</f>
        <v/>
      </c>
      <c r="B471" s="4">
        <f>Data!B470</f>
        <v/>
      </c>
      <c r="C471" s="4">
        <f>Data!C470</f>
        <v/>
      </c>
      <c r="D471" s="4">
        <f>Data!I470</f>
        <v/>
      </c>
      <c r="E471" s="4">
        <f>Data!J470</f>
        <v/>
      </c>
      <c r="F471" s="4">
        <f>Data!H470</f>
        <v/>
      </c>
      <c r="G471" s="4">
        <f>SUM(Data!Q470:Data!Y470)</f>
        <v/>
      </c>
      <c r="H471" s="4">
        <f>Data!Z470</f>
        <v/>
      </c>
      <c r="I471" s="4">
        <f>Data!AB470</f>
        <v/>
      </c>
      <c r="J471" s="4">
        <f>Data!AD470</f>
        <v/>
      </c>
      <c r="K471" s="4">
        <f>Data!AE470</f>
        <v/>
      </c>
      <c r="L471" s="4">
        <f>Data!AF470</f>
        <v/>
      </c>
      <c r="M471" s="4">
        <f>Data!AG470</f>
        <v/>
      </c>
      <c r="N471" s="4">
        <f>Data!AH470</f>
        <v/>
      </c>
      <c r="O471" s="4">
        <f>Data!AI470</f>
        <v/>
      </c>
      <c r="P471" s="4">
        <f>Data!AJ470</f>
        <v/>
      </c>
      <c r="Q471" s="4">
        <f>Data!AK470</f>
        <v/>
      </c>
      <c r="R471" s="4">
        <f>Data!AL470</f>
        <v/>
      </c>
    </row>
    <row r="472">
      <c r="A472" s="4">
        <f>Data!A471</f>
        <v/>
      </c>
      <c r="B472" s="4">
        <f>Data!B471</f>
        <v/>
      </c>
      <c r="C472" s="4">
        <f>Data!C471</f>
        <v/>
      </c>
      <c r="D472" s="4">
        <f>Data!I471</f>
        <v/>
      </c>
      <c r="E472" s="4">
        <f>Data!J471</f>
        <v/>
      </c>
      <c r="F472" s="4">
        <f>Data!H471</f>
        <v/>
      </c>
      <c r="G472" s="4">
        <f>SUM(Data!Q471:Data!Y471)</f>
        <v/>
      </c>
      <c r="H472" s="4">
        <f>Data!Z471</f>
        <v/>
      </c>
      <c r="I472" s="4">
        <f>Data!AB471</f>
        <v/>
      </c>
      <c r="J472" s="4">
        <f>Data!AD471</f>
        <v/>
      </c>
      <c r="K472" s="4">
        <f>Data!AE471</f>
        <v/>
      </c>
      <c r="L472" s="4">
        <f>Data!AF471</f>
        <v/>
      </c>
      <c r="M472" s="4">
        <f>Data!AG471</f>
        <v/>
      </c>
      <c r="N472" s="4">
        <f>Data!AH471</f>
        <v/>
      </c>
      <c r="O472" s="4">
        <f>Data!AI471</f>
        <v/>
      </c>
      <c r="P472" s="4">
        <f>Data!AJ471</f>
        <v/>
      </c>
      <c r="Q472" s="4">
        <f>Data!AK471</f>
        <v/>
      </c>
      <c r="R472" s="4">
        <f>Data!AL471</f>
        <v/>
      </c>
    </row>
    <row r="473">
      <c r="A473" s="4">
        <f>Data!A472</f>
        <v/>
      </c>
      <c r="B473" s="4">
        <f>Data!B472</f>
        <v/>
      </c>
      <c r="C473" s="4">
        <f>Data!C472</f>
        <v/>
      </c>
      <c r="D473" s="4">
        <f>Data!I472</f>
        <v/>
      </c>
      <c r="E473" s="4">
        <f>Data!J472</f>
        <v/>
      </c>
      <c r="F473" s="4">
        <f>Data!H472</f>
        <v/>
      </c>
      <c r="G473" s="4">
        <f>SUM(Data!Q472:Data!Y472)</f>
        <v/>
      </c>
      <c r="H473" s="4">
        <f>Data!Z472</f>
        <v/>
      </c>
      <c r="I473" s="4">
        <f>Data!AB472</f>
        <v/>
      </c>
      <c r="J473" s="4">
        <f>Data!AD472</f>
        <v/>
      </c>
      <c r="K473" s="4">
        <f>Data!AE472</f>
        <v/>
      </c>
      <c r="L473" s="4">
        <f>Data!AF472</f>
        <v/>
      </c>
      <c r="M473" s="4">
        <f>Data!AG472</f>
        <v/>
      </c>
      <c r="N473" s="4">
        <f>Data!AH472</f>
        <v/>
      </c>
      <c r="O473" s="4">
        <f>Data!AI472</f>
        <v/>
      </c>
      <c r="P473" s="4">
        <f>Data!AJ472</f>
        <v/>
      </c>
      <c r="Q473" s="4">
        <f>Data!AK472</f>
        <v/>
      </c>
      <c r="R473" s="4">
        <f>Data!AL472</f>
        <v/>
      </c>
    </row>
    <row r="474">
      <c r="A474" s="4">
        <f>Data!A473</f>
        <v/>
      </c>
      <c r="B474" s="4">
        <f>Data!B473</f>
        <v/>
      </c>
      <c r="C474" s="4">
        <f>Data!C473</f>
        <v/>
      </c>
      <c r="D474" s="4">
        <f>Data!I473</f>
        <v/>
      </c>
      <c r="E474" s="4">
        <f>Data!J473</f>
        <v/>
      </c>
      <c r="F474" s="4">
        <f>Data!H473</f>
        <v/>
      </c>
      <c r="G474" s="4">
        <f>SUM(Data!Q473:Data!Y473)</f>
        <v/>
      </c>
      <c r="H474" s="4">
        <f>Data!Z473</f>
        <v/>
      </c>
      <c r="I474" s="4">
        <f>Data!AB473</f>
        <v/>
      </c>
      <c r="J474" s="4">
        <f>Data!AD473</f>
        <v/>
      </c>
      <c r="K474" s="4">
        <f>Data!AE473</f>
        <v/>
      </c>
      <c r="L474" s="4">
        <f>Data!AF473</f>
        <v/>
      </c>
      <c r="M474" s="4">
        <f>Data!AG473</f>
        <v/>
      </c>
      <c r="N474" s="4">
        <f>Data!AH473</f>
        <v/>
      </c>
      <c r="O474" s="4">
        <f>Data!AI473</f>
        <v/>
      </c>
      <c r="P474" s="4">
        <f>Data!AJ473</f>
        <v/>
      </c>
      <c r="Q474" s="4">
        <f>Data!AK473</f>
        <v/>
      </c>
      <c r="R474" s="4">
        <f>Data!AL473</f>
        <v/>
      </c>
    </row>
    <row r="475">
      <c r="A475" s="4">
        <f>Data!A474</f>
        <v/>
      </c>
      <c r="B475" s="4">
        <f>Data!B474</f>
        <v/>
      </c>
      <c r="C475" s="4">
        <f>Data!C474</f>
        <v/>
      </c>
      <c r="D475" s="4">
        <f>Data!I474</f>
        <v/>
      </c>
      <c r="E475" s="4">
        <f>Data!J474</f>
        <v/>
      </c>
      <c r="F475" s="4">
        <f>Data!H474</f>
        <v/>
      </c>
      <c r="G475" s="4">
        <f>SUM(Data!Q474:Data!Y474)</f>
        <v/>
      </c>
      <c r="H475" s="4">
        <f>Data!Z474</f>
        <v/>
      </c>
      <c r="I475" s="4">
        <f>Data!AB474</f>
        <v/>
      </c>
      <c r="J475" s="4">
        <f>Data!AD474</f>
        <v/>
      </c>
      <c r="K475" s="4">
        <f>Data!AE474</f>
        <v/>
      </c>
      <c r="L475" s="4">
        <f>Data!AF474</f>
        <v/>
      </c>
      <c r="M475" s="4">
        <f>Data!AG474</f>
        <v/>
      </c>
      <c r="N475" s="4">
        <f>Data!AH474</f>
        <v/>
      </c>
      <c r="O475" s="4">
        <f>Data!AI474</f>
        <v/>
      </c>
      <c r="P475" s="4">
        <f>Data!AJ474</f>
        <v/>
      </c>
      <c r="Q475" s="4">
        <f>Data!AK474</f>
        <v/>
      </c>
      <c r="R475" s="4">
        <f>Data!AL474</f>
        <v/>
      </c>
    </row>
    <row r="476">
      <c r="A476" s="4">
        <f>Data!A475</f>
        <v/>
      </c>
      <c r="B476" s="4">
        <f>Data!B475</f>
        <v/>
      </c>
      <c r="C476" s="4">
        <f>Data!C475</f>
        <v/>
      </c>
      <c r="D476" s="4">
        <f>Data!I475</f>
        <v/>
      </c>
      <c r="E476" s="4">
        <f>Data!J475</f>
        <v/>
      </c>
      <c r="F476" s="4">
        <f>Data!H475</f>
        <v/>
      </c>
      <c r="G476" s="4">
        <f>SUM(Data!Q475:Data!Y475)</f>
        <v/>
      </c>
      <c r="H476" s="4">
        <f>Data!Z475</f>
        <v/>
      </c>
      <c r="I476" s="4">
        <f>Data!AB475</f>
        <v/>
      </c>
      <c r="J476" s="4">
        <f>Data!AD475</f>
        <v/>
      </c>
      <c r="K476" s="4">
        <f>Data!AE475</f>
        <v/>
      </c>
      <c r="L476" s="4">
        <f>Data!AF475</f>
        <v/>
      </c>
      <c r="M476" s="4">
        <f>Data!AG475</f>
        <v/>
      </c>
      <c r="N476" s="4">
        <f>Data!AH475</f>
        <v/>
      </c>
      <c r="O476" s="4">
        <f>Data!AI475</f>
        <v/>
      </c>
      <c r="P476" s="4">
        <f>Data!AJ475</f>
        <v/>
      </c>
      <c r="Q476" s="4">
        <f>Data!AK475</f>
        <v/>
      </c>
      <c r="R476" s="4">
        <f>Data!AL475</f>
        <v/>
      </c>
    </row>
    <row r="477">
      <c r="A477" s="4">
        <f>Data!A476</f>
        <v/>
      </c>
      <c r="B477" s="4">
        <f>Data!B476</f>
        <v/>
      </c>
      <c r="C477" s="4">
        <f>Data!C476</f>
        <v/>
      </c>
      <c r="D477" s="4">
        <f>Data!I476</f>
        <v/>
      </c>
      <c r="E477" s="4">
        <f>Data!J476</f>
        <v/>
      </c>
      <c r="F477" s="4">
        <f>Data!H476</f>
        <v/>
      </c>
      <c r="G477" s="4">
        <f>SUM(Data!Q476:Data!Y476)</f>
        <v/>
      </c>
      <c r="H477" s="4">
        <f>Data!Z476</f>
        <v/>
      </c>
      <c r="I477" s="4">
        <f>Data!AB476</f>
        <v/>
      </c>
      <c r="J477" s="4">
        <f>Data!AD476</f>
        <v/>
      </c>
      <c r="K477" s="4">
        <f>Data!AE476</f>
        <v/>
      </c>
      <c r="L477" s="4">
        <f>Data!AF476</f>
        <v/>
      </c>
      <c r="M477" s="4">
        <f>Data!AG476</f>
        <v/>
      </c>
      <c r="N477" s="4">
        <f>Data!AH476</f>
        <v/>
      </c>
      <c r="O477" s="4">
        <f>Data!AI476</f>
        <v/>
      </c>
      <c r="P477" s="4">
        <f>Data!AJ476</f>
        <v/>
      </c>
      <c r="Q477" s="4">
        <f>Data!AK476</f>
        <v/>
      </c>
      <c r="R477" s="4">
        <f>Data!AL476</f>
        <v/>
      </c>
    </row>
    <row r="478">
      <c r="A478" s="4">
        <f>Data!A477</f>
        <v/>
      </c>
      <c r="B478" s="4">
        <f>Data!B477</f>
        <v/>
      </c>
      <c r="C478" s="4">
        <f>Data!C477</f>
        <v/>
      </c>
      <c r="D478" s="4">
        <f>Data!I477</f>
        <v/>
      </c>
      <c r="E478" s="4">
        <f>Data!J477</f>
        <v/>
      </c>
      <c r="F478" s="4">
        <f>Data!H477</f>
        <v/>
      </c>
      <c r="G478" s="4">
        <f>SUM(Data!Q477:Data!Y477)</f>
        <v/>
      </c>
      <c r="H478" s="4">
        <f>Data!Z477</f>
        <v/>
      </c>
      <c r="I478" s="4">
        <f>Data!AB477</f>
        <v/>
      </c>
      <c r="J478" s="4">
        <f>Data!AD477</f>
        <v/>
      </c>
      <c r="K478" s="4">
        <f>Data!AE477</f>
        <v/>
      </c>
      <c r="L478" s="4">
        <f>Data!AF477</f>
        <v/>
      </c>
      <c r="M478" s="4">
        <f>Data!AG477</f>
        <v/>
      </c>
      <c r="N478" s="4">
        <f>Data!AH477</f>
        <v/>
      </c>
      <c r="O478" s="4">
        <f>Data!AI477</f>
        <v/>
      </c>
      <c r="P478" s="4">
        <f>Data!AJ477</f>
        <v/>
      </c>
      <c r="Q478" s="4">
        <f>Data!AK477</f>
        <v/>
      </c>
      <c r="R478" s="4">
        <f>Data!AL477</f>
        <v/>
      </c>
    </row>
    <row r="479">
      <c r="A479" s="4">
        <f>Data!A478</f>
        <v/>
      </c>
      <c r="B479" s="4">
        <f>Data!B478</f>
        <v/>
      </c>
      <c r="C479" s="4">
        <f>Data!C478</f>
        <v/>
      </c>
      <c r="D479" s="4">
        <f>Data!I478</f>
        <v/>
      </c>
      <c r="E479" s="4">
        <f>Data!J478</f>
        <v/>
      </c>
      <c r="F479" s="4">
        <f>Data!H478</f>
        <v/>
      </c>
      <c r="G479" s="4">
        <f>SUM(Data!Q478:Data!Y478)</f>
        <v/>
      </c>
      <c r="H479" s="4">
        <f>Data!Z478</f>
        <v/>
      </c>
      <c r="I479" s="4">
        <f>Data!AB478</f>
        <v/>
      </c>
      <c r="J479" s="4">
        <f>Data!AD478</f>
        <v/>
      </c>
      <c r="K479" s="4">
        <f>Data!AE478</f>
        <v/>
      </c>
      <c r="L479" s="4">
        <f>Data!AF478</f>
        <v/>
      </c>
      <c r="M479" s="4">
        <f>Data!AG478</f>
        <v/>
      </c>
      <c r="N479" s="4">
        <f>Data!AH478</f>
        <v/>
      </c>
      <c r="O479" s="4">
        <f>Data!AI478</f>
        <v/>
      </c>
      <c r="P479" s="4">
        <f>Data!AJ478</f>
        <v/>
      </c>
      <c r="Q479" s="4">
        <f>Data!AK478</f>
        <v/>
      </c>
      <c r="R479" s="4">
        <f>Data!AL478</f>
        <v/>
      </c>
    </row>
    <row r="480">
      <c r="A480" s="4">
        <f>Data!A479</f>
        <v/>
      </c>
      <c r="B480" s="4">
        <f>Data!B479</f>
        <v/>
      </c>
      <c r="C480" s="4">
        <f>Data!C479</f>
        <v/>
      </c>
      <c r="D480" s="4">
        <f>Data!I479</f>
        <v/>
      </c>
      <c r="E480" s="4">
        <f>Data!J479</f>
        <v/>
      </c>
      <c r="F480" s="4">
        <f>Data!H479</f>
        <v/>
      </c>
      <c r="G480" s="4">
        <f>SUM(Data!Q479:Data!Y479)</f>
        <v/>
      </c>
      <c r="H480" s="4">
        <f>Data!Z479</f>
        <v/>
      </c>
      <c r="I480" s="4">
        <f>Data!AB479</f>
        <v/>
      </c>
      <c r="J480" s="4">
        <f>Data!AD479</f>
        <v/>
      </c>
      <c r="K480" s="4">
        <f>Data!AE479</f>
        <v/>
      </c>
      <c r="L480" s="4">
        <f>Data!AF479</f>
        <v/>
      </c>
      <c r="M480" s="4">
        <f>Data!AG479</f>
        <v/>
      </c>
      <c r="N480" s="4">
        <f>Data!AH479</f>
        <v/>
      </c>
      <c r="O480" s="4">
        <f>Data!AI479</f>
        <v/>
      </c>
      <c r="P480" s="4">
        <f>Data!AJ479</f>
        <v/>
      </c>
      <c r="Q480" s="4">
        <f>Data!AK479</f>
        <v/>
      </c>
      <c r="R480" s="4">
        <f>Data!AL479</f>
        <v/>
      </c>
    </row>
    <row r="481">
      <c r="A481" s="4">
        <f>Data!A480</f>
        <v/>
      </c>
      <c r="B481" s="4">
        <f>Data!B480</f>
        <v/>
      </c>
      <c r="C481" s="4">
        <f>Data!C480</f>
        <v/>
      </c>
      <c r="D481" s="4">
        <f>Data!I480</f>
        <v/>
      </c>
      <c r="E481" s="4">
        <f>Data!J480</f>
        <v/>
      </c>
      <c r="F481" s="4">
        <f>Data!H480</f>
        <v/>
      </c>
      <c r="G481" s="4">
        <f>SUM(Data!Q480:Data!Y480)</f>
        <v/>
      </c>
      <c r="H481" s="4">
        <f>Data!Z480</f>
        <v/>
      </c>
      <c r="I481" s="4">
        <f>Data!AB480</f>
        <v/>
      </c>
      <c r="J481" s="4">
        <f>Data!AD480</f>
        <v/>
      </c>
      <c r="K481" s="4">
        <f>Data!AE480</f>
        <v/>
      </c>
      <c r="L481" s="4">
        <f>Data!AF480</f>
        <v/>
      </c>
      <c r="M481" s="4">
        <f>Data!AG480</f>
        <v/>
      </c>
      <c r="N481" s="4">
        <f>Data!AH480</f>
        <v/>
      </c>
      <c r="O481" s="4">
        <f>Data!AI480</f>
        <v/>
      </c>
      <c r="P481" s="4">
        <f>Data!AJ480</f>
        <v/>
      </c>
      <c r="Q481" s="4">
        <f>Data!AK480</f>
        <v/>
      </c>
      <c r="R481" s="4">
        <f>Data!AL480</f>
        <v/>
      </c>
    </row>
    <row r="482">
      <c r="A482" s="4">
        <f>Data!A481</f>
        <v/>
      </c>
      <c r="B482" s="4">
        <f>Data!B481</f>
        <v/>
      </c>
      <c r="C482" s="4">
        <f>Data!C481</f>
        <v/>
      </c>
      <c r="D482" s="4">
        <f>Data!I481</f>
        <v/>
      </c>
      <c r="E482" s="4">
        <f>Data!J481</f>
        <v/>
      </c>
      <c r="F482" s="4">
        <f>Data!H481</f>
        <v/>
      </c>
      <c r="G482" s="4">
        <f>SUM(Data!Q481:Data!Y481)</f>
        <v/>
      </c>
      <c r="H482" s="4">
        <f>Data!Z481</f>
        <v/>
      </c>
      <c r="I482" s="4">
        <f>Data!AB481</f>
        <v/>
      </c>
      <c r="J482" s="4">
        <f>Data!AD481</f>
        <v/>
      </c>
      <c r="K482" s="4">
        <f>Data!AE481</f>
        <v/>
      </c>
      <c r="L482" s="4">
        <f>Data!AF481</f>
        <v/>
      </c>
      <c r="M482" s="4">
        <f>Data!AG481</f>
        <v/>
      </c>
      <c r="N482" s="4">
        <f>Data!AH481</f>
        <v/>
      </c>
      <c r="O482" s="4">
        <f>Data!AI481</f>
        <v/>
      </c>
      <c r="P482" s="4">
        <f>Data!AJ481</f>
        <v/>
      </c>
      <c r="Q482" s="4">
        <f>Data!AK481</f>
        <v/>
      </c>
      <c r="R482" s="4">
        <f>Data!AL481</f>
        <v/>
      </c>
    </row>
    <row r="483">
      <c r="A483" s="4">
        <f>Data!A482</f>
        <v/>
      </c>
      <c r="B483" s="4">
        <f>Data!B482</f>
        <v/>
      </c>
      <c r="C483" s="4">
        <f>Data!C482</f>
        <v/>
      </c>
      <c r="D483" s="4">
        <f>Data!I482</f>
        <v/>
      </c>
      <c r="E483" s="4">
        <f>Data!J482</f>
        <v/>
      </c>
      <c r="F483" s="4">
        <f>Data!H482</f>
        <v/>
      </c>
      <c r="G483" s="4">
        <f>SUM(Data!Q482:Data!Y482)</f>
        <v/>
      </c>
      <c r="H483" s="4">
        <f>Data!Z482</f>
        <v/>
      </c>
      <c r="I483" s="4">
        <f>Data!AB482</f>
        <v/>
      </c>
      <c r="J483" s="4">
        <f>Data!AD482</f>
        <v/>
      </c>
      <c r="K483" s="4">
        <f>Data!AE482</f>
        <v/>
      </c>
      <c r="L483" s="4">
        <f>Data!AF482</f>
        <v/>
      </c>
      <c r="M483" s="4">
        <f>Data!AG482</f>
        <v/>
      </c>
      <c r="N483" s="4">
        <f>Data!AH482</f>
        <v/>
      </c>
      <c r="O483" s="4">
        <f>Data!AI482</f>
        <v/>
      </c>
      <c r="P483" s="4">
        <f>Data!AJ482</f>
        <v/>
      </c>
      <c r="Q483" s="4">
        <f>Data!AK482</f>
        <v/>
      </c>
      <c r="R483" s="4">
        <f>Data!AL482</f>
        <v/>
      </c>
    </row>
    <row r="484">
      <c r="A484" s="4">
        <f>Data!A483</f>
        <v/>
      </c>
      <c r="B484" s="4">
        <f>Data!B483</f>
        <v/>
      </c>
      <c r="C484" s="4">
        <f>Data!C483</f>
        <v/>
      </c>
      <c r="D484" s="4">
        <f>Data!I483</f>
        <v/>
      </c>
      <c r="E484" s="4">
        <f>Data!J483</f>
        <v/>
      </c>
      <c r="F484" s="4">
        <f>Data!H483</f>
        <v/>
      </c>
      <c r="G484" s="4">
        <f>SUM(Data!Q483:Data!Y483)</f>
        <v/>
      </c>
      <c r="H484" s="4">
        <f>Data!Z483</f>
        <v/>
      </c>
      <c r="I484" s="4">
        <f>Data!AB483</f>
        <v/>
      </c>
      <c r="J484" s="4">
        <f>Data!AD483</f>
        <v/>
      </c>
      <c r="K484" s="4">
        <f>Data!AE483</f>
        <v/>
      </c>
      <c r="L484" s="4">
        <f>Data!AF483</f>
        <v/>
      </c>
      <c r="M484" s="4">
        <f>Data!AG483</f>
        <v/>
      </c>
      <c r="N484" s="4">
        <f>Data!AH483</f>
        <v/>
      </c>
      <c r="O484" s="4">
        <f>Data!AI483</f>
        <v/>
      </c>
      <c r="P484" s="4">
        <f>Data!AJ483</f>
        <v/>
      </c>
      <c r="Q484" s="4">
        <f>Data!AK483</f>
        <v/>
      </c>
      <c r="R484" s="4">
        <f>Data!AL483</f>
        <v/>
      </c>
    </row>
    <row r="485">
      <c r="A485" s="4">
        <f>Data!A484</f>
        <v/>
      </c>
      <c r="B485" s="4">
        <f>Data!B484</f>
        <v/>
      </c>
      <c r="C485" s="4">
        <f>Data!C484</f>
        <v/>
      </c>
      <c r="D485" s="4">
        <f>Data!I484</f>
        <v/>
      </c>
      <c r="E485" s="4">
        <f>Data!J484</f>
        <v/>
      </c>
      <c r="F485" s="4">
        <f>Data!H484</f>
        <v/>
      </c>
      <c r="G485" s="4">
        <f>SUM(Data!Q484:Data!Y484)</f>
        <v/>
      </c>
      <c r="H485" s="4">
        <f>Data!Z484</f>
        <v/>
      </c>
      <c r="I485" s="4">
        <f>Data!AB484</f>
        <v/>
      </c>
      <c r="J485" s="4">
        <f>Data!AD484</f>
        <v/>
      </c>
      <c r="K485" s="4">
        <f>Data!AE484</f>
        <v/>
      </c>
      <c r="L485" s="4">
        <f>Data!AF484</f>
        <v/>
      </c>
      <c r="M485" s="4">
        <f>Data!AG484</f>
        <v/>
      </c>
      <c r="N485" s="4">
        <f>Data!AH484</f>
        <v/>
      </c>
      <c r="O485" s="4">
        <f>Data!AI484</f>
        <v/>
      </c>
      <c r="P485" s="4">
        <f>Data!AJ484</f>
        <v/>
      </c>
      <c r="Q485" s="4">
        <f>Data!AK484</f>
        <v/>
      </c>
      <c r="R485" s="4">
        <f>Data!AL484</f>
        <v/>
      </c>
    </row>
    <row r="486">
      <c r="A486" s="4">
        <f>Data!A485</f>
        <v/>
      </c>
      <c r="B486" s="4">
        <f>Data!B485</f>
        <v/>
      </c>
      <c r="C486" s="4">
        <f>Data!C485</f>
        <v/>
      </c>
      <c r="D486" s="4">
        <f>Data!I485</f>
        <v/>
      </c>
      <c r="E486" s="4">
        <f>Data!J485</f>
        <v/>
      </c>
      <c r="F486" s="4">
        <f>Data!H485</f>
        <v/>
      </c>
      <c r="G486" s="4">
        <f>SUM(Data!Q485:Data!Y485)</f>
        <v/>
      </c>
      <c r="H486" s="4">
        <f>Data!Z485</f>
        <v/>
      </c>
      <c r="I486" s="4">
        <f>Data!AB485</f>
        <v/>
      </c>
      <c r="J486" s="4">
        <f>Data!AD485</f>
        <v/>
      </c>
      <c r="K486" s="4">
        <f>Data!AE485</f>
        <v/>
      </c>
      <c r="L486" s="4">
        <f>Data!AF485</f>
        <v/>
      </c>
      <c r="M486" s="4">
        <f>Data!AG485</f>
        <v/>
      </c>
      <c r="N486" s="4">
        <f>Data!AH485</f>
        <v/>
      </c>
      <c r="O486" s="4">
        <f>Data!AI485</f>
        <v/>
      </c>
      <c r="P486" s="4">
        <f>Data!AJ485</f>
        <v/>
      </c>
      <c r="Q486" s="4">
        <f>Data!AK485</f>
        <v/>
      </c>
      <c r="R486" s="4">
        <f>Data!AL485</f>
        <v/>
      </c>
    </row>
    <row r="487">
      <c r="A487" s="4">
        <f>Data!A486</f>
        <v/>
      </c>
      <c r="B487" s="4">
        <f>Data!B486</f>
        <v/>
      </c>
      <c r="C487" s="4">
        <f>Data!C486</f>
        <v/>
      </c>
      <c r="D487" s="4">
        <f>Data!I486</f>
        <v/>
      </c>
      <c r="E487" s="4">
        <f>Data!J486</f>
        <v/>
      </c>
      <c r="F487" s="4">
        <f>Data!H486</f>
        <v/>
      </c>
      <c r="G487" s="4">
        <f>SUM(Data!Q486:Data!Y486)</f>
        <v/>
      </c>
      <c r="H487" s="4">
        <f>Data!Z486</f>
        <v/>
      </c>
      <c r="I487" s="4">
        <f>Data!AB486</f>
        <v/>
      </c>
      <c r="J487" s="4">
        <f>Data!AD486</f>
        <v/>
      </c>
      <c r="K487" s="4">
        <f>Data!AE486</f>
        <v/>
      </c>
      <c r="L487" s="4">
        <f>Data!AF486</f>
        <v/>
      </c>
      <c r="M487" s="4">
        <f>Data!AG486</f>
        <v/>
      </c>
      <c r="N487" s="4">
        <f>Data!AH486</f>
        <v/>
      </c>
      <c r="O487" s="4">
        <f>Data!AI486</f>
        <v/>
      </c>
      <c r="P487" s="4">
        <f>Data!AJ486</f>
        <v/>
      </c>
      <c r="Q487" s="4">
        <f>Data!AK486</f>
        <v/>
      </c>
      <c r="R487" s="4">
        <f>Data!AL486</f>
        <v/>
      </c>
    </row>
    <row r="488">
      <c r="A488" s="4">
        <f>Data!A487</f>
        <v/>
      </c>
      <c r="B488" s="4">
        <f>Data!B487</f>
        <v/>
      </c>
      <c r="C488" s="4">
        <f>Data!C487</f>
        <v/>
      </c>
      <c r="D488" s="4">
        <f>Data!I487</f>
        <v/>
      </c>
      <c r="E488" s="4">
        <f>Data!J487</f>
        <v/>
      </c>
      <c r="F488" s="4">
        <f>Data!H487</f>
        <v/>
      </c>
      <c r="G488" s="4">
        <f>SUM(Data!Q487:Data!Y487)</f>
        <v/>
      </c>
      <c r="H488" s="4">
        <f>Data!Z487</f>
        <v/>
      </c>
      <c r="I488" s="4">
        <f>Data!AB487</f>
        <v/>
      </c>
      <c r="J488" s="4">
        <f>Data!AD487</f>
        <v/>
      </c>
      <c r="K488" s="4">
        <f>Data!AE487</f>
        <v/>
      </c>
      <c r="L488" s="4">
        <f>Data!AF487</f>
        <v/>
      </c>
      <c r="M488" s="4">
        <f>Data!AG487</f>
        <v/>
      </c>
      <c r="N488" s="4">
        <f>Data!AH487</f>
        <v/>
      </c>
      <c r="O488" s="4">
        <f>Data!AI487</f>
        <v/>
      </c>
      <c r="P488" s="4">
        <f>Data!AJ487</f>
        <v/>
      </c>
      <c r="Q488" s="4">
        <f>Data!AK487</f>
        <v/>
      </c>
      <c r="R488" s="4">
        <f>Data!AL487</f>
        <v/>
      </c>
    </row>
    <row r="489">
      <c r="A489" s="4">
        <f>Data!A488</f>
        <v/>
      </c>
      <c r="B489" s="4">
        <f>Data!B488</f>
        <v/>
      </c>
      <c r="C489" s="4">
        <f>Data!C488</f>
        <v/>
      </c>
      <c r="D489" s="4">
        <f>Data!I488</f>
        <v/>
      </c>
      <c r="E489" s="4">
        <f>Data!J488</f>
        <v/>
      </c>
      <c r="F489" s="4">
        <f>Data!H488</f>
        <v/>
      </c>
      <c r="G489" s="4">
        <f>SUM(Data!Q488:Data!Y488)</f>
        <v/>
      </c>
      <c r="H489" s="4">
        <f>Data!Z488</f>
        <v/>
      </c>
      <c r="I489" s="4">
        <f>Data!AB488</f>
        <v/>
      </c>
      <c r="J489" s="4">
        <f>Data!AD488</f>
        <v/>
      </c>
      <c r="K489" s="4">
        <f>Data!AE488</f>
        <v/>
      </c>
      <c r="L489" s="4">
        <f>Data!AF488</f>
        <v/>
      </c>
      <c r="M489" s="4">
        <f>Data!AG488</f>
        <v/>
      </c>
      <c r="N489" s="4">
        <f>Data!AH488</f>
        <v/>
      </c>
      <c r="O489" s="4">
        <f>Data!AI488</f>
        <v/>
      </c>
      <c r="P489" s="4">
        <f>Data!AJ488</f>
        <v/>
      </c>
      <c r="Q489" s="4">
        <f>Data!AK488</f>
        <v/>
      </c>
      <c r="R489" s="4">
        <f>Data!AL488</f>
        <v/>
      </c>
    </row>
    <row r="490">
      <c r="A490" s="4">
        <f>Data!A489</f>
        <v/>
      </c>
      <c r="B490" s="4">
        <f>Data!B489</f>
        <v/>
      </c>
      <c r="C490" s="4">
        <f>Data!C489</f>
        <v/>
      </c>
      <c r="D490" s="4">
        <f>Data!I489</f>
        <v/>
      </c>
      <c r="E490" s="4">
        <f>Data!J489</f>
        <v/>
      </c>
      <c r="F490" s="4">
        <f>Data!H489</f>
        <v/>
      </c>
      <c r="G490" s="4">
        <f>SUM(Data!Q489:Data!Y489)</f>
        <v/>
      </c>
      <c r="H490" s="4">
        <f>Data!Z489</f>
        <v/>
      </c>
      <c r="I490" s="4">
        <f>Data!AB489</f>
        <v/>
      </c>
      <c r="J490" s="4">
        <f>Data!AD489</f>
        <v/>
      </c>
      <c r="K490" s="4">
        <f>Data!AE489</f>
        <v/>
      </c>
      <c r="L490" s="4">
        <f>Data!AF489</f>
        <v/>
      </c>
      <c r="M490" s="4">
        <f>Data!AG489</f>
        <v/>
      </c>
      <c r="N490" s="4">
        <f>Data!AH489</f>
        <v/>
      </c>
      <c r="O490" s="4">
        <f>Data!AI489</f>
        <v/>
      </c>
      <c r="P490" s="4">
        <f>Data!AJ489</f>
        <v/>
      </c>
      <c r="Q490" s="4">
        <f>Data!AK489</f>
        <v/>
      </c>
      <c r="R490" s="4">
        <f>Data!AL489</f>
        <v/>
      </c>
    </row>
    <row r="491">
      <c r="A491" s="4">
        <f>Data!A490</f>
        <v/>
      </c>
      <c r="B491" s="4">
        <f>Data!B490</f>
        <v/>
      </c>
      <c r="C491" s="4">
        <f>Data!C490</f>
        <v/>
      </c>
      <c r="D491" s="4">
        <f>Data!I490</f>
        <v/>
      </c>
      <c r="E491" s="4">
        <f>Data!J490</f>
        <v/>
      </c>
      <c r="F491" s="4">
        <f>Data!H490</f>
        <v/>
      </c>
      <c r="G491" s="4">
        <f>SUM(Data!Q490:Data!Y490)</f>
        <v/>
      </c>
      <c r="H491" s="4">
        <f>Data!Z490</f>
        <v/>
      </c>
      <c r="I491" s="4">
        <f>Data!AB490</f>
        <v/>
      </c>
      <c r="J491" s="4">
        <f>Data!AD490</f>
        <v/>
      </c>
      <c r="K491" s="4">
        <f>Data!AE490</f>
        <v/>
      </c>
      <c r="L491" s="4">
        <f>Data!AF490</f>
        <v/>
      </c>
      <c r="M491" s="4">
        <f>Data!AG490</f>
        <v/>
      </c>
      <c r="N491" s="4">
        <f>Data!AH490</f>
        <v/>
      </c>
      <c r="O491" s="4">
        <f>Data!AI490</f>
        <v/>
      </c>
      <c r="P491" s="4">
        <f>Data!AJ490</f>
        <v/>
      </c>
      <c r="Q491" s="4">
        <f>Data!AK490</f>
        <v/>
      </c>
      <c r="R491" s="4">
        <f>Data!AL490</f>
        <v/>
      </c>
    </row>
    <row r="492">
      <c r="A492" s="4">
        <f>Data!A491</f>
        <v/>
      </c>
      <c r="B492" s="4">
        <f>Data!B491</f>
        <v/>
      </c>
      <c r="C492" s="4">
        <f>Data!C491</f>
        <v/>
      </c>
      <c r="D492" s="4">
        <f>Data!I491</f>
        <v/>
      </c>
      <c r="E492" s="4">
        <f>Data!J491</f>
        <v/>
      </c>
      <c r="F492" s="4">
        <f>Data!H491</f>
        <v/>
      </c>
      <c r="G492" s="4">
        <f>SUM(Data!Q491:Data!Y491)</f>
        <v/>
      </c>
      <c r="H492" s="4">
        <f>Data!Z491</f>
        <v/>
      </c>
      <c r="I492" s="4">
        <f>Data!AB491</f>
        <v/>
      </c>
      <c r="J492" s="4">
        <f>Data!AD491</f>
        <v/>
      </c>
      <c r="K492" s="4">
        <f>Data!AE491</f>
        <v/>
      </c>
      <c r="L492" s="4">
        <f>Data!AF491</f>
        <v/>
      </c>
      <c r="M492" s="4">
        <f>Data!AG491</f>
        <v/>
      </c>
      <c r="N492" s="4">
        <f>Data!AH491</f>
        <v/>
      </c>
      <c r="O492" s="4">
        <f>Data!AI491</f>
        <v/>
      </c>
      <c r="P492" s="4">
        <f>Data!AJ491</f>
        <v/>
      </c>
      <c r="Q492" s="4">
        <f>Data!AK491</f>
        <v/>
      </c>
      <c r="R492" s="4">
        <f>Data!AL491</f>
        <v/>
      </c>
    </row>
    <row r="493">
      <c r="A493" s="4">
        <f>Data!A492</f>
        <v/>
      </c>
      <c r="B493" s="4">
        <f>Data!B492</f>
        <v/>
      </c>
      <c r="C493" s="4">
        <f>Data!C492</f>
        <v/>
      </c>
      <c r="D493" s="4">
        <f>Data!I492</f>
        <v/>
      </c>
      <c r="E493" s="4">
        <f>Data!J492</f>
        <v/>
      </c>
      <c r="F493" s="4">
        <f>Data!H492</f>
        <v/>
      </c>
      <c r="G493" s="4">
        <f>SUM(Data!Q492:Data!Y492)</f>
        <v/>
      </c>
      <c r="H493" s="4">
        <f>Data!Z492</f>
        <v/>
      </c>
      <c r="I493" s="4">
        <f>Data!AB492</f>
        <v/>
      </c>
      <c r="J493" s="4">
        <f>Data!AD492</f>
        <v/>
      </c>
      <c r="K493" s="4">
        <f>Data!AE492</f>
        <v/>
      </c>
      <c r="L493" s="4">
        <f>Data!AF492</f>
        <v/>
      </c>
      <c r="M493" s="4">
        <f>Data!AG492</f>
        <v/>
      </c>
      <c r="N493" s="4">
        <f>Data!AH492</f>
        <v/>
      </c>
      <c r="O493" s="4">
        <f>Data!AI492</f>
        <v/>
      </c>
      <c r="P493" s="4">
        <f>Data!AJ492</f>
        <v/>
      </c>
      <c r="Q493" s="4">
        <f>Data!AK492</f>
        <v/>
      </c>
      <c r="R493" s="4">
        <f>Data!AL492</f>
        <v/>
      </c>
    </row>
    <row r="494">
      <c r="A494" s="4">
        <f>Data!A493</f>
        <v/>
      </c>
      <c r="B494" s="4">
        <f>Data!B493</f>
        <v/>
      </c>
      <c r="C494" s="4">
        <f>Data!C493</f>
        <v/>
      </c>
      <c r="D494" s="4">
        <f>Data!I493</f>
        <v/>
      </c>
      <c r="E494" s="4">
        <f>Data!J493</f>
        <v/>
      </c>
      <c r="F494" s="4">
        <f>Data!H493</f>
        <v/>
      </c>
      <c r="G494" s="4">
        <f>SUM(Data!Q493:Data!Y493)</f>
        <v/>
      </c>
      <c r="H494" s="4">
        <f>Data!Z493</f>
        <v/>
      </c>
      <c r="I494" s="4">
        <f>Data!AB493</f>
        <v/>
      </c>
      <c r="J494" s="4">
        <f>Data!AD493</f>
        <v/>
      </c>
      <c r="K494" s="4">
        <f>Data!AE493</f>
        <v/>
      </c>
      <c r="L494" s="4">
        <f>Data!AF493</f>
        <v/>
      </c>
      <c r="M494" s="4">
        <f>Data!AG493</f>
        <v/>
      </c>
      <c r="N494" s="4">
        <f>Data!AH493</f>
        <v/>
      </c>
      <c r="O494" s="4">
        <f>Data!AI493</f>
        <v/>
      </c>
      <c r="P494" s="4">
        <f>Data!AJ493</f>
        <v/>
      </c>
      <c r="Q494" s="4">
        <f>Data!AK493</f>
        <v/>
      </c>
      <c r="R494" s="4">
        <f>Data!AL493</f>
        <v/>
      </c>
    </row>
    <row r="495">
      <c r="A495" s="4">
        <f>Data!A494</f>
        <v/>
      </c>
      <c r="B495" s="4">
        <f>Data!B494</f>
        <v/>
      </c>
      <c r="C495" s="4">
        <f>Data!C494</f>
        <v/>
      </c>
      <c r="D495" s="4">
        <f>Data!I494</f>
        <v/>
      </c>
      <c r="E495" s="4">
        <f>Data!J494</f>
        <v/>
      </c>
      <c r="F495" s="4">
        <f>Data!H494</f>
        <v/>
      </c>
      <c r="G495" s="4">
        <f>SUM(Data!Q494:Data!Y494)</f>
        <v/>
      </c>
      <c r="H495" s="4">
        <f>Data!Z494</f>
        <v/>
      </c>
      <c r="I495" s="4">
        <f>Data!AB494</f>
        <v/>
      </c>
      <c r="J495" s="4">
        <f>Data!AD494</f>
        <v/>
      </c>
      <c r="K495" s="4">
        <f>Data!AE494</f>
        <v/>
      </c>
      <c r="L495" s="4">
        <f>Data!AF494</f>
        <v/>
      </c>
      <c r="M495" s="4">
        <f>Data!AG494</f>
        <v/>
      </c>
      <c r="N495" s="4">
        <f>Data!AH494</f>
        <v/>
      </c>
      <c r="O495" s="4">
        <f>Data!AI494</f>
        <v/>
      </c>
      <c r="P495" s="4">
        <f>Data!AJ494</f>
        <v/>
      </c>
      <c r="Q495" s="4">
        <f>Data!AK494</f>
        <v/>
      </c>
      <c r="R495" s="4">
        <f>Data!AL494</f>
        <v/>
      </c>
    </row>
    <row r="496">
      <c r="A496" s="4">
        <f>Data!A495</f>
        <v/>
      </c>
      <c r="B496" s="4">
        <f>Data!B495</f>
        <v/>
      </c>
      <c r="C496" s="4">
        <f>Data!C495</f>
        <v/>
      </c>
      <c r="D496" s="4">
        <f>Data!I495</f>
        <v/>
      </c>
      <c r="E496" s="4">
        <f>Data!J495</f>
        <v/>
      </c>
      <c r="F496" s="4">
        <f>Data!H495</f>
        <v/>
      </c>
      <c r="G496" s="4">
        <f>SUM(Data!Q495:Data!Y495)</f>
        <v/>
      </c>
      <c r="H496" s="4">
        <f>Data!Z495</f>
        <v/>
      </c>
      <c r="I496" s="4">
        <f>Data!AB495</f>
        <v/>
      </c>
      <c r="J496" s="4">
        <f>Data!AD495</f>
        <v/>
      </c>
      <c r="K496" s="4">
        <f>Data!AE495</f>
        <v/>
      </c>
      <c r="L496" s="4">
        <f>Data!AF495</f>
        <v/>
      </c>
      <c r="M496" s="4">
        <f>Data!AG495</f>
        <v/>
      </c>
      <c r="N496" s="4">
        <f>Data!AH495</f>
        <v/>
      </c>
      <c r="O496" s="4">
        <f>Data!AI495</f>
        <v/>
      </c>
      <c r="P496" s="4">
        <f>Data!AJ495</f>
        <v/>
      </c>
      <c r="Q496" s="4">
        <f>Data!AK495</f>
        <v/>
      </c>
      <c r="R496" s="4">
        <f>Data!AL495</f>
        <v/>
      </c>
    </row>
    <row r="497">
      <c r="A497" s="4">
        <f>Data!A496</f>
        <v/>
      </c>
      <c r="B497" s="4">
        <f>Data!B496</f>
        <v/>
      </c>
      <c r="C497" s="4">
        <f>Data!C496</f>
        <v/>
      </c>
      <c r="D497" s="4">
        <f>Data!I496</f>
        <v/>
      </c>
      <c r="E497" s="4">
        <f>Data!J496</f>
        <v/>
      </c>
      <c r="F497" s="4">
        <f>Data!H496</f>
        <v/>
      </c>
      <c r="G497" s="4">
        <f>SUM(Data!Q496:Data!Y496)</f>
        <v/>
      </c>
      <c r="H497" s="4">
        <f>Data!Z496</f>
        <v/>
      </c>
      <c r="I497" s="4">
        <f>Data!AB496</f>
        <v/>
      </c>
      <c r="J497" s="4">
        <f>Data!AD496</f>
        <v/>
      </c>
      <c r="K497" s="4">
        <f>Data!AE496</f>
        <v/>
      </c>
      <c r="L497" s="4">
        <f>Data!AF496</f>
        <v/>
      </c>
      <c r="M497" s="4">
        <f>Data!AG496</f>
        <v/>
      </c>
      <c r="N497" s="4">
        <f>Data!AH496</f>
        <v/>
      </c>
      <c r="O497" s="4">
        <f>Data!AI496</f>
        <v/>
      </c>
      <c r="P497" s="4">
        <f>Data!AJ496</f>
        <v/>
      </c>
      <c r="Q497" s="4">
        <f>Data!AK496</f>
        <v/>
      </c>
      <c r="R497" s="4">
        <f>Data!AL496</f>
        <v/>
      </c>
    </row>
    <row r="498">
      <c r="A498" s="4">
        <f>Data!A497</f>
        <v/>
      </c>
      <c r="B498" s="4">
        <f>Data!B497</f>
        <v/>
      </c>
      <c r="C498" s="4">
        <f>Data!C497</f>
        <v/>
      </c>
      <c r="D498" s="4">
        <f>Data!I497</f>
        <v/>
      </c>
      <c r="E498" s="4">
        <f>Data!J497</f>
        <v/>
      </c>
      <c r="F498" s="4">
        <f>Data!H497</f>
        <v/>
      </c>
      <c r="G498" s="4">
        <f>SUM(Data!Q497:Data!Y497)</f>
        <v/>
      </c>
      <c r="H498" s="4">
        <f>Data!Z497</f>
        <v/>
      </c>
      <c r="I498" s="4">
        <f>Data!AB497</f>
        <v/>
      </c>
      <c r="J498" s="4">
        <f>Data!AD497</f>
        <v/>
      </c>
      <c r="K498" s="4">
        <f>Data!AE497</f>
        <v/>
      </c>
      <c r="L498" s="4">
        <f>Data!AF497</f>
        <v/>
      </c>
      <c r="M498" s="4">
        <f>Data!AG497</f>
        <v/>
      </c>
      <c r="N498" s="4">
        <f>Data!AH497</f>
        <v/>
      </c>
      <c r="O498" s="4">
        <f>Data!AI497</f>
        <v/>
      </c>
      <c r="P498" s="4">
        <f>Data!AJ497</f>
        <v/>
      </c>
      <c r="Q498" s="4">
        <f>Data!AK497</f>
        <v/>
      </c>
      <c r="R498" s="4">
        <f>Data!AL497</f>
        <v/>
      </c>
    </row>
    <row r="499">
      <c r="A499" s="4">
        <f>Data!A498</f>
        <v/>
      </c>
      <c r="B499" s="4">
        <f>Data!B498</f>
        <v/>
      </c>
      <c r="C499" s="4">
        <f>Data!C498</f>
        <v/>
      </c>
      <c r="D499" s="4">
        <f>Data!I498</f>
        <v/>
      </c>
      <c r="E499" s="4">
        <f>Data!J498</f>
        <v/>
      </c>
      <c r="F499" s="4">
        <f>Data!H498</f>
        <v/>
      </c>
      <c r="G499" s="4">
        <f>SUM(Data!Q498:Data!Y498)</f>
        <v/>
      </c>
      <c r="H499" s="4">
        <f>Data!Z498</f>
        <v/>
      </c>
      <c r="I499" s="4">
        <f>Data!AB498</f>
        <v/>
      </c>
      <c r="J499" s="4">
        <f>Data!AD498</f>
        <v/>
      </c>
      <c r="K499" s="4">
        <f>Data!AE498</f>
        <v/>
      </c>
      <c r="L499" s="4">
        <f>Data!AF498</f>
        <v/>
      </c>
      <c r="M499" s="4">
        <f>Data!AG498</f>
        <v/>
      </c>
      <c r="N499" s="4">
        <f>Data!AH498</f>
        <v/>
      </c>
      <c r="O499" s="4">
        <f>Data!AI498</f>
        <v/>
      </c>
      <c r="P499" s="4">
        <f>Data!AJ498</f>
        <v/>
      </c>
      <c r="Q499" s="4">
        <f>Data!AK498</f>
        <v/>
      </c>
      <c r="R499" s="4">
        <f>Data!AL498</f>
        <v/>
      </c>
    </row>
    <row r="500">
      <c r="A500" s="4">
        <f>Data!A499</f>
        <v/>
      </c>
      <c r="B500" s="4">
        <f>Data!B499</f>
        <v/>
      </c>
      <c r="C500" s="4">
        <f>Data!C499</f>
        <v/>
      </c>
      <c r="D500" s="4">
        <f>Data!I499</f>
        <v/>
      </c>
      <c r="E500" s="4">
        <f>Data!J499</f>
        <v/>
      </c>
      <c r="F500" s="4">
        <f>Data!H499</f>
        <v/>
      </c>
      <c r="G500" s="4">
        <f>SUM(Data!Q499:Data!Y499)</f>
        <v/>
      </c>
      <c r="H500" s="4">
        <f>Data!Z499</f>
        <v/>
      </c>
      <c r="I500" s="4">
        <f>Data!AB499</f>
        <v/>
      </c>
      <c r="J500" s="4">
        <f>Data!AD499</f>
        <v/>
      </c>
      <c r="K500" s="4">
        <f>Data!AE499</f>
        <v/>
      </c>
      <c r="L500" s="4">
        <f>Data!AF499</f>
        <v/>
      </c>
      <c r="M500" s="4">
        <f>Data!AG499</f>
        <v/>
      </c>
      <c r="N500" s="4">
        <f>Data!AH499</f>
        <v/>
      </c>
      <c r="O500" s="4">
        <f>Data!AI499</f>
        <v/>
      </c>
      <c r="P500" s="4">
        <f>Data!AJ499</f>
        <v/>
      </c>
      <c r="Q500" s="4">
        <f>Data!AK499</f>
        <v/>
      </c>
      <c r="R500" s="4">
        <f>Data!AL499</f>
        <v/>
      </c>
    </row>
    <row r="501">
      <c r="A501" s="4">
        <f>Data!A500</f>
        <v/>
      </c>
      <c r="B501" s="4">
        <f>Data!B500</f>
        <v/>
      </c>
      <c r="C501" s="4">
        <f>Data!C500</f>
        <v/>
      </c>
      <c r="D501" s="4">
        <f>Data!I500</f>
        <v/>
      </c>
      <c r="E501" s="4">
        <f>Data!J500</f>
        <v/>
      </c>
      <c r="F501" s="4">
        <f>Data!H500</f>
        <v/>
      </c>
      <c r="G501" s="4">
        <f>SUM(Data!Q500:Data!Y500)</f>
        <v/>
      </c>
      <c r="H501" s="4">
        <f>Data!Z500</f>
        <v/>
      </c>
      <c r="I501" s="4">
        <f>Data!AB500</f>
        <v/>
      </c>
      <c r="J501" s="4">
        <f>Data!AD500</f>
        <v/>
      </c>
      <c r="K501" s="4">
        <f>Data!AE500</f>
        <v/>
      </c>
      <c r="L501" s="4">
        <f>Data!AF500</f>
        <v/>
      </c>
      <c r="M501" s="4">
        <f>Data!AG500</f>
        <v/>
      </c>
      <c r="N501" s="4">
        <f>Data!AH500</f>
        <v/>
      </c>
      <c r="O501" s="4">
        <f>Data!AI500</f>
        <v/>
      </c>
      <c r="P501" s="4">
        <f>Data!AJ500</f>
        <v/>
      </c>
      <c r="Q501" s="4">
        <f>Data!AK500</f>
        <v/>
      </c>
      <c r="R501" s="4">
        <f>Data!AL500</f>
        <v/>
      </c>
    </row>
    <row r="502">
      <c r="A502" s="4">
        <f>Data!A501</f>
        <v/>
      </c>
      <c r="B502" s="4">
        <f>Data!B501</f>
        <v/>
      </c>
      <c r="C502" s="4">
        <f>Data!C501</f>
        <v/>
      </c>
      <c r="D502" s="4">
        <f>Data!I501</f>
        <v/>
      </c>
      <c r="E502" s="4">
        <f>Data!J501</f>
        <v/>
      </c>
      <c r="F502" s="4">
        <f>Data!H501</f>
        <v/>
      </c>
      <c r="G502" s="4">
        <f>SUM(Data!Q501:Data!Y501)</f>
        <v/>
      </c>
      <c r="H502" s="4">
        <f>Data!Z501</f>
        <v/>
      </c>
      <c r="I502" s="4">
        <f>Data!AB501</f>
        <v/>
      </c>
      <c r="J502" s="4">
        <f>Data!AD501</f>
        <v/>
      </c>
      <c r="K502" s="4">
        <f>Data!AE501</f>
        <v/>
      </c>
      <c r="L502" s="4">
        <f>Data!AF501</f>
        <v/>
      </c>
      <c r="M502" s="4">
        <f>Data!AG501</f>
        <v/>
      </c>
      <c r="N502" s="4">
        <f>Data!AH501</f>
        <v/>
      </c>
      <c r="O502" s="4">
        <f>Data!AI501</f>
        <v/>
      </c>
      <c r="P502" s="4">
        <f>Data!AJ501</f>
        <v/>
      </c>
      <c r="Q502" s="4">
        <f>Data!AK501</f>
        <v/>
      </c>
      <c r="R502" s="4">
        <f>Data!AL501</f>
        <v/>
      </c>
    </row>
    <row r="503">
      <c r="A503" s="4">
        <f>Data!A502</f>
        <v/>
      </c>
      <c r="B503" s="4">
        <f>Data!B502</f>
        <v/>
      </c>
      <c r="C503" s="4">
        <f>Data!C502</f>
        <v/>
      </c>
      <c r="D503" s="4">
        <f>Data!I502</f>
        <v/>
      </c>
      <c r="E503" s="4">
        <f>Data!J502</f>
        <v/>
      </c>
      <c r="F503" s="4">
        <f>Data!H502</f>
        <v/>
      </c>
      <c r="G503" s="4">
        <f>SUM(Data!Q502:Data!Y502)</f>
        <v/>
      </c>
      <c r="H503" s="4">
        <f>Data!Z502</f>
        <v/>
      </c>
      <c r="I503" s="4">
        <f>Data!AB502</f>
        <v/>
      </c>
      <c r="J503" s="4">
        <f>Data!AD502</f>
        <v/>
      </c>
      <c r="K503" s="4">
        <f>Data!AE502</f>
        <v/>
      </c>
      <c r="L503" s="4">
        <f>Data!AF502</f>
        <v/>
      </c>
      <c r="M503" s="4">
        <f>Data!AG502</f>
        <v/>
      </c>
      <c r="N503" s="4">
        <f>Data!AH502</f>
        <v/>
      </c>
      <c r="O503" s="4">
        <f>Data!AI502</f>
        <v/>
      </c>
      <c r="P503" s="4">
        <f>Data!AJ502</f>
        <v/>
      </c>
      <c r="Q503" s="4">
        <f>Data!AK502</f>
        <v/>
      </c>
      <c r="R503" s="4">
        <f>Data!AL502</f>
        <v/>
      </c>
    </row>
    <row r="504">
      <c r="A504" s="4">
        <f>Data!A503</f>
        <v/>
      </c>
      <c r="B504" s="4">
        <f>Data!B503</f>
        <v/>
      </c>
      <c r="C504" s="4">
        <f>Data!C503</f>
        <v/>
      </c>
      <c r="D504" s="4">
        <f>Data!I503</f>
        <v/>
      </c>
      <c r="E504" s="4">
        <f>Data!J503</f>
        <v/>
      </c>
      <c r="F504" s="4">
        <f>Data!H503</f>
        <v/>
      </c>
      <c r="G504" s="4">
        <f>SUM(Data!Q503:Data!Y503)</f>
        <v/>
      </c>
      <c r="H504" s="4">
        <f>Data!Z503</f>
        <v/>
      </c>
      <c r="I504" s="4">
        <f>Data!AB503</f>
        <v/>
      </c>
      <c r="J504" s="4">
        <f>Data!AD503</f>
        <v/>
      </c>
      <c r="K504" s="4">
        <f>Data!AE503</f>
        <v/>
      </c>
      <c r="L504" s="4">
        <f>Data!AF503</f>
        <v/>
      </c>
      <c r="M504" s="4">
        <f>Data!AG503</f>
        <v/>
      </c>
      <c r="N504" s="4">
        <f>Data!AH503</f>
        <v/>
      </c>
      <c r="O504" s="4">
        <f>Data!AI503</f>
        <v/>
      </c>
      <c r="P504" s="4">
        <f>Data!AJ503</f>
        <v/>
      </c>
      <c r="Q504" s="4">
        <f>Data!AK503</f>
        <v/>
      </c>
      <c r="R504" s="4">
        <f>Data!AL503</f>
        <v/>
      </c>
    </row>
    <row r="505">
      <c r="A505" s="4">
        <f>Data!A504</f>
        <v/>
      </c>
      <c r="B505" s="4">
        <f>Data!B504</f>
        <v/>
      </c>
      <c r="C505" s="4">
        <f>Data!C504</f>
        <v/>
      </c>
      <c r="D505" s="4">
        <f>Data!I504</f>
        <v/>
      </c>
      <c r="E505" s="4">
        <f>Data!J504</f>
        <v/>
      </c>
      <c r="F505" s="4">
        <f>Data!H504</f>
        <v/>
      </c>
      <c r="G505" s="4">
        <f>SUM(Data!Q504:Data!Y504)</f>
        <v/>
      </c>
      <c r="H505" s="4">
        <f>Data!Z504</f>
        <v/>
      </c>
      <c r="I505" s="4">
        <f>Data!AB504</f>
        <v/>
      </c>
      <c r="J505" s="4">
        <f>Data!AD504</f>
        <v/>
      </c>
      <c r="K505" s="4">
        <f>Data!AE504</f>
        <v/>
      </c>
      <c r="L505" s="4">
        <f>Data!AF504</f>
        <v/>
      </c>
      <c r="M505" s="4">
        <f>Data!AG504</f>
        <v/>
      </c>
      <c r="N505" s="4">
        <f>Data!AH504</f>
        <v/>
      </c>
      <c r="O505" s="4">
        <f>Data!AI504</f>
        <v/>
      </c>
      <c r="P505" s="4">
        <f>Data!AJ504</f>
        <v/>
      </c>
      <c r="Q505" s="4">
        <f>Data!AK504</f>
        <v/>
      </c>
      <c r="R505" s="4">
        <f>Data!AL504</f>
        <v/>
      </c>
    </row>
    <row r="506">
      <c r="A506" s="4">
        <f>Data!A505</f>
        <v/>
      </c>
      <c r="B506" s="4">
        <f>Data!B505</f>
        <v/>
      </c>
      <c r="C506" s="4">
        <f>Data!C505</f>
        <v/>
      </c>
      <c r="D506" s="4">
        <f>Data!I505</f>
        <v/>
      </c>
      <c r="E506" s="4">
        <f>Data!J505</f>
        <v/>
      </c>
      <c r="F506" s="4">
        <f>Data!H505</f>
        <v/>
      </c>
      <c r="G506" s="4">
        <f>SUM(Data!Q505:Data!Y505)</f>
        <v/>
      </c>
      <c r="H506" s="4">
        <f>Data!Z505</f>
        <v/>
      </c>
      <c r="I506" s="4">
        <f>Data!AB505</f>
        <v/>
      </c>
      <c r="J506" s="4">
        <f>Data!AD505</f>
        <v/>
      </c>
      <c r="K506" s="4">
        <f>Data!AE505</f>
        <v/>
      </c>
      <c r="L506" s="4">
        <f>Data!AF505</f>
        <v/>
      </c>
      <c r="M506" s="4">
        <f>Data!AG505</f>
        <v/>
      </c>
      <c r="N506" s="4">
        <f>Data!AH505</f>
        <v/>
      </c>
      <c r="O506" s="4">
        <f>Data!AI505</f>
        <v/>
      </c>
      <c r="P506" s="4">
        <f>Data!AJ505</f>
        <v/>
      </c>
      <c r="Q506" s="4">
        <f>Data!AK505</f>
        <v/>
      </c>
      <c r="R506" s="4">
        <f>Data!AL505</f>
        <v/>
      </c>
    </row>
    <row r="507">
      <c r="A507" s="4">
        <f>Data!A506</f>
        <v/>
      </c>
      <c r="B507" s="4">
        <f>Data!B506</f>
        <v/>
      </c>
      <c r="C507" s="4">
        <f>Data!C506</f>
        <v/>
      </c>
      <c r="D507" s="4">
        <f>Data!I506</f>
        <v/>
      </c>
      <c r="E507" s="4">
        <f>Data!J506</f>
        <v/>
      </c>
      <c r="F507" s="4">
        <f>Data!H506</f>
        <v/>
      </c>
      <c r="G507" s="4">
        <f>SUM(Data!Q506:Data!Y506)</f>
        <v/>
      </c>
      <c r="H507" s="4">
        <f>Data!Z506</f>
        <v/>
      </c>
      <c r="I507" s="4">
        <f>Data!AB506</f>
        <v/>
      </c>
      <c r="J507" s="4">
        <f>Data!AD506</f>
        <v/>
      </c>
      <c r="K507" s="4">
        <f>Data!AE506</f>
        <v/>
      </c>
      <c r="L507" s="4">
        <f>Data!AF506</f>
        <v/>
      </c>
      <c r="M507" s="4">
        <f>Data!AG506</f>
        <v/>
      </c>
      <c r="N507" s="4">
        <f>Data!AH506</f>
        <v/>
      </c>
      <c r="O507" s="4">
        <f>Data!AI506</f>
        <v/>
      </c>
      <c r="P507" s="4">
        <f>Data!AJ506</f>
        <v/>
      </c>
      <c r="Q507" s="4">
        <f>Data!AK506</f>
        <v/>
      </c>
      <c r="R507" s="4">
        <f>Data!AL506</f>
        <v/>
      </c>
    </row>
    <row r="508">
      <c r="A508" s="4">
        <f>Data!A507</f>
        <v/>
      </c>
      <c r="B508" s="4">
        <f>Data!B507</f>
        <v/>
      </c>
      <c r="C508" s="4">
        <f>Data!C507</f>
        <v/>
      </c>
      <c r="D508" s="4">
        <f>Data!I507</f>
        <v/>
      </c>
      <c r="E508" s="4">
        <f>Data!J507</f>
        <v/>
      </c>
      <c r="F508" s="4">
        <f>Data!H507</f>
        <v/>
      </c>
      <c r="G508" s="4">
        <f>SUM(Data!Q507:Data!Y507)</f>
        <v/>
      </c>
      <c r="H508" s="4">
        <f>Data!Z507</f>
        <v/>
      </c>
      <c r="I508" s="4">
        <f>Data!AB507</f>
        <v/>
      </c>
      <c r="J508" s="4">
        <f>Data!AD507</f>
        <v/>
      </c>
      <c r="K508" s="4">
        <f>Data!AE507</f>
        <v/>
      </c>
      <c r="L508" s="4">
        <f>Data!AF507</f>
        <v/>
      </c>
      <c r="M508" s="4">
        <f>Data!AG507</f>
        <v/>
      </c>
      <c r="N508" s="4">
        <f>Data!AH507</f>
        <v/>
      </c>
      <c r="O508" s="4">
        <f>Data!AI507</f>
        <v/>
      </c>
      <c r="P508" s="4">
        <f>Data!AJ507</f>
        <v/>
      </c>
      <c r="Q508" s="4">
        <f>Data!AK507</f>
        <v/>
      </c>
      <c r="R508" s="4">
        <f>Data!AL507</f>
        <v/>
      </c>
    </row>
    <row r="509">
      <c r="A509" s="4">
        <f>Data!A508</f>
        <v/>
      </c>
      <c r="B509" s="4">
        <f>Data!B508</f>
        <v/>
      </c>
      <c r="C509" s="4">
        <f>Data!C508</f>
        <v/>
      </c>
      <c r="D509" s="4">
        <f>Data!I508</f>
        <v/>
      </c>
      <c r="E509" s="4">
        <f>Data!J508</f>
        <v/>
      </c>
      <c r="F509" s="4">
        <f>Data!H508</f>
        <v/>
      </c>
      <c r="G509" s="4">
        <f>SUM(Data!Q508:Data!Y508)</f>
        <v/>
      </c>
      <c r="H509" s="4">
        <f>Data!Z508</f>
        <v/>
      </c>
      <c r="I509" s="4">
        <f>Data!AB508</f>
        <v/>
      </c>
      <c r="J509" s="4">
        <f>Data!AD508</f>
        <v/>
      </c>
      <c r="K509" s="4">
        <f>Data!AE508</f>
        <v/>
      </c>
      <c r="L509" s="4">
        <f>Data!AF508</f>
        <v/>
      </c>
      <c r="M509" s="4">
        <f>Data!AG508</f>
        <v/>
      </c>
      <c r="N509" s="4">
        <f>Data!AH508</f>
        <v/>
      </c>
      <c r="O509" s="4">
        <f>Data!AI508</f>
        <v/>
      </c>
      <c r="P509" s="4">
        <f>Data!AJ508</f>
        <v/>
      </c>
      <c r="Q509" s="4">
        <f>Data!AK508</f>
        <v/>
      </c>
      <c r="R509" s="4">
        <f>Data!AL508</f>
        <v/>
      </c>
    </row>
    <row r="510">
      <c r="A510" s="4">
        <f>Data!A509</f>
        <v/>
      </c>
      <c r="B510" s="4">
        <f>Data!B509</f>
        <v/>
      </c>
      <c r="C510" s="4">
        <f>Data!C509</f>
        <v/>
      </c>
      <c r="D510" s="4">
        <f>Data!I509</f>
        <v/>
      </c>
      <c r="E510" s="4">
        <f>Data!J509</f>
        <v/>
      </c>
      <c r="F510" s="4">
        <f>Data!H509</f>
        <v/>
      </c>
      <c r="G510" s="4">
        <f>SUM(Data!Q509:Data!Y509)</f>
        <v/>
      </c>
      <c r="H510" s="4">
        <f>Data!Z509</f>
        <v/>
      </c>
      <c r="I510" s="4">
        <f>Data!AB509</f>
        <v/>
      </c>
      <c r="J510" s="4">
        <f>Data!AD509</f>
        <v/>
      </c>
      <c r="K510" s="4">
        <f>Data!AE509</f>
        <v/>
      </c>
      <c r="L510" s="4">
        <f>Data!AF509</f>
        <v/>
      </c>
      <c r="M510" s="4">
        <f>Data!AG509</f>
        <v/>
      </c>
      <c r="N510" s="4">
        <f>Data!AH509</f>
        <v/>
      </c>
      <c r="O510" s="4">
        <f>Data!AI509</f>
        <v/>
      </c>
      <c r="P510" s="4">
        <f>Data!AJ509</f>
        <v/>
      </c>
      <c r="Q510" s="4">
        <f>Data!AK509</f>
        <v/>
      </c>
      <c r="R510" s="4">
        <f>Data!AL509</f>
        <v/>
      </c>
    </row>
    <row r="511">
      <c r="A511" s="4">
        <f>Data!A510</f>
        <v/>
      </c>
      <c r="B511" s="4">
        <f>Data!B510</f>
        <v/>
      </c>
      <c r="C511" s="4">
        <f>Data!C510</f>
        <v/>
      </c>
      <c r="D511" s="4">
        <f>Data!I510</f>
        <v/>
      </c>
      <c r="E511" s="4">
        <f>Data!J510</f>
        <v/>
      </c>
      <c r="F511" s="4">
        <f>Data!H510</f>
        <v/>
      </c>
      <c r="G511" s="4">
        <f>SUM(Data!Q510:Data!Y510)</f>
        <v/>
      </c>
      <c r="H511" s="4">
        <f>Data!Z510</f>
        <v/>
      </c>
      <c r="I511" s="4">
        <f>Data!AB510</f>
        <v/>
      </c>
      <c r="J511" s="4">
        <f>Data!AD510</f>
        <v/>
      </c>
      <c r="K511" s="4">
        <f>Data!AE510</f>
        <v/>
      </c>
      <c r="L511" s="4">
        <f>Data!AF510</f>
        <v/>
      </c>
      <c r="M511" s="4">
        <f>Data!AG510</f>
        <v/>
      </c>
      <c r="N511" s="4">
        <f>Data!AH510</f>
        <v/>
      </c>
      <c r="O511" s="4">
        <f>Data!AI510</f>
        <v/>
      </c>
      <c r="P511" s="4">
        <f>Data!AJ510</f>
        <v/>
      </c>
      <c r="Q511" s="4">
        <f>Data!AK510</f>
        <v/>
      </c>
      <c r="R511" s="4">
        <f>Data!AL510</f>
        <v/>
      </c>
    </row>
    <row r="512">
      <c r="A512" s="4">
        <f>Data!A511</f>
        <v/>
      </c>
      <c r="B512" s="4">
        <f>Data!B511</f>
        <v/>
      </c>
      <c r="C512" s="4">
        <f>Data!C511</f>
        <v/>
      </c>
      <c r="D512" s="4">
        <f>Data!I511</f>
        <v/>
      </c>
      <c r="E512" s="4">
        <f>Data!J511</f>
        <v/>
      </c>
      <c r="F512" s="4">
        <f>Data!H511</f>
        <v/>
      </c>
      <c r="G512" s="4">
        <f>SUM(Data!Q511:Data!Y511)</f>
        <v/>
      </c>
      <c r="H512" s="4">
        <f>Data!Z511</f>
        <v/>
      </c>
      <c r="I512" s="4">
        <f>Data!AB511</f>
        <v/>
      </c>
      <c r="J512" s="4">
        <f>Data!AD511</f>
        <v/>
      </c>
      <c r="K512" s="4">
        <f>Data!AE511</f>
        <v/>
      </c>
      <c r="L512" s="4">
        <f>Data!AF511</f>
        <v/>
      </c>
      <c r="M512" s="4">
        <f>Data!AG511</f>
        <v/>
      </c>
      <c r="N512" s="4">
        <f>Data!AH511</f>
        <v/>
      </c>
      <c r="O512" s="4">
        <f>Data!AI511</f>
        <v/>
      </c>
      <c r="P512" s="4">
        <f>Data!AJ511</f>
        <v/>
      </c>
      <c r="Q512" s="4">
        <f>Data!AK511</f>
        <v/>
      </c>
      <c r="R512" s="4">
        <f>Data!AL511</f>
        <v/>
      </c>
    </row>
    <row r="513">
      <c r="A513" s="4">
        <f>Data!A512</f>
        <v/>
      </c>
      <c r="B513" s="4">
        <f>Data!B512</f>
        <v/>
      </c>
      <c r="C513" s="4">
        <f>Data!C512</f>
        <v/>
      </c>
      <c r="D513" s="4">
        <f>Data!I512</f>
        <v/>
      </c>
      <c r="E513" s="4">
        <f>Data!J512</f>
        <v/>
      </c>
      <c r="F513" s="4">
        <f>Data!H512</f>
        <v/>
      </c>
      <c r="G513" s="4">
        <f>SUM(Data!Q512:Data!Y512)</f>
        <v/>
      </c>
      <c r="H513" s="4">
        <f>Data!Z512</f>
        <v/>
      </c>
      <c r="I513" s="4">
        <f>Data!AB512</f>
        <v/>
      </c>
      <c r="J513" s="4">
        <f>Data!AD512</f>
        <v/>
      </c>
      <c r="K513" s="4">
        <f>Data!AE512</f>
        <v/>
      </c>
      <c r="L513" s="4">
        <f>Data!AF512</f>
        <v/>
      </c>
      <c r="M513" s="4">
        <f>Data!AG512</f>
        <v/>
      </c>
      <c r="N513" s="4">
        <f>Data!AH512</f>
        <v/>
      </c>
      <c r="O513" s="4">
        <f>Data!AI512</f>
        <v/>
      </c>
      <c r="P513" s="4">
        <f>Data!AJ512</f>
        <v/>
      </c>
      <c r="Q513" s="4">
        <f>Data!AK512</f>
        <v/>
      </c>
      <c r="R513" s="4">
        <f>Data!AL512</f>
        <v/>
      </c>
    </row>
    <row r="514">
      <c r="A514" s="4">
        <f>Data!A513</f>
        <v/>
      </c>
      <c r="B514" s="4">
        <f>Data!B513</f>
        <v/>
      </c>
      <c r="C514" s="4">
        <f>Data!C513</f>
        <v/>
      </c>
      <c r="D514" s="4">
        <f>Data!I513</f>
        <v/>
      </c>
      <c r="E514" s="4">
        <f>Data!J513</f>
        <v/>
      </c>
      <c r="F514" s="4">
        <f>Data!H513</f>
        <v/>
      </c>
      <c r="G514" s="4">
        <f>SUM(Data!Q513:Data!Y513)</f>
        <v/>
      </c>
      <c r="H514" s="4">
        <f>Data!Z513</f>
        <v/>
      </c>
      <c r="I514" s="4">
        <f>Data!AB513</f>
        <v/>
      </c>
      <c r="J514" s="4">
        <f>Data!AD513</f>
        <v/>
      </c>
      <c r="K514" s="4">
        <f>Data!AE513</f>
        <v/>
      </c>
      <c r="L514" s="4">
        <f>Data!AF513</f>
        <v/>
      </c>
      <c r="M514" s="4">
        <f>Data!AG513</f>
        <v/>
      </c>
      <c r="N514" s="4">
        <f>Data!AH513</f>
        <v/>
      </c>
      <c r="O514" s="4">
        <f>Data!AI513</f>
        <v/>
      </c>
      <c r="P514" s="4">
        <f>Data!AJ513</f>
        <v/>
      </c>
      <c r="Q514" s="4">
        <f>Data!AK513</f>
        <v/>
      </c>
      <c r="R514" s="4">
        <f>Data!AL513</f>
        <v/>
      </c>
    </row>
    <row r="515">
      <c r="A515" s="4">
        <f>Data!A514</f>
        <v/>
      </c>
      <c r="B515" s="4">
        <f>Data!B514</f>
        <v/>
      </c>
      <c r="C515" s="4">
        <f>Data!C514</f>
        <v/>
      </c>
      <c r="D515" s="4">
        <f>Data!I514</f>
        <v/>
      </c>
      <c r="E515" s="4">
        <f>Data!J514</f>
        <v/>
      </c>
      <c r="F515" s="4">
        <f>Data!H514</f>
        <v/>
      </c>
      <c r="G515" s="4">
        <f>SUM(Data!Q514:Data!Y514)</f>
        <v/>
      </c>
      <c r="H515" s="4">
        <f>Data!Z514</f>
        <v/>
      </c>
      <c r="I515" s="4">
        <f>Data!AB514</f>
        <v/>
      </c>
      <c r="J515" s="4">
        <f>Data!AD514</f>
        <v/>
      </c>
      <c r="K515" s="4">
        <f>Data!AE514</f>
        <v/>
      </c>
      <c r="L515" s="4">
        <f>Data!AF514</f>
        <v/>
      </c>
      <c r="M515" s="4">
        <f>Data!AG514</f>
        <v/>
      </c>
      <c r="N515" s="4">
        <f>Data!AH514</f>
        <v/>
      </c>
      <c r="O515" s="4">
        <f>Data!AI514</f>
        <v/>
      </c>
      <c r="P515" s="4">
        <f>Data!AJ514</f>
        <v/>
      </c>
      <c r="Q515" s="4">
        <f>Data!AK514</f>
        <v/>
      </c>
      <c r="R515" s="4">
        <f>Data!AL514</f>
        <v/>
      </c>
    </row>
    <row r="516">
      <c r="A516" s="4">
        <f>Data!A515</f>
        <v/>
      </c>
      <c r="B516" s="4">
        <f>Data!B515</f>
        <v/>
      </c>
      <c r="C516" s="4">
        <f>Data!C515</f>
        <v/>
      </c>
      <c r="D516" s="4">
        <f>Data!I515</f>
        <v/>
      </c>
      <c r="E516" s="4">
        <f>Data!J515</f>
        <v/>
      </c>
      <c r="F516" s="4">
        <f>Data!H515</f>
        <v/>
      </c>
      <c r="G516" s="4">
        <f>SUM(Data!Q515:Data!Y515)</f>
        <v/>
      </c>
      <c r="H516" s="4">
        <f>Data!Z515</f>
        <v/>
      </c>
      <c r="I516" s="4">
        <f>Data!AB515</f>
        <v/>
      </c>
      <c r="J516" s="4">
        <f>Data!AD515</f>
        <v/>
      </c>
      <c r="K516" s="4">
        <f>Data!AE515</f>
        <v/>
      </c>
      <c r="L516" s="4">
        <f>Data!AF515</f>
        <v/>
      </c>
      <c r="M516" s="4">
        <f>Data!AG515</f>
        <v/>
      </c>
      <c r="N516" s="4">
        <f>Data!AH515</f>
        <v/>
      </c>
      <c r="O516" s="4">
        <f>Data!AI515</f>
        <v/>
      </c>
      <c r="P516" s="4">
        <f>Data!AJ515</f>
        <v/>
      </c>
      <c r="Q516" s="4">
        <f>Data!AK515</f>
        <v/>
      </c>
      <c r="R516" s="4">
        <f>Data!AL515</f>
        <v/>
      </c>
    </row>
    <row r="517">
      <c r="A517" s="4">
        <f>Data!A516</f>
        <v/>
      </c>
      <c r="B517" s="4">
        <f>Data!B516</f>
        <v/>
      </c>
      <c r="C517" s="4">
        <f>Data!C516</f>
        <v/>
      </c>
      <c r="D517" s="4">
        <f>Data!I516</f>
        <v/>
      </c>
      <c r="E517" s="4">
        <f>Data!J516</f>
        <v/>
      </c>
      <c r="F517" s="4">
        <f>Data!H516</f>
        <v/>
      </c>
      <c r="G517" s="4">
        <f>SUM(Data!Q516:Data!Y516)</f>
        <v/>
      </c>
      <c r="H517" s="4">
        <f>Data!Z516</f>
        <v/>
      </c>
      <c r="I517" s="4">
        <f>Data!AB516</f>
        <v/>
      </c>
      <c r="J517" s="4">
        <f>Data!AD516</f>
        <v/>
      </c>
      <c r="K517" s="4">
        <f>Data!AE516</f>
        <v/>
      </c>
      <c r="L517" s="4">
        <f>Data!AF516</f>
        <v/>
      </c>
      <c r="M517" s="4">
        <f>Data!AG516</f>
        <v/>
      </c>
      <c r="N517" s="4">
        <f>Data!AH516</f>
        <v/>
      </c>
      <c r="O517" s="4">
        <f>Data!AI516</f>
        <v/>
      </c>
      <c r="P517" s="4">
        <f>Data!AJ516</f>
        <v/>
      </c>
      <c r="Q517" s="4">
        <f>Data!AK516</f>
        <v/>
      </c>
      <c r="R517" s="4">
        <f>Data!AL516</f>
        <v/>
      </c>
    </row>
    <row r="518">
      <c r="A518" s="4">
        <f>Data!A517</f>
        <v/>
      </c>
      <c r="B518" s="4">
        <f>Data!B517</f>
        <v/>
      </c>
      <c r="C518" s="4">
        <f>Data!C517</f>
        <v/>
      </c>
      <c r="D518" s="4">
        <f>Data!I517</f>
        <v/>
      </c>
      <c r="E518" s="4">
        <f>Data!J517</f>
        <v/>
      </c>
      <c r="F518" s="4">
        <f>Data!H517</f>
        <v/>
      </c>
      <c r="G518" s="4">
        <f>SUM(Data!Q517:Data!Y517)</f>
        <v/>
      </c>
      <c r="H518" s="4">
        <f>Data!Z517</f>
        <v/>
      </c>
      <c r="I518" s="4">
        <f>Data!AB517</f>
        <v/>
      </c>
      <c r="J518" s="4">
        <f>Data!AD517</f>
        <v/>
      </c>
      <c r="K518" s="4">
        <f>Data!AE517</f>
        <v/>
      </c>
      <c r="L518" s="4">
        <f>Data!AF517</f>
        <v/>
      </c>
      <c r="M518" s="4">
        <f>Data!AG517</f>
        <v/>
      </c>
      <c r="N518" s="4">
        <f>Data!AH517</f>
        <v/>
      </c>
      <c r="O518" s="4">
        <f>Data!AI517</f>
        <v/>
      </c>
      <c r="P518" s="4">
        <f>Data!AJ517</f>
        <v/>
      </c>
      <c r="Q518" s="4">
        <f>Data!AK517</f>
        <v/>
      </c>
      <c r="R518" s="4">
        <f>Data!AL517</f>
        <v/>
      </c>
    </row>
    <row r="519">
      <c r="A519" s="4">
        <f>Data!A518</f>
        <v/>
      </c>
      <c r="B519" s="4">
        <f>Data!B518</f>
        <v/>
      </c>
      <c r="C519" s="4">
        <f>Data!C518</f>
        <v/>
      </c>
      <c r="D519" s="4">
        <f>Data!I518</f>
        <v/>
      </c>
      <c r="E519" s="4">
        <f>Data!J518</f>
        <v/>
      </c>
      <c r="F519" s="4">
        <f>Data!H518</f>
        <v/>
      </c>
      <c r="G519" s="4">
        <f>SUM(Data!Q518:Data!Y518)</f>
        <v/>
      </c>
      <c r="H519" s="4">
        <f>Data!Z518</f>
        <v/>
      </c>
      <c r="I519" s="4">
        <f>Data!AB518</f>
        <v/>
      </c>
      <c r="J519" s="4">
        <f>Data!AD518</f>
        <v/>
      </c>
      <c r="K519" s="4">
        <f>Data!AE518</f>
        <v/>
      </c>
      <c r="L519" s="4">
        <f>Data!AF518</f>
        <v/>
      </c>
      <c r="M519" s="4">
        <f>Data!AG518</f>
        <v/>
      </c>
      <c r="N519" s="4">
        <f>Data!AH518</f>
        <v/>
      </c>
      <c r="O519" s="4">
        <f>Data!AI518</f>
        <v/>
      </c>
      <c r="P519" s="4">
        <f>Data!AJ518</f>
        <v/>
      </c>
      <c r="Q519" s="4">
        <f>Data!AK518</f>
        <v/>
      </c>
      <c r="R519" s="4">
        <f>Data!AL518</f>
        <v/>
      </c>
    </row>
    <row r="520">
      <c r="A520" s="4">
        <f>Data!A519</f>
        <v/>
      </c>
      <c r="B520" s="4">
        <f>Data!B519</f>
        <v/>
      </c>
      <c r="C520" s="4">
        <f>Data!C519</f>
        <v/>
      </c>
      <c r="D520" s="4">
        <f>Data!I519</f>
        <v/>
      </c>
      <c r="E520" s="4">
        <f>Data!J519</f>
        <v/>
      </c>
      <c r="F520" s="4">
        <f>Data!H519</f>
        <v/>
      </c>
      <c r="G520" s="4">
        <f>SUM(Data!Q519:Data!Y519)</f>
        <v/>
      </c>
      <c r="H520" s="4">
        <f>Data!Z519</f>
        <v/>
      </c>
      <c r="I520" s="4">
        <f>Data!AB519</f>
        <v/>
      </c>
      <c r="J520" s="4">
        <f>Data!AD519</f>
        <v/>
      </c>
      <c r="K520" s="4">
        <f>Data!AE519</f>
        <v/>
      </c>
      <c r="L520" s="4">
        <f>Data!AF519</f>
        <v/>
      </c>
      <c r="M520" s="4">
        <f>Data!AG519</f>
        <v/>
      </c>
      <c r="N520" s="4">
        <f>Data!AH519</f>
        <v/>
      </c>
      <c r="O520" s="4">
        <f>Data!AI519</f>
        <v/>
      </c>
      <c r="P520" s="4">
        <f>Data!AJ519</f>
        <v/>
      </c>
      <c r="Q520" s="4">
        <f>Data!AK519</f>
        <v/>
      </c>
      <c r="R520" s="4">
        <f>Data!AL519</f>
        <v/>
      </c>
    </row>
    <row r="521">
      <c r="A521" s="4">
        <f>Data!A520</f>
        <v/>
      </c>
      <c r="B521" s="4">
        <f>Data!B520</f>
        <v/>
      </c>
      <c r="C521" s="4">
        <f>Data!C520</f>
        <v/>
      </c>
      <c r="D521" s="4">
        <f>Data!I520</f>
        <v/>
      </c>
      <c r="E521" s="4">
        <f>Data!J520</f>
        <v/>
      </c>
      <c r="F521" s="4">
        <f>Data!H520</f>
        <v/>
      </c>
      <c r="G521" s="4">
        <f>SUM(Data!Q520:Data!Y520)</f>
        <v/>
      </c>
      <c r="H521" s="4">
        <f>Data!Z520</f>
        <v/>
      </c>
      <c r="I521" s="4">
        <f>Data!AB520</f>
        <v/>
      </c>
      <c r="J521" s="4">
        <f>Data!AD520</f>
        <v/>
      </c>
      <c r="K521" s="4">
        <f>Data!AE520</f>
        <v/>
      </c>
      <c r="L521" s="4">
        <f>Data!AF520</f>
        <v/>
      </c>
      <c r="M521" s="4">
        <f>Data!AG520</f>
        <v/>
      </c>
      <c r="N521" s="4">
        <f>Data!AH520</f>
        <v/>
      </c>
      <c r="O521" s="4">
        <f>Data!AI520</f>
        <v/>
      </c>
      <c r="P521" s="4">
        <f>Data!AJ520</f>
        <v/>
      </c>
      <c r="Q521" s="4">
        <f>Data!AK520</f>
        <v/>
      </c>
      <c r="R521" s="4">
        <f>Data!AL520</f>
        <v/>
      </c>
    </row>
    <row r="522">
      <c r="A522" s="4">
        <f>Data!A521</f>
        <v/>
      </c>
      <c r="B522" s="4">
        <f>Data!B521</f>
        <v/>
      </c>
      <c r="C522" s="4">
        <f>Data!C521</f>
        <v/>
      </c>
      <c r="D522" s="4">
        <f>Data!I521</f>
        <v/>
      </c>
      <c r="E522" s="4">
        <f>Data!J521</f>
        <v/>
      </c>
      <c r="F522" s="4">
        <f>Data!H521</f>
        <v/>
      </c>
      <c r="G522" s="4">
        <f>SUM(Data!Q521:Data!Y521)</f>
        <v/>
      </c>
      <c r="H522" s="4">
        <f>Data!Z521</f>
        <v/>
      </c>
      <c r="I522" s="4">
        <f>Data!AB521</f>
        <v/>
      </c>
      <c r="J522" s="4">
        <f>Data!AD521</f>
        <v/>
      </c>
      <c r="K522" s="4">
        <f>Data!AE521</f>
        <v/>
      </c>
      <c r="L522" s="4">
        <f>Data!AF521</f>
        <v/>
      </c>
      <c r="M522" s="4">
        <f>Data!AG521</f>
        <v/>
      </c>
      <c r="N522" s="4">
        <f>Data!AH521</f>
        <v/>
      </c>
      <c r="O522" s="4">
        <f>Data!AI521</f>
        <v/>
      </c>
      <c r="P522" s="4">
        <f>Data!AJ521</f>
        <v/>
      </c>
      <c r="Q522" s="4">
        <f>Data!AK521</f>
        <v/>
      </c>
      <c r="R522" s="4">
        <f>Data!AL521</f>
        <v/>
      </c>
    </row>
    <row r="523">
      <c r="A523" s="4">
        <f>Data!A522</f>
        <v/>
      </c>
      <c r="B523" s="4">
        <f>Data!B522</f>
        <v/>
      </c>
      <c r="C523" s="4">
        <f>Data!C522</f>
        <v/>
      </c>
      <c r="D523" s="4">
        <f>Data!I522</f>
        <v/>
      </c>
      <c r="E523" s="4">
        <f>Data!J522</f>
        <v/>
      </c>
      <c r="F523" s="4">
        <f>Data!H522</f>
        <v/>
      </c>
      <c r="G523" s="4">
        <f>SUM(Data!Q522:Data!Y522)</f>
        <v/>
      </c>
      <c r="H523" s="4">
        <f>Data!Z522</f>
        <v/>
      </c>
      <c r="I523" s="4">
        <f>Data!AB522</f>
        <v/>
      </c>
      <c r="J523" s="4">
        <f>Data!AD522</f>
        <v/>
      </c>
      <c r="K523" s="4">
        <f>Data!AE522</f>
        <v/>
      </c>
      <c r="L523" s="4">
        <f>Data!AF522</f>
        <v/>
      </c>
      <c r="M523" s="4">
        <f>Data!AG522</f>
        <v/>
      </c>
      <c r="N523" s="4">
        <f>Data!AH522</f>
        <v/>
      </c>
      <c r="O523" s="4">
        <f>Data!AI522</f>
        <v/>
      </c>
      <c r="P523" s="4">
        <f>Data!AJ522</f>
        <v/>
      </c>
      <c r="Q523" s="4">
        <f>Data!AK522</f>
        <v/>
      </c>
      <c r="R523" s="4">
        <f>Data!AL522</f>
        <v/>
      </c>
    </row>
    <row r="524">
      <c r="A524" s="4">
        <f>Data!A523</f>
        <v/>
      </c>
      <c r="B524" s="4">
        <f>Data!B523</f>
        <v/>
      </c>
      <c r="C524" s="4">
        <f>Data!C523</f>
        <v/>
      </c>
      <c r="D524" s="4">
        <f>Data!I523</f>
        <v/>
      </c>
      <c r="E524" s="4">
        <f>Data!J523</f>
        <v/>
      </c>
      <c r="F524" s="4">
        <f>Data!H523</f>
        <v/>
      </c>
      <c r="G524" s="4">
        <f>SUM(Data!Q523:Data!Y523)</f>
        <v/>
      </c>
      <c r="H524" s="4">
        <f>Data!Z523</f>
        <v/>
      </c>
      <c r="I524" s="4">
        <f>Data!AB523</f>
        <v/>
      </c>
      <c r="J524" s="4">
        <f>Data!AD523</f>
        <v/>
      </c>
      <c r="K524" s="4">
        <f>Data!AE523</f>
        <v/>
      </c>
      <c r="L524" s="4">
        <f>Data!AF523</f>
        <v/>
      </c>
      <c r="M524" s="4">
        <f>Data!AG523</f>
        <v/>
      </c>
      <c r="N524" s="4">
        <f>Data!AH523</f>
        <v/>
      </c>
      <c r="O524" s="4">
        <f>Data!AI523</f>
        <v/>
      </c>
      <c r="P524" s="4">
        <f>Data!AJ523</f>
        <v/>
      </c>
      <c r="Q524" s="4">
        <f>Data!AK523</f>
        <v/>
      </c>
      <c r="R524" s="4">
        <f>Data!AL523</f>
        <v/>
      </c>
    </row>
    <row r="525">
      <c r="A525" s="4">
        <f>Data!A524</f>
        <v/>
      </c>
      <c r="B525" s="4">
        <f>Data!B524</f>
        <v/>
      </c>
      <c r="C525" s="4">
        <f>Data!C524</f>
        <v/>
      </c>
      <c r="D525" s="4">
        <f>Data!I524</f>
        <v/>
      </c>
      <c r="E525" s="4">
        <f>Data!J524</f>
        <v/>
      </c>
      <c r="F525" s="4">
        <f>Data!H524</f>
        <v/>
      </c>
      <c r="G525" s="4">
        <f>SUM(Data!Q524:Data!Y524)</f>
        <v/>
      </c>
      <c r="H525" s="4">
        <f>Data!Z524</f>
        <v/>
      </c>
      <c r="I525" s="4">
        <f>Data!AB524</f>
        <v/>
      </c>
      <c r="J525" s="4">
        <f>Data!AD524</f>
        <v/>
      </c>
      <c r="K525" s="4">
        <f>Data!AE524</f>
        <v/>
      </c>
      <c r="L525" s="4">
        <f>Data!AF524</f>
        <v/>
      </c>
      <c r="M525" s="4">
        <f>Data!AG524</f>
        <v/>
      </c>
      <c r="N525" s="4">
        <f>Data!AH524</f>
        <v/>
      </c>
      <c r="O525" s="4">
        <f>Data!AI524</f>
        <v/>
      </c>
      <c r="P525" s="4">
        <f>Data!AJ524</f>
        <v/>
      </c>
      <c r="Q525" s="4">
        <f>Data!AK524</f>
        <v/>
      </c>
      <c r="R525" s="4">
        <f>Data!AL524</f>
        <v/>
      </c>
    </row>
    <row r="526">
      <c r="A526" s="4">
        <f>Data!A525</f>
        <v/>
      </c>
      <c r="B526" s="4">
        <f>Data!B525</f>
        <v/>
      </c>
      <c r="C526" s="4">
        <f>Data!C525</f>
        <v/>
      </c>
      <c r="D526" s="4">
        <f>Data!I525</f>
        <v/>
      </c>
      <c r="E526" s="4">
        <f>Data!J525</f>
        <v/>
      </c>
      <c r="F526" s="4">
        <f>Data!H525</f>
        <v/>
      </c>
      <c r="G526" s="4">
        <f>SUM(Data!Q525:Data!Y525)</f>
        <v/>
      </c>
      <c r="H526" s="4">
        <f>Data!Z525</f>
        <v/>
      </c>
      <c r="I526" s="4">
        <f>Data!AB525</f>
        <v/>
      </c>
      <c r="J526" s="4">
        <f>Data!AD525</f>
        <v/>
      </c>
      <c r="K526" s="4">
        <f>Data!AE525</f>
        <v/>
      </c>
      <c r="L526" s="4">
        <f>Data!AF525</f>
        <v/>
      </c>
      <c r="M526" s="4">
        <f>Data!AG525</f>
        <v/>
      </c>
      <c r="N526" s="4">
        <f>Data!AH525</f>
        <v/>
      </c>
      <c r="O526" s="4">
        <f>Data!AI525</f>
        <v/>
      </c>
      <c r="P526" s="4">
        <f>Data!AJ525</f>
        <v/>
      </c>
      <c r="Q526" s="4">
        <f>Data!AK525</f>
        <v/>
      </c>
      <c r="R526" s="4">
        <f>Data!AL525</f>
        <v/>
      </c>
    </row>
    <row r="527">
      <c r="A527" s="4">
        <f>Data!A526</f>
        <v/>
      </c>
      <c r="B527" s="4">
        <f>Data!B526</f>
        <v/>
      </c>
      <c r="C527" s="4">
        <f>Data!C526</f>
        <v/>
      </c>
      <c r="D527" s="4">
        <f>Data!I526</f>
        <v/>
      </c>
      <c r="E527" s="4">
        <f>Data!J526</f>
        <v/>
      </c>
      <c r="F527" s="4">
        <f>Data!H526</f>
        <v/>
      </c>
      <c r="G527" s="4">
        <f>SUM(Data!Q526:Data!Y526)</f>
        <v/>
      </c>
      <c r="H527" s="4">
        <f>Data!Z526</f>
        <v/>
      </c>
      <c r="I527" s="4">
        <f>Data!AB526</f>
        <v/>
      </c>
      <c r="J527" s="4">
        <f>Data!AD526</f>
        <v/>
      </c>
      <c r="K527" s="4">
        <f>Data!AE526</f>
        <v/>
      </c>
      <c r="L527" s="4">
        <f>Data!AF526</f>
        <v/>
      </c>
      <c r="M527" s="4">
        <f>Data!AG526</f>
        <v/>
      </c>
      <c r="N527" s="4">
        <f>Data!AH526</f>
        <v/>
      </c>
      <c r="O527" s="4">
        <f>Data!AI526</f>
        <v/>
      </c>
      <c r="P527" s="4">
        <f>Data!AJ526</f>
        <v/>
      </c>
      <c r="Q527" s="4">
        <f>Data!AK526</f>
        <v/>
      </c>
      <c r="R527" s="4">
        <f>Data!AL526</f>
        <v/>
      </c>
    </row>
    <row r="528">
      <c r="A528" s="4">
        <f>Data!A527</f>
        <v/>
      </c>
      <c r="B528" s="4">
        <f>Data!B527</f>
        <v/>
      </c>
      <c r="C528" s="4">
        <f>Data!C527</f>
        <v/>
      </c>
      <c r="D528" s="4">
        <f>Data!I527</f>
        <v/>
      </c>
      <c r="E528" s="4">
        <f>Data!J527</f>
        <v/>
      </c>
      <c r="F528" s="4">
        <f>Data!H527</f>
        <v/>
      </c>
      <c r="G528" s="4">
        <f>SUM(Data!Q527:Data!Y527)</f>
        <v/>
      </c>
      <c r="H528" s="4">
        <f>Data!Z527</f>
        <v/>
      </c>
      <c r="I528" s="4">
        <f>Data!AB527</f>
        <v/>
      </c>
      <c r="J528" s="4">
        <f>Data!AD527</f>
        <v/>
      </c>
      <c r="K528" s="4">
        <f>Data!AE527</f>
        <v/>
      </c>
      <c r="L528" s="4">
        <f>Data!AF527</f>
        <v/>
      </c>
      <c r="M528" s="4">
        <f>Data!AG527</f>
        <v/>
      </c>
      <c r="N528" s="4">
        <f>Data!AH527</f>
        <v/>
      </c>
      <c r="O528" s="4">
        <f>Data!AI527</f>
        <v/>
      </c>
      <c r="P528" s="4">
        <f>Data!AJ527</f>
        <v/>
      </c>
      <c r="Q528" s="4">
        <f>Data!AK527</f>
        <v/>
      </c>
      <c r="R528" s="4">
        <f>Data!AL527</f>
        <v/>
      </c>
    </row>
    <row r="529">
      <c r="A529" s="4">
        <f>Data!A528</f>
        <v/>
      </c>
      <c r="B529" s="4">
        <f>Data!B528</f>
        <v/>
      </c>
      <c r="C529" s="4">
        <f>Data!C528</f>
        <v/>
      </c>
      <c r="D529" s="4">
        <f>Data!I528</f>
        <v/>
      </c>
      <c r="E529" s="4">
        <f>Data!J528</f>
        <v/>
      </c>
      <c r="F529" s="4">
        <f>Data!H528</f>
        <v/>
      </c>
      <c r="G529" s="4">
        <f>SUM(Data!Q528:Data!Y528)</f>
        <v/>
      </c>
      <c r="H529" s="4">
        <f>Data!Z528</f>
        <v/>
      </c>
      <c r="I529" s="4">
        <f>Data!AB528</f>
        <v/>
      </c>
      <c r="J529" s="4">
        <f>Data!AD528</f>
        <v/>
      </c>
      <c r="K529" s="4">
        <f>Data!AE528</f>
        <v/>
      </c>
      <c r="L529" s="4">
        <f>Data!AF528</f>
        <v/>
      </c>
      <c r="M529" s="4">
        <f>Data!AG528</f>
        <v/>
      </c>
      <c r="N529" s="4">
        <f>Data!AH528</f>
        <v/>
      </c>
      <c r="O529" s="4">
        <f>Data!AI528</f>
        <v/>
      </c>
      <c r="P529" s="4">
        <f>Data!AJ528</f>
        <v/>
      </c>
      <c r="Q529" s="4">
        <f>Data!AK528</f>
        <v/>
      </c>
      <c r="R529" s="4">
        <f>Data!AL528</f>
        <v/>
      </c>
    </row>
    <row r="530">
      <c r="A530" s="4">
        <f>Data!A529</f>
        <v/>
      </c>
      <c r="B530" s="4">
        <f>Data!B529</f>
        <v/>
      </c>
      <c r="C530" s="4">
        <f>Data!C529</f>
        <v/>
      </c>
      <c r="D530" s="4">
        <f>Data!I529</f>
        <v/>
      </c>
      <c r="E530" s="4">
        <f>Data!J529</f>
        <v/>
      </c>
      <c r="F530" s="4">
        <f>Data!H529</f>
        <v/>
      </c>
      <c r="G530" s="4">
        <f>SUM(Data!Q529:Data!Y529)</f>
        <v/>
      </c>
      <c r="H530" s="4">
        <f>Data!Z529</f>
        <v/>
      </c>
      <c r="I530" s="4">
        <f>Data!AB529</f>
        <v/>
      </c>
      <c r="J530" s="4">
        <f>Data!AD529</f>
        <v/>
      </c>
      <c r="K530" s="4">
        <f>Data!AE529</f>
        <v/>
      </c>
      <c r="L530" s="4">
        <f>Data!AF529</f>
        <v/>
      </c>
      <c r="M530" s="4">
        <f>Data!AG529</f>
        <v/>
      </c>
      <c r="N530" s="4">
        <f>Data!AH529</f>
        <v/>
      </c>
      <c r="O530" s="4">
        <f>Data!AI529</f>
        <v/>
      </c>
      <c r="P530" s="4">
        <f>Data!AJ529</f>
        <v/>
      </c>
      <c r="Q530" s="4">
        <f>Data!AK529</f>
        <v/>
      </c>
      <c r="R530" s="4">
        <f>Data!AL529</f>
        <v/>
      </c>
    </row>
    <row r="531">
      <c r="A531" s="4">
        <f>Data!A530</f>
        <v/>
      </c>
      <c r="B531" s="4">
        <f>Data!B530</f>
        <v/>
      </c>
      <c r="C531" s="4">
        <f>Data!C530</f>
        <v/>
      </c>
      <c r="D531" s="4">
        <f>Data!I530</f>
        <v/>
      </c>
      <c r="E531" s="4">
        <f>Data!J530</f>
        <v/>
      </c>
      <c r="F531" s="4">
        <f>Data!H530</f>
        <v/>
      </c>
      <c r="G531" s="4">
        <f>SUM(Data!Q530:Data!Y530)</f>
        <v/>
      </c>
      <c r="H531" s="4">
        <f>Data!Z530</f>
        <v/>
      </c>
      <c r="I531" s="4">
        <f>Data!AB530</f>
        <v/>
      </c>
      <c r="J531" s="4">
        <f>Data!AD530</f>
        <v/>
      </c>
      <c r="K531" s="4">
        <f>Data!AE530</f>
        <v/>
      </c>
      <c r="L531" s="4">
        <f>Data!AF530</f>
        <v/>
      </c>
      <c r="M531" s="4">
        <f>Data!AG530</f>
        <v/>
      </c>
      <c r="N531" s="4">
        <f>Data!AH530</f>
        <v/>
      </c>
      <c r="O531" s="4">
        <f>Data!AI530</f>
        <v/>
      </c>
      <c r="P531" s="4">
        <f>Data!AJ530</f>
        <v/>
      </c>
      <c r="Q531" s="4">
        <f>Data!AK530</f>
        <v/>
      </c>
      <c r="R531" s="4">
        <f>Data!AL530</f>
        <v/>
      </c>
    </row>
    <row r="532">
      <c r="A532" s="4">
        <f>Data!A531</f>
        <v/>
      </c>
      <c r="B532" s="4">
        <f>Data!B531</f>
        <v/>
      </c>
      <c r="C532" s="4">
        <f>Data!C531</f>
        <v/>
      </c>
      <c r="D532" s="4">
        <f>Data!I531</f>
        <v/>
      </c>
      <c r="E532" s="4">
        <f>Data!J531</f>
        <v/>
      </c>
      <c r="F532" s="4">
        <f>Data!H531</f>
        <v/>
      </c>
      <c r="G532" s="4">
        <f>SUM(Data!Q531:Data!Y531)</f>
        <v/>
      </c>
      <c r="H532" s="4">
        <f>Data!Z531</f>
        <v/>
      </c>
      <c r="I532" s="4">
        <f>Data!AB531</f>
        <v/>
      </c>
      <c r="J532" s="4">
        <f>Data!AD531</f>
        <v/>
      </c>
      <c r="K532" s="4">
        <f>Data!AE531</f>
        <v/>
      </c>
      <c r="L532" s="4">
        <f>Data!AF531</f>
        <v/>
      </c>
      <c r="M532" s="4">
        <f>Data!AG531</f>
        <v/>
      </c>
      <c r="N532" s="4">
        <f>Data!AH531</f>
        <v/>
      </c>
      <c r="O532" s="4">
        <f>Data!AI531</f>
        <v/>
      </c>
      <c r="P532" s="4">
        <f>Data!AJ531</f>
        <v/>
      </c>
      <c r="Q532" s="4">
        <f>Data!AK531</f>
        <v/>
      </c>
      <c r="R532" s="4">
        <f>Data!AL531</f>
        <v/>
      </c>
    </row>
    <row r="533">
      <c r="A533" s="4">
        <f>Data!A532</f>
        <v/>
      </c>
      <c r="B533" s="4">
        <f>Data!B532</f>
        <v/>
      </c>
      <c r="C533" s="4">
        <f>Data!C532</f>
        <v/>
      </c>
      <c r="D533" s="4">
        <f>Data!I532</f>
        <v/>
      </c>
      <c r="E533" s="4">
        <f>Data!J532</f>
        <v/>
      </c>
      <c r="F533" s="4">
        <f>Data!H532</f>
        <v/>
      </c>
      <c r="G533" s="4">
        <f>SUM(Data!Q532:Data!Y532)</f>
        <v/>
      </c>
      <c r="H533" s="4">
        <f>Data!Z532</f>
        <v/>
      </c>
      <c r="I533" s="4">
        <f>Data!AB532</f>
        <v/>
      </c>
      <c r="J533" s="4">
        <f>Data!AD532</f>
        <v/>
      </c>
      <c r="K533" s="4">
        <f>Data!AE532</f>
        <v/>
      </c>
      <c r="L533" s="4">
        <f>Data!AF532</f>
        <v/>
      </c>
      <c r="M533" s="4">
        <f>Data!AG532</f>
        <v/>
      </c>
      <c r="N533" s="4">
        <f>Data!AH532</f>
        <v/>
      </c>
      <c r="O533" s="4">
        <f>Data!AI532</f>
        <v/>
      </c>
      <c r="P533" s="4">
        <f>Data!AJ532</f>
        <v/>
      </c>
      <c r="Q533" s="4">
        <f>Data!AK532</f>
        <v/>
      </c>
      <c r="R533" s="4">
        <f>Data!AL532</f>
        <v/>
      </c>
    </row>
    <row r="534">
      <c r="A534" s="4">
        <f>Data!A533</f>
        <v/>
      </c>
      <c r="B534" s="4">
        <f>Data!B533</f>
        <v/>
      </c>
      <c r="C534" s="4">
        <f>Data!C533</f>
        <v/>
      </c>
      <c r="D534" s="4">
        <f>Data!I533</f>
        <v/>
      </c>
      <c r="E534" s="4">
        <f>Data!J533</f>
        <v/>
      </c>
      <c r="F534" s="4">
        <f>Data!H533</f>
        <v/>
      </c>
      <c r="G534" s="4">
        <f>SUM(Data!Q533:Data!Y533)</f>
        <v/>
      </c>
      <c r="H534" s="4">
        <f>Data!Z533</f>
        <v/>
      </c>
      <c r="I534" s="4">
        <f>Data!AB533</f>
        <v/>
      </c>
      <c r="J534" s="4">
        <f>Data!AD533</f>
        <v/>
      </c>
      <c r="K534" s="4">
        <f>Data!AE533</f>
        <v/>
      </c>
      <c r="L534" s="4">
        <f>Data!AF533</f>
        <v/>
      </c>
      <c r="M534" s="4">
        <f>Data!AG533</f>
        <v/>
      </c>
      <c r="N534" s="4">
        <f>Data!AH533</f>
        <v/>
      </c>
      <c r="O534" s="4">
        <f>Data!AI533</f>
        <v/>
      </c>
      <c r="P534" s="4">
        <f>Data!AJ533</f>
        <v/>
      </c>
      <c r="Q534" s="4">
        <f>Data!AK533</f>
        <v/>
      </c>
      <c r="R534" s="4">
        <f>Data!AL533</f>
        <v/>
      </c>
    </row>
    <row r="535">
      <c r="A535" s="4">
        <f>Data!A534</f>
        <v/>
      </c>
      <c r="B535" s="4">
        <f>Data!B534</f>
        <v/>
      </c>
      <c r="C535" s="4">
        <f>Data!C534</f>
        <v/>
      </c>
      <c r="D535" s="4">
        <f>Data!I534</f>
        <v/>
      </c>
      <c r="E535" s="4">
        <f>Data!J534</f>
        <v/>
      </c>
      <c r="F535" s="4">
        <f>Data!H534</f>
        <v/>
      </c>
      <c r="G535" s="4">
        <f>SUM(Data!Q534:Data!Y534)</f>
        <v/>
      </c>
      <c r="H535" s="4">
        <f>Data!Z534</f>
        <v/>
      </c>
      <c r="I535" s="4">
        <f>Data!AB534</f>
        <v/>
      </c>
      <c r="J535" s="4">
        <f>Data!AD534</f>
        <v/>
      </c>
      <c r="K535" s="4">
        <f>Data!AE534</f>
        <v/>
      </c>
      <c r="L535" s="4">
        <f>Data!AF534</f>
        <v/>
      </c>
      <c r="M535" s="4">
        <f>Data!AG534</f>
        <v/>
      </c>
      <c r="N535" s="4">
        <f>Data!AH534</f>
        <v/>
      </c>
      <c r="O535" s="4">
        <f>Data!AI534</f>
        <v/>
      </c>
      <c r="P535" s="4">
        <f>Data!AJ534</f>
        <v/>
      </c>
      <c r="Q535" s="4">
        <f>Data!AK534</f>
        <v/>
      </c>
      <c r="R535" s="4">
        <f>Data!AL534</f>
        <v/>
      </c>
    </row>
    <row r="536">
      <c r="A536" s="4">
        <f>Data!A535</f>
        <v/>
      </c>
      <c r="B536" s="4">
        <f>Data!B535</f>
        <v/>
      </c>
      <c r="C536" s="4">
        <f>Data!C535</f>
        <v/>
      </c>
      <c r="D536" s="4">
        <f>Data!I535</f>
        <v/>
      </c>
      <c r="E536" s="4">
        <f>Data!J535</f>
        <v/>
      </c>
      <c r="F536" s="4">
        <f>Data!H535</f>
        <v/>
      </c>
      <c r="G536" s="4">
        <f>SUM(Data!Q535:Data!Y535)</f>
        <v/>
      </c>
      <c r="H536" s="4">
        <f>Data!Z535</f>
        <v/>
      </c>
      <c r="I536" s="4">
        <f>Data!AB535</f>
        <v/>
      </c>
      <c r="J536" s="4">
        <f>Data!AD535</f>
        <v/>
      </c>
      <c r="K536" s="4">
        <f>Data!AE535</f>
        <v/>
      </c>
      <c r="L536" s="4">
        <f>Data!AF535</f>
        <v/>
      </c>
      <c r="M536" s="4">
        <f>Data!AG535</f>
        <v/>
      </c>
      <c r="N536" s="4">
        <f>Data!AH535</f>
        <v/>
      </c>
      <c r="O536" s="4">
        <f>Data!AI535</f>
        <v/>
      </c>
      <c r="P536" s="4">
        <f>Data!AJ535</f>
        <v/>
      </c>
      <c r="Q536" s="4">
        <f>Data!AK535</f>
        <v/>
      </c>
      <c r="R536" s="4">
        <f>Data!AL535</f>
        <v/>
      </c>
    </row>
    <row r="537">
      <c r="A537" s="4">
        <f>Data!A536</f>
        <v/>
      </c>
      <c r="B537" s="4">
        <f>Data!B536</f>
        <v/>
      </c>
      <c r="C537" s="4">
        <f>Data!C536</f>
        <v/>
      </c>
      <c r="D537" s="4">
        <f>Data!I536</f>
        <v/>
      </c>
      <c r="E537" s="4">
        <f>Data!J536</f>
        <v/>
      </c>
      <c r="F537" s="4">
        <f>Data!H536</f>
        <v/>
      </c>
      <c r="G537" s="4">
        <f>SUM(Data!Q536:Data!Y536)</f>
        <v/>
      </c>
      <c r="H537" s="4">
        <f>Data!Z536</f>
        <v/>
      </c>
      <c r="I537" s="4">
        <f>Data!AB536</f>
        <v/>
      </c>
      <c r="J537" s="4">
        <f>Data!AD536</f>
        <v/>
      </c>
      <c r="K537" s="4">
        <f>Data!AE536</f>
        <v/>
      </c>
      <c r="L537" s="4">
        <f>Data!AF536</f>
        <v/>
      </c>
      <c r="M537" s="4">
        <f>Data!AG536</f>
        <v/>
      </c>
      <c r="N537" s="4">
        <f>Data!AH536</f>
        <v/>
      </c>
      <c r="O537" s="4">
        <f>Data!AI536</f>
        <v/>
      </c>
      <c r="P537" s="4">
        <f>Data!AJ536</f>
        <v/>
      </c>
      <c r="Q537" s="4">
        <f>Data!AK536</f>
        <v/>
      </c>
      <c r="R537" s="4">
        <f>Data!AL536</f>
        <v/>
      </c>
    </row>
    <row r="538">
      <c r="A538" s="4">
        <f>Data!A537</f>
        <v/>
      </c>
      <c r="B538" s="4">
        <f>Data!B537</f>
        <v/>
      </c>
      <c r="C538" s="4">
        <f>Data!C537</f>
        <v/>
      </c>
      <c r="D538" s="4">
        <f>Data!I537</f>
        <v/>
      </c>
      <c r="E538" s="4">
        <f>Data!J537</f>
        <v/>
      </c>
      <c r="F538" s="4">
        <f>Data!H537</f>
        <v/>
      </c>
      <c r="G538" s="4">
        <f>SUM(Data!Q537:Data!Y537)</f>
        <v/>
      </c>
      <c r="H538" s="4">
        <f>Data!Z537</f>
        <v/>
      </c>
      <c r="I538" s="4">
        <f>Data!AB537</f>
        <v/>
      </c>
      <c r="J538" s="4">
        <f>Data!AD537</f>
        <v/>
      </c>
      <c r="K538" s="4">
        <f>Data!AE537</f>
        <v/>
      </c>
      <c r="L538" s="4">
        <f>Data!AF537</f>
        <v/>
      </c>
      <c r="M538" s="4">
        <f>Data!AG537</f>
        <v/>
      </c>
      <c r="N538" s="4">
        <f>Data!AH537</f>
        <v/>
      </c>
      <c r="O538" s="4">
        <f>Data!AI537</f>
        <v/>
      </c>
      <c r="P538" s="4">
        <f>Data!AJ537</f>
        <v/>
      </c>
      <c r="Q538" s="4">
        <f>Data!AK537</f>
        <v/>
      </c>
      <c r="R538" s="4">
        <f>Data!AL537</f>
        <v/>
      </c>
    </row>
    <row r="539">
      <c r="A539" s="4">
        <f>Data!A538</f>
        <v/>
      </c>
      <c r="B539" s="4">
        <f>Data!B538</f>
        <v/>
      </c>
      <c r="C539" s="4">
        <f>Data!C538</f>
        <v/>
      </c>
      <c r="D539" s="4">
        <f>Data!I538</f>
        <v/>
      </c>
      <c r="E539" s="4">
        <f>Data!J538</f>
        <v/>
      </c>
      <c r="F539" s="4">
        <f>Data!H538</f>
        <v/>
      </c>
      <c r="G539" s="4">
        <f>SUM(Data!Q538:Data!Y538)</f>
        <v/>
      </c>
      <c r="H539" s="4">
        <f>Data!Z538</f>
        <v/>
      </c>
      <c r="I539" s="4">
        <f>Data!AB538</f>
        <v/>
      </c>
      <c r="J539" s="4">
        <f>Data!AD538</f>
        <v/>
      </c>
      <c r="K539" s="4">
        <f>Data!AE538</f>
        <v/>
      </c>
      <c r="L539" s="4">
        <f>Data!AF538</f>
        <v/>
      </c>
      <c r="M539" s="4">
        <f>Data!AG538</f>
        <v/>
      </c>
      <c r="N539" s="4">
        <f>Data!AH538</f>
        <v/>
      </c>
      <c r="O539" s="4">
        <f>Data!AI538</f>
        <v/>
      </c>
      <c r="P539" s="4">
        <f>Data!AJ538</f>
        <v/>
      </c>
      <c r="Q539" s="4">
        <f>Data!AK538</f>
        <v/>
      </c>
      <c r="R539" s="4">
        <f>Data!AL538</f>
        <v/>
      </c>
    </row>
    <row r="540">
      <c r="A540" s="4">
        <f>Data!A539</f>
        <v/>
      </c>
      <c r="B540" s="4">
        <f>Data!B539</f>
        <v/>
      </c>
      <c r="C540" s="4">
        <f>Data!C539</f>
        <v/>
      </c>
      <c r="D540" s="4">
        <f>Data!I539</f>
        <v/>
      </c>
      <c r="E540" s="4">
        <f>Data!J539</f>
        <v/>
      </c>
      <c r="F540" s="4">
        <f>Data!H539</f>
        <v/>
      </c>
      <c r="G540" s="4">
        <f>SUM(Data!Q539:Data!Y539)</f>
        <v/>
      </c>
      <c r="H540" s="4">
        <f>Data!Z539</f>
        <v/>
      </c>
      <c r="I540" s="4">
        <f>Data!AB539</f>
        <v/>
      </c>
      <c r="J540" s="4">
        <f>Data!AD539</f>
        <v/>
      </c>
      <c r="K540" s="4">
        <f>Data!AE539</f>
        <v/>
      </c>
      <c r="L540" s="4">
        <f>Data!AF539</f>
        <v/>
      </c>
      <c r="M540" s="4">
        <f>Data!AG539</f>
        <v/>
      </c>
      <c r="N540" s="4">
        <f>Data!AH539</f>
        <v/>
      </c>
      <c r="O540" s="4">
        <f>Data!AI539</f>
        <v/>
      </c>
      <c r="P540" s="4">
        <f>Data!AJ539</f>
        <v/>
      </c>
      <c r="Q540" s="4">
        <f>Data!AK539</f>
        <v/>
      </c>
      <c r="R540" s="4">
        <f>Data!AL539</f>
        <v/>
      </c>
    </row>
    <row r="541">
      <c r="A541" s="4">
        <f>Data!A540</f>
        <v/>
      </c>
      <c r="B541" s="4">
        <f>Data!B540</f>
        <v/>
      </c>
      <c r="C541" s="4">
        <f>Data!C540</f>
        <v/>
      </c>
      <c r="D541" s="4">
        <f>Data!I540</f>
        <v/>
      </c>
      <c r="E541" s="4">
        <f>Data!J540</f>
        <v/>
      </c>
      <c r="F541" s="4">
        <f>Data!H540</f>
        <v/>
      </c>
      <c r="G541" s="4">
        <f>SUM(Data!Q540:Data!Y540)</f>
        <v/>
      </c>
      <c r="H541" s="4">
        <f>Data!Z540</f>
        <v/>
      </c>
      <c r="I541" s="4">
        <f>Data!AB540</f>
        <v/>
      </c>
      <c r="J541" s="4">
        <f>Data!AD540</f>
        <v/>
      </c>
      <c r="K541" s="4">
        <f>Data!AE540</f>
        <v/>
      </c>
      <c r="L541" s="4">
        <f>Data!AF540</f>
        <v/>
      </c>
      <c r="M541" s="4">
        <f>Data!AG540</f>
        <v/>
      </c>
      <c r="N541" s="4">
        <f>Data!AH540</f>
        <v/>
      </c>
      <c r="O541" s="4">
        <f>Data!AI540</f>
        <v/>
      </c>
      <c r="P541" s="4">
        <f>Data!AJ540</f>
        <v/>
      </c>
      <c r="Q541" s="4">
        <f>Data!AK540</f>
        <v/>
      </c>
      <c r="R541" s="4">
        <f>Data!AL540</f>
        <v/>
      </c>
    </row>
    <row r="542">
      <c r="A542" s="4">
        <f>Data!A541</f>
        <v/>
      </c>
      <c r="B542" s="4">
        <f>Data!B541</f>
        <v/>
      </c>
      <c r="C542" s="4">
        <f>Data!C541</f>
        <v/>
      </c>
      <c r="D542" s="4">
        <f>Data!I541</f>
        <v/>
      </c>
      <c r="E542" s="4">
        <f>Data!J541</f>
        <v/>
      </c>
      <c r="F542" s="4">
        <f>Data!H541</f>
        <v/>
      </c>
      <c r="G542" s="4">
        <f>SUM(Data!Q541:Data!Y541)</f>
        <v/>
      </c>
      <c r="H542" s="4">
        <f>Data!Z541</f>
        <v/>
      </c>
      <c r="I542" s="4">
        <f>Data!AB541</f>
        <v/>
      </c>
      <c r="J542" s="4">
        <f>Data!AD541</f>
        <v/>
      </c>
      <c r="K542" s="4">
        <f>Data!AE541</f>
        <v/>
      </c>
      <c r="L542" s="4">
        <f>Data!AF541</f>
        <v/>
      </c>
      <c r="M542" s="4">
        <f>Data!AG541</f>
        <v/>
      </c>
      <c r="N542" s="4">
        <f>Data!AH541</f>
        <v/>
      </c>
      <c r="O542" s="4">
        <f>Data!AI541</f>
        <v/>
      </c>
      <c r="P542" s="4">
        <f>Data!AJ541</f>
        <v/>
      </c>
      <c r="Q542" s="4">
        <f>Data!AK541</f>
        <v/>
      </c>
      <c r="R542" s="4">
        <f>Data!AL541</f>
        <v/>
      </c>
    </row>
    <row r="543">
      <c r="A543" s="4">
        <f>Data!A542</f>
        <v/>
      </c>
      <c r="B543" s="4">
        <f>Data!B542</f>
        <v/>
      </c>
      <c r="C543" s="4">
        <f>Data!C542</f>
        <v/>
      </c>
      <c r="D543" s="4">
        <f>Data!I542</f>
        <v/>
      </c>
      <c r="E543" s="4">
        <f>Data!J542</f>
        <v/>
      </c>
      <c r="F543" s="4">
        <f>Data!H542</f>
        <v/>
      </c>
      <c r="G543" s="4">
        <f>SUM(Data!Q542:Data!Y542)</f>
        <v/>
      </c>
      <c r="H543" s="4">
        <f>Data!Z542</f>
        <v/>
      </c>
      <c r="I543" s="4">
        <f>Data!AB542</f>
        <v/>
      </c>
      <c r="J543" s="4">
        <f>Data!AD542</f>
        <v/>
      </c>
      <c r="K543" s="4">
        <f>Data!AE542</f>
        <v/>
      </c>
      <c r="L543" s="4">
        <f>Data!AF542</f>
        <v/>
      </c>
      <c r="M543" s="4">
        <f>Data!AG542</f>
        <v/>
      </c>
      <c r="N543" s="4">
        <f>Data!AH542</f>
        <v/>
      </c>
      <c r="O543" s="4">
        <f>Data!AI542</f>
        <v/>
      </c>
      <c r="P543" s="4">
        <f>Data!AJ542</f>
        <v/>
      </c>
      <c r="Q543" s="4">
        <f>Data!AK542</f>
        <v/>
      </c>
      <c r="R543" s="4">
        <f>Data!AL542</f>
        <v/>
      </c>
    </row>
    <row r="544">
      <c r="A544" s="4">
        <f>Data!A543</f>
        <v/>
      </c>
      <c r="B544" s="4">
        <f>Data!B543</f>
        <v/>
      </c>
      <c r="C544" s="4">
        <f>Data!C543</f>
        <v/>
      </c>
      <c r="D544" s="4">
        <f>Data!I543</f>
        <v/>
      </c>
      <c r="E544" s="4">
        <f>Data!J543</f>
        <v/>
      </c>
      <c r="F544" s="4">
        <f>Data!H543</f>
        <v/>
      </c>
      <c r="G544" s="4">
        <f>SUM(Data!Q543:Data!Y543)</f>
        <v/>
      </c>
      <c r="H544" s="4">
        <f>Data!Z543</f>
        <v/>
      </c>
      <c r="I544" s="4">
        <f>Data!AB543</f>
        <v/>
      </c>
      <c r="J544" s="4">
        <f>Data!AD543</f>
        <v/>
      </c>
      <c r="K544" s="4">
        <f>Data!AE543</f>
        <v/>
      </c>
      <c r="L544" s="4">
        <f>Data!AF543</f>
        <v/>
      </c>
      <c r="M544" s="4">
        <f>Data!AG543</f>
        <v/>
      </c>
      <c r="N544" s="4">
        <f>Data!AH543</f>
        <v/>
      </c>
      <c r="O544" s="4">
        <f>Data!AI543</f>
        <v/>
      </c>
      <c r="P544" s="4">
        <f>Data!AJ543</f>
        <v/>
      </c>
      <c r="Q544" s="4">
        <f>Data!AK543</f>
        <v/>
      </c>
      <c r="R544" s="4">
        <f>Data!AL543</f>
        <v/>
      </c>
    </row>
    <row r="545">
      <c r="A545" s="4">
        <f>Data!A544</f>
        <v/>
      </c>
      <c r="B545" s="4">
        <f>Data!B544</f>
        <v/>
      </c>
      <c r="C545" s="4">
        <f>Data!C544</f>
        <v/>
      </c>
      <c r="D545" s="4">
        <f>Data!I544</f>
        <v/>
      </c>
      <c r="E545" s="4">
        <f>Data!J544</f>
        <v/>
      </c>
      <c r="F545" s="4">
        <f>Data!H544</f>
        <v/>
      </c>
      <c r="G545" s="4">
        <f>SUM(Data!Q544:Data!Y544)</f>
        <v/>
      </c>
      <c r="H545" s="4">
        <f>Data!Z544</f>
        <v/>
      </c>
      <c r="I545" s="4">
        <f>Data!AB544</f>
        <v/>
      </c>
      <c r="J545" s="4">
        <f>Data!AD544</f>
        <v/>
      </c>
      <c r="K545" s="4">
        <f>Data!AE544</f>
        <v/>
      </c>
      <c r="L545" s="4">
        <f>Data!AF544</f>
        <v/>
      </c>
      <c r="M545" s="4">
        <f>Data!AG544</f>
        <v/>
      </c>
      <c r="N545" s="4">
        <f>Data!AH544</f>
        <v/>
      </c>
      <c r="O545" s="4">
        <f>Data!AI544</f>
        <v/>
      </c>
      <c r="P545" s="4">
        <f>Data!AJ544</f>
        <v/>
      </c>
      <c r="Q545" s="4">
        <f>Data!AK544</f>
        <v/>
      </c>
      <c r="R545" s="4">
        <f>Data!AL544</f>
        <v/>
      </c>
    </row>
    <row r="546">
      <c r="A546" s="4">
        <f>Data!A545</f>
        <v/>
      </c>
      <c r="B546" s="4">
        <f>Data!B545</f>
        <v/>
      </c>
      <c r="C546" s="4">
        <f>Data!C545</f>
        <v/>
      </c>
      <c r="D546" s="4">
        <f>Data!I545</f>
        <v/>
      </c>
      <c r="E546" s="4">
        <f>Data!J545</f>
        <v/>
      </c>
      <c r="F546" s="4">
        <f>Data!H545</f>
        <v/>
      </c>
      <c r="G546" s="4">
        <f>SUM(Data!Q545:Data!Y545)</f>
        <v/>
      </c>
      <c r="H546" s="4">
        <f>Data!Z545</f>
        <v/>
      </c>
      <c r="I546" s="4">
        <f>Data!AB545</f>
        <v/>
      </c>
      <c r="J546" s="4">
        <f>Data!AD545</f>
        <v/>
      </c>
      <c r="K546" s="4">
        <f>Data!AE545</f>
        <v/>
      </c>
      <c r="L546" s="4">
        <f>Data!AF545</f>
        <v/>
      </c>
      <c r="M546" s="4">
        <f>Data!AG545</f>
        <v/>
      </c>
      <c r="N546" s="4">
        <f>Data!AH545</f>
        <v/>
      </c>
      <c r="O546" s="4">
        <f>Data!AI545</f>
        <v/>
      </c>
      <c r="P546" s="4">
        <f>Data!AJ545</f>
        <v/>
      </c>
      <c r="Q546" s="4">
        <f>Data!AK545</f>
        <v/>
      </c>
      <c r="R546" s="4">
        <f>Data!AL545</f>
        <v/>
      </c>
    </row>
    <row r="547">
      <c r="A547" s="4">
        <f>Data!A546</f>
        <v/>
      </c>
      <c r="B547" s="4">
        <f>Data!B546</f>
        <v/>
      </c>
      <c r="C547" s="4">
        <f>Data!C546</f>
        <v/>
      </c>
      <c r="D547" s="4">
        <f>Data!I546</f>
        <v/>
      </c>
      <c r="E547" s="4">
        <f>Data!J546</f>
        <v/>
      </c>
      <c r="F547" s="4">
        <f>Data!H546</f>
        <v/>
      </c>
      <c r="G547" s="4">
        <f>SUM(Data!Q546:Data!Y546)</f>
        <v/>
      </c>
      <c r="H547" s="4">
        <f>Data!Z546</f>
        <v/>
      </c>
      <c r="I547" s="4">
        <f>Data!AB546</f>
        <v/>
      </c>
      <c r="J547" s="4">
        <f>Data!AD546</f>
        <v/>
      </c>
      <c r="K547" s="4">
        <f>Data!AE546</f>
        <v/>
      </c>
      <c r="L547" s="4">
        <f>Data!AF546</f>
        <v/>
      </c>
      <c r="M547" s="4">
        <f>Data!AG546</f>
        <v/>
      </c>
      <c r="N547" s="4">
        <f>Data!AH546</f>
        <v/>
      </c>
      <c r="O547" s="4">
        <f>Data!AI546</f>
        <v/>
      </c>
      <c r="P547" s="4">
        <f>Data!AJ546</f>
        <v/>
      </c>
      <c r="Q547" s="4">
        <f>Data!AK546</f>
        <v/>
      </c>
      <c r="R547" s="4">
        <f>Data!AL546</f>
        <v/>
      </c>
    </row>
    <row r="548">
      <c r="A548" s="4">
        <f>Data!A547</f>
        <v/>
      </c>
      <c r="B548" s="4">
        <f>Data!B547</f>
        <v/>
      </c>
      <c r="C548" s="4">
        <f>Data!C547</f>
        <v/>
      </c>
      <c r="D548" s="4">
        <f>Data!I547</f>
        <v/>
      </c>
      <c r="E548" s="4">
        <f>Data!J547</f>
        <v/>
      </c>
      <c r="F548" s="4">
        <f>Data!H547</f>
        <v/>
      </c>
      <c r="G548" s="4">
        <f>SUM(Data!Q547:Data!Y547)</f>
        <v/>
      </c>
      <c r="H548" s="4">
        <f>Data!Z547</f>
        <v/>
      </c>
      <c r="I548" s="4">
        <f>Data!AB547</f>
        <v/>
      </c>
      <c r="J548" s="4">
        <f>Data!AD547</f>
        <v/>
      </c>
      <c r="K548" s="4">
        <f>Data!AE547</f>
        <v/>
      </c>
      <c r="L548" s="4">
        <f>Data!AF547</f>
        <v/>
      </c>
      <c r="M548" s="4">
        <f>Data!AG547</f>
        <v/>
      </c>
      <c r="N548" s="4">
        <f>Data!AH547</f>
        <v/>
      </c>
      <c r="O548" s="4">
        <f>Data!AI547</f>
        <v/>
      </c>
      <c r="P548" s="4">
        <f>Data!AJ547</f>
        <v/>
      </c>
      <c r="Q548" s="4">
        <f>Data!AK547</f>
        <v/>
      </c>
      <c r="R548" s="4">
        <f>Data!AL547</f>
        <v/>
      </c>
    </row>
    <row r="549">
      <c r="A549" s="4">
        <f>Data!A548</f>
        <v/>
      </c>
      <c r="B549" s="4">
        <f>Data!B548</f>
        <v/>
      </c>
      <c r="C549" s="4">
        <f>Data!C548</f>
        <v/>
      </c>
      <c r="D549" s="4">
        <f>Data!I548</f>
        <v/>
      </c>
      <c r="E549" s="4">
        <f>Data!J548</f>
        <v/>
      </c>
      <c r="F549" s="4">
        <f>Data!H548</f>
        <v/>
      </c>
      <c r="G549" s="4">
        <f>SUM(Data!Q548:Data!Y548)</f>
        <v/>
      </c>
      <c r="H549" s="4">
        <f>Data!Z548</f>
        <v/>
      </c>
      <c r="I549" s="4">
        <f>Data!AB548</f>
        <v/>
      </c>
      <c r="J549" s="4">
        <f>Data!AD548</f>
        <v/>
      </c>
      <c r="K549" s="4">
        <f>Data!AE548</f>
        <v/>
      </c>
      <c r="L549" s="4">
        <f>Data!AF548</f>
        <v/>
      </c>
      <c r="M549" s="4">
        <f>Data!AG548</f>
        <v/>
      </c>
      <c r="N549" s="4">
        <f>Data!AH548</f>
        <v/>
      </c>
      <c r="O549" s="4">
        <f>Data!AI548</f>
        <v/>
      </c>
      <c r="P549" s="4">
        <f>Data!AJ548</f>
        <v/>
      </c>
      <c r="Q549" s="4">
        <f>Data!AK548</f>
        <v/>
      </c>
      <c r="R549" s="4">
        <f>Data!AL548</f>
        <v/>
      </c>
    </row>
    <row r="550">
      <c r="A550" s="4">
        <f>Data!A549</f>
        <v/>
      </c>
      <c r="B550" s="4">
        <f>Data!B549</f>
        <v/>
      </c>
      <c r="C550" s="4">
        <f>Data!C549</f>
        <v/>
      </c>
      <c r="D550" s="4">
        <f>Data!I549</f>
        <v/>
      </c>
      <c r="E550" s="4">
        <f>Data!J549</f>
        <v/>
      </c>
      <c r="F550" s="4">
        <f>Data!H549</f>
        <v/>
      </c>
      <c r="G550" s="4">
        <f>SUM(Data!Q549:Data!Y549)</f>
        <v/>
      </c>
      <c r="H550" s="4">
        <f>Data!Z549</f>
        <v/>
      </c>
      <c r="I550" s="4">
        <f>Data!AB549</f>
        <v/>
      </c>
      <c r="J550" s="4">
        <f>Data!AD549</f>
        <v/>
      </c>
      <c r="K550" s="4">
        <f>Data!AE549</f>
        <v/>
      </c>
      <c r="L550" s="4">
        <f>Data!AF549</f>
        <v/>
      </c>
      <c r="M550" s="4">
        <f>Data!AG549</f>
        <v/>
      </c>
      <c r="N550" s="4">
        <f>Data!AH549</f>
        <v/>
      </c>
      <c r="O550" s="4">
        <f>Data!AI549</f>
        <v/>
      </c>
      <c r="P550" s="4">
        <f>Data!AJ549</f>
        <v/>
      </c>
      <c r="Q550" s="4">
        <f>Data!AK549</f>
        <v/>
      </c>
      <c r="R550" s="4">
        <f>Data!AL549</f>
        <v/>
      </c>
    </row>
    <row r="551">
      <c r="A551" s="4">
        <f>Data!A550</f>
        <v/>
      </c>
      <c r="B551" s="4">
        <f>Data!B550</f>
        <v/>
      </c>
      <c r="C551" s="4">
        <f>Data!C550</f>
        <v/>
      </c>
      <c r="D551" s="4">
        <f>Data!I550</f>
        <v/>
      </c>
      <c r="E551" s="4">
        <f>Data!J550</f>
        <v/>
      </c>
      <c r="F551" s="4">
        <f>Data!H550</f>
        <v/>
      </c>
      <c r="G551" s="4">
        <f>SUM(Data!Q550:Data!Y550)</f>
        <v/>
      </c>
      <c r="H551" s="4">
        <f>Data!Z550</f>
        <v/>
      </c>
      <c r="I551" s="4">
        <f>Data!AB550</f>
        <v/>
      </c>
      <c r="J551" s="4">
        <f>Data!AD550</f>
        <v/>
      </c>
      <c r="K551" s="4">
        <f>Data!AE550</f>
        <v/>
      </c>
      <c r="L551" s="4">
        <f>Data!AF550</f>
        <v/>
      </c>
      <c r="M551" s="4">
        <f>Data!AG550</f>
        <v/>
      </c>
      <c r="N551" s="4">
        <f>Data!AH550</f>
        <v/>
      </c>
      <c r="O551" s="4">
        <f>Data!AI550</f>
        <v/>
      </c>
      <c r="P551" s="4">
        <f>Data!AJ550</f>
        <v/>
      </c>
      <c r="Q551" s="4">
        <f>Data!AK550</f>
        <v/>
      </c>
      <c r="R551" s="4">
        <f>Data!AL550</f>
        <v/>
      </c>
    </row>
    <row r="552">
      <c r="A552" s="4">
        <f>Data!A551</f>
        <v/>
      </c>
      <c r="B552" s="4">
        <f>Data!B551</f>
        <v/>
      </c>
      <c r="C552" s="4">
        <f>Data!C551</f>
        <v/>
      </c>
      <c r="D552" s="4">
        <f>Data!I551</f>
        <v/>
      </c>
      <c r="E552" s="4">
        <f>Data!J551</f>
        <v/>
      </c>
      <c r="F552" s="4">
        <f>Data!H551</f>
        <v/>
      </c>
      <c r="G552" s="4">
        <f>SUM(Data!Q551:Data!Y551)</f>
        <v/>
      </c>
      <c r="H552" s="4">
        <f>Data!Z551</f>
        <v/>
      </c>
      <c r="I552" s="4">
        <f>Data!AB551</f>
        <v/>
      </c>
      <c r="J552" s="4">
        <f>Data!AD551</f>
        <v/>
      </c>
      <c r="K552" s="4">
        <f>Data!AE551</f>
        <v/>
      </c>
      <c r="L552" s="4">
        <f>Data!AF551</f>
        <v/>
      </c>
      <c r="M552" s="4">
        <f>Data!AG551</f>
        <v/>
      </c>
      <c r="N552" s="4">
        <f>Data!AH551</f>
        <v/>
      </c>
      <c r="O552" s="4">
        <f>Data!AI551</f>
        <v/>
      </c>
      <c r="P552" s="4">
        <f>Data!AJ551</f>
        <v/>
      </c>
      <c r="Q552" s="4">
        <f>Data!AK551</f>
        <v/>
      </c>
      <c r="R552" s="4">
        <f>Data!AL551</f>
        <v/>
      </c>
    </row>
    <row r="553">
      <c r="A553" s="4">
        <f>Data!A552</f>
        <v/>
      </c>
      <c r="B553" s="4">
        <f>Data!B552</f>
        <v/>
      </c>
      <c r="C553" s="4">
        <f>Data!C552</f>
        <v/>
      </c>
      <c r="D553" s="4">
        <f>Data!I552</f>
        <v/>
      </c>
      <c r="E553" s="4">
        <f>Data!J552</f>
        <v/>
      </c>
      <c r="F553" s="4">
        <f>Data!H552</f>
        <v/>
      </c>
      <c r="G553" s="4">
        <f>SUM(Data!Q552:Data!Y552)</f>
        <v/>
      </c>
      <c r="H553" s="4">
        <f>Data!Z552</f>
        <v/>
      </c>
      <c r="I553" s="4">
        <f>Data!AB552</f>
        <v/>
      </c>
      <c r="J553" s="4">
        <f>Data!AD552</f>
        <v/>
      </c>
      <c r="K553" s="4">
        <f>Data!AE552</f>
        <v/>
      </c>
      <c r="L553" s="4">
        <f>Data!AF552</f>
        <v/>
      </c>
      <c r="M553" s="4">
        <f>Data!AG552</f>
        <v/>
      </c>
      <c r="N553" s="4">
        <f>Data!AH552</f>
        <v/>
      </c>
      <c r="O553" s="4">
        <f>Data!AI552</f>
        <v/>
      </c>
      <c r="P553" s="4">
        <f>Data!AJ552</f>
        <v/>
      </c>
      <c r="Q553" s="4">
        <f>Data!AK552</f>
        <v/>
      </c>
      <c r="R553" s="4">
        <f>Data!AL552</f>
        <v/>
      </c>
    </row>
    <row r="554">
      <c r="A554" s="4">
        <f>Data!A553</f>
        <v/>
      </c>
      <c r="B554" s="4">
        <f>Data!B553</f>
        <v/>
      </c>
      <c r="C554" s="4">
        <f>Data!C553</f>
        <v/>
      </c>
      <c r="D554" s="4">
        <f>Data!I553</f>
        <v/>
      </c>
      <c r="E554" s="4">
        <f>Data!J553</f>
        <v/>
      </c>
      <c r="F554" s="4">
        <f>Data!H553</f>
        <v/>
      </c>
      <c r="G554" s="4">
        <f>SUM(Data!Q553:Data!Y553)</f>
        <v/>
      </c>
      <c r="H554" s="4">
        <f>Data!Z553</f>
        <v/>
      </c>
      <c r="I554" s="4">
        <f>Data!AB553</f>
        <v/>
      </c>
      <c r="J554" s="4">
        <f>Data!AD553</f>
        <v/>
      </c>
      <c r="K554" s="4">
        <f>Data!AE553</f>
        <v/>
      </c>
      <c r="L554" s="4">
        <f>Data!AF553</f>
        <v/>
      </c>
      <c r="M554" s="4">
        <f>Data!AG553</f>
        <v/>
      </c>
      <c r="N554" s="4">
        <f>Data!AH553</f>
        <v/>
      </c>
      <c r="O554" s="4">
        <f>Data!AI553</f>
        <v/>
      </c>
      <c r="P554" s="4">
        <f>Data!AJ553</f>
        <v/>
      </c>
      <c r="Q554" s="4">
        <f>Data!AK553</f>
        <v/>
      </c>
      <c r="R554" s="4">
        <f>Data!AL553</f>
        <v/>
      </c>
    </row>
    <row r="555">
      <c r="A555" s="4">
        <f>Data!A554</f>
        <v/>
      </c>
      <c r="B555" s="4">
        <f>Data!B554</f>
        <v/>
      </c>
      <c r="C555" s="4">
        <f>Data!C554</f>
        <v/>
      </c>
      <c r="D555" s="4">
        <f>Data!I554</f>
        <v/>
      </c>
      <c r="E555" s="4">
        <f>Data!J554</f>
        <v/>
      </c>
      <c r="F555" s="4">
        <f>Data!H554</f>
        <v/>
      </c>
      <c r="G555" s="4">
        <f>SUM(Data!Q554:Data!Y554)</f>
        <v/>
      </c>
      <c r="H555" s="4">
        <f>Data!Z554</f>
        <v/>
      </c>
      <c r="I555" s="4">
        <f>Data!AB554</f>
        <v/>
      </c>
      <c r="J555" s="4">
        <f>Data!AD554</f>
        <v/>
      </c>
      <c r="K555" s="4">
        <f>Data!AE554</f>
        <v/>
      </c>
      <c r="L555" s="4">
        <f>Data!AF554</f>
        <v/>
      </c>
      <c r="M555" s="4">
        <f>Data!AG554</f>
        <v/>
      </c>
      <c r="N555" s="4">
        <f>Data!AH554</f>
        <v/>
      </c>
      <c r="O555" s="4">
        <f>Data!AI554</f>
        <v/>
      </c>
      <c r="P555" s="4">
        <f>Data!AJ554</f>
        <v/>
      </c>
      <c r="Q555" s="4">
        <f>Data!AK554</f>
        <v/>
      </c>
      <c r="R555" s="4">
        <f>Data!AL554</f>
        <v/>
      </c>
    </row>
    <row r="556">
      <c r="A556" s="4">
        <f>Data!A555</f>
        <v/>
      </c>
      <c r="B556" s="4">
        <f>Data!B555</f>
        <v/>
      </c>
      <c r="C556" s="4">
        <f>Data!C555</f>
        <v/>
      </c>
      <c r="D556" s="4">
        <f>Data!I555</f>
        <v/>
      </c>
      <c r="E556" s="4">
        <f>Data!J555</f>
        <v/>
      </c>
      <c r="F556" s="4">
        <f>Data!H555</f>
        <v/>
      </c>
      <c r="G556" s="4">
        <f>SUM(Data!Q555:Data!Y555)</f>
        <v/>
      </c>
      <c r="H556" s="4">
        <f>Data!Z555</f>
        <v/>
      </c>
      <c r="I556" s="4">
        <f>Data!AB555</f>
        <v/>
      </c>
      <c r="J556" s="4">
        <f>Data!AD555</f>
        <v/>
      </c>
      <c r="K556" s="4">
        <f>Data!AE555</f>
        <v/>
      </c>
      <c r="L556" s="4">
        <f>Data!AF555</f>
        <v/>
      </c>
      <c r="M556" s="4">
        <f>Data!AG555</f>
        <v/>
      </c>
      <c r="N556" s="4">
        <f>Data!AH555</f>
        <v/>
      </c>
      <c r="O556" s="4">
        <f>Data!AI555</f>
        <v/>
      </c>
      <c r="P556" s="4">
        <f>Data!AJ555</f>
        <v/>
      </c>
      <c r="Q556" s="4">
        <f>Data!AK555</f>
        <v/>
      </c>
      <c r="R556" s="4">
        <f>Data!AL555</f>
        <v/>
      </c>
    </row>
    <row r="557">
      <c r="A557" s="4">
        <f>Data!A556</f>
        <v/>
      </c>
      <c r="B557" s="4">
        <f>Data!B556</f>
        <v/>
      </c>
      <c r="C557" s="4">
        <f>Data!C556</f>
        <v/>
      </c>
      <c r="D557" s="4">
        <f>Data!I556</f>
        <v/>
      </c>
      <c r="E557" s="4">
        <f>Data!J556</f>
        <v/>
      </c>
      <c r="F557" s="4">
        <f>Data!H556</f>
        <v/>
      </c>
      <c r="G557" s="4">
        <f>SUM(Data!Q556:Data!Y556)</f>
        <v/>
      </c>
      <c r="H557" s="4">
        <f>Data!Z556</f>
        <v/>
      </c>
      <c r="I557" s="4">
        <f>Data!AB556</f>
        <v/>
      </c>
      <c r="J557" s="4">
        <f>Data!AD556</f>
        <v/>
      </c>
      <c r="K557" s="4">
        <f>Data!AE556</f>
        <v/>
      </c>
      <c r="L557" s="4">
        <f>Data!AF556</f>
        <v/>
      </c>
      <c r="M557" s="4">
        <f>Data!AG556</f>
        <v/>
      </c>
      <c r="N557" s="4">
        <f>Data!AH556</f>
        <v/>
      </c>
      <c r="O557" s="4">
        <f>Data!AI556</f>
        <v/>
      </c>
      <c r="P557" s="4">
        <f>Data!AJ556</f>
        <v/>
      </c>
      <c r="Q557" s="4">
        <f>Data!AK556</f>
        <v/>
      </c>
      <c r="R557" s="4">
        <f>Data!AL556</f>
        <v/>
      </c>
    </row>
    <row r="558">
      <c r="A558" s="4">
        <f>Data!A557</f>
        <v/>
      </c>
      <c r="B558" s="4">
        <f>Data!B557</f>
        <v/>
      </c>
      <c r="C558" s="4">
        <f>Data!C557</f>
        <v/>
      </c>
      <c r="D558" s="4">
        <f>Data!I557</f>
        <v/>
      </c>
      <c r="E558" s="4">
        <f>Data!J557</f>
        <v/>
      </c>
      <c r="F558" s="4">
        <f>Data!H557</f>
        <v/>
      </c>
      <c r="G558" s="4">
        <f>SUM(Data!Q557:Data!Y557)</f>
        <v/>
      </c>
      <c r="H558" s="4">
        <f>Data!Z557</f>
        <v/>
      </c>
      <c r="I558" s="4">
        <f>Data!AB557</f>
        <v/>
      </c>
      <c r="J558" s="4">
        <f>Data!AD557</f>
        <v/>
      </c>
      <c r="K558" s="4">
        <f>Data!AE557</f>
        <v/>
      </c>
      <c r="L558" s="4">
        <f>Data!AF557</f>
        <v/>
      </c>
      <c r="M558" s="4">
        <f>Data!AG557</f>
        <v/>
      </c>
      <c r="N558" s="4">
        <f>Data!AH557</f>
        <v/>
      </c>
      <c r="O558" s="4">
        <f>Data!AI557</f>
        <v/>
      </c>
      <c r="P558" s="4">
        <f>Data!AJ557</f>
        <v/>
      </c>
      <c r="Q558" s="4">
        <f>Data!AK557</f>
        <v/>
      </c>
      <c r="R558" s="4">
        <f>Data!AL557</f>
        <v/>
      </c>
    </row>
    <row r="559">
      <c r="A559" s="4">
        <f>Data!A558</f>
        <v/>
      </c>
      <c r="B559" s="4">
        <f>Data!B558</f>
        <v/>
      </c>
      <c r="C559" s="4">
        <f>Data!C558</f>
        <v/>
      </c>
      <c r="D559" s="4">
        <f>Data!I558</f>
        <v/>
      </c>
      <c r="E559" s="4">
        <f>Data!J558</f>
        <v/>
      </c>
      <c r="F559" s="4">
        <f>Data!H558</f>
        <v/>
      </c>
      <c r="G559" s="4">
        <f>SUM(Data!Q558:Data!Y558)</f>
        <v/>
      </c>
      <c r="H559" s="4">
        <f>Data!Z558</f>
        <v/>
      </c>
      <c r="I559" s="4">
        <f>Data!AB558</f>
        <v/>
      </c>
      <c r="J559" s="4">
        <f>Data!AD558</f>
        <v/>
      </c>
      <c r="K559" s="4">
        <f>Data!AE558</f>
        <v/>
      </c>
      <c r="L559" s="4">
        <f>Data!AF558</f>
        <v/>
      </c>
      <c r="M559" s="4">
        <f>Data!AG558</f>
        <v/>
      </c>
      <c r="N559" s="4">
        <f>Data!AH558</f>
        <v/>
      </c>
      <c r="O559" s="4">
        <f>Data!AI558</f>
        <v/>
      </c>
      <c r="P559" s="4">
        <f>Data!AJ558</f>
        <v/>
      </c>
      <c r="Q559" s="4">
        <f>Data!AK558</f>
        <v/>
      </c>
      <c r="R559" s="4">
        <f>Data!AL558</f>
        <v/>
      </c>
    </row>
    <row r="560">
      <c r="A560" s="4">
        <f>Data!A559</f>
        <v/>
      </c>
      <c r="B560" s="4">
        <f>Data!B559</f>
        <v/>
      </c>
      <c r="C560" s="4">
        <f>Data!C559</f>
        <v/>
      </c>
      <c r="D560" s="4">
        <f>Data!I559</f>
        <v/>
      </c>
      <c r="E560" s="4">
        <f>Data!J559</f>
        <v/>
      </c>
      <c r="F560" s="4">
        <f>Data!H559</f>
        <v/>
      </c>
      <c r="G560" s="4">
        <f>SUM(Data!Q559:Data!Y559)</f>
        <v/>
      </c>
      <c r="H560" s="4">
        <f>Data!Z559</f>
        <v/>
      </c>
      <c r="I560" s="4">
        <f>Data!AB559</f>
        <v/>
      </c>
      <c r="J560" s="4">
        <f>Data!AD559</f>
        <v/>
      </c>
      <c r="K560" s="4">
        <f>Data!AE559</f>
        <v/>
      </c>
      <c r="L560" s="4">
        <f>Data!AF559</f>
        <v/>
      </c>
      <c r="M560" s="4">
        <f>Data!AG559</f>
        <v/>
      </c>
      <c r="N560" s="4">
        <f>Data!AH559</f>
        <v/>
      </c>
      <c r="O560" s="4">
        <f>Data!AI559</f>
        <v/>
      </c>
      <c r="P560" s="4">
        <f>Data!AJ559</f>
        <v/>
      </c>
      <c r="Q560" s="4">
        <f>Data!AK559</f>
        <v/>
      </c>
      <c r="R560" s="4">
        <f>Data!AL559</f>
        <v/>
      </c>
    </row>
    <row r="561">
      <c r="A561" s="4">
        <f>Data!A560</f>
        <v/>
      </c>
      <c r="B561" s="4">
        <f>Data!B560</f>
        <v/>
      </c>
      <c r="C561" s="4">
        <f>Data!C560</f>
        <v/>
      </c>
      <c r="D561" s="4">
        <f>Data!I560</f>
        <v/>
      </c>
      <c r="E561" s="4">
        <f>Data!J560</f>
        <v/>
      </c>
      <c r="F561" s="4">
        <f>Data!H560</f>
        <v/>
      </c>
      <c r="G561" s="4">
        <f>SUM(Data!Q560:Data!Y560)</f>
        <v/>
      </c>
      <c r="H561" s="4">
        <f>Data!Z560</f>
        <v/>
      </c>
      <c r="I561" s="4">
        <f>Data!AB560</f>
        <v/>
      </c>
      <c r="J561" s="4">
        <f>Data!AD560</f>
        <v/>
      </c>
      <c r="K561" s="4">
        <f>Data!AE560</f>
        <v/>
      </c>
      <c r="L561" s="4">
        <f>Data!AF560</f>
        <v/>
      </c>
      <c r="M561" s="4">
        <f>Data!AG560</f>
        <v/>
      </c>
      <c r="N561" s="4">
        <f>Data!AH560</f>
        <v/>
      </c>
      <c r="O561" s="4">
        <f>Data!AI560</f>
        <v/>
      </c>
      <c r="P561" s="4">
        <f>Data!AJ560</f>
        <v/>
      </c>
      <c r="Q561" s="4">
        <f>Data!AK560</f>
        <v/>
      </c>
      <c r="R561" s="4">
        <f>Data!AL560</f>
        <v/>
      </c>
    </row>
    <row r="562">
      <c r="A562" s="4">
        <f>Data!A561</f>
        <v/>
      </c>
      <c r="B562" s="4">
        <f>Data!B561</f>
        <v/>
      </c>
      <c r="C562" s="4">
        <f>Data!C561</f>
        <v/>
      </c>
      <c r="D562" s="4">
        <f>Data!I561</f>
        <v/>
      </c>
      <c r="E562" s="4">
        <f>Data!J561</f>
        <v/>
      </c>
      <c r="F562" s="4">
        <f>Data!H561</f>
        <v/>
      </c>
      <c r="G562" s="4">
        <f>SUM(Data!Q561:Data!Y561)</f>
        <v/>
      </c>
      <c r="H562" s="4">
        <f>Data!Z561</f>
        <v/>
      </c>
      <c r="I562" s="4">
        <f>Data!AB561</f>
        <v/>
      </c>
      <c r="J562" s="4">
        <f>Data!AD561</f>
        <v/>
      </c>
      <c r="K562" s="4">
        <f>Data!AE561</f>
        <v/>
      </c>
      <c r="L562" s="4">
        <f>Data!AF561</f>
        <v/>
      </c>
      <c r="M562" s="4">
        <f>Data!AG561</f>
        <v/>
      </c>
      <c r="N562" s="4">
        <f>Data!AH561</f>
        <v/>
      </c>
      <c r="O562" s="4">
        <f>Data!AI561</f>
        <v/>
      </c>
      <c r="P562" s="4">
        <f>Data!AJ561</f>
        <v/>
      </c>
      <c r="Q562" s="4">
        <f>Data!AK561</f>
        <v/>
      </c>
      <c r="R562" s="4">
        <f>Data!AL561</f>
        <v/>
      </c>
    </row>
    <row r="563">
      <c r="A563" s="4">
        <f>Data!A562</f>
        <v/>
      </c>
      <c r="B563" s="4">
        <f>Data!B562</f>
        <v/>
      </c>
      <c r="C563" s="4">
        <f>Data!C562</f>
        <v/>
      </c>
      <c r="D563" s="4">
        <f>Data!I562</f>
        <v/>
      </c>
      <c r="E563" s="4">
        <f>Data!J562</f>
        <v/>
      </c>
      <c r="F563" s="4">
        <f>Data!H562</f>
        <v/>
      </c>
      <c r="G563" s="4">
        <f>SUM(Data!Q562:Data!Y562)</f>
        <v/>
      </c>
      <c r="H563" s="4">
        <f>Data!Z562</f>
        <v/>
      </c>
      <c r="I563" s="4">
        <f>Data!AB562</f>
        <v/>
      </c>
      <c r="J563" s="4">
        <f>Data!AD562</f>
        <v/>
      </c>
      <c r="K563" s="4">
        <f>Data!AE562</f>
        <v/>
      </c>
      <c r="L563" s="4">
        <f>Data!AF562</f>
        <v/>
      </c>
      <c r="M563" s="4">
        <f>Data!AG562</f>
        <v/>
      </c>
      <c r="N563" s="4">
        <f>Data!AH562</f>
        <v/>
      </c>
      <c r="O563" s="4">
        <f>Data!AI562</f>
        <v/>
      </c>
      <c r="P563" s="4">
        <f>Data!AJ562</f>
        <v/>
      </c>
      <c r="Q563" s="4">
        <f>Data!AK562</f>
        <v/>
      </c>
      <c r="R563" s="4">
        <f>Data!AL562</f>
        <v/>
      </c>
    </row>
    <row r="564">
      <c r="A564" s="4">
        <f>Data!A563</f>
        <v/>
      </c>
      <c r="B564" s="4">
        <f>Data!B563</f>
        <v/>
      </c>
      <c r="C564" s="4">
        <f>Data!C563</f>
        <v/>
      </c>
      <c r="D564" s="4">
        <f>Data!I563</f>
        <v/>
      </c>
      <c r="E564" s="4">
        <f>Data!J563</f>
        <v/>
      </c>
      <c r="F564" s="4">
        <f>Data!H563</f>
        <v/>
      </c>
      <c r="G564" s="4">
        <f>SUM(Data!Q563:Data!Y563)</f>
        <v/>
      </c>
      <c r="H564" s="4">
        <f>Data!Z563</f>
        <v/>
      </c>
      <c r="I564" s="4">
        <f>Data!AB563</f>
        <v/>
      </c>
      <c r="J564" s="4">
        <f>Data!AD563</f>
        <v/>
      </c>
      <c r="K564" s="4">
        <f>Data!AE563</f>
        <v/>
      </c>
      <c r="L564" s="4">
        <f>Data!AF563</f>
        <v/>
      </c>
      <c r="M564" s="4">
        <f>Data!AG563</f>
        <v/>
      </c>
      <c r="N564" s="4">
        <f>Data!AH563</f>
        <v/>
      </c>
      <c r="O564" s="4">
        <f>Data!AI563</f>
        <v/>
      </c>
      <c r="P564" s="4">
        <f>Data!AJ563</f>
        <v/>
      </c>
      <c r="Q564" s="4">
        <f>Data!AK563</f>
        <v/>
      </c>
      <c r="R564" s="4">
        <f>Data!AL563</f>
        <v/>
      </c>
    </row>
    <row r="565">
      <c r="A565" s="4">
        <f>Data!A564</f>
        <v/>
      </c>
      <c r="B565" s="4">
        <f>Data!B564</f>
        <v/>
      </c>
      <c r="C565" s="4">
        <f>Data!C564</f>
        <v/>
      </c>
      <c r="D565" s="4">
        <f>Data!I564</f>
        <v/>
      </c>
      <c r="E565" s="4">
        <f>Data!J564</f>
        <v/>
      </c>
      <c r="F565" s="4">
        <f>Data!H564</f>
        <v/>
      </c>
      <c r="G565" s="4">
        <f>SUM(Data!Q564:Data!Y564)</f>
        <v/>
      </c>
      <c r="H565" s="4">
        <f>Data!Z564</f>
        <v/>
      </c>
      <c r="I565" s="4">
        <f>Data!AB564</f>
        <v/>
      </c>
      <c r="J565" s="4">
        <f>Data!AD564</f>
        <v/>
      </c>
      <c r="K565" s="4">
        <f>Data!AE564</f>
        <v/>
      </c>
      <c r="L565" s="4">
        <f>Data!AF564</f>
        <v/>
      </c>
      <c r="M565" s="4">
        <f>Data!AG564</f>
        <v/>
      </c>
      <c r="N565" s="4">
        <f>Data!AH564</f>
        <v/>
      </c>
      <c r="O565" s="4">
        <f>Data!AI564</f>
        <v/>
      </c>
      <c r="P565" s="4">
        <f>Data!AJ564</f>
        <v/>
      </c>
      <c r="Q565" s="4">
        <f>Data!AK564</f>
        <v/>
      </c>
      <c r="R565" s="4">
        <f>Data!AL564</f>
        <v/>
      </c>
    </row>
    <row r="566">
      <c r="A566" s="4">
        <f>Data!A565</f>
        <v/>
      </c>
      <c r="B566" s="4">
        <f>Data!B565</f>
        <v/>
      </c>
      <c r="C566" s="4">
        <f>Data!C565</f>
        <v/>
      </c>
      <c r="D566" s="4">
        <f>Data!I565</f>
        <v/>
      </c>
      <c r="E566" s="4">
        <f>Data!J565</f>
        <v/>
      </c>
      <c r="F566" s="4">
        <f>Data!H565</f>
        <v/>
      </c>
      <c r="G566" s="4">
        <f>SUM(Data!Q565:Data!Y565)</f>
        <v/>
      </c>
      <c r="H566" s="4">
        <f>Data!Z565</f>
        <v/>
      </c>
      <c r="I566" s="4">
        <f>Data!AB565</f>
        <v/>
      </c>
      <c r="J566" s="4">
        <f>Data!AD565</f>
        <v/>
      </c>
      <c r="K566" s="4">
        <f>Data!AE565</f>
        <v/>
      </c>
      <c r="L566" s="4">
        <f>Data!AF565</f>
        <v/>
      </c>
      <c r="M566" s="4">
        <f>Data!AG565</f>
        <v/>
      </c>
      <c r="N566" s="4">
        <f>Data!AH565</f>
        <v/>
      </c>
      <c r="O566" s="4">
        <f>Data!AI565</f>
        <v/>
      </c>
      <c r="P566" s="4">
        <f>Data!AJ565</f>
        <v/>
      </c>
      <c r="Q566" s="4">
        <f>Data!AK565</f>
        <v/>
      </c>
      <c r="R566" s="4">
        <f>Data!AL565</f>
        <v/>
      </c>
    </row>
    <row r="567">
      <c r="A567" s="4">
        <f>Data!A566</f>
        <v/>
      </c>
      <c r="B567" s="4">
        <f>Data!B566</f>
        <v/>
      </c>
      <c r="C567" s="4">
        <f>Data!C566</f>
        <v/>
      </c>
      <c r="D567" s="4">
        <f>Data!I566</f>
        <v/>
      </c>
      <c r="E567" s="4">
        <f>Data!J566</f>
        <v/>
      </c>
      <c r="F567" s="4">
        <f>Data!H566</f>
        <v/>
      </c>
      <c r="G567" s="4">
        <f>SUM(Data!Q566:Data!Y566)</f>
        <v/>
      </c>
      <c r="H567" s="4">
        <f>Data!Z566</f>
        <v/>
      </c>
      <c r="I567" s="4">
        <f>Data!AB566</f>
        <v/>
      </c>
      <c r="J567" s="4">
        <f>Data!AD566</f>
        <v/>
      </c>
      <c r="K567" s="4">
        <f>Data!AE566</f>
        <v/>
      </c>
      <c r="L567" s="4">
        <f>Data!AF566</f>
        <v/>
      </c>
      <c r="M567" s="4">
        <f>Data!AG566</f>
        <v/>
      </c>
      <c r="N567" s="4">
        <f>Data!AH566</f>
        <v/>
      </c>
      <c r="O567" s="4">
        <f>Data!AI566</f>
        <v/>
      </c>
      <c r="P567" s="4">
        <f>Data!AJ566</f>
        <v/>
      </c>
      <c r="Q567" s="4">
        <f>Data!AK566</f>
        <v/>
      </c>
      <c r="R567" s="4">
        <f>Data!AL566</f>
        <v/>
      </c>
    </row>
    <row r="568">
      <c r="A568" s="4">
        <f>Data!A567</f>
        <v/>
      </c>
      <c r="B568" s="4">
        <f>Data!B567</f>
        <v/>
      </c>
      <c r="C568" s="4">
        <f>Data!C567</f>
        <v/>
      </c>
      <c r="D568" s="4">
        <f>Data!I567</f>
        <v/>
      </c>
      <c r="E568" s="4">
        <f>Data!J567</f>
        <v/>
      </c>
      <c r="F568" s="4">
        <f>Data!H567</f>
        <v/>
      </c>
      <c r="G568" s="4">
        <f>SUM(Data!Q567:Data!Y567)</f>
        <v/>
      </c>
      <c r="H568" s="4">
        <f>Data!Z567</f>
        <v/>
      </c>
      <c r="I568" s="4">
        <f>Data!AB567</f>
        <v/>
      </c>
      <c r="J568" s="4">
        <f>Data!AD567</f>
        <v/>
      </c>
      <c r="K568" s="4">
        <f>Data!AE567</f>
        <v/>
      </c>
      <c r="L568" s="4">
        <f>Data!AF567</f>
        <v/>
      </c>
      <c r="M568" s="4">
        <f>Data!AG567</f>
        <v/>
      </c>
      <c r="N568" s="4">
        <f>Data!AH567</f>
        <v/>
      </c>
      <c r="O568" s="4">
        <f>Data!AI567</f>
        <v/>
      </c>
      <c r="P568" s="4">
        <f>Data!AJ567</f>
        <v/>
      </c>
      <c r="Q568" s="4">
        <f>Data!AK567</f>
        <v/>
      </c>
      <c r="R568" s="4">
        <f>Data!AL567</f>
        <v/>
      </c>
    </row>
    <row r="569">
      <c r="A569" s="4">
        <f>Data!A568</f>
        <v/>
      </c>
      <c r="B569" s="4">
        <f>Data!B568</f>
        <v/>
      </c>
      <c r="C569" s="4">
        <f>Data!C568</f>
        <v/>
      </c>
      <c r="D569" s="4">
        <f>Data!I568</f>
        <v/>
      </c>
      <c r="E569" s="4">
        <f>Data!J568</f>
        <v/>
      </c>
      <c r="F569" s="4">
        <f>Data!H568</f>
        <v/>
      </c>
      <c r="G569" s="4">
        <f>SUM(Data!Q568:Data!Y568)</f>
        <v/>
      </c>
      <c r="H569" s="4">
        <f>Data!Z568</f>
        <v/>
      </c>
      <c r="I569" s="4">
        <f>Data!AB568</f>
        <v/>
      </c>
      <c r="J569" s="4">
        <f>Data!AD568</f>
        <v/>
      </c>
      <c r="K569" s="4">
        <f>Data!AE568</f>
        <v/>
      </c>
      <c r="L569" s="4">
        <f>Data!AF568</f>
        <v/>
      </c>
      <c r="M569" s="4">
        <f>Data!AG568</f>
        <v/>
      </c>
      <c r="N569" s="4">
        <f>Data!AH568</f>
        <v/>
      </c>
      <c r="O569" s="4">
        <f>Data!AI568</f>
        <v/>
      </c>
      <c r="P569" s="4">
        <f>Data!AJ568</f>
        <v/>
      </c>
      <c r="Q569" s="4">
        <f>Data!AK568</f>
        <v/>
      </c>
      <c r="R569" s="4">
        <f>Data!AL568</f>
        <v/>
      </c>
    </row>
    <row r="570">
      <c r="A570" s="4">
        <f>Data!A569</f>
        <v/>
      </c>
      <c r="B570" s="4">
        <f>Data!B569</f>
        <v/>
      </c>
      <c r="C570" s="4">
        <f>Data!C569</f>
        <v/>
      </c>
      <c r="D570" s="4">
        <f>Data!I569</f>
        <v/>
      </c>
      <c r="E570" s="4">
        <f>Data!J569</f>
        <v/>
      </c>
      <c r="F570" s="4">
        <f>Data!H569</f>
        <v/>
      </c>
      <c r="G570" s="4">
        <f>SUM(Data!Q569:Data!Y569)</f>
        <v/>
      </c>
      <c r="H570" s="4">
        <f>Data!Z569</f>
        <v/>
      </c>
      <c r="I570" s="4">
        <f>Data!AB569</f>
        <v/>
      </c>
      <c r="J570" s="4">
        <f>Data!AD569</f>
        <v/>
      </c>
      <c r="K570" s="4">
        <f>Data!AE569</f>
        <v/>
      </c>
      <c r="L570" s="4">
        <f>Data!AF569</f>
        <v/>
      </c>
      <c r="M570" s="4">
        <f>Data!AG569</f>
        <v/>
      </c>
      <c r="N570" s="4">
        <f>Data!AH569</f>
        <v/>
      </c>
      <c r="O570" s="4">
        <f>Data!AI569</f>
        <v/>
      </c>
      <c r="P570" s="4">
        <f>Data!AJ569</f>
        <v/>
      </c>
      <c r="Q570" s="4">
        <f>Data!AK569</f>
        <v/>
      </c>
      <c r="R570" s="4">
        <f>Data!AL569</f>
        <v/>
      </c>
    </row>
    <row r="571">
      <c r="A571" s="4">
        <f>Data!A570</f>
        <v/>
      </c>
      <c r="B571" s="4">
        <f>Data!B570</f>
        <v/>
      </c>
      <c r="C571" s="4">
        <f>Data!C570</f>
        <v/>
      </c>
      <c r="D571" s="4">
        <f>Data!I570</f>
        <v/>
      </c>
      <c r="E571" s="4">
        <f>Data!J570</f>
        <v/>
      </c>
      <c r="F571" s="4">
        <f>Data!H570</f>
        <v/>
      </c>
      <c r="G571" s="4">
        <f>SUM(Data!Q570:Data!Y570)</f>
        <v/>
      </c>
      <c r="H571" s="4">
        <f>Data!Z570</f>
        <v/>
      </c>
      <c r="I571" s="4">
        <f>Data!AB570</f>
        <v/>
      </c>
      <c r="J571" s="4">
        <f>Data!AD570</f>
        <v/>
      </c>
      <c r="K571" s="4">
        <f>Data!AE570</f>
        <v/>
      </c>
      <c r="L571" s="4">
        <f>Data!AF570</f>
        <v/>
      </c>
      <c r="M571" s="4">
        <f>Data!AG570</f>
        <v/>
      </c>
      <c r="N571" s="4">
        <f>Data!AH570</f>
        <v/>
      </c>
      <c r="O571" s="4">
        <f>Data!AI570</f>
        <v/>
      </c>
      <c r="P571" s="4">
        <f>Data!AJ570</f>
        <v/>
      </c>
      <c r="Q571" s="4">
        <f>Data!AK570</f>
        <v/>
      </c>
      <c r="R571" s="4">
        <f>Data!AL570</f>
        <v/>
      </c>
    </row>
    <row r="572">
      <c r="A572" s="4">
        <f>Data!A571</f>
        <v/>
      </c>
      <c r="B572" s="4">
        <f>Data!B571</f>
        <v/>
      </c>
      <c r="C572" s="4">
        <f>Data!C571</f>
        <v/>
      </c>
      <c r="D572" s="4">
        <f>Data!I571</f>
        <v/>
      </c>
      <c r="E572" s="4">
        <f>Data!J571</f>
        <v/>
      </c>
      <c r="F572" s="4">
        <f>Data!H571</f>
        <v/>
      </c>
      <c r="G572" s="4">
        <f>SUM(Data!Q571:Data!Y571)</f>
        <v/>
      </c>
      <c r="H572" s="4">
        <f>Data!Z571</f>
        <v/>
      </c>
      <c r="I572" s="4">
        <f>Data!AB571</f>
        <v/>
      </c>
      <c r="J572" s="4">
        <f>Data!AD571</f>
        <v/>
      </c>
      <c r="K572" s="4">
        <f>Data!AE571</f>
        <v/>
      </c>
      <c r="L572" s="4">
        <f>Data!AF571</f>
        <v/>
      </c>
      <c r="M572" s="4">
        <f>Data!AG571</f>
        <v/>
      </c>
      <c r="N572" s="4">
        <f>Data!AH571</f>
        <v/>
      </c>
      <c r="O572" s="4">
        <f>Data!AI571</f>
        <v/>
      </c>
      <c r="P572" s="4">
        <f>Data!AJ571</f>
        <v/>
      </c>
      <c r="Q572" s="4">
        <f>Data!AK571</f>
        <v/>
      </c>
      <c r="R572" s="4">
        <f>Data!AL571</f>
        <v/>
      </c>
    </row>
    <row r="573">
      <c r="A573" s="4">
        <f>Data!A572</f>
        <v/>
      </c>
      <c r="B573" s="4">
        <f>Data!B572</f>
        <v/>
      </c>
      <c r="C573" s="4">
        <f>Data!C572</f>
        <v/>
      </c>
      <c r="D573" s="4">
        <f>Data!I572</f>
        <v/>
      </c>
      <c r="E573" s="4">
        <f>Data!J572</f>
        <v/>
      </c>
      <c r="F573" s="4">
        <f>Data!H572</f>
        <v/>
      </c>
      <c r="G573" s="4">
        <f>SUM(Data!Q572:Data!Y572)</f>
        <v/>
      </c>
      <c r="H573" s="4">
        <f>Data!Z572</f>
        <v/>
      </c>
      <c r="I573" s="4">
        <f>Data!AB572</f>
        <v/>
      </c>
      <c r="J573" s="4">
        <f>Data!AD572</f>
        <v/>
      </c>
      <c r="K573" s="4">
        <f>Data!AE572</f>
        <v/>
      </c>
      <c r="L573" s="4">
        <f>Data!AF572</f>
        <v/>
      </c>
      <c r="M573" s="4">
        <f>Data!AG572</f>
        <v/>
      </c>
      <c r="N573" s="4">
        <f>Data!AH572</f>
        <v/>
      </c>
      <c r="O573" s="4">
        <f>Data!AI572</f>
        <v/>
      </c>
      <c r="P573" s="4">
        <f>Data!AJ572</f>
        <v/>
      </c>
      <c r="Q573" s="4">
        <f>Data!AK572</f>
        <v/>
      </c>
      <c r="R573" s="4">
        <f>Data!AL572</f>
        <v/>
      </c>
    </row>
    <row r="574">
      <c r="A574" s="4">
        <f>Data!A573</f>
        <v/>
      </c>
      <c r="B574" s="4">
        <f>Data!B573</f>
        <v/>
      </c>
      <c r="C574" s="4">
        <f>Data!C573</f>
        <v/>
      </c>
      <c r="D574" s="4">
        <f>Data!I573</f>
        <v/>
      </c>
      <c r="E574" s="4">
        <f>Data!J573</f>
        <v/>
      </c>
      <c r="F574" s="4">
        <f>Data!H573</f>
        <v/>
      </c>
      <c r="G574" s="4">
        <f>SUM(Data!Q573:Data!Y573)</f>
        <v/>
      </c>
      <c r="H574" s="4">
        <f>Data!Z573</f>
        <v/>
      </c>
      <c r="I574" s="4">
        <f>Data!AB573</f>
        <v/>
      </c>
      <c r="J574" s="4">
        <f>Data!AD573</f>
        <v/>
      </c>
      <c r="K574" s="4">
        <f>Data!AE573</f>
        <v/>
      </c>
      <c r="L574" s="4">
        <f>Data!AF573</f>
        <v/>
      </c>
      <c r="M574" s="4">
        <f>Data!AG573</f>
        <v/>
      </c>
      <c r="N574" s="4">
        <f>Data!AH573</f>
        <v/>
      </c>
      <c r="O574" s="4">
        <f>Data!AI573</f>
        <v/>
      </c>
      <c r="P574" s="4">
        <f>Data!AJ573</f>
        <v/>
      </c>
      <c r="Q574" s="4">
        <f>Data!AK573</f>
        <v/>
      </c>
      <c r="R574" s="4">
        <f>Data!AL573</f>
        <v/>
      </c>
    </row>
    <row r="575">
      <c r="A575" s="4">
        <f>Data!A574</f>
        <v/>
      </c>
      <c r="B575" s="4">
        <f>Data!B574</f>
        <v/>
      </c>
      <c r="C575" s="4">
        <f>Data!C574</f>
        <v/>
      </c>
      <c r="D575" s="4">
        <f>Data!I574</f>
        <v/>
      </c>
      <c r="E575" s="4">
        <f>Data!J574</f>
        <v/>
      </c>
      <c r="F575" s="4">
        <f>Data!H574</f>
        <v/>
      </c>
      <c r="G575" s="4">
        <f>SUM(Data!Q574:Data!Y574)</f>
        <v/>
      </c>
      <c r="H575" s="4">
        <f>Data!Z574</f>
        <v/>
      </c>
      <c r="I575" s="4">
        <f>Data!AB574</f>
        <v/>
      </c>
      <c r="J575" s="4">
        <f>Data!AD574</f>
        <v/>
      </c>
      <c r="K575" s="4">
        <f>Data!AE574</f>
        <v/>
      </c>
      <c r="L575" s="4">
        <f>Data!AF574</f>
        <v/>
      </c>
      <c r="M575" s="4">
        <f>Data!AG574</f>
        <v/>
      </c>
      <c r="N575" s="4">
        <f>Data!AH574</f>
        <v/>
      </c>
      <c r="O575" s="4">
        <f>Data!AI574</f>
        <v/>
      </c>
      <c r="P575" s="4">
        <f>Data!AJ574</f>
        <v/>
      </c>
      <c r="Q575" s="4">
        <f>Data!AK574</f>
        <v/>
      </c>
      <c r="R575" s="4">
        <f>Data!AL574</f>
        <v/>
      </c>
    </row>
    <row r="576">
      <c r="A576" s="4">
        <f>Data!A575</f>
        <v/>
      </c>
      <c r="B576" s="4">
        <f>Data!B575</f>
        <v/>
      </c>
      <c r="C576" s="4">
        <f>Data!C575</f>
        <v/>
      </c>
      <c r="D576" s="4">
        <f>Data!I575</f>
        <v/>
      </c>
      <c r="E576" s="4">
        <f>Data!J575</f>
        <v/>
      </c>
      <c r="F576" s="4">
        <f>Data!H575</f>
        <v/>
      </c>
      <c r="G576" s="4">
        <f>SUM(Data!Q575:Data!Y575)</f>
        <v/>
      </c>
      <c r="H576" s="4">
        <f>Data!Z575</f>
        <v/>
      </c>
      <c r="I576" s="4">
        <f>Data!AB575</f>
        <v/>
      </c>
      <c r="J576" s="4">
        <f>Data!AD575</f>
        <v/>
      </c>
      <c r="K576" s="4">
        <f>Data!AE575</f>
        <v/>
      </c>
      <c r="L576" s="4">
        <f>Data!AF575</f>
        <v/>
      </c>
      <c r="M576" s="4">
        <f>Data!AG575</f>
        <v/>
      </c>
      <c r="N576" s="4">
        <f>Data!AH575</f>
        <v/>
      </c>
      <c r="O576" s="4">
        <f>Data!AI575</f>
        <v/>
      </c>
      <c r="P576" s="4">
        <f>Data!AJ575</f>
        <v/>
      </c>
      <c r="Q576" s="4">
        <f>Data!AK575</f>
        <v/>
      </c>
      <c r="R576" s="4">
        <f>Data!AL575</f>
        <v/>
      </c>
    </row>
    <row r="577">
      <c r="A577" s="4">
        <f>Data!A576</f>
        <v/>
      </c>
      <c r="B577" s="4">
        <f>Data!B576</f>
        <v/>
      </c>
      <c r="C577" s="4">
        <f>Data!C576</f>
        <v/>
      </c>
      <c r="D577" s="4">
        <f>Data!I576</f>
        <v/>
      </c>
      <c r="E577" s="4">
        <f>Data!J576</f>
        <v/>
      </c>
      <c r="F577" s="4">
        <f>Data!H576</f>
        <v/>
      </c>
      <c r="G577" s="4">
        <f>SUM(Data!Q576:Data!Y576)</f>
        <v/>
      </c>
      <c r="H577" s="4">
        <f>Data!Z576</f>
        <v/>
      </c>
      <c r="I577" s="4">
        <f>Data!AB576</f>
        <v/>
      </c>
      <c r="J577" s="4">
        <f>Data!AD576</f>
        <v/>
      </c>
      <c r="K577" s="4">
        <f>Data!AE576</f>
        <v/>
      </c>
      <c r="L577" s="4">
        <f>Data!AF576</f>
        <v/>
      </c>
      <c r="M577" s="4">
        <f>Data!AG576</f>
        <v/>
      </c>
      <c r="N577" s="4">
        <f>Data!AH576</f>
        <v/>
      </c>
      <c r="O577" s="4">
        <f>Data!AI576</f>
        <v/>
      </c>
      <c r="P577" s="4">
        <f>Data!AJ576</f>
        <v/>
      </c>
      <c r="Q577" s="4">
        <f>Data!AK576</f>
        <v/>
      </c>
      <c r="R577" s="4">
        <f>Data!AL576</f>
        <v/>
      </c>
    </row>
    <row r="578">
      <c r="A578" s="4">
        <f>Data!A577</f>
        <v/>
      </c>
      <c r="B578" s="4">
        <f>Data!B577</f>
        <v/>
      </c>
      <c r="C578" s="4">
        <f>Data!C577</f>
        <v/>
      </c>
      <c r="D578" s="4">
        <f>Data!I577</f>
        <v/>
      </c>
      <c r="E578" s="4">
        <f>Data!J577</f>
        <v/>
      </c>
      <c r="F578" s="4">
        <f>Data!H577</f>
        <v/>
      </c>
      <c r="G578" s="4">
        <f>SUM(Data!Q577:Data!Y577)</f>
        <v/>
      </c>
      <c r="H578" s="4">
        <f>Data!Z577</f>
        <v/>
      </c>
      <c r="I578" s="4">
        <f>Data!AB577</f>
        <v/>
      </c>
      <c r="J578" s="4">
        <f>Data!AD577</f>
        <v/>
      </c>
      <c r="K578" s="4">
        <f>Data!AE577</f>
        <v/>
      </c>
      <c r="L578" s="4">
        <f>Data!AF577</f>
        <v/>
      </c>
      <c r="M578" s="4">
        <f>Data!AG577</f>
        <v/>
      </c>
      <c r="N578" s="4">
        <f>Data!AH577</f>
        <v/>
      </c>
      <c r="O578" s="4">
        <f>Data!AI577</f>
        <v/>
      </c>
      <c r="P578" s="4">
        <f>Data!AJ577</f>
        <v/>
      </c>
      <c r="Q578" s="4">
        <f>Data!AK577</f>
        <v/>
      </c>
      <c r="R578" s="4">
        <f>Data!AL577</f>
        <v/>
      </c>
    </row>
    <row r="579">
      <c r="A579" s="4">
        <f>Data!A578</f>
        <v/>
      </c>
      <c r="B579" s="4">
        <f>Data!B578</f>
        <v/>
      </c>
      <c r="C579" s="4">
        <f>Data!C578</f>
        <v/>
      </c>
      <c r="D579" s="4">
        <f>Data!I578</f>
        <v/>
      </c>
      <c r="E579" s="4">
        <f>Data!J578</f>
        <v/>
      </c>
      <c r="F579" s="4">
        <f>Data!H578</f>
        <v/>
      </c>
      <c r="G579" s="4">
        <f>SUM(Data!Q578:Data!Y578)</f>
        <v/>
      </c>
      <c r="H579" s="4">
        <f>Data!Z578</f>
        <v/>
      </c>
      <c r="I579" s="4">
        <f>Data!AB578</f>
        <v/>
      </c>
      <c r="J579" s="4">
        <f>Data!AD578</f>
        <v/>
      </c>
      <c r="K579" s="4">
        <f>Data!AE578</f>
        <v/>
      </c>
      <c r="L579" s="4">
        <f>Data!AF578</f>
        <v/>
      </c>
      <c r="M579" s="4">
        <f>Data!AG578</f>
        <v/>
      </c>
      <c r="N579" s="4">
        <f>Data!AH578</f>
        <v/>
      </c>
      <c r="O579" s="4">
        <f>Data!AI578</f>
        <v/>
      </c>
      <c r="P579" s="4">
        <f>Data!AJ578</f>
        <v/>
      </c>
      <c r="Q579" s="4">
        <f>Data!AK578</f>
        <v/>
      </c>
      <c r="R579" s="4">
        <f>Data!AL578</f>
        <v/>
      </c>
    </row>
    <row r="580">
      <c r="A580" s="4">
        <f>Data!A579</f>
        <v/>
      </c>
      <c r="B580" s="4">
        <f>Data!B579</f>
        <v/>
      </c>
      <c r="C580" s="4">
        <f>Data!C579</f>
        <v/>
      </c>
      <c r="D580" s="4">
        <f>Data!I579</f>
        <v/>
      </c>
      <c r="E580" s="4">
        <f>Data!J579</f>
        <v/>
      </c>
      <c r="F580" s="4">
        <f>Data!H579</f>
        <v/>
      </c>
      <c r="G580" s="4">
        <f>SUM(Data!Q579:Data!Y579)</f>
        <v/>
      </c>
      <c r="H580" s="4">
        <f>Data!Z579</f>
        <v/>
      </c>
      <c r="I580" s="4">
        <f>Data!AB579</f>
        <v/>
      </c>
      <c r="J580" s="4">
        <f>Data!AD579</f>
        <v/>
      </c>
      <c r="K580" s="4">
        <f>Data!AE579</f>
        <v/>
      </c>
      <c r="L580" s="4">
        <f>Data!AF579</f>
        <v/>
      </c>
      <c r="M580" s="4">
        <f>Data!AG579</f>
        <v/>
      </c>
      <c r="N580" s="4">
        <f>Data!AH579</f>
        <v/>
      </c>
      <c r="O580" s="4">
        <f>Data!AI579</f>
        <v/>
      </c>
      <c r="P580" s="4">
        <f>Data!AJ579</f>
        <v/>
      </c>
      <c r="Q580" s="4">
        <f>Data!AK579</f>
        <v/>
      </c>
      <c r="R580" s="4">
        <f>Data!AL579</f>
        <v/>
      </c>
    </row>
    <row r="581">
      <c r="A581" s="4">
        <f>Data!A580</f>
        <v/>
      </c>
      <c r="B581" s="4">
        <f>Data!B580</f>
        <v/>
      </c>
      <c r="C581" s="4">
        <f>Data!C580</f>
        <v/>
      </c>
      <c r="D581" s="4">
        <f>Data!I580</f>
        <v/>
      </c>
      <c r="E581" s="4">
        <f>Data!J580</f>
        <v/>
      </c>
      <c r="F581" s="4">
        <f>Data!H580</f>
        <v/>
      </c>
      <c r="G581" s="4">
        <f>SUM(Data!Q580:Data!Y580)</f>
        <v/>
      </c>
      <c r="H581" s="4">
        <f>Data!Z580</f>
        <v/>
      </c>
      <c r="I581" s="4">
        <f>Data!AB580</f>
        <v/>
      </c>
      <c r="J581" s="4">
        <f>Data!AD580</f>
        <v/>
      </c>
      <c r="K581" s="4">
        <f>Data!AE580</f>
        <v/>
      </c>
      <c r="L581" s="4">
        <f>Data!AF580</f>
        <v/>
      </c>
      <c r="M581" s="4">
        <f>Data!AG580</f>
        <v/>
      </c>
      <c r="N581" s="4">
        <f>Data!AH580</f>
        <v/>
      </c>
      <c r="O581" s="4">
        <f>Data!AI580</f>
        <v/>
      </c>
      <c r="P581" s="4">
        <f>Data!AJ580</f>
        <v/>
      </c>
      <c r="Q581" s="4">
        <f>Data!AK580</f>
        <v/>
      </c>
      <c r="R581" s="4">
        <f>Data!AL580</f>
        <v/>
      </c>
    </row>
    <row r="582">
      <c r="A582" s="4">
        <f>Data!A581</f>
        <v/>
      </c>
      <c r="B582" s="4">
        <f>Data!B581</f>
        <v/>
      </c>
      <c r="C582" s="4">
        <f>Data!C581</f>
        <v/>
      </c>
      <c r="D582" s="4">
        <f>Data!I581</f>
        <v/>
      </c>
      <c r="E582" s="4">
        <f>Data!J581</f>
        <v/>
      </c>
      <c r="F582" s="4">
        <f>Data!H581</f>
        <v/>
      </c>
      <c r="G582" s="4">
        <f>SUM(Data!Q581:Data!Y581)</f>
        <v/>
      </c>
      <c r="H582" s="4">
        <f>Data!Z581</f>
        <v/>
      </c>
      <c r="I582" s="4">
        <f>Data!AB581</f>
        <v/>
      </c>
      <c r="J582" s="4">
        <f>Data!AD581</f>
        <v/>
      </c>
      <c r="K582" s="4">
        <f>Data!AE581</f>
        <v/>
      </c>
      <c r="L582" s="4">
        <f>Data!AF581</f>
        <v/>
      </c>
      <c r="M582" s="4">
        <f>Data!AG581</f>
        <v/>
      </c>
      <c r="N582" s="4">
        <f>Data!AH581</f>
        <v/>
      </c>
      <c r="O582" s="4">
        <f>Data!AI581</f>
        <v/>
      </c>
      <c r="P582" s="4">
        <f>Data!AJ581</f>
        <v/>
      </c>
      <c r="Q582" s="4">
        <f>Data!AK581</f>
        <v/>
      </c>
      <c r="R582" s="4">
        <f>Data!AL581</f>
        <v/>
      </c>
    </row>
    <row r="583">
      <c r="A583" s="4">
        <f>Data!A582</f>
        <v/>
      </c>
      <c r="B583" s="4">
        <f>Data!B582</f>
        <v/>
      </c>
      <c r="C583" s="4">
        <f>Data!C582</f>
        <v/>
      </c>
      <c r="D583" s="4">
        <f>Data!I582</f>
        <v/>
      </c>
      <c r="E583" s="4">
        <f>Data!J582</f>
        <v/>
      </c>
      <c r="F583" s="4">
        <f>Data!H582</f>
        <v/>
      </c>
      <c r="G583" s="4">
        <f>SUM(Data!Q582:Data!Y582)</f>
        <v/>
      </c>
      <c r="H583" s="4">
        <f>Data!Z582</f>
        <v/>
      </c>
      <c r="I583" s="4">
        <f>Data!AB582</f>
        <v/>
      </c>
      <c r="J583" s="4">
        <f>Data!AD582</f>
        <v/>
      </c>
      <c r="K583" s="4">
        <f>Data!AE582</f>
        <v/>
      </c>
      <c r="L583" s="4">
        <f>Data!AF582</f>
        <v/>
      </c>
      <c r="M583" s="4">
        <f>Data!AG582</f>
        <v/>
      </c>
      <c r="N583" s="4">
        <f>Data!AH582</f>
        <v/>
      </c>
      <c r="O583" s="4">
        <f>Data!AI582</f>
        <v/>
      </c>
      <c r="P583" s="4">
        <f>Data!AJ582</f>
        <v/>
      </c>
      <c r="Q583" s="4">
        <f>Data!AK582</f>
        <v/>
      </c>
      <c r="R583" s="4">
        <f>Data!AL582</f>
        <v/>
      </c>
    </row>
    <row r="584">
      <c r="A584" s="4">
        <f>Data!A583</f>
        <v/>
      </c>
      <c r="B584" s="4">
        <f>Data!B583</f>
        <v/>
      </c>
      <c r="C584" s="4">
        <f>Data!C583</f>
        <v/>
      </c>
      <c r="D584" s="4">
        <f>Data!I583</f>
        <v/>
      </c>
      <c r="E584" s="4">
        <f>Data!J583</f>
        <v/>
      </c>
      <c r="F584" s="4">
        <f>Data!H583</f>
        <v/>
      </c>
      <c r="G584" s="4">
        <f>SUM(Data!Q583:Data!Y583)</f>
        <v/>
      </c>
      <c r="H584" s="4">
        <f>Data!Z583</f>
        <v/>
      </c>
      <c r="I584" s="4">
        <f>Data!AB583</f>
        <v/>
      </c>
      <c r="J584" s="4">
        <f>Data!AD583</f>
        <v/>
      </c>
      <c r="K584" s="4">
        <f>Data!AE583</f>
        <v/>
      </c>
      <c r="L584" s="4">
        <f>Data!AF583</f>
        <v/>
      </c>
      <c r="M584" s="4">
        <f>Data!AG583</f>
        <v/>
      </c>
      <c r="N584" s="4">
        <f>Data!AH583</f>
        <v/>
      </c>
      <c r="O584" s="4">
        <f>Data!AI583</f>
        <v/>
      </c>
      <c r="P584" s="4">
        <f>Data!AJ583</f>
        <v/>
      </c>
      <c r="Q584" s="4">
        <f>Data!AK583</f>
        <v/>
      </c>
      <c r="R584" s="4">
        <f>Data!AL583</f>
        <v/>
      </c>
    </row>
    <row r="585">
      <c r="A585" s="4">
        <f>Data!A584</f>
        <v/>
      </c>
      <c r="B585" s="4">
        <f>Data!B584</f>
        <v/>
      </c>
      <c r="C585" s="4">
        <f>Data!C584</f>
        <v/>
      </c>
      <c r="D585" s="4">
        <f>Data!I584</f>
        <v/>
      </c>
      <c r="E585" s="4">
        <f>Data!J584</f>
        <v/>
      </c>
      <c r="F585" s="4">
        <f>Data!H584</f>
        <v/>
      </c>
      <c r="G585" s="4">
        <f>SUM(Data!Q584:Data!Y584)</f>
        <v/>
      </c>
      <c r="H585" s="4">
        <f>Data!Z584</f>
        <v/>
      </c>
      <c r="I585" s="4">
        <f>Data!AB584</f>
        <v/>
      </c>
      <c r="J585" s="4">
        <f>Data!AD584</f>
        <v/>
      </c>
      <c r="K585" s="4">
        <f>Data!AE584</f>
        <v/>
      </c>
      <c r="L585" s="4">
        <f>Data!AF584</f>
        <v/>
      </c>
      <c r="M585" s="4">
        <f>Data!AG584</f>
        <v/>
      </c>
      <c r="N585" s="4">
        <f>Data!AH584</f>
        <v/>
      </c>
      <c r="O585" s="4">
        <f>Data!AI584</f>
        <v/>
      </c>
      <c r="P585" s="4">
        <f>Data!AJ584</f>
        <v/>
      </c>
      <c r="Q585" s="4">
        <f>Data!AK584</f>
        <v/>
      </c>
      <c r="R585" s="4">
        <f>Data!AL584</f>
        <v/>
      </c>
    </row>
    <row r="586">
      <c r="A586" s="4">
        <f>Data!A585</f>
        <v/>
      </c>
      <c r="B586" s="4">
        <f>Data!B585</f>
        <v/>
      </c>
      <c r="C586" s="4">
        <f>Data!C585</f>
        <v/>
      </c>
      <c r="D586" s="4">
        <f>Data!I585</f>
        <v/>
      </c>
      <c r="E586" s="4">
        <f>Data!J585</f>
        <v/>
      </c>
      <c r="F586" s="4">
        <f>Data!H585</f>
        <v/>
      </c>
      <c r="G586" s="4">
        <f>SUM(Data!Q585:Data!Y585)</f>
        <v/>
      </c>
      <c r="H586" s="4">
        <f>Data!Z585</f>
        <v/>
      </c>
      <c r="I586" s="4">
        <f>Data!AB585</f>
        <v/>
      </c>
      <c r="J586" s="4">
        <f>Data!AD585</f>
        <v/>
      </c>
      <c r="K586" s="4">
        <f>Data!AE585</f>
        <v/>
      </c>
      <c r="L586" s="4">
        <f>Data!AF585</f>
        <v/>
      </c>
      <c r="M586" s="4">
        <f>Data!AG585</f>
        <v/>
      </c>
      <c r="N586" s="4">
        <f>Data!AH585</f>
        <v/>
      </c>
      <c r="O586" s="4">
        <f>Data!AI585</f>
        <v/>
      </c>
      <c r="P586" s="4">
        <f>Data!AJ585</f>
        <v/>
      </c>
      <c r="Q586" s="4">
        <f>Data!AK585</f>
        <v/>
      </c>
      <c r="R586" s="4">
        <f>Data!AL585</f>
        <v/>
      </c>
    </row>
    <row r="587">
      <c r="A587" s="4">
        <f>Data!A586</f>
        <v/>
      </c>
      <c r="B587" s="4">
        <f>Data!B586</f>
        <v/>
      </c>
      <c r="C587" s="4">
        <f>Data!C586</f>
        <v/>
      </c>
      <c r="D587" s="4">
        <f>Data!I586</f>
        <v/>
      </c>
      <c r="E587" s="4">
        <f>Data!J586</f>
        <v/>
      </c>
      <c r="F587" s="4">
        <f>Data!H586</f>
        <v/>
      </c>
      <c r="G587" s="4">
        <f>SUM(Data!Q586:Data!Y586)</f>
        <v/>
      </c>
      <c r="H587" s="4">
        <f>Data!Z586</f>
        <v/>
      </c>
      <c r="I587" s="4">
        <f>Data!AB586</f>
        <v/>
      </c>
      <c r="J587" s="4">
        <f>Data!AD586</f>
        <v/>
      </c>
      <c r="K587" s="4">
        <f>Data!AE586</f>
        <v/>
      </c>
      <c r="L587" s="4">
        <f>Data!AF586</f>
        <v/>
      </c>
      <c r="M587" s="4">
        <f>Data!AG586</f>
        <v/>
      </c>
      <c r="N587" s="4">
        <f>Data!AH586</f>
        <v/>
      </c>
      <c r="O587" s="4">
        <f>Data!AI586</f>
        <v/>
      </c>
      <c r="P587" s="4">
        <f>Data!AJ586</f>
        <v/>
      </c>
      <c r="Q587" s="4">
        <f>Data!AK586</f>
        <v/>
      </c>
      <c r="R587" s="4">
        <f>Data!AL586</f>
        <v/>
      </c>
    </row>
    <row r="588">
      <c r="A588" s="4">
        <f>Data!A587</f>
        <v/>
      </c>
      <c r="B588" s="4">
        <f>Data!B587</f>
        <v/>
      </c>
      <c r="C588" s="4">
        <f>Data!C587</f>
        <v/>
      </c>
      <c r="D588" s="4">
        <f>Data!I587</f>
        <v/>
      </c>
      <c r="E588" s="4">
        <f>Data!J587</f>
        <v/>
      </c>
      <c r="F588" s="4">
        <f>Data!H587</f>
        <v/>
      </c>
      <c r="G588" s="4">
        <f>SUM(Data!Q587:Data!Y587)</f>
        <v/>
      </c>
      <c r="H588" s="4">
        <f>Data!Z587</f>
        <v/>
      </c>
      <c r="I588" s="4">
        <f>Data!AB587</f>
        <v/>
      </c>
      <c r="J588" s="4">
        <f>Data!AD587</f>
        <v/>
      </c>
      <c r="K588" s="4">
        <f>Data!AE587</f>
        <v/>
      </c>
      <c r="L588" s="4">
        <f>Data!AF587</f>
        <v/>
      </c>
      <c r="M588" s="4">
        <f>Data!AG587</f>
        <v/>
      </c>
      <c r="N588" s="4">
        <f>Data!AH587</f>
        <v/>
      </c>
      <c r="O588" s="4">
        <f>Data!AI587</f>
        <v/>
      </c>
      <c r="P588" s="4">
        <f>Data!AJ587</f>
        <v/>
      </c>
      <c r="Q588" s="4">
        <f>Data!AK587</f>
        <v/>
      </c>
      <c r="R588" s="4">
        <f>Data!AL587</f>
        <v/>
      </c>
    </row>
    <row r="589">
      <c r="A589" s="4">
        <f>Data!A588</f>
        <v/>
      </c>
      <c r="B589" s="4">
        <f>Data!B588</f>
        <v/>
      </c>
      <c r="C589" s="4">
        <f>Data!C588</f>
        <v/>
      </c>
      <c r="D589" s="4">
        <f>Data!I588</f>
        <v/>
      </c>
      <c r="E589" s="4">
        <f>Data!J588</f>
        <v/>
      </c>
      <c r="F589" s="4">
        <f>Data!H588</f>
        <v/>
      </c>
      <c r="G589" s="4">
        <f>SUM(Data!Q588:Data!Y588)</f>
        <v/>
      </c>
      <c r="H589" s="4">
        <f>Data!Z588</f>
        <v/>
      </c>
      <c r="I589" s="4">
        <f>Data!AB588</f>
        <v/>
      </c>
      <c r="J589" s="4">
        <f>Data!AD588</f>
        <v/>
      </c>
      <c r="K589" s="4">
        <f>Data!AE588</f>
        <v/>
      </c>
      <c r="L589" s="4">
        <f>Data!AF588</f>
        <v/>
      </c>
      <c r="M589" s="4">
        <f>Data!AG588</f>
        <v/>
      </c>
      <c r="N589" s="4">
        <f>Data!AH588</f>
        <v/>
      </c>
      <c r="O589" s="4">
        <f>Data!AI588</f>
        <v/>
      </c>
      <c r="P589" s="4">
        <f>Data!AJ588</f>
        <v/>
      </c>
      <c r="Q589" s="4">
        <f>Data!AK588</f>
        <v/>
      </c>
      <c r="R589" s="4">
        <f>Data!AL588</f>
        <v/>
      </c>
    </row>
    <row r="590">
      <c r="A590" s="4">
        <f>Data!A589</f>
        <v/>
      </c>
      <c r="B590" s="4">
        <f>Data!B589</f>
        <v/>
      </c>
      <c r="C590" s="4">
        <f>Data!C589</f>
        <v/>
      </c>
      <c r="D590" s="4">
        <f>Data!I589</f>
        <v/>
      </c>
      <c r="E590" s="4">
        <f>Data!J589</f>
        <v/>
      </c>
      <c r="F590" s="4">
        <f>Data!H589</f>
        <v/>
      </c>
      <c r="G590" s="4">
        <f>SUM(Data!Q589:Data!Y589)</f>
        <v/>
      </c>
      <c r="H590" s="4">
        <f>Data!Z589</f>
        <v/>
      </c>
      <c r="I590" s="4">
        <f>Data!AB589</f>
        <v/>
      </c>
      <c r="J590" s="4">
        <f>Data!AD589</f>
        <v/>
      </c>
      <c r="K590" s="4">
        <f>Data!AE589</f>
        <v/>
      </c>
      <c r="L590" s="4">
        <f>Data!AF589</f>
        <v/>
      </c>
      <c r="M590" s="4">
        <f>Data!AG589</f>
        <v/>
      </c>
      <c r="N590" s="4">
        <f>Data!AH589</f>
        <v/>
      </c>
      <c r="O590" s="4">
        <f>Data!AI589</f>
        <v/>
      </c>
      <c r="P590" s="4">
        <f>Data!AJ589</f>
        <v/>
      </c>
      <c r="Q590" s="4">
        <f>Data!AK589</f>
        <v/>
      </c>
      <c r="R590" s="4">
        <f>Data!AL589</f>
        <v/>
      </c>
    </row>
    <row r="591">
      <c r="A591" s="4">
        <f>Data!A590</f>
        <v/>
      </c>
      <c r="B591" s="4">
        <f>Data!B590</f>
        <v/>
      </c>
      <c r="C591" s="4">
        <f>Data!C590</f>
        <v/>
      </c>
      <c r="D591" s="4">
        <f>Data!I590</f>
        <v/>
      </c>
      <c r="E591" s="4">
        <f>Data!J590</f>
        <v/>
      </c>
      <c r="F591" s="4">
        <f>Data!H590</f>
        <v/>
      </c>
      <c r="G591" s="4">
        <f>SUM(Data!Q590:Data!Y590)</f>
        <v/>
      </c>
      <c r="H591" s="4">
        <f>Data!Z590</f>
        <v/>
      </c>
      <c r="I591" s="4">
        <f>Data!AB590</f>
        <v/>
      </c>
      <c r="J591" s="4">
        <f>Data!AD590</f>
        <v/>
      </c>
      <c r="K591" s="4">
        <f>Data!AE590</f>
        <v/>
      </c>
      <c r="L591" s="4">
        <f>Data!AF590</f>
        <v/>
      </c>
      <c r="M591" s="4">
        <f>Data!AG590</f>
        <v/>
      </c>
      <c r="N591" s="4">
        <f>Data!AH590</f>
        <v/>
      </c>
      <c r="O591" s="4">
        <f>Data!AI590</f>
        <v/>
      </c>
      <c r="P591" s="4">
        <f>Data!AJ590</f>
        <v/>
      </c>
      <c r="Q591" s="4">
        <f>Data!AK590</f>
        <v/>
      </c>
      <c r="R591" s="4">
        <f>Data!AL590</f>
        <v/>
      </c>
    </row>
    <row r="592">
      <c r="A592" s="4">
        <f>Data!A591</f>
        <v/>
      </c>
      <c r="B592" s="4">
        <f>Data!B591</f>
        <v/>
      </c>
      <c r="C592" s="4">
        <f>Data!C591</f>
        <v/>
      </c>
      <c r="D592" s="4">
        <f>Data!I591</f>
        <v/>
      </c>
      <c r="E592" s="4">
        <f>Data!J591</f>
        <v/>
      </c>
      <c r="F592" s="4">
        <f>Data!H591</f>
        <v/>
      </c>
      <c r="G592" s="4">
        <f>SUM(Data!Q591:Data!Y591)</f>
        <v/>
      </c>
      <c r="H592" s="4">
        <f>Data!Z591</f>
        <v/>
      </c>
      <c r="I592" s="4">
        <f>Data!AB591</f>
        <v/>
      </c>
      <c r="J592" s="4">
        <f>Data!AD591</f>
        <v/>
      </c>
      <c r="K592" s="4">
        <f>Data!AE591</f>
        <v/>
      </c>
      <c r="L592" s="4">
        <f>Data!AF591</f>
        <v/>
      </c>
      <c r="M592" s="4">
        <f>Data!AG591</f>
        <v/>
      </c>
      <c r="N592" s="4">
        <f>Data!AH591</f>
        <v/>
      </c>
      <c r="O592" s="4">
        <f>Data!AI591</f>
        <v/>
      </c>
      <c r="P592" s="4">
        <f>Data!AJ591</f>
        <v/>
      </c>
      <c r="Q592" s="4">
        <f>Data!AK591</f>
        <v/>
      </c>
      <c r="R592" s="4">
        <f>Data!AL591</f>
        <v/>
      </c>
    </row>
    <row r="593">
      <c r="A593" s="4">
        <f>Data!A592</f>
        <v/>
      </c>
      <c r="B593" s="4">
        <f>Data!B592</f>
        <v/>
      </c>
      <c r="C593" s="4">
        <f>Data!C592</f>
        <v/>
      </c>
      <c r="D593" s="4">
        <f>Data!I592</f>
        <v/>
      </c>
      <c r="E593" s="4">
        <f>Data!J592</f>
        <v/>
      </c>
      <c r="F593" s="4">
        <f>Data!H592</f>
        <v/>
      </c>
      <c r="G593" s="4">
        <f>SUM(Data!Q592:Data!Y592)</f>
        <v/>
      </c>
      <c r="H593" s="4">
        <f>Data!Z592</f>
        <v/>
      </c>
      <c r="I593" s="4">
        <f>Data!AB592</f>
        <v/>
      </c>
      <c r="J593" s="4">
        <f>Data!AD592</f>
        <v/>
      </c>
      <c r="K593" s="4">
        <f>Data!AE592</f>
        <v/>
      </c>
      <c r="L593" s="4">
        <f>Data!AF592</f>
        <v/>
      </c>
      <c r="M593" s="4">
        <f>Data!AG592</f>
        <v/>
      </c>
      <c r="N593" s="4">
        <f>Data!AH592</f>
        <v/>
      </c>
      <c r="O593" s="4">
        <f>Data!AI592</f>
        <v/>
      </c>
      <c r="P593" s="4">
        <f>Data!AJ592</f>
        <v/>
      </c>
      <c r="Q593" s="4">
        <f>Data!AK592</f>
        <v/>
      </c>
      <c r="R593" s="4">
        <f>Data!AL592</f>
        <v/>
      </c>
    </row>
    <row r="594">
      <c r="A594" s="4">
        <f>Data!A593</f>
        <v/>
      </c>
      <c r="B594" s="4">
        <f>Data!B593</f>
        <v/>
      </c>
      <c r="C594" s="4">
        <f>Data!C593</f>
        <v/>
      </c>
      <c r="D594" s="4">
        <f>Data!I593</f>
        <v/>
      </c>
      <c r="E594" s="4">
        <f>Data!J593</f>
        <v/>
      </c>
      <c r="F594" s="4">
        <f>Data!H593</f>
        <v/>
      </c>
      <c r="G594" s="4">
        <f>SUM(Data!Q593:Data!Y593)</f>
        <v/>
      </c>
      <c r="H594" s="4">
        <f>Data!Z593</f>
        <v/>
      </c>
      <c r="I594" s="4">
        <f>Data!AB593</f>
        <v/>
      </c>
      <c r="J594" s="4">
        <f>Data!AD593</f>
        <v/>
      </c>
      <c r="K594" s="4">
        <f>Data!AE593</f>
        <v/>
      </c>
      <c r="L594" s="4">
        <f>Data!AF593</f>
        <v/>
      </c>
      <c r="M594" s="4">
        <f>Data!AG593</f>
        <v/>
      </c>
      <c r="N594" s="4">
        <f>Data!AH593</f>
        <v/>
      </c>
      <c r="O594" s="4">
        <f>Data!AI593</f>
        <v/>
      </c>
      <c r="P594" s="4">
        <f>Data!AJ593</f>
        <v/>
      </c>
      <c r="Q594" s="4">
        <f>Data!AK593</f>
        <v/>
      </c>
      <c r="R594" s="4">
        <f>Data!AL593</f>
        <v/>
      </c>
    </row>
    <row r="595">
      <c r="A595" s="4">
        <f>Data!A594</f>
        <v/>
      </c>
      <c r="B595" s="4">
        <f>Data!B594</f>
        <v/>
      </c>
      <c r="C595" s="4">
        <f>Data!C594</f>
        <v/>
      </c>
      <c r="D595" s="4">
        <f>Data!I594</f>
        <v/>
      </c>
      <c r="E595" s="4">
        <f>Data!J594</f>
        <v/>
      </c>
      <c r="F595" s="4">
        <f>Data!H594</f>
        <v/>
      </c>
      <c r="G595" s="4">
        <f>SUM(Data!Q594:Data!Y594)</f>
        <v/>
      </c>
      <c r="H595" s="4">
        <f>Data!Z594</f>
        <v/>
      </c>
      <c r="I595" s="4">
        <f>Data!AB594</f>
        <v/>
      </c>
      <c r="J595" s="4">
        <f>Data!AD594</f>
        <v/>
      </c>
      <c r="K595" s="4">
        <f>Data!AE594</f>
        <v/>
      </c>
      <c r="L595" s="4">
        <f>Data!AF594</f>
        <v/>
      </c>
      <c r="M595" s="4">
        <f>Data!AG594</f>
        <v/>
      </c>
      <c r="N595" s="4">
        <f>Data!AH594</f>
        <v/>
      </c>
      <c r="O595" s="4">
        <f>Data!AI594</f>
        <v/>
      </c>
      <c r="P595" s="4">
        <f>Data!AJ594</f>
        <v/>
      </c>
      <c r="Q595" s="4">
        <f>Data!AK594</f>
        <v/>
      </c>
      <c r="R595" s="4">
        <f>Data!AL594</f>
        <v/>
      </c>
    </row>
    <row r="596">
      <c r="A596" s="4">
        <f>Data!A595</f>
        <v/>
      </c>
      <c r="B596" s="4">
        <f>Data!B595</f>
        <v/>
      </c>
      <c r="C596" s="4">
        <f>Data!C595</f>
        <v/>
      </c>
      <c r="D596" s="4">
        <f>Data!I595</f>
        <v/>
      </c>
      <c r="E596" s="4">
        <f>Data!J595</f>
        <v/>
      </c>
      <c r="F596" s="4">
        <f>Data!H595</f>
        <v/>
      </c>
      <c r="G596" s="4">
        <f>SUM(Data!Q595:Data!Y595)</f>
        <v/>
      </c>
      <c r="H596" s="4">
        <f>Data!Z595</f>
        <v/>
      </c>
      <c r="I596" s="4">
        <f>Data!AB595</f>
        <v/>
      </c>
      <c r="J596" s="4">
        <f>Data!AD595</f>
        <v/>
      </c>
      <c r="K596" s="4">
        <f>Data!AE595</f>
        <v/>
      </c>
      <c r="L596" s="4">
        <f>Data!AF595</f>
        <v/>
      </c>
      <c r="M596" s="4">
        <f>Data!AG595</f>
        <v/>
      </c>
      <c r="N596" s="4">
        <f>Data!AH595</f>
        <v/>
      </c>
      <c r="O596" s="4">
        <f>Data!AI595</f>
        <v/>
      </c>
      <c r="P596" s="4">
        <f>Data!AJ595</f>
        <v/>
      </c>
      <c r="Q596" s="4">
        <f>Data!AK595</f>
        <v/>
      </c>
      <c r="R596" s="4">
        <f>Data!AL595</f>
        <v/>
      </c>
    </row>
    <row r="597">
      <c r="A597" s="4">
        <f>Data!A596</f>
        <v/>
      </c>
      <c r="B597" s="4">
        <f>Data!B596</f>
        <v/>
      </c>
      <c r="C597" s="4">
        <f>Data!C596</f>
        <v/>
      </c>
      <c r="D597" s="4">
        <f>Data!I596</f>
        <v/>
      </c>
      <c r="E597" s="4">
        <f>Data!J596</f>
        <v/>
      </c>
      <c r="F597" s="4">
        <f>Data!H596</f>
        <v/>
      </c>
      <c r="G597" s="4">
        <f>SUM(Data!Q596:Data!Y596)</f>
        <v/>
      </c>
      <c r="H597" s="4">
        <f>Data!Z596</f>
        <v/>
      </c>
      <c r="I597" s="4">
        <f>Data!AB596</f>
        <v/>
      </c>
      <c r="J597" s="4">
        <f>Data!AD596</f>
        <v/>
      </c>
      <c r="K597" s="4">
        <f>Data!AE596</f>
        <v/>
      </c>
      <c r="L597" s="4">
        <f>Data!AF596</f>
        <v/>
      </c>
      <c r="M597" s="4">
        <f>Data!AG596</f>
        <v/>
      </c>
      <c r="N597" s="4">
        <f>Data!AH596</f>
        <v/>
      </c>
      <c r="O597" s="4">
        <f>Data!AI596</f>
        <v/>
      </c>
      <c r="P597" s="4">
        <f>Data!AJ596</f>
        <v/>
      </c>
      <c r="Q597" s="4">
        <f>Data!AK596</f>
        <v/>
      </c>
      <c r="R597" s="4">
        <f>Data!AL596</f>
        <v/>
      </c>
    </row>
    <row r="598">
      <c r="A598" s="4">
        <f>Data!A597</f>
        <v/>
      </c>
      <c r="B598" s="4">
        <f>Data!B597</f>
        <v/>
      </c>
      <c r="C598" s="4">
        <f>Data!C597</f>
        <v/>
      </c>
      <c r="D598" s="4">
        <f>Data!I597</f>
        <v/>
      </c>
      <c r="E598" s="4">
        <f>Data!J597</f>
        <v/>
      </c>
      <c r="F598" s="4">
        <f>Data!H597</f>
        <v/>
      </c>
      <c r="G598" s="4">
        <f>SUM(Data!Q597:Data!Y597)</f>
        <v/>
      </c>
      <c r="H598" s="4">
        <f>Data!Z597</f>
        <v/>
      </c>
      <c r="I598" s="4">
        <f>Data!AB597</f>
        <v/>
      </c>
      <c r="J598" s="4">
        <f>Data!AD597</f>
        <v/>
      </c>
      <c r="K598" s="4">
        <f>Data!AE597</f>
        <v/>
      </c>
      <c r="L598" s="4">
        <f>Data!AF597</f>
        <v/>
      </c>
      <c r="M598" s="4">
        <f>Data!AG597</f>
        <v/>
      </c>
      <c r="N598" s="4">
        <f>Data!AH597</f>
        <v/>
      </c>
      <c r="O598" s="4">
        <f>Data!AI597</f>
        <v/>
      </c>
      <c r="P598" s="4">
        <f>Data!AJ597</f>
        <v/>
      </c>
      <c r="Q598" s="4">
        <f>Data!AK597</f>
        <v/>
      </c>
      <c r="R598" s="4">
        <f>Data!AL597</f>
        <v/>
      </c>
    </row>
    <row r="599">
      <c r="A599" s="4">
        <f>Data!A598</f>
        <v/>
      </c>
      <c r="B599" s="4">
        <f>Data!B598</f>
        <v/>
      </c>
      <c r="C599" s="4">
        <f>Data!C598</f>
        <v/>
      </c>
      <c r="D599" s="4">
        <f>Data!I598</f>
        <v/>
      </c>
      <c r="E599" s="4">
        <f>Data!J598</f>
        <v/>
      </c>
      <c r="F599" s="4">
        <f>Data!H598</f>
        <v/>
      </c>
      <c r="G599" s="4">
        <f>SUM(Data!Q598:Data!Y598)</f>
        <v/>
      </c>
      <c r="H599" s="4">
        <f>Data!Z598</f>
        <v/>
      </c>
      <c r="I599" s="4">
        <f>Data!AB598</f>
        <v/>
      </c>
      <c r="J599" s="4">
        <f>Data!AD598</f>
        <v/>
      </c>
      <c r="K599" s="4">
        <f>Data!AE598</f>
        <v/>
      </c>
      <c r="L599" s="4">
        <f>Data!AF598</f>
        <v/>
      </c>
      <c r="M599" s="4">
        <f>Data!AG598</f>
        <v/>
      </c>
      <c r="N599" s="4">
        <f>Data!AH598</f>
        <v/>
      </c>
      <c r="O599" s="4">
        <f>Data!AI598</f>
        <v/>
      </c>
      <c r="P599" s="4">
        <f>Data!AJ598</f>
        <v/>
      </c>
      <c r="Q599" s="4">
        <f>Data!AK598</f>
        <v/>
      </c>
      <c r="R599" s="4">
        <f>Data!AL598</f>
        <v/>
      </c>
    </row>
    <row r="600">
      <c r="A600" s="4">
        <f>Data!A599</f>
        <v/>
      </c>
      <c r="B600" s="4">
        <f>Data!B599</f>
        <v/>
      </c>
      <c r="C600" s="4">
        <f>Data!C599</f>
        <v/>
      </c>
      <c r="D600" s="4">
        <f>Data!I599</f>
        <v/>
      </c>
      <c r="E600" s="4">
        <f>Data!J599</f>
        <v/>
      </c>
      <c r="F600" s="4">
        <f>Data!H599</f>
        <v/>
      </c>
      <c r="G600" s="4">
        <f>SUM(Data!Q599:Data!Y599)</f>
        <v/>
      </c>
      <c r="H600" s="4">
        <f>Data!Z599</f>
        <v/>
      </c>
      <c r="I600" s="4">
        <f>Data!AB599</f>
        <v/>
      </c>
      <c r="J600" s="4">
        <f>Data!AD599</f>
        <v/>
      </c>
      <c r="K600" s="4">
        <f>Data!AE599</f>
        <v/>
      </c>
      <c r="L600" s="4">
        <f>Data!AF599</f>
        <v/>
      </c>
      <c r="M600" s="4">
        <f>Data!AG599</f>
        <v/>
      </c>
      <c r="N600" s="4">
        <f>Data!AH599</f>
        <v/>
      </c>
      <c r="O600" s="4">
        <f>Data!AI599</f>
        <v/>
      </c>
      <c r="P600" s="4">
        <f>Data!AJ599</f>
        <v/>
      </c>
      <c r="Q600" s="4">
        <f>Data!AK599</f>
        <v/>
      </c>
      <c r="R600" s="4">
        <f>Data!AL599</f>
        <v/>
      </c>
    </row>
    <row r="601">
      <c r="A601" s="4">
        <f>Data!A600</f>
        <v/>
      </c>
      <c r="B601" s="4">
        <f>Data!B600</f>
        <v/>
      </c>
      <c r="C601" s="4">
        <f>Data!C600</f>
        <v/>
      </c>
      <c r="D601" s="4">
        <f>Data!I600</f>
        <v/>
      </c>
      <c r="E601" s="4">
        <f>Data!J600</f>
        <v/>
      </c>
      <c r="F601" s="4">
        <f>Data!H600</f>
        <v/>
      </c>
      <c r="G601" s="4">
        <f>SUM(Data!Q600:Data!Y600)</f>
        <v/>
      </c>
      <c r="H601" s="4">
        <f>Data!Z600</f>
        <v/>
      </c>
      <c r="I601" s="4">
        <f>Data!AB600</f>
        <v/>
      </c>
      <c r="J601" s="4">
        <f>Data!AD600</f>
        <v/>
      </c>
      <c r="K601" s="4">
        <f>Data!AE600</f>
        <v/>
      </c>
      <c r="L601" s="4">
        <f>Data!AF600</f>
        <v/>
      </c>
      <c r="M601" s="4">
        <f>Data!AG600</f>
        <v/>
      </c>
      <c r="N601" s="4">
        <f>Data!AH600</f>
        <v/>
      </c>
      <c r="O601" s="4">
        <f>Data!AI600</f>
        <v/>
      </c>
      <c r="P601" s="4">
        <f>Data!AJ600</f>
        <v/>
      </c>
      <c r="Q601" s="4">
        <f>Data!AK600</f>
        <v/>
      </c>
      <c r="R601" s="4">
        <f>Data!AL600</f>
        <v/>
      </c>
    </row>
    <row r="602">
      <c r="A602" s="4">
        <f>Data!A601</f>
        <v/>
      </c>
      <c r="B602" s="4">
        <f>Data!B601</f>
        <v/>
      </c>
      <c r="C602" s="4">
        <f>Data!C601</f>
        <v/>
      </c>
      <c r="D602" s="4">
        <f>Data!I601</f>
        <v/>
      </c>
      <c r="E602" s="4">
        <f>Data!J601</f>
        <v/>
      </c>
      <c r="F602" s="4">
        <f>Data!H601</f>
        <v/>
      </c>
      <c r="G602" s="4">
        <f>SUM(Data!Q601:Data!Y601)</f>
        <v/>
      </c>
      <c r="H602" s="4">
        <f>Data!Z601</f>
        <v/>
      </c>
      <c r="I602" s="4">
        <f>Data!AB601</f>
        <v/>
      </c>
      <c r="J602" s="4">
        <f>Data!AD601</f>
        <v/>
      </c>
      <c r="K602" s="4">
        <f>Data!AE601</f>
        <v/>
      </c>
      <c r="L602" s="4">
        <f>Data!AF601</f>
        <v/>
      </c>
      <c r="M602" s="4">
        <f>Data!AG601</f>
        <v/>
      </c>
      <c r="N602" s="4">
        <f>Data!AH601</f>
        <v/>
      </c>
      <c r="O602" s="4">
        <f>Data!AI601</f>
        <v/>
      </c>
      <c r="P602" s="4">
        <f>Data!AJ601</f>
        <v/>
      </c>
      <c r="Q602" s="4">
        <f>Data!AK601</f>
        <v/>
      </c>
      <c r="R602" s="4">
        <f>Data!AL601</f>
        <v/>
      </c>
    </row>
    <row r="603">
      <c r="A603" s="4">
        <f>Data!A602</f>
        <v/>
      </c>
      <c r="B603" s="4">
        <f>Data!B602</f>
        <v/>
      </c>
      <c r="C603" s="4">
        <f>Data!C602</f>
        <v/>
      </c>
      <c r="D603" s="4">
        <f>Data!I602</f>
        <v/>
      </c>
      <c r="E603" s="4">
        <f>Data!J602</f>
        <v/>
      </c>
      <c r="F603" s="4">
        <f>Data!H602</f>
        <v/>
      </c>
      <c r="G603" s="4">
        <f>SUM(Data!Q602:Data!Y602)</f>
        <v/>
      </c>
      <c r="H603" s="4">
        <f>Data!Z602</f>
        <v/>
      </c>
      <c r="I603" s="4">
        <f>Data!AB602</f>
        <v/>
      </c>
      <c r="J603" s="4">
        <f>Data!AD602</f>
        <v/>
      </c>
      <c r="K603" s="4">
        <f>Data!AE602</f>
        <v/>
      </c>
      <c r="L603" s="4">
        <f>Data!AF602</f>
        <v/>
      </c>
      <c r="M603" s="4">
        <f>Data!AG602</f>
        <v/>
      </c>
      <c r="N603" s="4">
        <f>Data!AH602</f>
        <v/>
      </c>
      <c r="O603" s="4">
        <f>Data!AI602</f>
        <v/>
      </c>
      <c r="P603" s="4">
        <f>Data!AJ602</f>
        <v/>
      </c>
      <c r="Q603" s="4">
        <f>Data!AK602</f>
        <v/>
      </c>
      <c r="R603" s="4">
        <f>Data!AL602</f>
        <v/>
      </c>
    </row>
    <row r="604">
      <c r="A604" s="4">
        <f>Data!A603</f>
        <v/>
      </c>
      <c r="B604" s="4">
        <f>Data!B603</f>
        <v/>
      </c>
      <c r="C604" s="4">
        <f>Data!C603</f>
        <v/>
      </c>
      <c r="D604" s="4">
        <f>Data!I603</f>
        <v/>
      </c>
      <c r="E604" s="4">
        <f>Data!J603</f>
        <v/>
      </c>
      <c r="F604" s="4">
        <f>Data!H603</f>
        <v/>
      </c>
      <c r="G604" s="4">
        <f>SUM(Data!Q603:Data!Y603)</f>
        <v/>
      </c>
      <c r="H604" s="4">
        <f>Data!Z603</f>
        <v/>
      </c>
      <c r="I604" s="4">
        <f>Data!AB603</f>
        <v/>
      </c>
      <c r="J604" s="4">
        <f>Data!AD603</f>
        <v/>
      </c>
      <c r="K604" s="4">
        <f>Data!AE603</f>
        <v/>
      </c>
      <c r="L604" s="4">
        <f>Data!AF603</f>
        <v/>
      </c>
      <c r="M604" s="4">
        <f>Data!AG603</f>
        <v/>
      </c>
      <c r="N604" s="4">
        <f>Data!AH603</f>
        <v/>
      </c>
      <c r="O604" s="4">
        <f>Data!AI603</f>
        <v/>
      </c>
      <c r="P604" s="4">
        <f>Data!AJ603</f>
        <v/>
      </c>
      <c r="Q604" s="4">
        <f>Data!AK603</f>
        <v/>
      </c>
      <c r="R604" s="4">
        <f>Data!AL603</f>
        <v/>
      </c>
    </row>
    <row r="605">
      <c r="A605" s="4">
        <f>Data!A604</f>
        <v/>
      </c>
      <c r="B605" s="4">
        <f>Data!B604</f>
        <v/>
      </c>
      <c r="C605" s="4">
        <f>Data!C604</f>
        <v/>
      </c>
      <c r="D605" s="4">
        <f>Data!I604</f>
        <v/>
      </c>
      <c r="E605" s="4">
        <f>Data!J604</f>
        <v/>
      </c>
      <c r="F605" s="4">
        <f>Data!H604</f>
        <v/>
      </c>
      <c r="G605" s="4">
        <f>SUM(Data!Q604:Data!Y604)</f>
        <v/>
      </c>
      <c r="H605" s="4">
        <f>Data!Z604</f>
        <v/>
      </c>
      <c r="I605" s="4">
        <f>Data!AB604</f>
        <v/>
      </c>
      <c r="J605" s="4">
        <f>Data!AD604</f>
        <v/>
      </c>
      <c r="K605" s="4">
        <f>Data!AE604</f>
        <v/>
      </c>
      <c r="L605" s="4">
        <f>Data!AF604</f>
        <v/>
      </c>
      <c r="M605" s="4">
        <f>Data!AG604</f>
        <v/>
      </c>
      <c r="N605" s="4">
        <f>Data!AH604</f>
        <v/>
      </c>
      <c r="O605" s="4">
        <f>Data!AI604</f>
        <v/>
      </c>
      <c r="P605" s="4">
        <f>Data!AJ604</f>
        <v/>
      </c>
      <c r="Q605" s="4">
        <f>Data!AK604</f>
        <v/>
      </c>
      <c r="R605" s="4">
        <f>Data!AL604</f>
        <v/>
      </c>
    </row>
    <row r="606">
      <c r="A606" s="4">
        <f>Data!A605</f>
        <v/>
      </c>
      <c r="B606" s="4">
        <f>Data!B605</f>
        <v/>
      </c>
      <c r="C606" s="4">
        <f>Data!C605</f>
        <v/>
      </c>
      <c r="D606" s="4">
        <f>Data!I605</f>
        <v/>
      </c>
      <c r="E606" s="4">
        <f>Data!J605</f>
        <v/>
      </c>
      <c r="F606" s="4">
        <f>Data!H605</f>
        <v/>
      </c>
      <c r="G606" s="4">
        <f>SUM(Data!Q605:Data!Y605)</f>
        <v/>
      </c>
      <c r="H606" s="4">
        <f>Data!Z605</f>
        <v/>
      </c>
      <c r="I606" s="4">
        <f>Data!AB605</f>
        <v/>
      </c>
      <c r="J606" s="4">
        <f>Data!AD605</f>
        <v/>
      </c>
      <c r="K606" s="4">
        <f>Data!AE605</f>
        <v/>
      </c>
      <c r="L606" s="4">
        <f>Data!AF605</f>
        <v/>
      </c>
      <c r="M606" s="4">
        <f>Data!AG605</f>
        <v/>
      </c>
      <c r="N606" s="4">
        <f>Data!AH605</f>
        <v/>
      </c>
      <c r="O606" s="4">
        <f>Data!AI605</f>
        <v/>
      </c>
      <c r="P606" s="4">
        <f>Data!AJ605</f>
        <v/>
      </c>
      <c r="Q606" s="4">
        <f>Data!AK605</f>
        <v/>
      </c>
      <c r="R606" s="4">
        <f>Data!AL605</f>
        <v/>
      </c>
    </row>
    <row r="607">
      <c r="A607" s="4">
        <f>Data!A606</f>
        <v/>
      </c>
      <c r="B607" s="4">
        <f>Data!B606</f>
        <v/>
      </c>
      <c r="C607" s="4">
        <f>Data!C606</f>
        <v/>
      </c>
      <c r="D607" s="4">
        <f>Data!I606</f>
        <v/>
      </c>
      <c r="E607" s="4">
        <f>Data!J606</f>
        <v/>
      </c>
      <c r="F607" s="4">
        <f>Data!H606</f>
        <v/>
      </c>
      <c r="G607" s="4">
        <f>SUM(Data!Q606:Data!Y606)</f>
        <v/>
      </c>
      <c r="H607" s="4">
        <f>Data!Z606</f>
        <v/>
      </c>
      <c r="I607" s="4">
        <f>Data!AB606</f>
        <v/>
      </c>
      <c r="J607" s="4">
        <f>Data!AD606</f>
        <v/>
      </c>
      <c r="K607" s="4">
        <f>Data!AE606</f>
        <v/>
      </c>
      <c r="L607" s="4">
        <f>Data!AF606</f>
        <v/>
      </c>
      <c r="M607" s="4">
        <f>Data!AG606</f>
        <v/>
      </c>
      <c r="N607" s="4">
        <f>Data!AH606</f>
        <v/>
      </c>
      <c r="O607" s="4">
        <f>Data!AI606</f>
        <v/>
      </c>
      <c r="P607" s="4">
        <f>Data!AJ606</f>
        <v/>
      </c>
      <c r="Q607" s="4">
        <f>Data!AK606</f>
        <v/>
      </c>
      <c r="R607" s="4">
        <f>Data!AL606</f>
        <v/>
      </c>
    </row>
    <row r="608">
      <c r="A608" s="4">
        <f>Data!A607</f>
        <v/>
      </c>
      <c r="B608" s="4">
        <f>Data!B607</f>
        <v/>
      </c>
      <c r="C608" s="4">
        <f>Data!C607</f>
        <v/>
      </c>
      <c r="D608" s="4">
        <f>Data!I607</f>
        <v/>
      </c>
      <c r="E608" s="4">
        <f>Data!J607</f>
        <v/>
      </c>
      <c r="F608" s="4">
        <f>Data!H607</f>
        <v/>
      </c>
      <c r="G608" s="4">
        <f>SUM(Data!Q607:Data!Y607)</f>
        <v/>
      </c>
      <c r="H608" s="4">
        <f>Data!Z607</f>
        <v/>
      </c>
      <c r="I608" s="4">
        <f>Data!AB607</f>
        <v/>
      </c>
      <c r="J608" s="4">
        <f>Data!AD607</f>
        <v/>
      </c>
      <c r="K608" s="4">
        <f>Data!AE607</f>
        <v/>
      </c>
      <c r="L608" s="4">
        <f>Data!AF607</f>
        <v/>
      </c>
      <c r="M608" s="4">
        <f>Data!AG607</f>
        <v/>
      </c>
      <c r="N608" s="4">
        <f>Data!AH607</f>
        <v/>
      </c>
      <c r="O608" s="4">
        <f>Data!AI607</f>
        <v/>
      </c>
      <c r="P608" s="4">
        <f>Data!AJ607</f>
        <v/>
      </c>
      <c r="Q608" s="4">
        <f>Data!AK607</f>
        <v/>
      </c>
      <c r="R608" s="4">
        <f>Data!AL607</f>
        <v/>
      </c>
    </row>
    <row r="609">
      <c r="A609" s="4">
        <f>Data!A608</f>
        <v/>
      </c>
      <c r="B609" s="4">
        <f>Data!B608</f>
        <v/>
      </c>
      <c r="C609" s="4">
        <f>Data!C608</f>
        <v/>
      </c>
      <c r="D609" s="4">
        <f>Data!I608</f>
        <v/>
      </c>
      <c r="E609" s="4">
        <f>Data!J608</f>
        <v/>
      </c>
      <c r="F609" s="4">
        <f>Data!H608</f>
        <v/>
      </c>
      <c r="G609" s="4">
        <f>SUM(Data!Q608:Data!Y608)</f>
        <v/>
      </c>
      <c r="H609" s="4">
        <f>Data!Z608</f>
        <v/>
      </c>
      <c r="I609" s="4">
        <f>Data!AB608</f>
        <v/>
      </c>
      <c r="J609" s="4">
        <f>Data!AD608</f>
        <v/>
      </c>
      <c r="K609" s="4">
        <f>Data!AE608</f>
        <v/>
      </c>
      <c r="L609" s="4">
        <f>Data!AF608</f>
        <v/>
      </c>
      <c r="M609" s="4">
        <f>Data!AG608</f>
        <v/>
      </c>
      <c r="N609" s="4">
        <f>Data!AH608</f>
        <v/>
      </c>
      <c r="O609" s="4">
        <f>Data!AI608</f>
        <v/>
      </c>
      <c r="P609" s="4">
        <f>Data!AJ608</f>
        <v/>
      </c>
      <c r="Q609" s="4">
        <f>Data!AK608</f>
        <v/>
      </c>
      <c r="R609" s="4">
        <f>Data!AL608</f>
        <v/>
      </c>
    </row>
    <row r="610">
      <c r="A610" s="4">
        <f>Data!A609</f>
        <v/>
      </c>
      <c r="B610" s="4">
        <f>Data!B609</f>
        <v/>
      </c>
      <c r="C610" s="4">
        <f>Data!C609</f>
        <v/>
      </c>
      <c r="D610" s="4">
        <f>Data!I609</f>
        <v/>
      </c>
      <c r="E610" s="4">
        <f>Data!J609</f>
        <v/>
      </c>
      <c r="F610" s="4">
        <f>Data!H609</f>
        <v/>
      </c>
      <c r="G610" s="4">
        <f>SUM(Data!Q609:Data!Y609)</f>
        <v/>
      </c>
      <c r="H610" s="4">
        <f>Data!Z609</f>
        <v/>
      </c>
      <c r="I610" s="4">
        <f>Data!AB609</f>
        <v/>
      </c>
      <c r="J610" s="4">
        <f>Data!AD609</f>
        <v/>
      </c>
      <c r="K610" s="4">
        <f>Data!AE609</f>
        <v/>
      </c>
      <c r="L610" s="4">
        <f>Data!AF609</f>
        <v/>
      </c>
      <c r="M610" s="4">
        <f>Data!AG609</f>
        <v/>
      </c>
      <c r="N610" s="4">
        <f>Data!AH609</f>
        <v/>
      </c>
      <c r="O610" s="4">
        <f>Data!AI609</f>
        <v/>
      </c>
      <c r="P610" s="4">
        <f>Data!AJ609</f>
        <v/>
      </c>
      <c r="Q610" s="4">
        <f>Data!AK609</f>
        <v/>
      </c>
      <c r="R610" s="4">
        <f>Data!AL609</f>
        <v/>
      </c>
    </row>
    <row r="611">
      <c r="A611" s="4">
        <f>Data!A610</f>
        <v/>
      </c>
      <c r="B611" s="4">
        <f>Data!B610</f>
        <v/>
      </c>
      <c r="C611" s="4">
        <f>Data!C610</f>
        <v/>
      </c>
      <c r="D611" s="4">
        <f>Data!I610</f>
        <v/>
      </c>
      <c r="E611" s="4">
        <f>Data!J610</f>
        <v/>
      </c>
      <c r="F611" s="4">
        <f>Data!H610</f>
        <v/>
      </c>
      <c r="G611" s="4">
        <f>SUM(Data!Q610:Data!Y610)</f>
        <v/>
      </c>
      <c r="H611" s="4">
        <f>Data!Z610</f>
        <v/>
      </c>
      <c r="I611" s="4">
        <f>Data!AB610</f>
        <v/>
      </c>
      <c r="J611" s="4">
        <f>Data!AD610</f>
        <v/>
      </c>
      <c r="K611" s="4">
        <f>Data!AE610</f>
        <v/>
      </c>
      <c r="L611" s="4">
        <f>Data!AF610</f>
        <v/>
      </c>
      <c r="M611" s="4">
        <f>Data!AG610</f>
        <v/>
      </c>
      <c r="N611" s="4">
        <f>Data!AH610</f>
        <v/>
      </c>
      <c r="O611" s="4">
        <f>Data!AI610</f>
        <v/>
      </c>
      <c r="P611" s="4">
        <f>Data!AJ610</f>
        <v/>
      </c>
      <c r="Q611" s="4">
        <f>Data!AK610</f>
        <v/>
      </c>
      <c r="R611" s="4">
        <f>Data!AL610</f>
        <v/>
      </c>
    </row>
    <row r="612">
      <c r="A612" s="4">
        <f>Data!A611</f>
        <v/>
      </c>
      <c r="B612" s="4">
        <f>Data!B611</f>
        <v/>
      </c>
      <c r="C612" s="4">
        <f>Data!C611</f>
        <v/>
      </c>
      <c r="D612" s="4">
        <f>Data!I611</f>
        <v/>
      </c>
      <c r="E612" s="4">
        <f>Data!J611</f>
        <v/>
      </c>
      <c r="F612" s="4">
        <f>Data!H611</f>
        <v/>
      </c>
      <c r="G612" s="4">
        <f>SUM(Data!Q611:Data!Y611)</f>
        <v/>
      </c>
      <c r="H612" s="4">
        <f>Data!Z611</f>
        <v/>
      </c>
      <c r="I612" s="4">
        <f>Data!AB611</f>
        <v/>
      </c>
      <c r="J612" s="4">
        <f>Data!AD611</f>
        <v/>
      </c>
      <c r="K612" s="4">
        <f>Data!AE611</f>
        <v/>
      </c>
      <c r="L612" s="4">
        <f>Data!AF611</f>
        <v/>
      </c>
      <c r="M612" s="4">
        <f>Data!AG611</f>
        <v/>
      </c>
      <c r="N612" s="4">
        <f>Data!AH611</f>
        <v/>
      </c>
      <c r="O612" s="4">
        <f>Data!AI611</f>
        <v/>
      </c>
      <c r="P612" s="4">
        <f>Data!AJ611</f>
        <v/>
      </c>
      <c r="Q612" s="4">
        <f>Data!AK611</f>
        <v/>
      </c>
      <c r="R612" s="4">
        <f>Data!AL611</f>
        <v/>
      </c>
    </row>
    <row r="613">
      <c r="A613" s="4">
        <f>Data!A612</f>
        <v/>
      </c>
      <c r="B613" s="4">
        <f>Data!B612</f>
        <v/>
      </c>
      <c r="C613" s="4">
        <f>Data!C612</f>
        <v/>
      </c>
      <c r="D613" s="4">
        <f>Data!I612</f>
        <v/>
      </c>
      <c r="E613" s="4">
        <f>Data!J612</f>
        <v/>
      </c>
      <c r="F613" s="4">
        <f>Data!H612</f>
        <v/>
      </c>
      <c r="G613" s="4">
        <f>SUM(Data!Q612:Data!Y612)</f>
        <v/>
      </c>
      <c r="H613" s="4">
        <f>Data!Z612</f>
        <v/>
      </c>
      <c r="I613" s="4">
        <f>Data!AB612</f>
        <v/>
      </c>
      <c r="J613" s="4">
        <f>Data!AD612</f>
        <v/>
      </c>
      <c r="K613" s="4">
        <f>Data!AE612</f>
        <v/>
      </c>
      <c r="L613" s="4">
        <f>Data!AF612</f>
        <v/>
      </c>
      <c r="M613" s="4">
        <f>Data!AG612</f>
        <v/>
      </c>
      <c r="N613" s="4">
        <f>Data!AH612</f>
        <v/>
      </c>
      <c r="O613" s="4">
        <f>Data!AI612</f>
        <v/>
      </c>
      <c r="P613" s="4">
        <f>Data!AJ612</f>
        <v/>
      </c>
      <c r="Q613" s="4">
        <f>Data!AK612</f>
        <v/>
      </c>
      <c r="R613" s="4">
        <f>Data!AL612</f>
        <v/>
      </c>
    </row>
    <row r="614">
      <c r="A614" s="4">
        <f>Data!A613</f>
        <v/>
      </c>
      <c r="B614" s="4">
        <f>Data!B613</f>
        <v/>
      </c>
      <c r="C614" s="4">
        <f>Data!C613</f>
        <v/>
      </c>
      <c r="D614" s="4">
        <f>Data!I613</f>
        <v/>
      </c>
      <c r="E614" s="4">
        <f>Data!J613</f>
        <v/>
      </c>
      <c r="F614" s="4">
        <f>Data!H613</f>
        <v/>
      </c>
      <c r="G614" s="4">
        <f>SUM(Data!Q613:Data!Y613)</f>
        <v/>
      </c>
      <c r="H614" s="4">
        <f>Data!Z613</f>
        <v/>
      </c>
      <c r="I614" s="4">
        <f>Data!AB613</f>
        <v/>
      </c>
      <c r="J614" s="4">
        <f>Data!AD613</f>
        <v/>
      </c>
      <c r="K614" s="4">
        <f>Data!AE613</f>
        <v/>
      </c>
      <c r="L614" s="4">
        <f>Data!AF613</f>
        <v/>
      </c>
      <c r="M614" s="4">
        <f>Data!AG613</f>
        <v/>
      </c>
      <c r="N614" s="4">
        <f>Data!AH613</f>
        <v/>
      </c>
      <c r="O614" s="4">
        <f>Data!AI613</f>
        <v/>
      </c>
      <c r="P614" s="4">
        <f>Data!AJ613</f>
        <v/>
      </c>
      <c r="Q614" s="4">
        <f>Data!AK613</f>
        <v/>
      </c>
      <c r="R614" s="4">
        <f>Data!AL613</f>
        <v/>
      </c>
    </row>
    <row r="615">
      <c r="A615" s="4">
        <f>Data!A614</f>
        <v/>
      </c>
      <c r="B615" s="4">
        <f>Data!B614</f>
        <v/>
      </c>
      <c r="C615" s="4">
        <f>Data!C614</f>
        <v/>
      </c>
      <c r="D615" s="4">
        <f>Data!I614</f>
        <v/>
      </c>
      <c r="E615" s="4">
        <f>Data!J614</f>
        <v/>
      </c>
      <c r="F615" s="4">
        <f>Data!H614</f>
        <v/>
      </c>
      <c r="G615" s="4">
        <f>SUM(Data!Q614:Data!Y614)</f>
        <v/>
      </c>
      <c r="H615" s="4">
        <f>Data!Z614</f>
        <v/>
      </c>
      <c r="I615" s="4">
        <f>Data!AB614</f>
        <v/>
      </c>
      <c r="J615" s="4">
        <f>Data!AD614</f>
        <v/>
      </c>
      <c r="K615" s="4">
        <f>Data!AE614</f>
        <v/>
      </c>
      <c r="L615" s="4">
        <f>Data!AF614</f>
        <v/>
      </c>
      <c r="M615" s="4">
        <f>Data!AG614</f>
        <v/>
      </c>
      <c r="N615" s="4">
        <f>Data!AH614</f>
        <v/>
      </c>
      <c r="O615" s="4">
        <f>Data!AI614</f>
        <v/>
      </c>
      <c r="P615" s="4">
        <f>Data!AJ614</f>
        <v/>
      </c>
      <c r="Q615" s="4">
        <f>Data!AK614</f>
        <v/>
      </c>
      <c r="R615" s="4">
        <f>Data!AL614</f>
        <v/>
      </c>
    </row>
    <row r="616">
      <c r="A616" s="4">
        <f>Data!A615</f>
        <v/>
      </c>
      <c r="B616" s="4">
        <f>Data!B615</f>
        <v/>
      </c>
      <c r="C616" s="4">
        <f>Data!C615</f>
        <v/>
      </c>
      <c r="D616" s="4">
        <f>Data!I615</f>
        <v/>
      </c>
      <c r="E616" s="4">
        <f>Data!J615</f>
        <v/>
      </c>
      <c r="F616" s="4">
        <f>Data!H615</f>
        <v/>
      </c>
      <c r="G616" s="4">
        <f>SUM(Data!Q615:Data!Y615)</f>
        <v/>
      </c>
      <c r="H616" s="4">
        <f>Data!Z615</f>
        <v/>
      </c>
      <c r="I616" s="4">
        <f>Data!AB615</f>
        <v/>
      </c>
      <c r="J616" s="4">
        <f>Data!AD615</f>
        <v/>
      </c>
      <c r="K616" s="4">
        <f>Data!AE615</f>
        <v/>
      </c>
      <c r="L616" s="4">
        <f>Data!AF615</f>
        <v/>
      </c>
      <c r="M616" s="4">
        <f>Data!AG615</f>
        <v/>
      </c>
      <c r="N616" s="4">
        <f>Data!AH615</f>
        <v/>
      </c>
      <c r="O616" s="4">
        <f>Data!AI615</f>
        <v/>
      </c>
      <c r="P616" s="4">
        <f>Data!AJ615</f>
        <v/>
      </c>
      <c r="Q616" s="4">
        <f>Data!AK615</f>
        <v/>
      </c>
      <c r="R616" s="4">
        <f>Data!AL615</f>
        <v/>
      </c>
    </row>
    <row r="617">
      <c r="A617" s="4">
        <f>Data!A616</f>
        <v/>
      </c>
      <c r="B617" s="4">
        <f>Data!B616</f>
        <v/>
      </c>
      <c r="C617" s="4">
        <f>Data!C616</f>
        <v/>
      </c>
      <c r="D617" s="4">
        <f>Data!I616</f>
        <v/>
      </c>
      <c r="E617" s="4">
        <f>Data!J616</f>
        <v/>
      </c>
      <c r="F617" s="4">
        <f>Data!H616</f>
        <v/>
      </c>
      <c r="G617" s="4">
        <f>SUM(Data!Q616:Data!Y616)</f>
        <v/>
      </c>
      <c r="H617" s="4">
        <f>Data!Z616</f>
        <v/>
      </c>
      <c r="I617" s="4">
        <f>Data!AB616</f>
        <v/>
      </c>
      <c r="J617" s="4">
        <f>Data!AD616</f>
        <v/>
      </c>
      <c r="K617" s="4">
        <f>Data!AE616</f>
        <v/>
      </c>
      <c r="L617" s="4">
        <f>Data!AF616</f>
        <v/>
      </c>
      <c r="M617" s="4">
        <f>Data!AG616</f>
        <v/>
      </c>
      <c r="N617" s="4">
        <f>Data!AH616</f>
        <v/>
      </c>
      <c r="O617" s="4">
        <f>Data!AI616</f>
        <v/>
      </c>
      <c r="P617" s="4">
        <f>Data!AJ616</f>
        <v/>
      </c>
      <c r="Q617" s="4">
        <f>Data!AK616</f>
        <v/>
      </c>
      <c r="R617" s="4">
        <f>Data!AL616</f>
        <v/>
      </c>
    </row>
    <row r="618">
      <c r="A618" s="4">
        <f>Data!A617</f>
        <v/>
      </c>
      <c r="B618" s="4">
        <f>Data!B617</f>
        <v/>
      </c>
      <c r="C618" s="4">
        <f>Data!C617</f>
        <v/>
      </c>
      <c r="D618" s="4">
        <f>Data!I617</f>
        <v/>
      </c>
      <c r="E618" s="4">
        <f>Data!J617</f>
        <v/>
      </c>
      <c r="F618" s="4">
        <f>Data!H617</f>
        <v/>
      </c>
      <c r="G618" s="4">
        <f>SUM(Data!Q617:Data!Y617)</f>
        <v/>
      </c>
      <c r="H618" s="4">
        <f>Data!Z617</f>
        <v/>
      </c>
      <c r="I618" s="4">
        <f>Data!AB617</f>
        <v/>
      </c>
      <c r="J618" s="4">
        <f>Data!AD617</f>
        <v/>
      </c>
      <c r="K618" s="4">
        <f>Data!AE617</f>
        <v/>
      </c>
      <c r="L618" s="4">
        <f>Data!AF617</f>
        <v/>
      </c>
      <c r="M618" s="4">
        <f>Data!AG617</f>
        <v/>
      </c>
      <c r="N618" s="4">
        <f>Data!AH617</f>
        <v/>
      </c>
      <c r="O618" s="4">
        <f>Data!AI617</f>
        <v/>
      </c>
      <c r="P618" s="4">
        <f>Data!AJ617</f>
        <v/>
      </c>
      <c r="Q618" s="4">
        <f>Data!AK617</f>
        <v/>
      </c>
      <c r="R618" s="4">
        <f>Data!AL617</f>
        <v/>
      </c>
    </row>
    <row r="619">
      <c r="A619" s="4">
        <f>Data!A618</f>
        <v/>
      </c>
      <c r="B619" s="4">
        <f>Data!B618</f>
        <v/>
      </c>
      <c r="C619" s="4">
        <f>Data!C618</f>
        <v/>
      </c>
      <c r="D619" s="4">
        <f>Data!I618</f>
        <v/>
      </c>
      <c r="E619" s="4">
        <f>Data!J618</f>
        <v/>
      </c>
      <c r="F619" s="4">
        <f>Data!H618</f>
        <v/>
      </c>
      <c r="G619" s="4">
        <f>SUM(Data!Q618:Data!Y618)</f>
        <v/>
      </c>
      <c r="H619" s="4">
        <f>Data!Z618</f>
        <v/>
      </c>
      <c r="I619" s="4">
        <f>Data!AB618</f>
        <v/>
      </c>
      <c r="J619" s="4">
        <f>Data!AD618</f>
        <v/>
      </c>
      <c r="K619" s="4">
        <f>Data!AE618</f>
        <v/>
      </c>
      <c r="L619" s="4">
        <f>Data!AF618</f>
        <v/>
      </c>
      <c r="M619" s="4">
        <f>Data!AG618</f>
        <v/>
      </c>
      <c r="N619" s="4">
        <f>Data!AH618</f>
        <v/>
      </c>
      <c r="O619" s="4">
        <f>Data!AI618</f>
        <v/>
      </c>
      <c r="P619" s="4">
        <f>Data!AJ618</f>
        <v/>
      </c>
      <c r="Q619" s="4">
        <f>Data!AK618</f>
        <v/>
      </c>
      <c r="R619" s="4">
        <f>Data!AL618</f>
        <v/>
      </c>
    </row>
    <row r="620">
      <c r="A620" s="4">
        <f>Data!A619</f>
        <v/>
      </c>
      <c r="B620" s="4">
        <f>Data!B619</f>
        <v/>
      </c>
      <c r="C620" s="4">
        <f>Data!C619</f>
        <v/>
      </c>
      <c r="D620" s="4">
        <f>Data!I619</f>
        <v/>
      </c>
      <c r="E620" s="4">
        <f>Data!J619</f>
        <v/>
      </c>
      <c r="F620" s="4">
        <f>Data!H619</f>
        <v/>
      </c>
      <c r="G620" s="4">
        <f>SUM(Data!Q619:Data!Y619)</f>
        <v/>
      </c>
      <c r="H620" s="4">
        <f>Data!Z619</f>
        <v/>
      </c>
      <c r="I620" s="4">
        <f>Data!AB619</f>
        <v/>
      </c>
      <c r="J620" s="4">
        <f>Data!AD619</f>
        <v/>
      </c>
      <c r="K620" s="4">
        <f>Data!AE619</f>
        <v/>
      </c>
      <c r="L620" s="4">
        <f>Data!AF619</f>
        <v/>
      </c>
      <c r="M620" s="4">
        <f>Data!AG619</f>
        <v/>
      </c>
      <c r="N620" s="4">
        <f>Data!AH619</f>
        <v/>
      </c>
      <c r="O620" s="4">
        <f>Data!AI619</f>
        <v/>
      </c>
      <c r="P620" s="4">
        <f>Data!AJ619</f>
        <v/>
      </c>
      <c r="Q620" s="4">
        <f>Data!AK619</f>
        <v/>
      </c>
      <c r="R620" s="4">
        <f>Data!AL619</f>
        <v/>
      </c>
    </row>
    <row r="621">
      <c r="A621" s="4">
        <f>Data!A620</f>
        <v/>
      </c>
      <c r="B621" s="4">
        <f>Data!B620</f>
        <v/>
      </c>
      <c r="C621" s="4">
        <f>Data!C620</f>
        <v/>
      </c>
      <c r="D621" s="4">
        <f>Data!I620</f>
        <v/>
      </c>
      <c r="E621" s="4">
        <f>Data!J620</f>
        <v/>
      </c>
      <c r="F621" s="4">
        <f>Data!H620</f>
        <v/>
      </c>
      <c r="G621" s="4">
        <f>SUM(Data!Q620:Data!Y620)</f>
        <v/>
      </c>
      <c r="H621" s="4">
        <f>Data!Z620</f>
        <v/>
      </c>
      <c r="I621" s="4">
        <f>Data!AB620</f>
        <v/>
      </c>
      <c r="J621" s="4">
        <f>Data!AD620</f>
        <v/>
      </c>
      <c r="K621" s="4">
        <f>Data!AE620</f>
        <v/>
      </c>
      <c r="L621" s="4">
        <f>Data!AF620</f>
        <v/>
      </c>
      <c r="M621" s="4">
        <f>Data!AG620</f>
        <v/>
      </c>
      <c r="N621" s="4">
        <f>Data!AH620</f>
        <v/>
      </c>
      <c r="O621" s="4">
        <f>Data!AI620</f>
        <v/>
      </c>
      <c r="P621" s="4">
        <f>Data!AJ620</f>
        <v/>
      </c>
      <c r="Q621" s="4">
        <f>Data!AK620</f>
        <v/>
      </c>
      <c r="R621" s="4">
        <f>Data!AL620</f>
        <v/>
      </c>
    </row>
    <row r="622">
      <c r="A622" s="4">
        <f>Data!A621</f>
        <v/>
      </c>
      <c r="B622" s="4">
        <f>Data!B621</f>
        <v/>
      </c>
      <c r="C622" s="4">
        <f>Data!C621</f>
        <v/>
      </c>
      <c r="D622" s="4">
        <f>Data!I621</f>
        <v/>
      </c>
      <c r="E622" s="4">
        <f>Data!J621</f>
        <v/>
      </c>
      <c r="F622" s="4">
        <f>Data!H621</f>
        <v/>
      </c>
      <c r="G622" s="4">
        <f>SUM(Data!Q621:Data!Y621)</f>
        <v/>
      </c>
      <c r="H622" s="4">
        <f>Data!Z621</f>
        <v/>
      </c>
      <c r="I622" s="4">
        <f>Data!AB621</f>
        <v/>
      </c>
      <c r="J622" s="4">
        <f>Data!AD621</f>
        <v/>
      </c>
      <c r="K622" s="4">
        <f>Data!AE621</f>
        <v/>
      </c>
      <c r="L622" s="4">
        <f>Data!AF621</f>
        <v/>
      </c>
      <c r="M622" s="4">
        <f>Data!AG621</f>
        <v/>
      </c>
      <c r="N622" s="4">
        <f>Data!AH621</f>
        <v/>
      </c>
      <c r="O622" s="4">
        <f>Data!AI621</f>
        <v/>
      </c>
      <c r="P622" s="4">
        <f>Data!AJ621</f>
        <v/>
      </c>
      <c r="Q622" s="4">
        <f>Data!AK621</f>
        <v/>
      </c>
      <c r="R622" s="4">
        <f>Data!AL621</f>
        <v/>
      </c>
    </row>
    <row r="623">
      <c r="A623" s="4">
        <f>Data!A622</f>
        <v/>
      </c>
      <c r="B623" s="4">
        <f>Data!B622</f>
        <v/>
      </c>
      <c r="C623" s="4">
        <f>Data!C622</f>
        <v/>
      </c>
      <c r="D623" s="4">
        <f>Data!I622</f>
        <v/>
      </c>
      <c r="E623" s="4">
        <f>Data!J622</f>
        <v/>
      </c>
      <c r="F623" s="4">
        <f>Data!H622</f>
        <v/>
      </c>
      <c r="G623" s="4">
        <f>SUM(Data!Q622:Data!Y622)</f>
        <v/>
      </c>
      <c r="H623" s="4">
        <f>Data!Z622</f>
        <v/>
      </c>
      <c r="I623" s="4">
        <f>Data!AB622</f>
        <v/>
      </c>
      <c r="J623" s="4">
        <f>Data!AD622</f>
        <v/>
      </c>
      <c r="K623" s="4">
        <f>Data!AE622</f>
        <v/>
      </c>
      <c r="L623" s="4">
        <f>Data!AF622</f>
        <v/>
      </c>
      <c r="M623" s="4">
        <f>Data!AG622</f>
        <v/>
      </c>
      <c r="N623" s="4">
        <f>Data!AH622</f>
        <v/>
      </c>
      <c r="O623" s="4">
        <f>Data!AI622</f>
        <v/>
      </c>
      <c r="P623" s="4">
        <f>Data!AJ622</f>
        <v/>
      </c>
      <c r="Q623" s="4">
        <f>Data!AK622</f>
        <v/>
      </c>
      <c r="R623" s="4">
        <f>Data!AL622</f>
        <v/>
      </c>
    </row>
    <row r="624">
      <c r="A624" s="4">
        <f>Data!A623</f>
        <v/>
      </c>
      <c r="B624" s="4">
        <f>Data!B623</f>
        <v/>
      </c>
      <c r="C624" s="4">
        <f>Data!C623</f>
        <v/>
      </c>
      <c r="D624" s="4">
        <f>Data!I623</f>
        <v/>
      </c>
      <c r="E624" s="4">
        <f>Data!J623</f>
        <v/>
      </c>
      <c r="F624" s="4">
        <f>Data!H623</f>
        <v/>
      </c>
      <c r="G624" s="4">
        <f>SUM(Data!Q623:Data!Y623)</f>
        <v/>
      </c>
      <c r="H624" s="4">
        <f>Data!Z623</f>
        <v/>
      </c>
      <c r="I624" s="4">
        <f>Data!AB623</f>
        <v/>
      </c>
      <c r="J624" s="4">
        <f>Data!AD623</f>
        <v/>
      </c>
      <c r="K624" s="4">
        <f>Data!AE623</f>
        <v/>
      </c>
      <c r="L624" s="4">
        <f>Data!AF623</f>
        <v/>
      </c>
      <c r="M624" s="4">
        <f>Data!AG623</f>
        <v/>
      </c>
      <c r="N624" s="4">
        <f>Data!AH623</f>
        <v/>
      </c>
      <c r="O624" s="4">
        <f>Data!AI623</f>
        <v/>
      </c>
      <c r="P624" s="4">
        <f>Data!AJ623</f>
        <v/>
      </c>
      <c r="Q624" s="4">
        <f>Data!AK623</f>
        <v/>
      </c>
      <c r="R624" s="4">
        <f>Data!AL623</f>
        <v/>
      </c>
    </row>
    <row r="625">
      <c r="A625" s="4">
        <f>Data!A624</f>
        <v/>
      </c>
      <c r="B625" s="4">
        <f>Data!B624</f>
        <v/>
      </c>
      <c r="C625" s="4">
        <f>Data!C624</f>
        <v/>
      </c>
      <c r="D625" s="4">
        <f>Data!I624</f>
        <v/>
      </c>
      <c r="E625" s="4">
        <f>Data!J624</f>
        <v/>
      </c>
      <c r="F625" s="4">
        <f>Data!H624</f>
        <v/>
      </c>
      <c r="G625" s="4">
        <f>SUM(Data!Q624:Data!Y624)</f>
        <v/>
      </c>
      <c r="H625" s="4">
        <f>Data!Z624</f>
        <v/>
      </c>
      <c r="I625" s="4">
        <f>Data!AB624</f>
        <v/>
      </c>
      <c r="J625" s="4">
        <f>Data!AD624</f>
        <v/>
      </c>
      <c r="K625" s="4">
        <f>Data!AE624</f>
        <v/>
      </c>
      <c r="L625" s="4">
        <f>Data!AF624</f>
        <v/>
      </c>
      <c r="M625" s="4">
        <f>Data!AG624</f>
        <v/>
      </c>
      <c r="N625" s="4">
        <f>Data!AH624</f>
        <v/>
      </c>
      <c r="O625" s="4">
        <f>Data!AI624</f>
        <v/>
      </c>
      <c r="P625" s="4">
        <f>Data!AJ624</f>
        <v/>
      </c>
      <c r="Q625" s="4">
        <f>Data!AK624</f>
        <v/>
      </c>
      <c r="R625" s="4">
        <f>Data!AL624</f>
        <v/>
      </c>
    </row>
    <row r="626">
      <c r="A626" s="4">
        <f>Data!A625</f>
        <v/>
      </c>
      <c r="B626" s="4">
        <f>Data!B625</f>
        <v/>
      </c>
      <c r="C626" s="4">
        <f>Data!C625</f>
        <v/>
      </c>
      <c r="D626" s="4">
        <f>Data!I625</f>
        <v/>
      </c>
      <c r="E626" s="4">
        <f>Data!J625</f>
        <v/>
      </c>
      <c r="F626" s="4">
        <f>Data!H625</f>
        <v/>
      </c>
      <c r="G626" s="4">
        <f>SUM(Data!Q625:Data!Y625)</f>
        <v/>
      </c>
      <c r="H626" s="4">
        <f>Data!Z625</f>
        <v/>
      </c>
      <c r="I626" s="4">
        <f>Data!AB625</f>
        <v/>
      </c>
      <c r="J626" s="4">
        <f>Data!AD625</f>
        <v/>
      </c>
      <c r="K626" s="4">
        <f>Data!AE625</f>
        <v/>
      </c>
      <c r="L626" s="4">
        <f>Data!AF625</f>
        <v/>
      </c>
      <c r="M626" s="4">
        <f>Data!AG625</f>
        <v/>
      </c>
      <c r="N626" s="4">
        <f>Data!AH625</f>
        <v/>
      </c>
      <c r="O626" s="4">
        <f>Data!AI625</f>
        <v/>
      </c>
      <c r="P626" s="4">
        <f>Data!AJ625</f>
        <v/>
      </c>
      <c r="Q626" s="4">
        <f>Data!AK625</f>
        <v/>
      </c>
      <c r="R626" s="4">
        <f>Data!AL625</f>
        <v/>
      </c>
    </row>
    <row r="627">
      <c r="A627" s="4">
        <f>Data!A626</f>
        <v/>
      </c>
      <c r="B627" s="4">
        <f>Data!B626</f>
        <v/>
      </c>
      <c r="C627" s="4">
        <f>Data!C626</f>
        <v/>
      </c>
      <c r="D627" s="4">
        <f>Data!I626</f>
        <v/>
      </c>
      <c r="E627" s="4">
        <f>Data!J626</f>
        <v/>
      </c>
      <c r="F627" s="4">
        <f>Data!H626</f>
        <v/>
      </c>
      <c r="G627" s="4">
        <f>SUM(Data!Q626:Data!Y626)</f>
        <v/>
      </c>
      <c r="H627" s="4">
        <f>Data!Z626</f>
        <v/>
      </c>
      <c r="I627" s="4">
        <f>Data!AB626</f>
        <v/>
      </c>
      <c r="J627" s="4">
        <f>Data!AD626</f>
        <v/>
      </c>
      <c r="K627" s="4">
        <f>Data!AE626</f>
        <v/>
      </c>
      <c r="L627" s="4">
        <f>Data!AF626</f>
        <v/>
      </c>
      <c r="M627" s="4">
        <f>Data!AG626</f>
        <v/>
      </c>
      <c r="N627" s="4">
        <f>Data!AH626</f>
        <v/>
      </c>
      <c r="O627" s="4">
        <f>Data!AI626</f>
        <v/>
      </c>
      <c r="P627" s="4">
        <f>Data!AJ626</f>
        <v/>
      </c>
      <c r="Q627" s="4">
        <f>Data!AK626</f>
        <v/>
      </c>
      <c r="R627" s="4">
        <f>Data!AL626</f>
        <v/>
      </c>
    </row>
    <row r="628">
      <c r="A628" s="4">
        <f>Data!A627</f>
        <v/>
      </c>
      <c r="B628" s="4">
        <f>Data!B627</f>
        <v/>
      </c>
      <c r="C628" s="4">
        <f>Data!C627</f>
        <v/>
      </c>
      <c r="D628" s="4">
        <f>Data!I627</f>
        <v/>
      </c>
      <c r="E628" s="4">
        <f>Data!J627</f>
        <v/>
      </c>
      <c r="F628" s="4">
        <f>Data!H627</f>
        <v/>
      </c>
      <c r="G628" s="4">
        <f>SUM(Data!Q627:Data!Y627)</f>
        <v/>
      </c>
      <c r="H628" s="4">
        <f>Data!Z627</f>
        <v/>
      </c>
      <c r="I628" s="4">
        <f>Data!AB627</f>
        <v/>
      </c>
      <c r="J628" s="4">
        <f>Data!AD627</f>
        <v/>
      </c>
      <c r="K628" s="4">
        <f>Data!AE627</f>
        <v/>
      </c>
      <c r="L628" s="4">
        <f>Data!AF627</f>
        <v/>
      </c>
      <c r="M628" s="4">
        <f>Data!AG627</f>
        <v/>
      </c>
      <c r="N628" s="4">
        <f>Data!AH627</f>
        <v/>
      </c>
      <c r="O628" s="4">
        <f>Data!AI627</f>
        <v/>
      </c>
      <c r="P628" s="4">
        <f>Data!AJ627</f>
        <v/>
      </c>
      <c r="Q628" s="4">
        <f>Data!AK627</f>
        <v/>
      </c>
      <c r="R628" s="4">
        <f>Data!AL627</f>
        <v/>
      </c>
    </row>
    <row r="629">
      <c r="A629" s="4">
        <f>Data!A628</f>
        <v/>
      </c>
      <c r="B629" s="4">
        <f>Data!B628</f>
        <v/>
      </c>
      <c r="C629" s="4">
        <f>Data!C628</f>
        <v/>
      </c>
      <c r="D629" s="4">
        <f>Data!I628</f>
        <v/>
      </c>
      <c r="E629" s="4">
        <f>Data!J628</f>
        <v/>
      </c>
      <c r="F629" s="4">
        <f>Data!H628</f>
        <v/>
      </c>
      <c r="G629" s="4">
        <f>SUM(Data!Q628:Data!Y628)</f>
        <v/>
      </c>
      <c r="H629" s="4">
        <f>Data!Z628</f>
        <v/>
      </c>
      <c r="I629" s="4">
        <f>Data!AB628</f>
        <v/>
      </c>
      <c r="J629" s="4">
        <f>Data!AD628</f>
        <v/>
      </c>
      <c r="K629" s="4">
        <f>Data!AE628</f>
        <v/>
      </c>
      <c r="L629" s="4">
        <f>Data!AF628</f>
        <v/>
      </c>
      <c r="M629" s="4">
        <f>Data!AG628</f>
        <v/>
      </c>
      <c r="N629" s="4">
        <f>Data!AH628</f>
        <v/>
      </c>
      <c r="O629" s="4">
        <f>Data!AI628</f>
        <v/>
      </c>
      <c r="P629" s="4">
        <f>Data!AJ628</f>
        <v/>
      </c>
      <c r="Q629" s="4">
        <f>Data!AK628</f>
        <v/>
      </c>
      <c r="R629" s="4">
        <f>Data!AL628</f>
        <v/>
      </c>
    </row>
    <row r="630">
      <c r="A630" s="4">
        <f>Data!A629</f>
        <v/>
      </c>
      <c r="B630" s="4">
        <f>Data!B629</f>
        <v/>
      </c>
      <c r="C630" s="4">
        <f>Data!C629</f>
        <v/>
      </c>
      <c r="D630" s="4">
        <f>Data!I629</f>
        <v/>
      </c>
      <c r="E630" s="4">
        <f>Data!J629</f>
        <v/>
      </c>
      <c r="F630" s="4">
        <f>Data!H629</f>
        <v/>
      </c>
      <c r="G630" s="4">
        <f>SUM(Data!Q629:Data!Y629)</f>
        <v/>
      </c>
      <c r="H630" s="4">
        <f>Data!Z629</f>
        <v/>
      </c>
      <c r="I630" s="4">
        <f>Data!AB629</f>
        <v/>
      </c>
      <c r="J630" s="4">
        <f>Data!AD629</f>
        <v/>
      </c>
      <c r="K630" s="4">
        <f>Data!AE629</f>
        <v/>
      </c>
      <c r="L630" s="4">
        <f>Data!AF629</f>
        <v/>
      </c>
      <c r="M630" s="4">
        <f>Data!AG629</f>
        <v/>
      </c>
      <c r="N630" s="4">
        <f>Data!AH629</f>
        <v/>
      </c>
      <c r="O630" s="4">
        <f>Data!AI629</f>
        <v/>
      </c>
      <c r="P630" s="4">
        <f>Data!AJ629</f>
        <v/>
      </c>
      <c r="Q630" s="4">
        <f>Data!AK629</f>
        <v/>
      </c>
      <c r="R630" s="4">
        <f>Data!AL629</f>
        <v/>
      </c>
    </row>
    <row r="631">
      <c r="A631" s="4">
        <f>Data!A630</f>
        <v/>
      </c>
      <c r="B631" s="4">
        <f>Data!B630</f>
        <v/>
      </c>
      <c r="C631" s="4">
        <f>Data!C630</f>
        <v/>
      </c>
      <c r="D631" s="4">
        <f>Data!I630</f>
        <v/>
      </c>
      <c r="E631" s="4">
        <f>Data!J630</f>
        <v/>
      </c>
      <c r="F631" s="4">
        <f>Data!H630</f>
        <v/>
      </c>
      <c r="G631" s="4">
        <f>SUM(Data!Q630:Data!Y630)</f>
        <v/>
      </c>
      <c r="H631" s="4">
        <f>Data!Z630</f>
        <v/>
      </c>
      <c r="I631" s="4">
        <f>Data!AB630</f>
        <v/>
      </c>
      <c r="J631" s="4">
        <f>Data!AD630</f>
        <v/>
      </c>
      <c r="K631" s="4">
        <f>Data!AE630</f>
        <v/>
      </c>
      <c r="L631" s="4">
        <f>Data!AF630</f>
        <v/>
      </c>
      <c r="M631" s="4">
        <f>Data!AG630</f>
        <v/>
      </c>
      <c r="N631" s="4">
        <f>Data!AH630</f>
        <v/>
      </c>
      <c r="O631" s="4">
        <f>Data!AI630</f>
        <v/>
      </c>
      <c r="P631" s="4">
        <f>Data!AJ630</f>
        <v/>
      </c>
      <c r="Q631" s="4">
        <f>Data!AK630</f>
        <v/>
      </c>
      <c r="R631" s="4">
        <f>Data!AL630</f>
        <v/>
      </c>
    </row>
    <row r="632">
      <c r="A632" s="4">
        <f>Data!A631</f>
        <v/>
      </c>
      <c r="B632" s="4">
        <f>Data!B631</f>
        <v/>
      </c>
      <c r="C632" s="4">
        <f>Data!C631</f>
        <v/>
      </c>
      <c r="D632" s="4">
        <f>Data!I631</f>
        <v/>
      </c>
      <c r="E632" s="4">
        <f>Data!J631</f>
        <v/>
      </c>
      <c r="F632" s="4">
        <f>Data!H631</f>
        <v/>
      </c>
      <c r="G632" s="4">
        <f>SUM(Data!Q631:Data!Y631)</f>
        <v/>
      </c>
      <c r="H632" s="4">
        <f>Data!Z631</f>
        <v/>
      </c>
      <c r="I632" s="4">
        <f>Data!AB631</f>
        <v/>
      </c>
      <c r="J632" s="4">
        <f>Data!AD631</f>
        <v/>
      </c>
      <c r="K632" s="4">
        <f>Data!AE631</f>
        <v/>
      </c>
      <c r="L632" s="4">
        <f>Data!AF631</f>
        <v/>
      </c>
      <c r="M632" s="4">
        <f>Data!AG631</f>
        <v/>
      </c>
      <c r="N632" s="4">
        <f>Data!AH631</f>
        <v/>
      </c>
      <c r="O632" s="4">
        <f>Data!AI631</f>
        <v/>
      </c>
      <c r="P632" s="4">
        <f>Data!AJ631</f>
        <v/>
      </c>
      <c r="Q632" s="4">
        <f>Data!AK631</f>
        <v/>
      </c>
      <c r="R632" s="4">
        <f>Data!AL631</f>
        <v/>
      </c>
    </row>
    <row r="633">
      <c r="A633" s="4">
        <f>Data!A632</f>
        <v/>
      </c>
      <c r="B633" s="4">
        <f>Data!B632</f>
        <v/>
      </c>
      <c r="C633" s="4">
        <f>Data!C632</f>
        <v/>
      </c>
      <c r="D633" s="4">
        <f>Data!I632</f>
        <v/>
      </c>
      <c r="E633" s="4">
        <f>Data!J632</f>
        <v/>
      </c>
      <c r="F633" s="4">
        <f>Data!H632</f>
        <v/>
      </c>
      <c r="G633" s="4">
        <f>SUM(Data!Q632:Data!Y632)</f>
        <v/>
      </c>
      <c r="H633" s="4">
        <f>Data!Z632</f>
        <v/>
      </c>
      <c r="I633" s="4">
        <f>Data!AB632</f>
        <v/>
      </c>
      <c r="J633" s="4">
        <f>Data!AD632</f>
        <v/>
      </c>
      <c r="K633" s="4">
        <f>Data!AE632</f>
        <v/>
      </c>
      <c r="L633" s="4">
        <f>Data!AF632</f>
        <v/>
      </c>
      <c r="M633" s="4">
        <f>Data!AG632</f>
        <v/>
      </c>
      <c r="N633" s="4">
        <f>Data!AH632</f>
        <v/>
      </c>
      <c r="O633" s="4">
        <f>Data!AI632</f>
        <v/>
      </c>
      <c r="P633" s="4">
        <f>Data!AJ632</f>
        <v/>
      </c>
      <c r="Q633" s="4">
        <f>Data!AK632</f>
        <v/>
      </c>
      <c r="R633" s="4">
        <f>Data!AL632</f>
        <v/>
      </c>
    </row>
    <row r="634">
      <c r="A634" s="4">
        <f>Data!A633</f>
        <v/>
      </c>
      <c r="B634" s="4">
        <f>Data!B633</f>
        <v/>
      </c>
      <c r="C634" s="4">
        <f>Data!C633</f>
        <v/>
      </c>
      <c r="D634" s="4">
        <f>Data!I633</f>
        <v/>
      </c>
      <c r="E634" s="4">
        <f>Data!J633</f>
        <v/>
      </c>
      <c r="F634" s="4">
        <f>Data!H633</f>
        <v/>
      </c>
      <c r="G634" s="4">
        <f>SUM(Data!Q633:Data!Y633)</f>
        <v/>
      </c>
      <c r="H634" s="4">
        <f>Data!Z633</f>
        <v/>
      </c>
      <c r="I634" s="4">
        <f>Data!AB633</f>
        <v/>
      </c>
      <c r="J634" s="4">
        <f>Data!AD633</f>
        <v/>
      </c>
      <c r="K634" s="4">
        <f>Data!AE633</f>
        <v/>
      </c>
      <c r="L634" s="4">
        <f>Data!AF633</f>
        <v/>
      </c>
      <c r="M634" s="4">
        <f>Data!AG633</f>
        <v/>
      </c>
      <c r="N634" s="4">
        <f>Data!AH633</f>
        <v/>
      </c>
      <c r="O634" s="4">
        <f>Data!AI633</f>
        <v/>
      </c>
      <c r="P634" s="4">
        <f>Data!AJ633</f>
        <v/>
      </c>
      <c r="Q634" s="4">
        <f>Data!AK633</f>
        <v/>
      </c>
      <c r="R634" s="4">
        <f>Data!AL633</f>
        <v/>
      </c>
    </row>
    <row r="635">
      <c r="A635" s="4">
        <f>Data!A634</f>
        <v/>
      </c>
      <c r="B635" s="4">
        <f>Data!B634</f>
        <v/>
      </c>
      <c r="C635" s="4">
        <f>Data!C634</f>
        <v/>
      </c>
      <c r="D635" s="4">
        <f>Data!I634</f>
        <v/>
      </c>
      <c r="E635" s="4">
        <f>Data!J634</f>
        <v/>
      </c>
      <c r="F635" s="4">
        <f>Data!H634</f>
        <v/>
      </c>
      <c r="G635" s="4">
        <f>SUM(Data!Q634:Data!Y634)</f>
        <v/>
      </c>
      <c r="H635" s="4">
        <f>Data!Z634</f>
        <v/>
      </c>
      <c r="I635" s="4">
        <f>Data!AB634</f>
        <v/>
      </c>
      <c r="J635" s="4">
        <f>Data!AD634</f>
        <v/>
      </c>
      <c r="K635" s="4">
        <f>Data!AE634</f>
        <v/>
      </c>
      <c r="L635" s="4">
        <f>Data!AF634</f>
        <v/>
      </c>
      <c r="M635" s="4">
        <f>Data!AG634</f>
        <v/>
      </c>
      <c r="N635" s="4">
        <f>Data!AH634</f>
        <v/>
      </c>
      <c r="O635" s="4">
        <f>Data!AI634</f>
        <v/>
      </c>
      <c r="P635" s="4">
        <f>Data!AJ634</f>
        <v/>
      </c>
      <c r="Q635" s="4">
        <f>Data!AK634</f>
        <v/>
      </c>
      <c r="R635" s="4">
        <f>Data!AL634</f>
        <v/>
      </c>
    </row>
    <row r="636">
      <c r="A636" s="4">
        <f>Data!A635</f>
        <v/>
      </c>
      <c r="B636" s="4">
        <f>Data!B635</f>
        <v/>
      </c>
      <c r="C636" s="4">
        <f>Data!C635</f>
        <v/>
      </c>
      <c r="D636" s="4">
        <f>Data!I635</f>
        <v/>
      </c>
      <c r="E636" s="4">
        <f>Data!J635</f>
        <v/>
      </c>
      <c r="F636" s="4">
        <f>Data!H635</f>
        <v/>
      </c>
      <c r="G636" s="4">
        <f>SUM(Data!Q635:Data!Y635)</f>
        <v/>
      </c>
      <c r="H636" s="4">
        <f>Data!Z635</f>
        <v/>
      </c>
      <c r="I636" s="4">
        <f>Data!AB635</f>
        <v/>
      </c>
      <c r="J636" s="4">
        <f>Data!AD635</f>
        <v/>
      </c>
      <c r="K636" s="4">
        <f>Data!AE635</f>
        <v/>
      </c>
      <c r="L636" s="4">
        <f>Data!AF635</f>
        <v/>
      </c>
      <c r="M636" s="4">
        <f>Data!AG635</f>
        <v/>
      </c>
      <c r="N636" s="4">
        <f>Data!AH635</f>
        <v/>
      </c>
      <c r="O636" s="4">
        <f>Data!AI635</f>
        <v/>
      </c>
      <c r="P636" s="4">
        <f>Data!AJ635</f>
        <v/>
      </c>
      <c r="Q636" s="4">
        <f>Data!AK635</f>
        <v/>
      </c>
      <c r="R636" s="4">
        <f>Data!AL635</f>
        <v/>
      </c>
    </row>
    <row r="637">
      <c r="A637" s="4">
        <f>Data!A636</f>
        <v/>
      </c>
      <c r="B637" s="4">
        <f>Data!B636</f>
        <v/>
      </c>
      <c r="C637" s="4">
        <f>Data!C636</f>
        <v/>
      </c>
      <c r="D637" s="4">
        <f>Data!I636</f>
        <v/>
      </c>
      <c r="E637" s="4">
        <f>Data!J636</f>
        <v/>
      </c>
      <c r="F637" s="4">
        <f>Data!H636</f>
        <v/>
      </c>
      <c r="G637" s="4">
        <f>SUM(Data!Q636:Data!Y636)</f>
        <v/>
      </c>
      <c r="H637" s="4">
        <f>Data!Z636</f>
        <v/>
      </c>
      <c r="I637" s="4">
        <f>Data!AB636</f>
        <v/>
      </c>
      <c r="J637" s="4">
        <f>Data!AD636</f>
        <v/>
      </c>
      <c r="K637" s="4">
        <f>Data!AE636</f>
        <v/>
      </c>
      <c r="L637" s="4">
        <f>Data!AF636</f>
        <v/>
      </c>
      <c r="M637" s="4">
        <f>Data!AG636</f>
        <v/>
      </c>
      <c r="N637" s="4">
        <f>Data!AH636</f>
        <v/>
      </c>
      <c r="O637" s="4">
        <f>Data!AI636</f>
        <v/>
      </c>
      <c r="P637" s="4">
        <f>Data!AJ636</f>
        <v/>
      </c>
      <c r="Q637" s="4">
        <f>Data!AK636</f>
        <v/>
      </c>
      <c r="R637" s="4">
        <f>Data!AL636</f>
        <v/>
      </c>
    </row>
    <row r="638">
      <c r="A638" s="4">
        <f>Data!A637</f>
        <v/>
      </c>
      <c r="B638" s="4">
        <f>Data!B637</f>
        <v/>
      </c>
      <c r="C638" s="4">
        <f>Data!C637</f>
        <v/>
      </c>
      <c r="D638" s="4">
        <f>Data!I637</f>
        <v/>
      </c>
      <c r="E638" s="4">
        <f>Data!J637</f>
        <v/>
      </c>
      <c r="F638" s="4">
        <f>Data!H637</f>
        <v/>
      </c>
      <c r="G638" s="4">
        <f>SUM(Data!Q637:Data!Y637)</f>
        <v/>
      </c>
      <c r="H638" s="4">
        <f>Data!Z637</f>
        <v/>
      </c>
      <c r="I638" s="4">
        <f>Data!AB637</f>
        <v/>
      </c>
      <c r="J638" s="4">
        <f>Data!AD637</f>
        <v/>
      </c>
      <c r="K638" s="4">
        <f>Data!AE637</f>
        <v/>
      </c>
      <c r="L638" s="4">
        <f>Data!AF637</f>
        <v/>
      </c>
      <c r="M638" s="4">
        <f>Data!AG637</f>
        <v/>
      </c>
      <c r="N638" s="4">
        <f>Data!AH637</f>
        <v/>
      </c>
      <c r="O638" s="4">
        <f>Data!AI637</f>
        <v/>
      </c>
      <c r="P638" s="4">
        <f>Data!AJ637</f>
        <v/>
      </c>
      <c r="Q638" s="4">
        <f>Data!AK637</f>
        <v/>
      </c>
      <c r="R638" s="4">
        <f>Data!AL637</f>
        <v/>
      </c>
    </row>
    <row r="639">
      <c r="A639" s="4">
        <f>Data!A638</f>
        <v/>
      </c>
      <c r="B639" s="4">
        <f>Data!B638</f>
        <v/>
      </c>
      <c r="C639" s="4">
        <f>Data!C638</f>
        <v/>
      </c>
      <c r="D639" s="4">
        <f>Data!I638</f>
        <v/>
      </c>
      <c r="E639" s="4">
        <f>Data!J638</f>
        <v/>
      </c>
      <c r="F639" s="4">
        <f>Data!H638</f>
        <v/>
      </c>
      <c r="G639" s="4">
        <f>SUM(Data!Q638:Data!Y638)</f>
        <v/>
      </c>
      <c r="H639" s="4">
        <f>Data!Z638</f>
        <v/>
      </c>
      <c r="I639" s="4">
        <f>Data!AB638</f>
        <v/>
      </c>
      <c r="J639" s="4">
        <f>Data!AD638</f>
        <v/>
      </c>
      <c r="K639" s="4">
        <f>Data!AE638</f>
        <v/>
      </c>
      <c r="L639" s="4">
        <f>Data!AF638</f>
        <v/>
      </c>
      <c r="M639" s="4">
        <f>Data!AG638</f>
        <v/>
      </c>
      <c r="N639" s="4">
        <f>Data!AH638</f>
        <v/>
      </c>
      <c r="O639" s="4">
        <f>Data!AI638</f>
        <v/>
      </c>
      <c r="P639" s="4">
        <f>Data!AJ638</f>
        <v/>
      </c>
      <c r="Q639" s="4">
        <f>Data!AK638</f>
        <v/>
      </c>
      <c r="R639" s="4">
        <f>Data!AL638</f>
        <v/>
      </c>
    </row>
    <row r="640">
      <c r="A640" s="4">
        <f>Data!A639</f>
        <v/>
      </c>
      <c r="B640" s="4">
        <f>Data!B639</f>
        <v/>
      </c>
      <c r="C640" s="4">
        <f>Data!C639</f>
        <v/>
      </c>
      <c r="D640" s="4">
        <f>Data!I639</f>
        <v/>
      </c>
      <c r="E640" s="4">
        <f>Data!J639</f>
        <v/>
      </c>
      <c r="F640" s="4">
        <f>Data!H639</f>
        <v/>
      </c>
      <c r="G640" s="4">
        <f>SUM(Data!Q639:Data!Y639)</f>
        <v/>
      </c>
      <c r="H640" s="4">
        <f>Data!Z639</f>
        <v/>
      </c>
      <c r="I640" s="4">
        <f>Data!AB639</f>
        <v/>
      </c>
      <c r="J640" s="4">
        <f>Data!AD639</f>
        <v/>
      </c>
      <c r="K640" s="4">
        <f>Data!AE639</f>
        <v/>
      </c>
      <c r="L640" s="4">
        <f>Data!AF639</f>
        <v/>
      </c>
      <c r="M640" s="4">
        <f>Data!AG639</f>
        <v/>
      </c>
      <c r="N640" s="4">
        <f>Data!AH639</f>
        <v/>
      </c>
      <c r="O640" s="4">
        <f>Data!AI639</f>
        <v/>
      </c>
      <c r="P640" s="4">
        <f>Data!AJ639</f>
        <v/>
      </c>
      <c r="Q640" s="4">
        <f>Data!AK639</f>
        <v/>
      </c>
      <c r="R640" s="4">
        <f>Data!AL639</f>
        <v/>
      </c>
    </row>
    <row r="641">
      <c r="A641" s="4">
        <f>Data!A640</f>
        <v/>
      </c>
      <c r="B641" s="4">
        <f>Data!B640</f>
        <v/>
      </c>
      <c r="C641" s="4">
        <f>Data!C640</f>
        <v/>
      </c>
      <c r="D641" s="4">
        <f>Data!I640</f>
        <v/>
      </c>
      <c r="E641" s="4">
        <f>Data!J640</f>
        <v/>
      </c>
      <c r="F641" s="4">
        <f>Data!H640</f>
        <v/>
      </c>
      <c r="G641" s="4">
        <f>SUM(Data!Q640:Data!Y640)</f>
        <v/>
      </c>
      <c r="H641" s="4">
        <f>Data!Z640</f>
        <v/>
      </c>
      <c r="I641" s="4">
        <f>Data!AB640</f>
        <v/>
      </c>
      <c r="J641" s="4">
        <f>Data!AD640</f>
        <v/>
      </c>
      <c r="K641" s="4">
        <f>Data!AE640</f>
        <v/>
      </c>
      <c r="L641" s="4">
        <f>Data!AF640</f>
        <v/>
      </c>
      <c r="M641" s="4">
        <f>Data!AG640</f>
        <v/>
      </c>
      <c r="N641" s="4">
        <f>Data!AH640</f>
        <v/>
      </c>
      <c r="O641" s="4">
        <f>Data!AI640</f>
        <v/>
      </c>
      <c r="P641" s="4">
        <f>Data!AJ640</f>
        <v/>
      </c>
      <c r="Q641" s="4">
        <f>Data!AK640</f>
        <v/>
      </c>
      <c r="R641" s="4">
        <f>Data!AL640</f>
        <v/>
      </c>
    </row>
    <row r="642">
      <c r="A642" s="4">
        <f>Data!A641</f>
        <v/>
      </c>
      <c r="B642" s="4">
        <f>Data!B641</f>
        <v/>
      </c>
      <c r="C642" s="4">
        <f>Data!C641</f>
        <v/>
      </c>
      <c r="D642" s="4">
        <f>Data!I641</f>
        <v/>
      </c>
      <c r="E642" s="4">
        <f>Data!J641</f>
        <v/>
      </c>
      <c r="F642" s="4">
        <f>Data!H641</f>
        <v/>
      </c>
      <c r="G642" s="4">
        <f>SUM(Data!Q641:Data!Y641)</f>
        <v/>
      </c>
      <c r="H642" s="4">
        <f>Data!Z641</f>
        <v/>
      </c>
      <c r="I642" s="4">
        <f>Data!AB641</f>
        <v/>
      </c>
      <c r="J642" s="4">
        <f>Data!AD641</f>
        <v/>
      </c>
      <c r="K642" s="4">
        <f>Data!AE641</f>
        <v/>
      </c>
      <c r="L642" s="4">
        <f>Data!AF641</f>
        <v/>
      </c>
      <c r="M642" s="4">
        <f>Data!AG641</f>
        <v/>
      </c>
      <c r="N642" s="4">
        <f>Data!AH641</f>
        <v/>
      </c>
      <c r="O642" s="4">
        <f>Data!AI641</f>
        <v/>
      </c>
      <c r="P642" s="4">
        <f>Data!AJ641</f>
        <v/>
      </c>
      <c r="Q642" s="4">
        <f>Data!AK641</f>
        <v/>
      </c>
      <c r="R642" s="4">
        <f>Data!AL641</f>
        <v/>
      </c>
    </row>
    <row r="643">
      <c r="A643" s="4">
        <f>Data!A642</f>
        <v/>
      </c>
      <c r="B643" s="4">
        <f>Data!B642</f>
        <v/>
      </c>
      <c r="C643" s="4">
        <f>Data!C642</f>
        <v/>
      </c>
      <c r="D643" s="4">
        <f>Data!I642</f>
        <v/>
      </c>
      <c r="E643" s="4">
        <f>Data!J642</f>
        <v/>
      </c>
      <c r="F643" s="4">
        <f>Data!H642</f>
        <v/>
      </c>
      <c r="G643" s="4">
        <f>SUM(Data!Q642:Data!Y642)</f>
        <v/>
      </c>
      <c r="H643" s="4">
        <f>Data!Z642</f>
        <v/>
      </c>
      <c r="I643" s="4">
        <f>Data!AB642</f>
        <v/>
      </c>
      <c r="J643" s="4">
        <f>Data!AD642</f>
        <v/>
      </c>
      <c r="K643" s="4">
        <f>Data!AE642</f>
        <v/>
      </c>
      <c r="L643" s="4">
        <f>Data!AF642</f>
        <v/>
      </c>
      <c r="M643" s="4">
        <f>Data!AG642</f>
        <v/>
      </c>
      <c r="N643" s="4">
        <f>Data!AH642</f>
        <v/>
      </c>
      <c r="O643" s="4">
        <f>Data!AI642</f>
        <v/>
      </c>
      <c r="P643" s="4">
        <f>Data!AJ642</f>
        <v/>
      </c>
      <c r="Q643" s="4">
        <f>Data!AK642</f>
        <v/>
      </c>
      <c r="R643" s="4">
        <f>Data!AL642</f>
        <v/>
      </c>
    </row>
    <row r="644">
      <c r="A644" s="4">
        <f>Data!A643</f>
        <v/>
      </c>
      <c r="B644" s="4">
        <f>Data!B643</f>
        <v/>
      </c>
      <c r="C644" s="4">
        <f>Data!C643</f>
        <v/>
      </c>
      <c r="D644" s="4">
        <f>Data!I643</f>
        <v/>
      </c>
      <c r="E644" s="4">
        <f>Data!J643</f>
        <v/>
      </c>
      <c r="F644" s="4">
        <f>Data!H643</f>
        <v/>
      </c>
      <c r="G644" s="4">
        <f>SUM(Data!Q643:Data!Y643)</f>
        <v/>
      </c>
      <c r="H644" s="4">
        <f>Data!Z643</f>
        <v/>
      </c>
      <c r="I644" s="4">
        <f>Data!AB643</f>
        <v/>
      </c>
      <c r="J644" s="4">
        <f>Data!AD643</f>
        <v/>
      </c>
      <c r="K644" s="4">
        <f>Data!AE643</f>
        <v/>
      </c>
      <c r="L644" s="4">
        <f>Data!AF643</f>
        <v/>
      </c>
      <c r="M644" s="4">
        <f>Data!AG643</f>
        <v/>
      </c>
      <c r="N644" s="4">
        <f>Data!AH643</f>
        <v/>
      </c>
      <c r="O644" s="4">
        <f>Data!AI643</f>
        <v/>
      </c>
      <c r="P644" s="4">
        <f>Data!AJ643</f>
        <v/>
      </c>
      <c r="Q644" s="4">
        <f>Data!AK643</f>
        <v/>
      </c>
      <c r="R644" s="4">
        <f>Data!AL643</f>
        <v/>
      </c>
    </row>
    <row r="645">
      <c r="A645" s="4">
        <f>Data!A644</f>
        <v/>
      </c>
      <c r="B645" s="4">
        <f>Data!B644</f>
        <v/>
      </c>
      <c r="C645" s="4">
        <f>Data!C644</f>
        <v/>
      </c>
      <c r="D645" s="4">
        <f>Data!I644</f>
        <v/>
      </c>
      <c r="E645" s="4">
        <f>Data!J644</f>
        <v/>
      </c>
      <c r="F645" s="4">
        <f>Data!H644</f>
        <v/>
      </c>
      <c r="G645" s="4">
        <f>SUM(Data!Q644:Data!Y644)</f>
        <v/>
      </c>
      <c r="H645" s="4">
        <f>Data!Z644</f>
        <v/>
      </c>
      <c r="I645" s="4">
        <f>Data!AB644</f>
        <v/>
      </c>
      <c r="J645" s="4">
        <f>Data!AD644</f>
        <v/>
      </c>
      <c r="K645" s="4">
        <f>Data!AE644</f>
        <v/>
      </c>
      <c r="L645" s="4">
        <f>Data!AF644</f>
        <v/>
      </c>
      <c r="M645" s="4">
        <f>Data!AG644</f>
        <v/>
      </c>
      <c r="N645" s="4">
        <f>Data!AH644</f>
        <v/>
      </c>
      <c r="O645" s="4">
        <f>Data!AI644</f>
        <v/>
      </c>
      <c r="P645" s="4">
        <f>Data!AJ644</f>
        <v/>
      </c>
      <c r="Q645" s="4">
        <f>Data!AK644</f>
        <v/>
      </c>
      <c r="R645" s="4">
        <f>Data!AL644</f>
        <v/>
      </c>
    </row>
    <row r="646">
      <c r="A646" s="4">
        <f>Data!A645</f>
        <v/>
      </c>
      <c r="B646" s="4">
        <f>Data!B645</f>
        <v/>
      </c>
      <c r="C646" s="4">
        <f>Data!C645</f>
        <v/>
      </c>
      <c r="D646" s="4">
        <f>Data!I645</f>
        <v/>
      </c>
      <c r="E646" s="4">
        <f>Data!J645</f>
        <v/>
      </c>
      <c r="F646" s="4">
        <f>Data!H645</f>
        <v/>
      </c>
      <c r="G646" s="4">
        <f>SUM(Data!Q645:Data!Y645)</f>
        <v/>
      </c>
      <c r="H646" s="4">
        <f>Data!Z645</f>
        <v/>
      </c>
      <c r="I646" s="4">
        <f>Data!AB645</f>
        <v/>
      </c>
      <c r="J646" s="4">
        <f>Data!AD645</f>
        <v/>
      </c>
      <c r="K646" s="4">
        <f>Data!AE645</f>
        <v/>
      </c>
      <c r="L646" s="4">
        <f>Data!AF645</f>
        <v/>
      </c>
      <c r="M646" s="4">
        <f>Data!AG645</f>
        <v/>
      </c>
      <c r="N646" s="4">
        <f>Data!AH645</f>
        <v/>
      </c>
      <c r="O646" s="4">
        <f>Data!AI645</f>
        <v/>
      </c>
      <c r="P646" s="4">
        <f>Data!AJ645</f>
        <v/>
      </c>
      <c r="Q646" s="4">
        <f>Data!AK645</f>
        <v/>
      </c>
      <c r="R646" s="4">
        <f>Data!AL645</f>
        <v/>
      </c>
    </row>
    <row r="647">
      <c r="A647" s="4">
        <f>Data!A646</f>
        <v/>
      </c>
      <c r="B647" s="4">
        <f>Data!B646</f>
        <v/>
      </c>
      <c r="C647" s="4">
        <f>Data!C646</f>
        <v/>
      </c>
      <c r="D647" s="4">
        <f>Data!I646</f>
        <v/>
      </c>
      <c r="E647" s="4">
        <f>Data!J646</f>
        <v/>
      </c>
      <c r="F647" s="4">
        <f>Data!H646</f>
        <v/>
      </c>
      <c r="G647" s="4">
        <f>SUM(Data!Q646:Data!Y646)</f>
        <v/>
      </c>
      <c r="H647" s="4">
        <f>Data!Z646</f>
        <v/>
      </c>
      <c r="I647" s="4">
        <f>Data!AB646</f>
        <v/>
      </c>
      <c r="J647" s="4">
        <f>Data!AD646</f>
        <v/>
      </c>
      <c r="K647" s="4">
        <f>Data!AE646</f>
        <v/>
      </c>
      <c r="L647" s="4">
        <f>Data!AF646</f>
        <v/>
      </c>
      <c r="M647" s="4">
        <f>Data!AG646</f>
        <v/>
      </c>
      <c r="N647" s="4">
        <f>Data!AH646</f>
        <v/>
      </c>
      <c r="O647" s="4">
        <f>Data!AI646</f>
        <v/>
      </c>
      <c r="P647" s="4">
        <f>Data!AJ646</f>
        <v/>
      </c>
      <c r="Q647" s="4">
        <f>Data!AK646</f>
        <v/>
      </c>
      <c r="R647" s="4">
        <f>Data!AL646</f>
        <v/>
      </c>
    </row>
    <row r="648">
      <c r="A648" s="4">
        <f>Data!A647</f>
        <v/>
      </c>
      <c r="B648" s="4">
        <f>Data!B647</f>
        <v/>
      </c>
      <c r="C648" s="4">
        <f>Data!C647</f>
        <v/>
      </c>
      <c r="D648" s="4">
        <f>Data!I647</f>
        <v/>
      </c>
      <c r="E648" s="4">
        <f>Data!J647</f>
        <v/>
      </c>
      <c r="F648" s="4">
        <f>Data!H647</f>
        <v/>
      </c>
      <c r="G648" s="4">
        <f>SUM(Data!Q647:Data!Y647)</f>
        <v/>
      </c>
      <c r="H648" s="4">
        <f>Data!Z647</f>
        <v/>
      </c>
      <c r="I648" s="4">
        <f>Data!AB647</f>
        <v/>
      </c>
      <c r="J648" s="4">
        <f>Data!AD647</f>
        <v/>
      </c>
      <c r="K648" s="4">
        <f>Data!AE647</f>
        <v/>
      </c>
      <c r="L648" s="4">
        <f>Data!AF647</f>
        <v/>
      </c>
      <c r="M648" s="4">
        <f>Data!AG647</f>
        <v/>
      </c>
      <c r="N648" s="4">
        <f>Data!AH647</f>
        <v/>
      </c>
      <c r="O648" s="4">
        <f>Data!AI647</f>
        <v/>
      </c>
      <c r="P648" s="4">
        <f>Data!AJ647</f>
        <v/>
      </c>
      <c r="Q648" s="4">
        <f>Data!AK647</f>
        <v/>
      </c>
      <c r="R648" s="4">
        <f>Data!AL647</f>
        <v/>
      </c>
    </row>
    <row r="649">
      <c r="A649" s="4">
        <f>Data!A648</f>
        <v/>
      </c>
      <c r="B649" s="4">
        <f>Data!B648</f>
        <v/>
      </c>
      <c r="C649" s="4">
        <f>Data!C648</f>
        <v/>
      </c>
      <c r="D649" s="4">
        <f>Data!I648</f>
        <v/>
      </c>
      <c r="E649" s="4">
        <f>Data!J648</f>
        <v/>
      </c>
      <c r="F649" s="4">
        <f>Data!H648</f>
        <v/>
      </c>
      <c r="G649" s="4">
        <f>SUM(Data!Q648:Data!Y648)</f>
        <v/>
      </c>
      <c r="H649" s="4">
        <f>Data!Z648</f>
        <v/>
      </c>
      <c r="I649" s="4">
        <f>Data!AB648</f>
        <v/>
      </c>
      <c r="J649" s="4">
        <f>Data!AD648</f>
        <v/>
      </c>
      <c r="K649" s="4">
        <f>Data!AE648</f>
        <v/>
      </c>
      <c r="L649" s="4">
        <f>Data!AF648</f>
        <v/>
      </c>
      <c r="M649" s="4">
        <f>Data!AG648</f>
        <v/>
      </c>
      <c r="N649" s="4">
        <f>Data!AH648</f>
        <v/>
      </c>
      <c r="O649" s="4">
        <f>Data!AI648</f>
        <v/>
      </c>
      <c r="P649" s="4">
        <f>Data!AJ648</f>
        <v/>
      </c>
      <c r="Q649" s="4">
        <f>Data!AK648</f>
        <v/>
      </c>
      <c r="R649" s="4">
        <f>Data!AL648</f>
        <v/>
      </c>
    </row>
    <row r="650">
      <c r="A650" s="4">
        <f>Data!A649</f>
        <v/>
      </c>
      <c r="B650" s="4">
        <f>Data!B649</f>
        <v/>
      </c>
      <c r="C650" s="4">
        <f>Data!C649</f>
        <v/>
      </c>
      <c r="D650" s="4">
        <f>Data!I649</f>
        <v/>
      </c>
      <c r="E650" s="4">
        <f>Data!J649</f>
        <v/>
      </c>
      <c r="F650" s="4">
        <f>Data!H649</f>
        <v/>
      </c>
      <c r="G650" s="4">
        <f>SUM(Data!Q649:Data!Y649)</f>
        <v/>
      </c>
      <c r="H650" s="4">
        <f>Data!Z649</f>
        <v/>
      </c>
      <c r="I650" s="4">
        <f>Data!AB649</f>
        <v/>
      </c>
      <c r="J650" s="4">
        <f>Data!AD649</f>
        <v/>
      </c>
      <c r="K650" s="4">
        <f>Data!AE649</f>
        <v/>
      </c>
      <c r="L650" s="4">
        <f>Data!AF649</f>
        <v/>
      </c>
      <c r="M650" s="4">
        <f>Data!AG649</f>
        <v/>
      </c>
      <c r="N650" s="4">
        <f>Data!AH649</f>
        <v/>
      </c>
      <c r="O650" s="4">
        <f>Data!AI649</f>
        <v/>
      </c>
      <c r="P650" s="4">
        <f>Data!AJ649</f>
        <v/>
      </c>
      <c r="Q650" s="4">
        <f>Data!AK649</f>
        <v/>
      </c>
      <c r="R650" s="4">
        <f>Data!AL649</f>
        <v/>
      </c>
    </row>
    <row r="651">
      <c r="A651" s="4">
        <f>Data!A650</f>
        <v/>
      </c>
      <c r="B651" s="4">
        <f>Data!B650</f>
        <v/>
      </c>
      <c r="C651" s="4">
        <f>Data!C650</f>
        <v/>
      </c>
      <c r="D651" s="4">
        <f>Data!I650</f>
        <v/>
      </c>
      <c r="E651" s="4">
        <f>Data!J650</f>
        <v/>
      </c>
      <c r="F651" s="4">
        <f>Data!H650</f>
        <v/>
      </c>
      <c r="G651" s="4">
        <f>SUM(Data!Q650:Data!Y650)</f>
        <v/>
      </c>
      <c r="H651" s="4">
        <f>Data!Z650</f>
        <v/>
      </c>
      <c r="I651" s="4">
        <f>Data!AB650</f>
        <v/>
      </c>
      <c r="J651" s="4">
        <f>Data!AD650</f>
        <v/>
      </c>
      <c r="K651" s="4">
        <f>Data!AE650</f>
        <v/>
      </c>
      <c r="L651" s="4">
        <f>Data!AF650</f>
        <v/>
      </c>
      <c r="M651" s="4">
        <f>Data!AG650</f>
        <v/>
      </c>
      <c r="N651" s="4">
        <f>Data!AH650</f>
        <v/>
      </c>
      <c r="O651" s="4">
        <f>Data!AI650</f>
        <v/>
      </c>
      <c r="P651" s="4">
        <f>Data!AJ650</f>
        <v/>
      </c>
      <c r="Q651" s="4">
        <f>Data!AK650</f>
        <v/>
      </c>
      <c r="R651" s="4">
        <f>Data!AL650</f>
        <v/>
      </c>
    </row>
    <row r="652">
      <c r="A652" s="4">
        <f>Data!A651</f>
        <v/>
      </c>
      <c r="B652" s="4">
        <f>Data!B651</f>
        <v/>
      </c>
      <c r="C652" s="4">
        <f>Data!C651</f>
        <v/>
      </c>
      <c r="D652" s="4">
        <f>Data!I651</f>
        <v/>
      </c>
      <c r="E652" s="4">
        <f>Data!J651</f>
        <v/>
      </c>
      <c r="F652" s="4">
        <f>Data!H651</f>
        <v/>
      </c>
      <c r="G652" s="4">
        <f>SUM(Data!Q651:Data!Y651)</f>
        <v/>
      </c>
      <c r="H652" s="4">
        <f>Data!Z651</f>
        <v/>
      </c>
      <c r="I652" s="4">
        <f>Data!AB651</f>
        <v/>
      </c>
      <c r="J652" s="4">
        <f>Data!AD651</f>
        <v/>
      </c>
      <c r="K652" s="4">
        <f>Data!AE651</f>
        <v/>
      </c>
      <c r="L652" s="4">
        <f>Data!AF651</f>
        <v/>
      </c>
      <c r="M652" s="4">
        <f>Data!AG651</f>
        <v/>
      </c>
      <c r="N652" s="4">
        <f>Data!AH651</f>
        <v/>
      </c>
      <c r="O652" s="4">
        <f>Data!AI651</f>
        <v/>
      </c>
      <c r="P652" s="4">
        <f>Data!AJ651</f>
        <v/>
      </c>
      <c r="Q652" s="4">
        <f>Data!AK651</f>
        <v/>
      </c>
      <c r="R652" s="4">
        <f>Data!AL651</f>
        <v/>
      </c>
    </row>
    <row r="653">
      <c r="A653" s="4">
        <f>Data!A652</f>
        <v/>
      </c>
      <c r="B653" s="4">
        <f>Data!B652</f>
        <v/>
      </c>
      <c r="C653" s="4">
        <f>Data!C652</f>
        <v/>
      </c>
      <c r="D653" s="4">
        <f>Data!I652</f>
        <v/>
      </c>
      <c r="E653" s="4">
        <f>Data!J652</f>
        <v/>
      </c>
      <c r="F653" s="4">
        <f>Data!H652</f>
        <v/>
      </c>
      <c r="G653" s="4">
        <f>SUM(Data!Q652:Data!Y652)</f>
        <v/>
      </c>
      <c r="H653" s="4">
        <f>Data!Z652</f>
        <v/>
      </c>
      <c r="I653" s="4">
        <f>Data!AB652</f>
        <v/>
      </c>
      <c r="J653" s="4">
        <f>Data!AD652</f>
        <v/>
      </c>
      <c r="K653" s="4">
        <f>Data!AE652</f>
        <v/>
      </c>
      <c r="L653" s="4">
        <f>Data!AF652</f>
        <v/>
      </c>
      <c r="M653" s="4">
        <f>Data!AG652</f>
        <v/>
      </c>
      <c r="N653" s="4">
        <f>Data!AH652</f>
        <v/>
      </c>
      <c r="O653" s="4">
        <f>Data!AI652</f>
        <v/>
      </c>
      <c r="P653" s="4">
        <f>Data!AJ652</f>
        <v/>
      </c>
      <c r="Q653" s="4">
        <f>Data!AK652</f>
        <v/>
      </c>
      <c r="R653" s="4">
        <f>Data!AL652</f>
        <v/>
      </c>
    </row>
    <row r="654">
      <c r="A654" s="4">
        <f>Data!A653</f>
        <v/>
      </c>
      <c r="B654" s="4">
        <f>Data!B653</f>
        <v/>
      </c>
      <c r="C654" s="4">
        <f>Data!C653</f>
        <v/>
      </c>
      <c r="D654" s="4">
        <f>Data!I653</f>
        <v/>
      </c>
      <c r="E654" s="4">
        <f>Data!J653</f>
        <v/>
      </c>
      <c r="F654" s="4">
        <f>Data!H653</f>
        <v/>
      </c>
      <c r="G654" s="4">
        <f>SUM(Data!Q653:Data!Y653)</f>
        <v/>
      </c>
      <c r="H654" s="4">
        <f>Data!Z653</f>
        <v/>
      </c>
      <c r="I654" s="4">
        <f>Data!AB653</f>
        <v/>
      </c>
      <c r="J654" s="4">
        <f>Data!AD653</f>
        <v/>
      </c>
      <c r="K654" s="4">
        <f>Data!AE653</f>
        <v/>
      </c>
      <c r="L654" s="4">
        <f>Data!AF653</f>
        <v/>
      </c>
      <c r="M654" s="4">
        <f>Data!AG653</f>
        <v/>
      </c>
      <c r="N654" s="4">
        <f>Data!AH653</f>
        <v/>
      </c>
      <c r="O654" s="4">
        <f>Data!AI653</f>
        <v/>
      </c>
      <c r="P654" s="4">
        <f>Data!AJ653</f>
        <v/>
      </c>
      <c r="Q654" s="4">
        <f>Data!AK653</f>
        <v/>
      </c>
      <c r="R654" s="4">
        <f>Data!AL653</f>
        <v/>
      </c>
    </row>
    <row r="655">
      <c r="A655" s="4">
        <f>Data!A654</f>
        <v/>
      </c>
      <c r="B655" s="4">
        <f>Data!B654</f>
        <v/>
      </c>
      <c r="C655" s="4">
        <f>Data!C654</f>
        <v/>
      </c>
      <c r="D655" s="4">
        <f>Data!I654</f>
        <v/>
      </c>
      <c r="E655" s="4">
        <f>Data!J654</f>
        <v/>
      </c>
      <c r="F655" s="4">
        <f>Data!H654</f>
        <v/>
      </c>
      <c r="G655" s="4">
        <f>SUM(Data!Q654:Data!Y654)</f>
        <v/>
      </c>
      <c r="H655" s="4">
        <f>Data!Z654</f>
        <v/>
      </c>
      <c r="I655" s="4">
        <f>Data!AB654</f>
        <v/>
      </c>
      <c r="J655" s="4">
        <f>Data!AD654</f>
        <v/>
      </c>
      <c r="K655" s="4">
        <f>Data!AE654</f>
        <v/>
      </c>
      <c r="L655" s="4">
        <f>Data!AF654</f>
        <v/>
      </c>
      <c r="M655" s="4">
        <f>Data!AG654</f>
        <v/>
      </c>
      <c r="N655" s="4">
        <f>Data!AH654</f>
        <v/>
      </c>
      <c r="O655" s="4">
        <f>Data!AI654</f>
        <v/>
      </c>
      <c r="P655" s="4">
        <f>Data!AJ654</f>
        <v/>
      </c>
      <c r="Q655" s="4">
        <f>Data!AK654</f>
        <v/>
      </c>
      <c r="R655" s="4">
        <f>Data!AL654</f>
        <v/>
      </c>
    </row>
    <row r="656">
      <c r="A656" s="4">
        <f>Data!A655</f>
        <v/>
      </c>
      <c r="B656" s="4">
        <f>Data!B655</f>
        <v/>
      </c>
      <c r="C656" s="4">
        <f>Data!C655</f>
        <v/>
      </c>
      <c r="D656" s="4">
        <f>Data!I655</f>
        <v/>
      </c>
      <c r="E656" s="4">
        <f>Data!J655</f>
        <v/>
      </c>
      <c r="F656" s="4">
        <f>Data!H655</f>
        <v/>
      </c>
      <c r="G656" s="4">
        <f>SUM(Data!Q655:Data!Y655)</f>
        <v/>
      </c>
      <c r="H656" s="4">
        <f>Data!Z655</f>
        <v/>
      </c>
      <c r="I656" s="4">
        <f>Data!AB655</f>
        <v/>
      </c>
      <c r="J656" s="4">
        <f>Data!AD655</f>
        <v/>
      </c>
      <c r="K656" s="4">
        <f>Data!AE655</f>
        <v/>
      </c>
      <c r="L656" s="4">
        <f>Data!AF655</f>
        <v/>
      </c>
      <c r="M656" s="4">
        <f>Data!AG655</f>
        <v/>
      </c>
      <c r="N656" s="4">
        <f>Data!AH655</f>
        <v/>
      </c>
      <c r="O656" s="4">
        <f>Data!AI655</f>
        <v/>
      </c>
      <c r="P656" s="4">
        <f>Data!AJ655</f>
        <v/>
      </c>
      <c r="Q656" s="4">
        <f>Data!AK655</f>
        <v/>
      </c>
      <c r="R656" s="4">
        <f>Data!AL655</f>
        <v/>
      </c>
    </row>
    <row r="657">
      <c r="A657" s="4">
        <f>Data!A656</f>
        <v/>
      </c>
      <c r="B657" s="4">
        <f>Data!B656</f>
        <v/>
      </c>
      <c r="C657" s="4">
        <f>Data!C656</f>
        <v/>
      </c>
      <c r="D657" s="4">
        <f>Data!I656</f>
        <v/>
      </c>
      <c r="E657" s="4">
        <f>Data!J656</f>
        <v/>
      </c>
      <c r="F657" s="4">
        <f>Data!H656</f>
        <v/>
      </c>
      <c r="G657" s="4">
        <f>SUM(Data!Q656:Data!Y656)</f>
        <v/>
      </c>
      <c r="H657" s="4">
        <f>Data!Z656</f>
        <v/>
      </c>
      <c r="I657" s="4">
        <f>Data!AB656</f>
        <v/>
      </c>
      <c r="J657" s="4">
        <f>Data!AD656</f>
        <v/>
      </c>
      <c r="K657" s="4">
        <f>Data!AE656</f>
        <v/>
      </c>
      <c r="L657" s="4">
        <f>Data!AF656</f>
        <v/>
      </c>
      <c r="M657" s="4">
        <f>Data!AG656</f>
        <v/>
      </c>
      <c r="N657" s="4">
        <f>Data!AH656</f>
        <v/>
      </c>
      <c r="O657" s="4">
        <f>Data!AI656</f>
        <v/>
      </c>
      <c r="P657" s="4">
        <f>Data!AJ656</f>
        <v/>
      </c>
      <c r="Q657" s="4">
        <f>Data!AK656</f>
        <v/>
      </c>
      <c r="R657" s="4">
        <f>Data!AL656</f>
        <v/>
      </c>
    </row>
    <row r="658">
      <c r="A658" s="4">
        <f>Data!A657</f>
        <v/>
      </c>
      <c r="B658" s="4">
        <f>Data!B657</f>
        <v/>
      </c>
      <c r="C658" s="4">
        <f>Data!C657</f>
        <v/>
      </c>
      <c r="D658" s="4">
        <f>Data!I657</f>
        <v/>
      </c>
      <c r="E658" s="4">
        <f>Data!J657</f>
        <v/>
      </c>
      <c r="F658" s="4">
        <f>Data!H657</f>
        <v/>
      </c>
      <c r="G658" s="4">
        <f>SUM(Data!Q657:Data!Y657)</f>
        <v/>
      </c>
      <c r="H658" s="4">
        <f>Data!Z657</f>
        <v/>
      </c>
      <c r="I658" s="4">
        <f>Data!AB657</f>
        <v/>
      </c>
      <c r="J658" s="4">
        <f>Data!AD657</f>
        <v/>
      </c>
      <c r="K658" s="4">
        <f>Data!AE657</f>
        <v/>
      </c>
      <c r="L658" s="4">
        <f>Data!AF657</f>
        <v/>
      </c>
      <c r="M658" s="4">
        <f>Data!AG657</f>
        <v/>
      </c>
      <c r="N658" s="4">
        <f>Data!AH657</f>
        <v/>
      </c>
      <c r="O658" s="4">
        <f>Data!AI657</f>
        <v/>
      </c>
      <c r="P658" s="4">
        <f>Data!AJ657</f>
        <v/>
      </c>
      <c r="Q658" s="4">
        <f>Data!AK657</f>
        <v/>
      </c>
      <c r="R658" s="4">
        <f>Data!AL657</f>
        <v/>
      </c>
    </row>
    <row r="659">
      <c r="A659" s="4">
        <f>Data!A658</f>
        <v/>
      </c>
      <c r="B659" s="4">
        <f>Data!B658</f>
        <v/>
      </c>
      <c r="C659" s="4">
        <f>Data!C658</f>
        <v/>
      </c>
      <c r="D659" s="4">
        <f>Data!I658</f>
        <v/>
      </c>
      <c r="E659" s="4">
        <f>Data!J658</f>
        <v/>
      </c>
      <c r="F659" s="4">
        <f>Data!H658</f>
        <v/>
      </c>
      <c r="G659" s="4">
        <f>SUM(Data!Q658:Data!Y658)</f>
        <v/>
      </c>
      <c r="H659" s="4">
        <f>Data!Z658</f>
        <v/>
      </c>
      <c r="I659" s="4">
        <f>Data!AB658</f>
        <v/>
      </c>
      <c r="J659" s="4">
        <f>Data!AD658</f>
        <v/>
      </c>
      <c r="K659" s="4">
        <f>Data!AE658</f>
        <v/>
      </c>
      <c r="L659" s="4">
        <f>Data!AF658</f>
        <v/>
      </c>
      <c r="M659" s="4">
        <f>Data!AG658</f>
        <v/>
      </c>
      <c r="N659" s="4">
        <f>Data!AH658</f>
        <v/>
      </c>
      <c r="O659" s="4">
        <f>Data!AI658</f>
        <v/>
      </c>
      <c r="P659" s="4">
        <f>Data!AJ658</f>
        <v/>
      </c>
      <c r="Q659" s="4">
        <f>Data!AK658</f>
        <v/>
      </c>
      <c r="R659" s="4">
        <f>Data!AL658</f>
        <v/>
      </c>
    </row>
    <row r="660">
      <c r="A660" s="4">
        <f>Data!A659</f>
        <v/>
      </c>
      <c r="B660" s="4">
        <f>Data!B659</f>
        <v/>
      </c>
      <c r="C660" s="4">
        <f>Data!C659</f>
        <v/>
      </c>
      <c r="D660" s="4">
        <f>Data!I659</f>
        <v/>
      </c>
      <c r="E660" s="4">
        <f>Data!J659</f>
        <v/>
      </c>
      <c r="F660" s="4">
        <f>Data!H659</f>
        <v/>
      </c>
      <c r="G660" s="4">
        <f>SUM(Data!Q659:Data!Y659)</f>
        <v/>
      </c>
      <c r="H660" s="4">
        <f>Data!Z659</f>
        <v/>
      </c>
      <c r="I660" s="4">
        <f>Data!AB659</f>
        <v/>
      </c>
      <c r="J660" s="4">
        <f>Data!AD659</f>
        <v/>
      </c>
      <c r="K660" s="4">
        <f>Data!AE659</f>
        <v/>
      </c>
      <c r="L660" s="4">
        <f>Data!AF659</f>
        <v/>
      </c>
      <c r="M660" s="4">
        <f>Data!AG659</f>
        <v/>
      </c>
      <c r="N660" s="4">
        <f>Data!AH659</f>
        <v/>
      </c>
      <c r="O660" s="4">
        <f>Data!AI659</f>
        <v/>
      </c>
      <c r="P660" s="4">
        <f>Data!AJ659</f>
        <v/>
      </c>
      <c r="Q660" s="4">
        <f>Data!AK659</f>
        <v/>
      </c>
      <c r="R660" s="4">
        <f>Data!AL659</f>
        <v/>
      </c>
    </row>
    <row r="661">
      <c r="A661" s="4">
        <f>Data!A660</f>
        <v/>
      </c>
      <c r="B661" s="4">
        <f>Data!B660</f>
        <v/>
      </c>
      <c r="C661" s="4">
        <f>Data!C660</f>
        <v/>
      </c>
      <c r="D661" s="4">
        <f>Data!I660</f>
        <v/>
      </c>
      <c r="E661" s="4">
        <f>Data!J660</f>
        <v/>
      </c>
      <c r="F661" s="4">
        <f>Data!H660</f>
        <v/>
      </c>
      <c r="G661" s="4">
        <f>SUM(Data!Q660:Data!Y660)</f>
        <v/>
      </c>
      <c r="H661" s="4">
        <f>Data!Z660</f>
        <v/>
      </c>
      <c r="I661" s="4">
        <f>Data!AB660</f>
        <v/>
      </c>
      <c r="J661" s="4">
        <f>Data!AD660</f>
        <v/>
      </c>
      <c r="K661" s="4">
        <f>Data!AE660</f>
        <v/>
      </c>
      <c r="L661" s="4">
        <f>Data!AF660</f>
        <v/>
      </c>
      <c r="M661" s="4">
        <f>Data!AG660</f>
        <v/>
      </c>
      <c r="N661" s="4">
        <f>Data!AH660</f>
        <v/>
      </c>
      <c r="O661" s="4">
        <f>Data!AI660</f>
        <v/>
      </c>
      <c r="P661" s="4">
        <f>Data!AJ660</f>
        <v/>
      </c>
      <c r="Q661" s="4">
        <f>Data!AK660</f>
        <v/>
      </c>
      <c r="R661" s="4">
        <f>Data!AL660</f>
        <v/>
      </c>
    </row>
    <row r="662">
      <c r="A662" s="4">
        <f>Data!A661</f>
        <v/>
      </c>
      <c r="B662" s="4">
        <f>Data!B661</f>
        <v/>
      </c>
      <c r="C662" s="4">
        <f>Data!C661</f>
        <v/>
      </c>
      <c r="D662" s="4">
        <f>Data!I661</f>
        <v/>
      </c>
      <c r="E662" s="4">
        <f>Data!J661</f>
        <v/>
      </c>
      <c r="F662" s="4">
        <f>Data!H661</f>
        <v/>
      </c>
      <c r="G662" s="4">
        <f>SUM(Data!Q661:Data!Y661)</f>
        <v/>
      </c>
      <c r="H662" s="4">
        <f>Data!Z661</f>
        <v/>
      </c>
      <c r="I662" s="4">
        <f>Data!AB661</f>
        <v/>
      </c>
      <c r="J662" s="4">
        <f>Data!AD661</f>
        <v/>
      </c>
      <c r="K662" s="4">
        <f>Data!AE661</f>
        <v/>
      </c>
      <c r="L662" s="4">
        <f>Data!AF661</f>
        <v/>
      </c>
      <c r="M662" s="4">
        <f>Data!AG661</f>
        <v/>
      </c>
      <c r="N662" s="4">
        <f>Data!AH661</f>
        <v/>
      </c>
      <c r="O662" s="4">
        <f>Data!AI661</f>
        <v/>
      </c>
      <c r="P662" s="4">
        <f>Data!AJ661</f>
        <v/>
      </c>
      <c r="Q662" s="4">
        <f>Data!AK661</f>
        <v/>
      </c>
      <c r="R662" s="4">
        <f>Data!AL661</f>
        <v/>
      </c>
    </row>
    <row r="663">
      <c r="A663" s="4">
        <f>Data!A662</f>
        <v/>
      </c>
      <c r="B663" s="4">
        <f>Data!B662</f>
        <v/>
      </c>
      <c r="C663" s="4">
        <f>Data!C662</f>
        <v/>
      </c>
      <c r="D663" s="4">
        <f>Data!I662</f>
        <v/>
      </c>
      <c r="E663" s="4">
        <f>Data!J662</f>
        <v/>
      </c>
      <c r="F663" s="4">
        <f>Data!H662</f>
        <v/>
      </c>
      <c r="G663" s="4">
        <f>SUM(Data!Q662:Data!Y662)</f>
        <v/>
      </c>
      <c r="H663" s="4">
        <f>Data!Z662</f>
        <v/>
      </c>
      <c r="I663" s="4">
        <f>Data!AB662</f>
        <v/>
      </c>
      <c r="J663" s="4">
        <f>Data!AD662</f>
        <v/>
      </c>
      <c r="K663" s="4">
        <f>Data!AE662</f>
        <v/>
      </c>
      <c r="L663" s="4">
        <f>Data!AF662</f>
        <v/>
      </c>
      <c r="M663" s="4">
        <f>Data!AG662</f>
        <v/>
      </c>
      <c r="N663" s="4">
        <f>Data!AH662</f>
        <v/>
      </c>
      <c r="O663" s="4">
        <f>Data!AI662</f>
        <v/>
      </c>
      <c r="P663" s="4">
        <f>Data!AJ662</f>
        <v/>
      </c>
      <c r="Q663" s="4">
        <f>Data!AK662</f>
        <v/>
      </c>
      <c r="R663" s="4">
        <f>Data!AL662</f>
        <v/>
      </c>
    </row>
    <row r="664">
      <c r="A664" s="4">
        <f>Data!A663</f>
        <v/>
      </c>
      <c r="B664" s="4">
        <f>Data!B663</f>
        <v/>
      </c>
      <c r="C664" s="4">
        <f>Data!C663</f>
        <v/>
      </c>
      <c r="D664" s="4">
        <f>Data!I663</f>
        <v/>
      </c>
      <c r="E664" s="4">
        <f>Data!J663</f>
        <v/>
      </c>
      <c r="F664" s="4">
        <f>Data!H663</f>
        <v/>
      </c>
      <c r="G664" s="4">
        <f>SUM(Data!Q663:Data!Y663)</f>
        <v/>
      </c>
      <c r="H664" s="4">
        <f>Data!Z663</f>
        <v/>
      </c>
      <c r="I664" s="4">
        <f>Data!AB663</f>
        <v/>
      </c>
      <c r="J664" s="4">
        <f>Data!AD663</f>
        <v/>
      </c>
      <c r="K664" s="4">
        <f>Data!AE663</f>
        <v/>
      </c>
      <c r="L664" s="4">
        <f>Data!AF663</f>
        <v/>
      </c>
      <c r="M664" s="4">
        <f>Data!AG663</f>
        <v/>
      </c>
      <c r="N664" s="4">
        <f>Data!AH663</f>
        <v/>
      </c>
      <c r="O664" s="4">
        <f>Data!AI663</f>
        <v/>
      </c>
      <c r="P664" s="4">
        <f>Data!AJ663</f>
        <v/>
      </c>
      <c r="Q664" s="4">
        <f>Data!AK663</f>
        <v/>
      </c>
      <c r="R664" s="4">
        <f>Data!AL663</f>
        <v/>
      </c>
    </row>
    <row r="665">
      <c r="A665" s="4">
        <f>Data!A664</f>
        <v/>
      </c>
      <c r="B665" s="4">
        <f>Data!B664</f>
        <v/>
      </c>
      <c r="C665" s="4">
        <f>Data!C664</f>
        <v/>
      </c>
      <c r="D665" s="4">
        <f>Data!I664</f>
        <v/>
      </c>
      <c r="E665" s="4">
        <f>Data!J664</f>
        <v/>
      </c>
      <c r="F665" s="4">
        <f>Data!H664</f>
        <v/>
      </c>
      <c r="G665" s="4">
        <f>SUM(Data!Q664:Data!Y664)</f>
        <v/>
      </c>
      <c r="H665" s="4">
        <f>Data!Z664</f>
        <v/>
      </c>
      <c r="I665" s="4">
        <f>Data!AB664</f>
        <v/>
      </c>
      <c r="J665" s="4">
        <f>Data!AD664</f>
        <v/>
      </c>
      <c r="K665" s="4">
        <f>Data!AE664</f>
        <v/>
      </c>
      <c r="L665" s="4">
        <f>Data!AF664</f>
        <v/>
      </c>
      <c r="M665" s="4">
        <f>Data!AG664</f>
        <v/>
      </c>
      <c r="N665" s="4">
        <f>Data!AH664</f>
        <v/>
      </c>
      <c r="O665" s="4">
        <f>Data!AI664</f>
        <v/>
      </c>
      <c r="P665" s="4">
        <f>Data!AJ664</f>
        <v/>
      </c>
      <c r="Q665" s="4">
        <f>Data!AK664</f>
        <v/>
      </c>
      <c r="R665" s="4">
        <f>Data!AL664</f>
        <v/>
      </c>
    </row>
    <row r="666">
      <c r="A666" s="4">
        <f>Data!A665</f>
        <v/>
      </c>
      <c r="B666" s="4">
        <f>Data!B665</f>
        <v/>
      </c>
      <c r="C666" s="4">
        <f>Data!C665</f>
        <v/>
      </c>
      <c r="D666" s="4">
        <f>Data!I665</f>
        <v/>
      </c>
      <c r="E666" s="4">
        <f>Data!J665</f>
        <v/>
      </c>
      <c r="F666" s="4">
        <f>Data!H665</f>
        <v/>
      </c>
      <c r="G666" s="4">
        <f>SUM(Data!Q665:Data!Y665)</f>
        <v/>
      </c>
      <c r="H666" s="4">
        <f>Data!Z665</f>
        <v/>
      </c>
      <c r="I666" s="4">
        <f>Data!AB665</f>
        <v/>
      </c>
      <c r="J666" s="4">
        <f>Data!AD665</f>
        <v/>
      </c>
      <c r="K666" s="4">
        <f>Data!AE665</f>
        <v/>
      </c>
      <c r="L666" s="4">
        <f>Data!AF665</f>
        <v/>
      </c>
      <c r="M666" s="4">
        <f>Data!AG665</f>
        <v/>
      </c>
      <c r="N666" s="4">
        <f>Data!AH665</f>
        <v/>
      </c>
      <c r="O666" s="4">
        <f>Data!AI665</f>
        <v/>
      </c>
      <c r="P666" s="4">
        <f>Data!AJ665</f>
        <v/>
      </c>
      <c r="Q666" s="4">
        <f>Data!AK665</f>
        <v/>
      </c>
      <c r="R666" s="4">
        <f>Data!AL665</f>
        <v/>
      </c>
    </row>
    <row r="667">
      <c r="A667" s="4">
        <f>Data!A666</f>
        <v/>
      </c>
      <c r="B667" s="4">
        <f>Data!B666</f>
        <v/>
      </c>
      <c r="C667" s="4">
        <f>Data!C666</f>
        <v/>
      </c>
      <c r="D667" s="4">
        <f>Data!I666</f>
        <v/>
      </c>
      <c r="E667" s="4">
        <f>Data!J666</f>
        <v/>
      </c>
      <c r="F667" s="4">
        <f>Data!H666</f>
        <v/>
      </c>
      <c r="G667" s="4">
        <f>SUM(Data!Q666:Data!Y666)</f>
        <v/>
      </c>
      <c r="H667" s="4">
        <f>Data!Z666</f>
        <v/>
      </c>
      <c r="I667" s="4">
        <f>Data!AB666</f>
        <v/>
      </c>
      <c r="J667" s="4">
        <f>Data!AD666</f>
        <v/>
      </c>
      <c r="K667" s="4">
        <f>Data!AE666</f>
        <v/>
      </c>
      <c r="L667" s="4">
        <f>Data!AF666</f>
        <v/>
      </c>
      <c r="M667" s="4">
        <f>Data!AG666</f>
        <v/>
      </c>
      <c r="N667" s="4">
        <f>Data!AH666</f>
        <v/>
      </c>
      <c r="O667" s="4">
        <f>Data!AI666</f>
        <v/>
      </c>
      <c r="P667" s="4">
        <f>Data!AJ666</f>
        <v/>
      </c>
      <c r="Q667" s="4">
        <f>Data!AK666</f>
        <v/>
      </c>
      <c r="R667" s="4">
        <f>Data!AL666</f>
        <v/>
      </c>
    </row>
    <row r="668">
      <c r="A668" s="4">
        <f>Data!A667</f>
        <v/>
      </c>
      <c r="B668" s="4">
        <f>Data!B667</f>
        <v/>
      </c>
      <c r="C668" s="4">
        <f>Data!C667</f>
        <v/>
      </c>
      <c r="D668" s="4">
        <f>Data!I667</f>
        <v/>
      </c>
      <c r="E668" s="4">
        <f>Data!J667</f>
        <v/>
      </c>
      <c r="F668" s="4">
        <f>Data!H667</f>
        <v/>
      </c>
      <c r="G668" s="4">
        <f>SUM(Data!Q667:Data!Y667)</f>
        <v/>
      </c>
      <c r="H668" s="4">
        <f>Data!Z667</f>
        <v/>
      </c>
      <c r="I668" s="4">
        <f>Data!AB667</f>
        <v/>
      </c>
      <c r="J668" s="4">
        <f>Data!AD667</f>
        <v/>
      </c>
      <c r="K668" s="4">
        <f>Data!AE667</f>
        <v/>
      </c>
      <c r="L668" s="4">
        <f>Data!AF667</f>
        <v/>
      </c>
      <c r="M668" s="4">
        <f>Data!AG667</f>
        <v/>
      </c>
      <c r="N668" s="4">
        <f>Data!AH667</f>
        <v/>
      </c>
      <c r="O668" s="4">
        <f>Data!AI667</f>
        <v/>
      </c>
      <c r="P668" s="4">
        <f>Data!AJ667</f>
        <v/>
      </c>
      <c r="Q668" s="4">
        <f>Data!AK667</f>
        <v/>
      </c>
      <c r="R668" s="4">
        <f>Data!AL667</f>
        <v/>
      </c>
    </row>
    <row r="669">
      <c r="A669" s="4">
        <f>Data!A668</f>
        <v/>
      </c>
      <c r="B669" s="4">
        <f>Data!B668</f>
        <v/>
      </c>
      <c r="C669" s="4">
        <f>Data!C668</f>
        <v/>
      </c>
      <c r="D669" s="4">
        <f>Data!I668</f>
        <v/>
      </c>
      <c r="E669" s="4">
        <f>Data!J668</f>
        <v/>
      </c>
      <c r="F669" s="4">
        <f>Data!H668</f>
        <v/>
      </c>
      <c r="G669" s="4">
        <f>SUM(Data!Q668:Data!Y668)</f>
        <v/>
      </c>
      <c r="H669" s="4">
        <f>Data!Z668</f>
        <v/>
      </c>
      <c r="I669" s="4">
        <f>Data!AB668</f>
        <v/>
      </c>
      <c r="J669" s="4">
        <f>Data!AD668</f>
        <v/>
      </c>
      <c r="K669" s="4">
        <f>Data!AE668</f>
        <v/>
      </c>
      <c r="L669" s="4">
        <f>Data!AF668</f>
        <v/>
      </c>
      <c r="M669" s="4">
        <f>Data!AG668</f>
        <v/>
      </c>
      <c r="N669" s="4">
        <f>Data!AH668</f>
        <v/>
      </c>
      <c r="O669" s="4">
        <f>Data!AI668</f>
        <v/>
      </c>
      <c r="P669" s="4">
        <f>Data!AJ668</f>
        <v/>
      </c>
      <c r="Q669" s="4">
        <f>Data!AK668</f>
        <v/>
      </c>
      <c r="R669" s="4">
        <f>Data!AL668</f>
        <v/>
      </c>
    </row>
    <row r="670">
      <c r="A670" s="4">
        <f>Data!A669</f>
        <v/>
      </c>
      <c r="B670" s="4">
        <f>Data!B669</f>
        <v/>
      </c>
      <c r="C670" s="4">
        <f>Data!C669</f>
        <v/>
      </c>
      <c r="D670" s="4">
        <f>Data!I669</f>
        <v/>
      </c>
      <c r="E670" s="4">
        <f>Data!J669</f>
        <v/>
      </c>
      <c r="F670" s="4">
        <f>Data!H669</f>
        <v/>
      </c>
      <c r="G670" s="4">
        <f>SUM(Data!Q669:Data!Y669)</f>
        <v/>
      </c>
      <c r="H670" s="4">
        <f>Data!Z669</f>
        <v/>
      </c>
      <c r="I670" s="4">
        <f>Data!AB669</f>
        <v/>
      </c>
      <c r="J670" s="4">
        <f>Data!AD669</f>
        <v/>
      </c>
      <c r="K670" s="4">
        <f>Data!AE669</f>
        <v/>
      </c>
      <c r="L670" s="4">
        <f>Data!AF669</f>
        <v/>
      </c>
      <c r="M670" s="4">
        <f>Data!AG669</f>
        <v/>
      </c>
      <c r="N670" s="4">
        <f>Data!AH669</f>
        <v/>
      </c>
      <c r="O670" s="4">
        <f>Data!AI669</f>
        <v/>
      </c>
      <c r="P670" s="4">
        <f>Data!AJ669</f>
        <v/>
      </c>
      <c r="Q670" s="4">
        <f>Data!AK669</f>
        <v/>
      </c>
      <c r="R670" s="4">
        <f>Data!AL669</f>
        <v/>
      </c>
    </row>
    <row r="671">
      <c r="A671" s="4">
        <f>Data!A670</f>
        <v/>
      </c>
      <c r="B671" s="4">
        <f>Data!B670</f>
        <v/>
      </c>
      <c r="C671" s="4">
        <f>Data!C670</f>
        <v/>
      </c>
      <c r="D671" s="4">
        <f>Data!I670</f>
        <v/>
      </c>
      <c r="E671" s="4">
        <f>Data!J670</f>
        <v/>
      </c>
      <c r="F671" s="4">
        <f>Data!H670</f>
        <v/>
      </c>
      <c r="G671" s="4">
        <f>SUM(Data!Q670:Data!Y670)</f>
        <v/>
      </c>
      <c r="H671" s="4">
        <f>Data!Z670</f>
        <v/>
      </c>
      <c r="I671" s="4">
        <f>Data!AB670</f>
        <v/>
      </c>
      <c r="J671" s="4">
        <f>Data!AD670</f>
        <v/>
      </c>
      <c r="K671" s="4">
        <f>Data!AE670</f>
        <v/>
      </c>
      <c r="L671" s="4">
        <f>Data!AF670</f>
        <v/>
      </c>
      <c r="M671" s="4">
        <f>Data!AG670</f>
        <v/>
      </c>
      <c r="N671" s="4">
        <f>Data!AH670</f>
        <v/>
      </c>
      <c r="O671" s="4">
        <f>Data!AI670</f>
        <v/>
      </c>
      <c r="P671" s="4">
        <f>Data!AJ670</f>
        <v/>
      </c>
      <c r="Q671" s="4">
        <f>Data!AK670</f>
        <v/>
      </c>
      <c r="R671" s="4">
        <f>Data!AL670</f>
        <v/>
      </c>
    </row>
    <row r="672">
      <c r="A672" s="4">
        <f>Data!A671</f>
        <v/>
      </c>
      <c r="B672" s="4">
        <f>Data!B671</f>
        <v/>
      </c>
      <c r="C672" s="4">
        <f>Data!C671</f>
        <v/>
      </c>
      <c r="D672" s="4">
        <f>Data!I671</f>
        <v/>
      </c>
      <c r="E672" s="4">
        <f>Data!J671</f>
        <v/>
      </c>
      <c r="F672" s="4">
        <f>Data!H671</f>
        <v/>
      </c>
      <c r="G672" s="4">
        <f>SUM(Data!Q671:Data!Y671)</f>
        <v/>
      </c>
      <c r="H672" s="4">
        <f>Data!Z671</f>
        <v/>
      </c>
      <c r="I672" s="4">
        <f>Data!AB671</f>
        <v/>
      </c>
      <c r="J672" s="4">
        <f>Data!AD671</f>
        <v/>
      </c>
      <c r="K672" s="4">
        <f>Data!AE671</f>
        <v/>
      </c>
      <c r="L672" s="4">
        <f>Data!AF671</f>
        <v/>
      </c>
      <c r="M672" s="4">
        <f>Data!AG671</f>
        <v/>
      </c>
      <c r="N672" s="4">
        <f>Data!AH671</f>
        <v/>
      </c>
      <c r="O672" s="4">
        <f>Data!AI671</f>
        <v/>
      </c>
      <c r="P672" s="4">
        <f>Data!AJ671</f>
        <v/>
      </c>
      <c r="Q672" s="4">
        <f>Data!AK671</f>
        <v/>
      </c>
      <c r="R672" s="4">
        <f>Data!AL671</f>
        <v/>
      </c>
    </row>
    <row r="673">
      <c r="A673" s="4">
        <f>Data!A672</f>
        <v/>
      </c>
      <c r="B673" s="4">
        <f>Data!B672</f>
        <v/>
      </c>
      <c r="C673" s="4">
        <f>Data!C672</f>
        <v/>
      </c>
      <c r="D673" s="4">
        <f>Data!I672</f>
        <v/>
      </c>
      <c r="E673" s="4">
        <f>Data!J672</f>
        <v/>
      </c>
      <c r="F673" s="4">
        <f>Data!H672</f>
        <v/>
      </c>
      <c r="G673" s="4">
        <f>SUM(Data!Q672:Data!Y672)</f>
        <v/>
      </c>
      <c r="H673" s="4">
        <f>Data!Z672</f>
        <v/>
      </c>
      <c r="I673" s="4">
        <f>Data!AB672</f>
        <v/>
      </c>
      <c r="J673" s="4">
        <f>Data!AD672</f>
        <v/>
      </c>
      <c r="K673" s="4">
        <f>Data!AE672</f>
        <v/>
      </c>
      <c r="L673" s="4">
        <f>Data!AF672</f>
        <v/>
      </c>
      <c r="M673" s="4">
        <f>Data!AG672</f>
        <v/>
      </c>
      <c r="N673" s="4">
        <f>Data!AH672</f>
        <v/>
      </c>
      <c r="O673" s="4">
        <f>Data!AI672</f>
        <v/>
      </c>
      <c r="P673" s="4">
        <f>Data!AJ672</f>
        <v/>
      </c>
      <c r="Q673" s="4">
        <f>Data!AK672</f>
        <v/>
      </c>
      <c r="R673" s="4">
        <f>Data!AL672</f>
        <v/>
      </c>
    </row>
    <row r="674">
      <c r="A674" s="4">
        <f>Data!A673</f>
        <v/>
      </c>
      <c r="B674" s="4">
        <f>Data!B673</f>
        <v/>
      </c>
      <c r="C674" s="4">
        <f>Data!C673</f>
        <v/>
      </c>
      <c r="D674" s="4">
        <f>Data!I673</f>
        <v/>
      </c>
      <c r="E674" s="4">
        <f>Data!J673</f>
        <v/>
      </c>
      <c r="F674" s="4">
        <f>Data!H673</f>
        <v/>
      </c>
      <c r="G674" s="4">
        <f>SUM(Data!Q673:Data!Y673)</f>
        <v/>
      </c>
      <c r="H674" s="4">
        <f>Data!Z673</f>
        <v/>
      </c>
      <c r="I674" s="4">
        <f>Data!AB673</f>
        <v/>
      </c>
      <c r="J674" s="4">
        <f>Data!AD673</f>
        <v/>
      </c>
      <c r="K674" s="4">
        <f>Data!AE673</f>
        <v/>
      </c>
      <c r="L674" s="4">
        <f>Data!AF673</f>
        <v/>
      </c>
      <c r="M674" s="4">
        <f>Data!AG673</f>
        <v/>
      </c>
      <c r="N674" s="4">
        <f>Data!AH673</f>
        <v/>
      </c>
      <c r="O674" s="4">
        <f>Data!AI673</f>
        <v/>
      </c>
      <c r="P674" s="4">
        <f>Data!AJ673</f>
        <v/>
      </c>
      <c r="Q674" s="4">
        <f>Data!AK673</f>
        <v/>
      </c>
      <c r="R674" s="4">
        <f>Data!AL673</f>
        <v/>
      </c>
    </row>
    <row r="675">
      <c r="A675" s="4">
        <f>Data!A674</f>
        <v/>
      </c>
      <c r="B675" s="4">
        <f>Data!B674</f>
        <v/>
      </c>
      <c r="C675" s="4">
        <f>Data!C674</f>
        <v/>
      </c>
      <c r="D675" s="4">
        <f>Data!I674</f>
        <v/>
      </c>
      <c r="E675" s="4">
        <f>Data!J674</f>
        <v/>
      </c>
      <c r="F675" s="4">
        <f>Data!H674</f>
        <v/>
      </c>
      <c r="G675" s="4">
        <f>SUM(Data!Q674:Data!Y674)</f>
        <v/>
      </c>
      <c r="H675" s="4">
        <f>Data!Z674</f>
        <v/>
      </c>
      <c r="I675" s="4">
        <f>Data!AB674</f>
        <v/>
      </c>
      <c r="J675" s="4">
        <f>Data!AD674</f>
        <v/>
      </c>
      <c r="K675" s="4">
        <f>Data!AE674</f>
        <v/>
      </c>
      <c r="L675" s="4">
        <f>Data!AF674</f>
        <v/>
      </c>
      <c r="M675" s="4">
        <f>Data!AG674</f>
        <v/>
      </c>
      <c r="N675" s="4">
        <f>Data!AH674</f>
        <v/>
      </c>
      <c r="O675" s="4">
        <f>Data!AI674</f>
        <v/>
      </c>
      <c r="P675" s="4">
        <f>Data!AJ674</f>
        <v/>
      </c>
      <c r="Q675" s="4">
        <f>Data!AK674</f>
        <v/>
      </c>
      <c r="R675" s="4">
        <f>Data!AL674</f>
        <v/>
      </c>
    </row>
    <row r="676">
      <c r="A676" s="4">
        <f>Data!A675</f>
        <v/>
      </c>
      <c r="B676" s="4">
        <f>Data!B675</f>
        <v/>
      </c>
      <c r="C676" s="4">
        <f>Data!C675</f>
        <v/>
      </c>
      <c r="D676" s="4">
        <f>Data!I675</f>
        <v/>
      </c>
      <c r="E676" s="4">
        <f>Data!J675</f>
        <v/>
      </c>
      <c r="F676" s="4">
        <f>Data!H675</f>
        <v/>
      </c>
      <c r="G676" s="4">
        <f>SUM(Data!Q675:Data!Y675)</f>
        <v/>
      </c>
      <c r="H676" s="4">
        <f>Data!Z675</f>
        <v/>
      </c>
      <c r="I676" s="4">
        <f>Data!AB675</f>
        <v/>
      </c>
      <c r="J676" s="4">
        <f>Data!AD675</f>
        <v/>
      </c>
      <c r="K676" s="4">
        <f>Data!AE675</f>
        <v/>
      </c>
      <c r="L676" s="4">
        <f>Data!AF675</f>
        <v/>
      </c>
      <c r="M676" s="4">
        <f>Data!AG675</f>
        <v/>
      </c>
      <c r="N676" s="4">
        <f>Data!AH675</f>
        <v/>
      </c>
      <c r="O676" s="4">
        <f>Data!AI675</f>
        <v/>
      </c>
      <c r="P676" s="4">
        <f>Data!AJ675</f>
        <v/>
      </c>
      <c r="Q676" s="4">
        <f>Data!AK675</f>
        <v/>
      </c>
      <c r="R676" s="4">
        <f>Data!AL675</f>
        <v/>
      </c>
    </row>
    <row r="677">
      <c r="A677" s="4">
        <f>Data!A676</f>
        <v/>
      </c>
      <c r="B677" s="4">
        <f>Data!B676</f>
        <v/>
      </c>
      <c r="C677" s="4">
        <f>Data!C676</f>
        <v/>
      </c>
      <c r="D677" s="4">
        <f>Data!I676</f>
        <v/>
      </c>
      <c r="E677" s="4">
        <f>Data!J676</f>
        <v/>
      </c>
      <c r="F677" s="4">
        <f>Data!H676</f>
        <v/>
      </c>
      <c r="G677" s="4">
        <f>SUM(Data!Q676:Data!Y676)</f>
        <v/>
      </c>
      <c r="H677" s="4">
        <f>Data!Z676</f>
        <v/>
      </c>
      <c r="I677" s="4">
        <f>Data!AB676</f>
        <v/>
      </c>
      <c r="J677" s="4">
        <f>Data!AD676</f>
        <v/>
      </c>
      <c r="K677" s="4">
        <f>Data!AE676</f>
        <v/>
      </c>
      <c r="L677" s="4">
        <f>Data!AF676</f>
        <v/>
      </c>
      <c r="M677" s="4">
        <f>Data!AG676</f>
        <v/>
      </c>
      <c r="N677" s="4">
        <f>Data!AH676</f>
        <v/>
      </c>
      <c r="O677" s="4">
        <f>Data!AI676</f>
        <v/>
      </c>
      <c r="P677" s="4">
        <f>Data!AJ676</f>
        <v/>
      </c>
      <c r="Q677" s="4">
        <f>Data!AK676</f>
        <v/>
      </c>
      <c r="R677" s="4">
        <f>Data!AL676</f>
        <v/>
      </c>
    </row>
    <row r="678">
      <c r="A678" s="4">
        <f>Data!A677</f>
        <v/>
      </c>
      <c r="B678" s="4">
        <f>Data!B677</f>
        <v/>
      </c>
      <c r="C678" s="4">
        <f>Data!C677</f>
        <v/>
      </c>
      <c r="D678" s="4">
        <f>Data!I677</f>
        <v/>
      </c>
      <c r="E678" s="4">
        <f>Data!J677</f>
        <v/>
      </c>
      <c r="F678" s="4">
        <f>Data!H677</f>
        <v/>
      </c>
      <c r="G678" s="4">
        <f>SUM(Data!Q677:Data!Y677)</f>
        <v/>
      </c>
      <c r="H678" s="4">
        <f>Data!Z677</f>
        <v/>
      </c>
      <c r="I678" s="4">
        <f>Data!AB677</f>
        <v/>
      </c>
      <c r="J678" s="4">
        <f>Data!AD677</f>
        <v/>
      </c>
      <c r="K678" s="4">
        <f>Data!AE677</f>
        <v/>
      </c>
      <c r="L678" s="4">
        <f>Data!AF677</f>
        <v/>
      </c>
      <c r="M678" s="4">
        <f>Data!AG677</f>
        <v/>
      </c>
      <c r="N678" s="4">
        <f>Data!AH677</f>
        <v/>
      </c>
      <c r="O678" s="4">
        <f>Data!AI677</f>
        <v/>
      </c>
      <c r="P678" s="4">
        <f>Data!AJ677</f>
        <v/>
      </c>
      <c r="Q678" s="4">
        <f>Data!AK677</f>
        <v/>
      </c>
      <c r="R678" s="4">
        <f>Data!AL677</f>
        <v/>
      </c>
    </row>
    <row r="679">
      <c r="A679" s="4">
        <f>Data!A678</f>
        <v/>
      </c>
      <c r="B679" s="4">
        <f>Data!B678</f>
        <v/>
      </c>
      <c r="C679" s="4">
        <f>Data!C678</f>
        <v/>
      </c>
      <c r="D679" s="4">
        <f>Data!I678</f>
        <v/>
      </c>
      <c r="E679" s="4">
        <f>Data!J678</f>
        <v/>
      </c>
      <c r="F679" s="4">
        <f>Data!H678</f>
        <v/>
      </c>
      <c r="G679" s="4">
        <f>SUM(Data!Q678:Data!Y678)</f>
        <v/>
      </c>
      <c r="H679" s="4">
        <f>Data!Z678</f>
        <v/>
      </c>
      <c r="I679" s="4">
        <f>Data!AB678</f>
        <v/>
      </c>
      <c r="J679" s="4">
        <f>Data!AD678</f>
        <v/>
      </c>
      <c r="K679" s="4">
        <f>Data!AE678</f>
        <v/>
      </c>
      <c r="L679" s="4">
        <f>Data!AF678</f>
        <v/>
      </c>
      <c r="M679" s="4">
        <f>Data!AG678</f>
        <v/>
      </c>
      <c r="N679" s="4">
        <f>Data!AH678</f>
        <v/>
      </c>
      <c r="O679" s="4">
        <f>Data!AI678</f>
        <v/>
      </c>
      <c r="P679" s="4">
        <f>Data!AJ678</f>
        <v/>
      </c>
      <c r="Q679" s="4">
        <f>Data!AK678</f>
        <v/>
      </c>
      <c r="R679" s="4">
        <f>Data!AL678</f>
        <v/>
      </c>
    </row>
    <row r="680">
      <c r="A680" s="4">
        <f>Data!A679</f>
        <v/>
      </c>
      <c r="B680" s="4">
        <f>Data!B679</f>
        <v/>
      </c>
      <c r="C680" s="4">
        <f>Data!C679</f>
        <v/>
      </c>
      <c r="D680" s="4">
        <f>Data!I679</f>
        <v/>
      </c>
      <c r="E680" s="4">
        <f>Data!J679</f>
        <v/>
      </c>
      <c r="F680" s="4">
        <f>Data!H679</f>
        <v/>
      </c>
      <c r="G680" s="4">
        <f>SUM(Data!Q679:Data!Y679)</f>
        <v/>
      </c>
      <c r="H680" s="4">
        <f>Data!Z679</f>
        <v/>
      </c>
      <c r="I680" s="4">
        <f>Data!AB679</f>
        <v/>
      </c>
      <c r="J680" s="4">
        <f>Data!AD679</f>
        <v/>
      </c>
      <c r="K680" s="4">
        <f>Data!AE679</f>
        <v/>
      </c>
      <c r="L680" s="4">
        <f>Data!AF679</f>
        <v/>
      </c>
      <c r="M680" s="4">
        <f>Data!AG679</f>
        <v/>
      </c>
      <c r="N680" s="4">
        <f>Data!AH679</f>
        <v/>
      </c>
      <c r="O680" s="4">
        <f>Data!AI679</f>
        <v/>
      </c>
      <c r="P680" s="4">
        <f>Data!AJ679</f>
        <v/>
      </c>
      <c r="Q680" s="4">
        <f>Data!AK679</f>
        <v/>
      </c>
      <c r="R680" s="4">
        <f>Data!AL679</f>
        <v/>
      </c>
    </row>
    <row r="681">
      <c r="A681" s="4">
        <f>Data!A680</f>
        <v/>
      </c>
      <c r="B681" s="4">
        <f>Data!B680</f>
        <v/>
      </c>
      <c r="C681" s="4">
        <f>Data!C680</f>
        <v/>
      </c>
      <c r="D681" s="4">
        <f>Data!I680</f>
        <v/>
      </c>
      <c r="E681" s="4">
        <f>Data!J680</f>
        <v/>
      </c>
      <c r="F681" s="4">
        <f>Data!H680</f>
        <v/>
      </c>
      <c r="G681" s="4">
        <f>SUM(Data!Q680:Data!Y680)</f>
        <v/>
      </c>
      <c r="H681" s="4">
        <f>Data!Z680</f>
        <v/>
      </c>
      <c r="I681" s="4">
        <f>Data!AB680</f>
        <v/>
      </c>
      <c r="J681" s="4">
        <f>Data!AD680</f>
        <v/>
      </c>
      <c r="K681" s="4">
        <f>Data!AE680</f>
        <v/>
      </c>
      <c r="L681" s="4">
        <f>Data!AF680</f>
        <v/>
      </c>
      <c r="M681" s="4">
        <f>Data!AG680</f>
        <v/>
      </c>
      <c r="N681" s="4">
        <f>Data!AH680</f>
        <v/>
      </c>
      <c r="O681" s="4">
        <f>Data!AI680</f>
        <v/>
      </c>
      <c r="P681" s="4">
        <f>Data!AJ680</f>
        <v/>
      </c>
      <c r="Q681" s="4">
        <f>Data!AK680</f>
        <v/>
      </c>
      <c r="R681" s="4">
        <f>Data!AL680</f>
        <v/>
      </c>
    </row>
    <row r="682">
      <c r="A682" s="4">
        <f>Data!A681</f>
        <v/>
      </c>
      <c r="B682" s="4">
        <f>Data!B681</f>
        <v/>
      </c>
      <c r="C682" s="4">
        <f>Data!C681</f>
        <v/>
      </c>
      <c r="D682" s="4">
        <f>Data!I681</f>
        <v/>
      </c>
      <c r="E682" s="4">
        <f>Data!J681</f>
        <v/>
      </c>
      <c r="F682" s="4">
        <f>Data!H681</f>
        <v/>
      </c>
      <c r="G682" s="4">
        <f>SUM(Data!Q681:Data!Y681)</f>
        <v/>
      </c>
      <c r="H682" s="4">
        <f>Data!Z681</f>
        <v/>
      </c>
      <c r="I682" s="4">
        <f>Data!AB681</f>
        <v/>
      </c>
      <c r="J682" s="4">
        <f>Data!AD681</f>
        <v/>
      </c>
      <c r="K682" s="4">
        <f>Data!AE681</f>
        <v/>
      </c>
      <c r="L682" s="4">
        <f>Data!AF681</f>
        <v/>
      </c>
      <c r="M682" s="4">
        <f>Data!AG681</f>
        <v/>
      </c>
      <c r="N682" s="4">
        <f>Data!AH681</f>
        <v/>
      </c>
      <c r="O682" s="4">
        <f>Data!AI681</f>
        <v/>
      </c>
      <c r="P682" s="4">
        <f>Data!AJ681</f>
        <v/>
      </c>
      <c r="Q682" s="4">
        <f>Data!AK681</f>
        <v/>
      </c>
      <c r="R682" s="4">
        <f>Data!AL681</f>
        <v/>
      </c>
    </row>
    <row r="683">
      <c r="A683" s="4">
        <f>Data!A682</f>
        <v/>
      </c>
      <c r="B683" s="4">
        <f>Data!B682</f>
        <v/>
      </c>
      <c r="C683" s="4">
        <f>Data!C682</f>
        <v/>
      </c>
      <c r="D683" s="4">
        <f>Data!I682</f>
        <v/>
      </c>
      <c r="E683" s="4">
        <f>Data!J682</f>
        <v/>
      </c>
      <c r="F683" s="4">
        <f>Data!H682</f>
        <v/>
      </c>
      <c r="G683" s="4">
        <f>SUM(Data!Q682:Data!Y682)</f>
        <v/>
      </c>
      <c r="H683" s="4">
        <f>Data!Z682</f>
        <v/>
      </c>
      <c r="I683" s="4">
        <f>Data!AB682</f>
        <v/>
      </c>
      <c r="J683" s="4">
        <f>Data!AD682</f>
        <v/>
      </c>
      <c r="K683" s="4">
        <f>Data!AE682</f>
        <v/>
      </c>
      <c r="L683" s="4">
        <f>Data!AF682</f>
        <v/>
      </c>
      <c r="M683" s="4">
        <f>Data!AG682</f>
        <v/>
      </c>
      <c r="N683" s="4">
        <f>Data!AH682</f>
        <v/>
      </c>
      <c r="O683" s="4">
        <f>Data!AI682</f>
        <v/>
      </c>
      <c r="P683" s="4">
        <f>Data!AJ682</f>
        <v/>
      </c>
      <c r="Q683" s="4">
        <f>Data!AK682</f>
        <v/>
      </c>
      <c r="R683" s="4">
        <f>Data!AL682</f>
        <v/>
      </c>
    </row>
    <row r="684">
      <c r="A684" s="4">
        <f>Data!A683</f>
        <v/>
      </c>
      <c r="B684" s="4">
        <f>Data!B683</f>
        <v/>
      </c>
      <c r="C684" s="4">
        <f>Data!C683</f>
        <v/>
      </c>
      <c r="D684" s="4">
        <f>Data!I683</f>
        <v/>
      </c>
      <c r="E684" s="4">
        <f>Data!J683</f>
        <v/>
      </c>
      <c r="F684" s="4">
        <f>Data!H683</f>
        <v/>
      </c>
      <c r="G684" s="4">
        <f>SUM(Data!Q683:Data!Y683)</f>
        <v/>
      </c>
      <c r="H684" s="4">
        <f>Data!Z683</f>
        <v/>
      </c>
      <c r="I684" s="4">
        <f>Data!AB683</f>
        <v/>
      </c>
      <c r="J684" s="4">
        <f>Data!AD683</f>
        <v/>
      </c>
      <c r="K684" s="4">
        <f>Data!AE683</f>
        <v/>
      </c>
      <c r="L684" s="4">
        <f>Data!AF683</f>
        <v/>
      </c>
      <c r="M684" s="4">
        <f>Data!AG683</f>
        <v/>
      </c>
      <c r="N684" s="4">
        <f>Data!AH683</f>
        <v/>
      </c>
      <c r="O684" s="4">
        <f>Data!AI683</f>
        <v/>
      </c>
      <c r="P684" s="4">
        <f>Data!AJ683</f>
        <v/>
      </c>
      <c r="Q684" s="4">
        <f>Data!AK683</f>
        <v/>
      </c>
      <c r="R684" s="4">
        <f>Data!AL683</f>
        <v/>
      </c>
    </row>
    <row r="685">
      <c r="A685" s="4">
        <f>Data!A684</f>
        <v/>
      </c>
      <c r="B685" s="4">
        <f>Data!B684</f>
        <v/>
      </c>
      <c r="C685" s="4">
        <f>Data!C684</f>
        <v/>
      </c>
      <c r="D685" s="4">
        <f>Data!I684</f>
        <v/>
      </c>
      <c r="E685" s="4">
        <f>Data!J684</f>
        <v/>
      </c>
      <c r="F685" s="4">
        <f>Data!H684</f>
        <v/>
      </c>
      <c r="G685" s="4">
        <f>SUM(Data!Q684:Data!Y684)</f>
        <v/>
      </c>
      <c r="H685" s="4">
        <f>Data!Z684</f>
        <v/>
      </c>
      <c r="I685" s="4">
        <f>Data!AB684</f>
        <v/>
      </c>
      <c r="J685" s="4">
        <f>Data!AD684</f>
        <v/>
      </c>
      <c r="K685" s="4">
        <f>Data!AE684</f>
        <v/>
      </c>
      <c r="L685" s="4">
        <f>Data!AF684</f>
        <v/>
      </c>
      <c r="M685" s="4">
        <f>Data!AG684</f>
        <v/>
      </c>
      <c r="N685" s="4">
        <f>Data!AH684</f>
        <v/>
      </c>
      <c r="O685" s="4">
        <f>Data!AI684</f>
        <v/>
      </c>
      <c r="P685" s="4">
        <f>Data!AJ684</f>
        <v/>
      </c>
      <c r="Q685" s="4">
        <f>Data!AK684</f>
        <v/>
      </c>
      <c r="R685" s="4">
        <f>Data!AL684</f>
        <v/>
      </c>
    </row>
    <row r="686">
      <c r="A686" s="4">
        <f>Data!A685</f>
        <v/>
      </c>
      <c r="B686" s="4">
        <f>Data!B685</f>
        <v/>
      </c>
      <c r="C686" s="4">
        <f>Data!C685</f>
        <v/>
      </c>
      <c r="D686" s="4">
        <f>Data!I685</f>
        <v/>
      </c>
      <c r="E686" s="4">
        <f>Data!J685</f>
        <v/>
      </c>
      <c r="F686" s="4">
        <f>Data!H685</f>
        <v/>
      </c>
      <c r="G686" s="4">
        <f>SUM(Data!Q685:Data!Y685)</f>
        <v/>
      </c>
      <c r="H686" s="4">
        <f>Data!Z685</f>
        <v/>
      </c>
      <c r="I686" s="4">
        <f>Data!AB685</f>
        <v/>
      </c>
      <c r="J686" s="4">
        <f>Data!AD685</f>
        <v/>
      </c>
      <c r="K686" s="4">
        <f>Data!AE685</f>
        <v/>
      </c>
      <c r="L686" s="4">
        <f>Data!AF685</f>
        <v/>
      </c>
      <c r="M686" s="4">
        <f>Data!AG685</f>
        <v/>
      </c>
      <c r="N686" s="4">
        <f>Data!AH685</f>
        <v/>
      </c>
      <c r="O686" s="4">
        <f>Data!AI685</f>
        <v/>
      </c>
      <c r="P686" s="4">
        <f>Data!AJ685</f>
        <v/>
      </c>
      <c r="Q686" s="4">
        <f>Data!AK685</f>
        <v/>
      </c>
      <c r="R686" s="4">
        <f>Data!AL685</f>
        <v/>
      </c>
    </row>
    <row r="687">
      <c r="A687" s="4">
        <f>Data!A686</f>
        <v/>
      </c>
      <c r="B687" s="4">
        <f>Data!B686</f>
        <v/>
      </c>
      <c r="C687" s="4">
        <f>Data!C686</f>
        <v/>
      </c>
      <c r="D687" s="4">
        <f>Data!I686</f>
        <v/>
      </c>
      <c r="E687" s="4">
        <f>Data!J686</f>
        <v/>
      </c>
      <c r="F687" s="4">
        <f>Data!H686</f>
        <v/>
      </c>
      <c r="G687" s="4">
        <f>SUM(Data!Q686:Data!Y686)</f>
        <v/>
      </c>
      <c r="H687" s="4">
        <f>Data!Z686</f>
        <v/>
      </c>
      <c r="I687" s="4">
        <f>Data!AB686</f>
        <v/>
      </c>
      <c r="J687" s="4">
        <f>Data!AD686</f>
        <v/>
      </c>
      <c r="K687" s="4">
        <f>Data!AE686</f>
        <v/>
      </c>
      <c r="L687" s="4">
        <f>Data!AF686</f>
        <v/>
      </c>
      <c r="M687" s="4">
        <f>Data!AG686</f>
        <v/>
      </c>
      <c r="N687" s="4">
        <f>Data!AH686</f>
        <v/>
      </c>
      <c r="O687" s="4">
        <f>Data!AI686</f>
        <v/>
      </c>
      <c r="P687" s="4">
        <f>Data!AJ686</f>
        <v/>
      </c>
      <c r="Q687" s="4">
        <f>Data!AK686</f>
        <v/>
      </c>
      <c r="R687" s="4">
        <f>Data!AL686</f>
        <v/>
      </c>
    </row>
    <row r="688">
      <c r="A688" s="4">
        <f>Data!A687</f>
        <v/>
      </c>
      <c r="B688" s="4">
        <f>Data!B687</f>
        <v/>
      </c>
      <c r="C688" s="4">
        <f>Data!C687</f>
        <v/>
      </c>
      <c r="D688" s="4">
        <f>Data!I687</f>
        <v/>
      </c>
      <c r="E688" s="4">
        <f>Data!J687</f>
        <v/>
      </c>
      <c r="F688" s="4">
        <f>Data!H687</f>
        <v/>
      </c>
      <c r="G688" s="4">
        <f>SUM(Data!Q687:Data!Y687)</f>
        <v/>
      </c>
      <c r="H688" s="4">
        <f>Data!Z687</f>
        <v/>
      </c>
      <c r="I688" s="4">
        <f>Data!AB687</f>
        <v/>
      </c>
      <c r="J688" s="4">
        <f>Data!AD687</f>
        <v/>
      </c>
      <c r="K688" s="4">
        <f>Data!AE687</f>
        <v/>
      </c>
      <c r="L688" s="4">
        <f>Data!AF687</f>
        <v/>
      </c>
      <c r="M688" s="4">
        <f>Data!AG687</f>
        <v/>
      </c>
      <c r="N688" s="4">
        <f>Data!AH687</f>
        <v/>
      </c>
      <c r="O688" s="4">
        <f>Data!AI687</f>
        <v/>
      </c>
      <c r="P688" s="4">
        <f>Data!AJ687</f>
        <v/>
      </c>
      <c r="Q688" s="4">
        <f>Data!AK687</f>
        <v/>
      </c>
      <c r="R688" s="4">
        <f>Data!AL687</f>
        <v/>
      </c>
    </row>
    <row r="689">
      <c r="A689" s="4">
        <f>Data!A688</f>
        <v/>
      </c>
      <c r="B689" s="4">
        <f>Data!B688</f>
        <v/>
      </c>
      <c r="C689" s="4">
        <f>Data!C688</f>
        <v/>
      </c>
      <c r="D689" s="4">
        <f>Data!I688</f>
        <v/>
      </c>
      <c r="E689" s="4">
        <f>Data!J688</f>
        <v/>
      </c>
      <c r="F689" s="4">
        <f>Data!H688</f>
        <v/>
      </c>
      <c r="G689" s="4">
        <f>SUM(Data!Q688:Data!Y688)</f>
        <v/>
      </c>
      <c r="H689" s="4">
        <f>Data!Z688</f>
        <v/>
      </c>
      <c r="I689" s="4">
        <f>Data!AB688</f>
        <v/>
      </c>
      <c r="J689" s="4">
        <f>Data!AD688</f>
        <v/>
      </c>
      <c r="K689" s="4">
        <f>Data!AE688</f>
        <v/>
      </c>
      <c r="L689" s="4">
        <f>Data!AF688</f>
        <v/>
      </c>
      <c r="M689" s="4">
        <f>Data!AG688</f>
        <v/>
      </c>
      <c r="N689" s="4">
        <f>Data!AH688</f>
        <v/>
      </c>
      <c r="O689" s="4">
        <f>Data!AI688</f>
        <v/>
      </c>
      <c r="P689" s="4">
        <f>Data!AJ688</f>
        <v/>
      </c>
      <c r="Q689" s="4">
        <f>Data!AK688</f>
        <v/>
      </c>
      <c r="R689" s="4">
        <f>Data!AL688</f>
        <v/>
      </c>
    </row>
    <row r="690">
      <c r="A690" s="4">
        <f>Data!A689</f>
        <v/>
      </c>
      <c r="B690" s="4">
        <f>Data!B689</f>
        <v/>
      </c>
      <c r="C690" s="4">
        <f>Data!C689</f>
        <v/>
      </c>
      <c r="D690" s="4">
        <f>Data!I689</f>
        <v/>
      </c>
      <c r="E690" s="4">
        <f>Data!J689</f>
        <v/>
      </c>
      <c r="F690" s="4">
        <f>Data!H689</f>
        <v/>
      </c>
      <c r="G690" s="4">
        <f>SUM(Data!Q689:Data!Y689)</f>
        <v/>
      </c>
      <c r="H690" s="4">
        <f>Data!Z689</f>
        <v/>
      </c>
      <c r="I690" s="4">
        <f>Data!AB689</f>
        <v/>
      </c>
      <c r="J690" s="4">
        <f>Data!AD689</f>
        <v/>
      </c>
      <c r="K690" s="4">
        <f>Data!AE689</f>
        <v/>
      </c>
      <c r="L690" s="4">
        <f>Data!AF689</f>
        <v/>
      </c>
      <c r="M690" s="4">
        <f>Data!AG689</f>
        <v/>
      </c>
      <c r="N690" s="4">
        <f>Data!AH689</f>
        <v/>
      </c>
      <c r="O690" s="4">
        <f>Data!AI689</f>
        <v/>
      </c>
      <c r="P690" s="4">
        <f>Data!AJ689</f>
        <v/>
      </c>
      <c r="Q690" s="4">
        <f>Data!AK689</f>
        <v/>
      </c>
      <c r="R690" s="4">
        <f>Data!AL689</f>
        <v/>
      </c>
    </row>
    <row r="691">
      <c r="A691" s="4">
        <f>Data!A690</f>
        <v/>
      </c>
      <c r="B691" s="4">
        <f>Data!B690</f>
        <v/>
      </c>
      <c r="C691" s="4">
        <f>Data!C690</f>
        <v/>
      </c>
      <c r="D691" s="4">
        <f>Data!I690</f>
        <v/>
      </c>
      <c r="E691" s="4">
        <f>Data!J690</f>
        <v/>
      </c>
      <c r="F691" s="4">
        <f>Data!H690</f>
        <v/>
      </c>
      <c r="G691" s="4">
        <f>SUM(Data!Q690:Data!Y690)</f>
        <v/>
      </c>
      <c r="H691" s="4">
        <f>Data!Z690</f>
        <v/>
      </c>
      <c r="I691" s="4">
        <f>Data!AB690</f>
        <v/>
      </c>
      <c r="J691" s="4">
        <f>Data!AD690</f>
        <v/>
      </c>
      <c r="K691" s="4">
        <f>Data!AE690</f>
        <v/>
      </c>
      <c r="L691" s="4">
        <f>Data!AF690</f>
        <v/>
      </c>
      <c r="M691" s="4">
        <f>Data!AG690</f>
        <v/>
      </c>
      <c r="N691" s="4">
        <f>Data!AH690</f>
        <v/>
      </c>
      <c r="O691" s="4">
        <f>Data!AI690</f>
        <v/>
      </c>
      <c r="P691" s="4">
        <f>Data!AJ690</f>
        <v/>
      </c>
      <c r="Q691" s="4">
        <f>Data!AK690</f>
        <v/>
      </c>
      <c r="R691" s="4">
        <f>Data!AL690</f>
        <v/>
      </c>
    </row>
    <row r="692">
      <c r="A692" s="4">
        <f>Data!A691</f>
        <v/>
      </c>
      <c r="B692" s="4">
        <f>Data!B691</f>
        <v/>
      </c>
      <c r="C692" s="4">
        <f>Data!C691</f>
        <v/>
      </c>
      <c r="D692" s="4">
        <f>Data!I691</f>
        <v/>
      </c>
      <c r="E692" s="4">
        <f>Data!J691</f>
        <v/>
      </c>
      <c r="F692" s="4">
        <f>Data!H691</f>
        <v/>
      </c>
      <c r="G692" s="4">
        <f>SUM(Data!Q691:Data!Y691)</f>
        <v/>
      </c>
      <c r="H692" s="4">
        <f>Data!Z691</f>
        <v/>
      </c>
      <c r="I692" s="4">
        <f>Data!AB691</f>
        <v/>
      </c>
      <c r="J692" s="4">
        <f>Data!AD691</f>
        <v/>
      </c>
      <c r="K692" s="4">
        <f>Data!AE691</f>
        <v/>
      </c>
      <c r="L692" s="4">
        <f>Data!AF691</f>
        <v/>
      </c>
      <c r="M692" s="4">
        <f>Data!AG691</f>
        <v/>
      </c>
      <c r="N692" s="4">
        <f>Data!AH691</f>
        <v/>
      </c>
      <c r="O692" s="4">
        <f>Data!AI691</f>
        <v/>
      </c>
      <c r="P692" s="4">
        <f>Data!AJ691</f>
        <v/>
      </c>
      <c r="Q692" s="4">
        <f>Data!AK691</f>
        <v/>
      </c>
      <c r="R692" s="4">
        <f>Data!AL691</f>
        <v/>
      </c>
    </row>
    <row r="693">
      <c r="A693" s="4">
        <f>Data!A692</f>
        <v/>
      </c>
      <c r="B693" s="4">
        <f>Data!B692</f>
        <v/>
      </c>
      <c r="C693" s="4">
        <f>Data!C692</f>
        <v/>
      </c>
      <c r="D693" s="4">
        <f>Data!I692</f>
        <v/>
      </c>
      <c r="E693" s="4">
        <f>Data!J692</f>
        <v/>
      </c>
      <c r="F693" s="4">
        <f>Data!H692</f>
        <v/>
      </c>
      <c r="G693" s="4">
        <f>SUM(Data!Q692:Data!Y692)</f>
        <v/>
      </c>
      <c r="H693" s="4">
        <f>Data!Z692</f>
        <v/>
      </c>
      <c r="I693" s="4">
        <f>Data!AB692</f>
        <v/>
      </c>
      <c r="J693" s="4">
        <f>Data!AD692</f>
        <v/>
      </c>
      <c r="K693" s="4">
        <f>Data!AE692</f>
        <v/>
      </c>
      <c r="L693" s="4">
        <f>Data!AF692</f>
        <v/>
      </c>
      <c r="M693" s="4">
        <f>Data!AG692</f>
        <v/>
      </c>
      <c r="N693" s="4">
        <f>Data!AH692</f>
        <v/>
      </c>
      <c r="O693" s="4">
        <f>Data!AI692</f>
        <v/>
      </c>
      <c r="P693" s="4">
        <f>Data!AJ692</f>
        <v/>
      </c>
      <c r="Q693" s="4">
        <f>Data!AK692</f>
        <v/>
      </c>
      <c r="R693" s="4">
        <f>Data!AL692</f>
        <v/>
      </c>
    </row>
    <row r="694">
      <c r="A694" s="4">
        <f>Data!A693</f>
        <v/>
      </c>
      <c r="B694" s="4">
        <f>Data!B693</f>
        <v/>
      </c>
      <c r="C694" s="4">
        <f>Data!C693</f>
        <v/>
      </c>
      <c r="D694" s="4">
        <f>Data!I693</f>
        <v/>
      </c>
      <c r="E694" s="4">
        <f>Data!J693</f>
        <v/>
      </c>
      <c r="F694" s="4">
        <f>Data!H693</f>
        <v/>
      </c>
      <c r="G694" s="4">
        <f>SUM(Data!Q693:Data!Y693)</f>
        <v/>
      </c>
      <c r="H694" s="4">
        <f>Data!Z693</f>
        <v/>
      </c>
      <c r="I694" s="4">
        <f>Data!AB693</f>
        <v/>
      </c>
      <c r="J694" s="4">
        <f>Data!AD693</f>
        <v/>
      </c>
      <c r="K694" s="4">
        <f>Data!AE693</f>
        <v/>
      </c>
      <c r="L694" s="4">
        <f>Data!AF693</f>
        <v/>
      </c>
      <c r="M694" s="4">
        <f>Data!AG693</f>
        <v/>
      </c>
      <c r="N694" s="4">
        <f>Data!AH693</f>
        <v/>
      </c>
      <c r="O694" s="4">
        <f>Data!AI693</f>
        <v/>
      </c>
      <c r="P694" s="4">
        <f>Data!AJ693</f>
        <v/>
      </c>
      <c r="Q694" s="4">
        <f>Data!AK693</f>
        <v/>
      </c>
      <c r="R694" s="4">
        <f>Data!AL693</f>
        <v/>
      </c>
    </row>
    <row r="695">
      <c r="A695" s="4">
        <f>Data!A694</f>
        <v/>
      </c>
      <c r="B695" s="4">
        <f>Data!B694</f>
        <v/>
      </c>
      <c r="C695" s="4">
        <f>Data!C694</f>
        <v/>
      </c>
      <c r="D695" s="4">
        <f>Data!I694</f>
        <v/>
      </c>
      <c r="E695" s="4">
        <f>Data!J694</f>
        <v/>
      </c>
      <c r="F695" s="4">
        <f>Data!H694</f>
        <v/>
      </c>
      <c r="G695" s="4">
        <f>SUM(Data!Q694:Data!Y694)</f>
        <v/>
      </c>
      <c r="H695" s="4">
        <f>Data!Z694</f>
        <v/>
      </c>
      <c r="I695" s="4">
        <f>Data!AB694</f>
        <v/>
      </c>
      <c r="J695" s="4">
        <f>Data!AD694</f>
        <v/>
      </c>
      <c r="K695" s="4">
        <f>Data!AE694</f>
        <v/>
      </c>
      <c r="L695" s="4">
        <f>Data!AF694</f>
        <v/>
      </c>
      <c r="M695" s="4">
        <f>Data!AG694</f>
        <v/>
      </c>
      <c r="N695" s="4">
        <f>Data!AH694</f>
        <v/>
      </c>
      <c r="O695" s="4">
        <f>Data!AI694</f>
        <v/>
      </c>
      <c r="P695" s="4">
        <f>Data!AJ694</f>
        <v/>
      </c>
      <c r="Q695" s="4">
        <f>Data!AK694</f>
        <v/>
      </c>
      <c r="R695" s="4">
        <f>Data!AL694</f>
        <v/>
      </c>
    </row>
    <row r="696">
      <c r="A696" s="4">
        <f>Data!A695</f>
        <v/>
      </c>
      <c r="B696" s="4">
        <f>Data!B695</f>
        <v/>
      </c>
      <c r="C696" s="4">
        <f>Data!C695</f>
        <v/>
      </c>
      <c r="D696" s="4">
        <f>Data!I695</f>
        <v/>
      </c>
      <c r="E696" s="4">
        <f>Data!J695</f>
        <v/>
      </c>
      <c r="F696" s="4">
        <f>Data!H695</f>
        <v/>
      </c>
      <c r="G696" s="4">
        <f>SUM(Data!Q695:Data!Y695)</f>
        <v/>
      </c>
      <c r="H696" s="4">
        <f>Data!Z695</f>
        <v/>
      </c>
      <c r="I696" s="4">
        <f>Data!AB695</f>
        <v/>
      </c>
      <c r="J696" s="4">
        <f>Data!AD695</f>
        <v/>
      </c>
      <c r="K696" s="4">
        <f>Data!AE695</f>
        <v/>
      </c>
      <c r="L696" s="4">
        <f>Data!AF695</f>
        <v/>
      </c>
      <c r="M696" s="4">
        <f>Data!AG695</f>
        <v/>
      </c>
      <c r="N696" s="4">
        <f>Data!AH695</f>
        <v/>
      </c>
      <c r="O696" s="4">
        <f>Data!AI695</f>
        <v/>
      </c>
      <c r="P696" s="4">
        <f>Data!AJ695</f>
        <v/>
      </c>
      <c r="Q696" s="4">
        <f>Data!AK695</f>
        <v/>
      </c>
      <c r="R696" s="4">
        <f>Data!AL695</f>
        <v/>
      </c>
    </row>
    <row r="697">
      <c r="A697" s="4">
        <f>Data!A696</f>
        <v/>
      </c>
      <c r="B697" s="4">
        <f>Data!B696</f>
        <v/>
      </c>
      <c r="C697" s="4">
        <f>Data!C696</f>
        <v/>
      </c>
      <c r="D697" s="4">
        <f>Data!I696</f>
        <v/>
      </c>
      <c r="E697" s="4">
        <f>Data!J696</f>
        <v/>
      </c>
      <c r="F697" s="4">
        <f>Data!H696</f>
        <v/>
      </c>
      <c r="G697" s="4">
        <f>SUM(Data!Q696:Data!Y696)</f>
        <v/>
      </c>
      <c r="H697" s="4">
        <f>Data!Z696</f>
        <v/>
      </c>
      <c r="I697" s="4">
        <f>Data!AB696</f>
        <v/>
      </c>
      <c r="J697" s="4">
        <f>Data!AD696</f>
        <v/>
      </c>
      <c r="K697" s="4">
        <f>Data!AE696</f>
        <v/>
      </c>
      <c r="L697" s="4">
        <f>Data!AF696</f>
        <v/>
      </c>
      <c r="M697" s="4">
        <f>Data!AG696</f>
        <v/>
      </c>
      <c r="N697" s="4">
        <f>Data!AH696</f>
        <v/>
      </c>
      <c r="O697" s="4">
        <f>Data!AI696</f>
        <v/>
      </c>
      <c r="P697" s="4">
        <f>Data!AJ696</f>
        <v/>
      </c>
      <c r="Q697" s="4">
        <f>Data!AK696</f>
        <v/>
      </c>
      <c r="R697" s="4">
        <f>Data!AL696</f>
        <v/>
      </c>
    </row>
    <row r="698">
      <c r="A698" s="4">
        <f>Data!A697</f>
        <v/>
      </c>
      <c r="B698" s="4">
        <f>Data!B697</f>
        <v/>
      </c>
      <c r="C698" s="4">
        <f>Data!C697</f>
        <v/>
      </c>
      <c r="D698" s="4">
        <f>Data!I697</f>
        <v/>
      </c>
      <c r="E698" s="4">
        <f>Data!J697</f>
        <v/>
      </c>
      <c r="F698" s="4">
        <f>Data!H697</f>
        <v/>
      </c>
      <c r="G698" s="4">
        <f>SUM(Data!Q697:Data!Y697)</f>
        <v/>
      </c>
      <c r="H698" s="4">
        <f>Data!Z697</f>
        <v/>
      </c>
      <c r="I698" s="4">
        <f>Data!AB697</f>
        <v/>
      </c>
      <c r="J698" s="4">
        <f>Data!AD697</f>
        <v/>
      </c>
      <c r="K698" s="4">
        <f>Data!AE697</f>
        <v/>
      </c>
      <c r="L698" s="4">
        <f>Data!AF697</f>
        <v/>
      </c>
      <c r="M698" s="4">
        <f>Data!AG697</f>
        <v/>
      </c>
      <c r="N698" s="4">
        <f>Data!AH697</f>
        <v/>
      </c>
      <c r="O698" s="4">
        <f>Data!AI697</f>
        <v/>
      </c>
      <c r="P698" s="4">
        <f>Data!AJ697</f>
        <v/>
      </c>
      <c r="Q698" s="4">
        <f>Data!AK697</f>
        <v/>
      </c>
      <c r="R698" s="4">
        <f>Data!AL697</f>
        <v/>
      </c>
    </row>
    <row r="699">
      <c r="A699" s="4">
        <f>Data!A698</f>
        <v/>
      </c>
      <c r="B699" s="4">
        <f>Data!B698</f>
        <v/>
      </c>
      <c r="C699" s="4">
        <f>Data!C698</f>
        <v/>
      </c>
      <c r="D699" s="4">
        <f>Data!I698</f>
        <v/>
      </c>
      <c r="E699" s="4">
        <f>Data!J698</f>
        <v/>
      </c>
      <c r="F699" s="4">
        <f>Data!H698</f>
        <v/>
      </c>
      <c r="G699" s="4">
        <f>SUM(Data!Q698:Data!Y698)</f>
        <v/>
      </c>
      <c r="H699" s="4">
        <f>Data!Z698</f>
        <v/>
      </c>
      <c r="I699" s="4">
        <f>Data!AB698</f>
        <v/>
      </c>
      <c r="J699" s="4">
        <f>Data!AD698</f>
        <v/>
      </c>
      <c r="K699" s="4">
        <f>Data!AE698</f>
        <v/>
      </c>
      <c r="L699" s="4">
        <f>Data!AF698</f>
        <v/>
      </c>
      <c r="M699" s="4">
        <f>Data!AG698</f>
        <v/>
      </c>
      <c r="N699" s="4">
        <f>Data!AH698</f>
        <v/>
      </c>
      <c r="O699" s="4">
        <f>Data!AI698</f>
        <v/>
      </c>
      <c r="P699" s="4">
        <f>Data!AJ698</f>
        <v/>
      </c>
      <c r="Q699" s="4">
        <f>Data!AK698</f>
        <v/>
      </c>
      <c r="R699" s="4">
        <f>Data!AL698</f>
        <v/>
      </c>
    </row>
    <row r="700">
      <c r="A700" s="4">
        <f>Data!A699</f>
        <v/>
      </c>
      <c r="B700" s="4">
        <f>Data!B699</f>
        <v/>
      </c>
      <c r="C700" s="4">
        <f>Data!C699</f>
        <v/>
      </c>
      <c r="D700" s="4">
        <f>Data!I699</f>
        <v/>
      </c>
      <c r="E700" s="4">
        <f>Data!J699</f>
        <v/>
      </c>
      <c r="F700" s="4">
        <f>Data!H699</f>
        <v/>
      </c>
      <c r="G700" s="4">
        <f>SUM(Data!Q699:Data!Y699)</f>
        <v/>
      </c>
      <c r="H700" s="4">
        <f>Data!Z699</f>
        <v/>
      </c>
      <c r="I700" s="4">
        <f>Data!AB699</f>
        <v/>
      </c>
      <c r="J700" s="4">
        <f>Data!AD699</f>
        <v/>
      </c>
      <c r="K700" s="4">
        <f>Data!AE699</f>
        <v/>
      </c>
      <c r="L700" s="4">
        <f>Data!AF699</f>
        <v/>
      </c>
      <c r="M700" s="4">
        <f>Data!AG699</f>
        <v/>
      </c>
      <c r="N700" s="4">
        <f>Data!AH699</f>
        <v/>
      </c>
      <c r="O700" s="4">
        <f>Data!AI699</f>
        <v/>
      </c>
      <c r="P700" s="4">
        <f>Data!AJ699</f>
        <v/>
      </c>
      <c r="Q700" s="4">
        <f>Data!AK699</f>
        <v/>
      </c>
      <c r="R700" s="4">
        <f>Data!AL699</f>
        <v/>
      </c>
    </row>
    <row r="701">
      <c r="A701" s="4">
        <f>Data!A700</f>
        <v/>
      </c>
      <c r="B701" s="4">
        <f>Data!B700</f>
        <v/>
      </c>
      <c r="C701" s="4">
        <f>Data!C700</f>
        <v/>
      </c>
      <c r="D701" s="4">
        <f>Data!I700</f>
        <v/>
      </c>
      <c r="E701" s="4">
        <f>Data!J700</f>
        <v/>
      </c>
      <c r="F701" s="4">
        <f>Data!H700</f>
        <v/>
      </c>
      <c r="G701" s="4">
        <f>SUM(Data!Q700:Data!Y700)</f>
        <v/>
      </c>
      <c r="H701" s="4">
        <f>Data!Z700</f>
        <v/>
      </c>
      <c r="I701" s="4">
        <f>Data!AB700</f>
        <v/>
      </c>
      <c r="J701" s="4">
        <f>Data!AD700</f>
        <v/>
      </c>
      <c r="K701" s="4">
        <f>Data!AE700</f>
        <v/>
      </c>
      <c r="L701" s="4">
        <f>Data!AF700</f>
        <v/>
      </c>
      <c r="M701" s="4">
        <f>Data!AG700</f>
        <v/>
      </c>
      <c r="N701" s="4">
        <f>Data!AH700</f>
        <v/>
      </c>
      <c r="O701" s="4">
        <f>Data!AI700</f>
        <v/>
      </c>
      <c r="P701" s="4">
        <f>Data!AJ700</f>
        <v/>
      </c>
      <c r="Q701" s="4">
        <f>Data!AK700</f>
        <v/>
      </c>
      <c r="R701" s="4">
        <f>Data!AL700</f>
        <v/>
      </c>
    </row>
    <row r="702">
      <c r="A702" s="4">
        <f>Data!A701</f>
        <v/>
      </c>
      <c r="B702" s="4">
        <f>Data!B701</f>
        <v/>
      </c>
      <c r="C702" s="4">
        <f>Data!C701</f>
        <v/>
      </c>
      <c r="D702" s="4">
        <f>Data!I701</f>
        <v/>
      </c>
      <c r="E702" s="4">
        <f>Data!J701</f>
        <v/>
      </c>
      <c r="F702" s="4">
        <f>Data!H701</f>
        <v/>
      </c>
      <c r="G702" s="4">
        <f>SUM(Data!Q701:Data!Y701)</f>
        <v/>
      </c>
      <c r="H702" s="4">
        <f>Data!Z701</f>
        <v/>
      </c>
      <c r="I702" s="4">
        <f>Data!AB701</f>
        <v/>
      </c>
      <c r="J702" s="4">
        <f>Data!AD701</f>
        <v/>
      </c>
      <c r="K702" s="4">
        <f>Data!AE701</f>
        <v/>
      </c>
      <c r="L702" s="4">
        <f>Data!AF701</f>
        <v/>
      </c>
      <c r="M702" s="4">
        <f>Data!AG701</f>
        <v/>
      </c>
      <c r="N702" s="4">
        <f>Data!AH701</f>
        <v/>
      </c>
      <c r="O702" s="4">
        <f>Data!AI701</f>
        <v/>
      </c>
      <c r="P702" s="4">
        <f>Data!AJ701</f>
        <v/>
      </c>
      <c r="Q702" s="4">
        <f>Data!AK701</f>
        <v/>
      </c>
      <c r="R702" s="4">
        <f>Data!AL701</f>
        <v/>
      </c>
    </row>
    <row r="703">
      <c r="A703" s="4">
        <f>Data!A702</f>
        <v/>
      </c>
      <c r="B703" s="4">
        <f>Data!B702</f>
        <v/>
      </c>
      <c r="C703" s="4">
        <f>Data!C702</f>
        <v/>
      </c>
      <c r="D703" s="4">
        <f>Data!I702</f>
        <v/>
      </c>
      <c r="E703" s="4">
        <f>Data!J702</f>
        <v/>
      </c>
      <c r="F703" s="4">
        <f>Data!H702</f>
        <v/>
      </c>
      <c r="G703" s="4">
        <f>SUM(Data!Q702:Data!Y702)</f>
        <v/>
      </c>
      <c r="H703" s="4">
        <f>Data!Z702</f>
        <v/>
      </c>
      <c r="I703" s="4">
        <f>Data!AB702</f>
        <v/>
      </c>
      <c r="J703" s="4">
        <f>Data!AD702</f>
        <v/>
      </c>
      <c r="K703" s="4">
        <f>Data!AE702</f>
        <v/>
      </c>
      <c r="L703" s="4">
        <f>Data!AF702</f>
        <v/>
      </c>
      <c r="M703" s="4">
        <f>Data!AG702</f>
        <v/>
      </c>
      <c r="N703" s="4">
        <f>Data!AH702</f>
        <v/>
      </c>
      <c r="O703" s="4">
        <f>Data!AI702</f>
        <v/>
      </c>
      <c r="P703" s="4">
        <f>Data!AJ702</f>
        <v/>
      </c>
      <c r="Q703" s="4">
        <f>Data!AK702</f>
        <v/>
      </c>
      <c r="R703" s="4">
        <f>Data!AL702</f>
        <v/>
      </c>
    </row>
    <row r="704">
      <c r="A704" s="4">
        <f>Data!A703</f>
        <v/>
      </c>
      <c r="B704" s="4">
        <f>Data!B703</f>
        <v/>
      </c>
      <c r="C704" s="4">
        <f>Data!C703</f>
        <v/>
      </c>
      <c r="D704" s="4">
        <f>Data!I703</f>
        <v/>
      </c>
      <c r="E704" s="4">
        <f>Data!J703</f>
        <v/>
      </c>
      <c r="F704" s="4">
        <f>Data!H703</f>
        <v/>
      </c>
      <c r="G704" s="4">
        <f>SUM(Data!Q703:Data!Y703)</f>
        <v/>
      </c>
      <c r="H704" s="4">
        <f>Data!Z703</f>
        <v/>
      </c>
      <c r="I704" s="4">
        <f>Data!AB703</f>
        <v/>
      </c>
      <c r="J704" s="4">
        <f>Data!AD703</f>
        <v/>
      </c>
      <c r="K704" s="4">
        <f>Data!AE703</f>
        <v/>
      </c>
      <c r="L704" s="4">
        <f>Data!AF703</f>
        <v/>
      </c>
      <c r="M704" s="4">
        <f>Data!AG703</f>
        <v/>
      </c>
      <c r="N704" s="4">
        <f>Data!AH703</f>
        <v/>
      </c>
      <c r="O704" s="4">
        <f>Data!AI703</f>
        <v/>
      </c>
      <c r="P704" s="4">
        <f>Data!AJ703</f>
        <v/>
      </c>
      <c r="Q704" s="4">
        <f>Data!AK703</f>
        <v/>
      </c>
      <c r="R704" s="4">
        <f>Data!AL703</f>
        <v/>
      </c>
    </row>
    <row r="705">
      <c r="A705" s="4">
        <f>Data!A704</f>
        <v/>
      </c>
      <c r="B705" s="4">
        <f>Data!B704</f>
        <v/>
      </c>
      <c r="C705" s="4">
        <f>Data!C704</f>
        <v/>
      </c>
      <c r="D705" s="4">
        <f>Data!I704</f>
        <v/>
      </c>
      <c r="E705" s="4">
        <f>Data!J704</f>
        <v/>
      </c>
      <c r="F705" s="4">
        <f>Data!H704</f>
        <v/>
      </c>
      <c r="G705" s="4">
        <f>SUM(Data!Q704:Data!Y704)</f>
        <v/>
      </c>
      <c r="H705" s="4">
        <f>Data!Z704</f>
        <v/>
      </c>
      <c r="I705" s="4">
        <f>Data!AB704</f>
        <v/>
      </c>
      <c r="J705" s="4">
        <f>Data!AD704</f>
        <v/>
      </c>
      <c r="K705" s="4">
        <f>Data!AE704</f>
        <v/>
      </c>
      <c r="L705" s="4">
        <f>Data!AF704</f>
        <v/>
      </c>
      <c r="M705" s="4">
        <f>Data!AG704</f>
        <v/>
      </c>
      <c r="N705" s="4">
        <f>Data!AH704</f>
        <v/>
      </c>
      <c r="O705" s="4">
        <f>Data!AI704</f>
        <v/>
      </c>
      <c r="P705" s="4">
        <f>Data!AJ704</f>
        <v/>
      </c>
      <c r="Q705" s="4">
        <f>Data!AK704</f>
        <v/>
      </c>
      <c r="R705" s="4">
        <f>Data!AL704</f>
        <v/>
      </c>
    </row>
    <row r="706">
      <c r="A706" s="4">
        <f>Data!A705</f>
        <v/>
      </c>
      <c r="B706" s="4">
        <f>Data!B705</f>
        <v/>
      </c>
      <c r="C706" s="4">
        <f>Data!C705</f>
        <v/>
      </c>
      <c r="D706" s="4">
        <f>Data!I705</f>
        <v/>
      </c>
      <c r="E706" s="4">
        <f>Data!J705</f>
        <v/>
      </c>
      <c r="F706" s="4">
        <f>Data!H705</f>
        <v/>
      </c>
      <c r="G706" s="4">
        <f>SUM(Data!Q705:Data!Y705)</f>
        <v/>
      </c>
      <c r="H706" s="4">
        <f>Data!Z705</f>
        <v/>
      </c>
      <c r="I706" s="4">
        <f>Data!AB705</f>
        <v/>
      </c>
      <c r="J706" s="4">
        <f>Data!AD705</f>
        <v/>
      </c>
      <c r="K706" s="4">
        <f>Data!AE705</f>
        <v/>
      </c>
      <c r="L706" s="4">
        <f>Data!AF705</f>
        <v/>
      </c>
      <c r="M706" s="4">
        <f>Data!AG705</f>
        <v/>
      </c>
      <c r="N706" s="4">
        <f>Data!AH705</f>
        <v/>
      </c>
      <c r="O706" s="4">
        <f>Data!AI705</f>
        <v/>
      </c>
      <c r="P706" s="4">
        <f>Data!AJ705</f>
        <v/>
      </c>
      <c r="Q706" s="4">
        <f>Data!AK705</f>
        <v/>
      </c>
      <c r="R706" s="4">
        <f>Data!AL705</f>
        <v/>
      </c>
    </row>
    <row r="707">
      <c r="A707" s="4">
        <f>Data!A706</f>
        <v/>
      </c>
      <c r="B707" s="4">
        <f>Data!B706</f>
        <v/>
      </c>
      <c r="C707" s="4">
        <f>Data!C706</f>
        <v/>
      </c>
      <c r="D707" s="4">
        <f>Data!I706</f>
        <v/>
      </c>
      <c r="E707" s="4">
        <f>Data!J706</f>
        <v/>
      </c>
      <c r="F707" s="4">
        <f>Data!H706</f>
        <v/>
      </c>
      <c r="G707" s="4">
        <f>SUM(Data!Q706:Data!Y706)</f>
        <v/>
      </c>
      <c r="H707" s="4">
        <f>Data!Z706</f>
        <v/>
      </c>
      <c r="I707" s="4">
        <f>Data!AB706</f>
        <v/>
      </c>
      <c r="J707" s="4">
        <f>Data!AD706</f>
        <v/>
      </c>
      <c r="K707" s="4">
        <f>Data!AE706</f>
        <v/>
      </c>
      <c r="L707" s="4">
        <f>Data!AF706</f>
        <v/>
      </c>
      <c r="M707" s="4">
        <f>Data!AG706</f>
        <v/>
      </c>
      <c r="N707" s="4">
        <f>Data!AH706</f>
        <v/>
      </c>
      <c r="O707" s="4">
        <f>Data!AI706</f>
        <v/>
      </c>
      <c r="P707" s="4">
        <f>Data!AJ706</f>
        <v/>
      </c>
      <c r="Q707" s="4">
        <f>Data!AK706</f>
        <v/>
      </c>
      <c r="R707" s="4">
        <f>Data!AL706</f>
        <v/>
      </c>
    </row>
    <row r="708">
      <c r="A708" s="4">
        <f>Data!A707</f>
        <v/>
      </c>
      <c r="B708" s="4">
        <f>Data!B707</f>
        <v/>
      </c>
      <c r="C708" s="4">
        <f>Data!C707</f>
        <v/>
      </c>
      <c r="D708" s="4">
        <f>Data!I707</f>
        <v/>
      </c>
      <c r="E708" s="4">
        <f>Data!J707</f>
        <v/>
      </c>
      <c r="F708" s="4">
        <f>Data!H707</f>
        <v/>
      </c>
      <c r="G708" s="4">
        <f>SUM(Data!Q707:Data!Y707)</f>
        <v/>
      </c>
      <c r="H708" s="4">
        <f>Data!Z707</f>
        <v/>
      </c>
      <c r="I708" s="4">
        <f>Data!AB707</f>
        <v/>
      </c>
      <c r="J708" s="4">
        <f>Data!AD707</f>
        <v/>
      </c>
      <c r="K708" s="4">
        <f>Data!AE707</f>
        <v/>
      </c>
      <c r="L708" s="4">
        <f>Data!AF707</f>
        <v/>
      </c>
      <c r="M708" s="4">
        <f>Data!AG707</f>
        <v/>
      </c>
      <c r="N708" s="4">
        <f>Data!AH707</f>
        <v/>
      </c>
      <c r="O708" s="4">
        <f>Data!AI707</f>
        <v/>
      </c>
      <c r="P708" s="4">
        <f>Data!AJ707</f>
        <v/>
      </c>
      <c r="Q708" s="4">
        <f>Data!AK707</f>
        <v/>
      </c>
      <c r="R708" s="4">
        <f>Data!AL707</f>
        <v/>
      </c>
    </row>
    <row r="709">
      <c r="A709" s="4">
        <f>Data!A708</f>
        <v/>
      </c>
      <c r="B709" s="4">
        <f>Data!B708</f>
        <v/>
      </c>
      <c r="C709" s="4">
        <f>Data!C708</f>
        <v/>
      </c>
      <c r="D709" s="4">
        <f>Data!I708</f>
        <v/>
      </c>
      <c r="E709" s="4">
        <f>Data!J708</f>
        <v/>
      </c>
      <c r="F709" s="4">
        <f>Data!H708</f>
        <v/>
      </c>
      <c r="G709" s="4">
        <f>SUM(Data!Q708:Data!Y708)</f>
        <v/>
      </c>
      <c r="H709" s="4">
        <f>Data!Z708</f>
        <v/>
      </c>
      <c r="I709" s="4">
        <f>Data!AB708</f>
        <v/>
      </c>
      <c r="J709" s="4">
        <f>Data!AD708</f>
        <v/>
      </c>
      <c r="K709" s="4">
        <f>Data!AE708</f>
        <v/>
      </c>
      <c r="L709" s="4">
        <f>Data!AF708</f>
        <v/>
      </c>
      <c r="M709" s="4">
        <f>Data!AG708</f>
        <v/>
      </c>
      <c r="N709" s="4">
        <f>Data!AH708</f>
        <v/>
      </c>
      <c r="O709" s="4">
        <f>Data!AI708</f>
        <v/>
      </c>
      <c r="P709" s="4">
        <f>Data!AJ708</f>
        <v/>
      </c>
      <c r="Q709" s="4">
        <f>Data!AK708</f>
        <v/>
      </c>
      <c r="R709" s="4">
        <f>Data!AL708</f>
        <v/>
      </c>
    </row>
    <row r="710">
      <c r="A710" s="4">
        <f>Data!A709</f>
        <v/>
      </c>
      <c r="B710" s="4">
        <f>Data!B709</f>
        <v/>
      </c>
      <c r="C710" s="4">
        <f>Data!C709</f>
        <v/>
      </c>
      <c r="D710" s="4">
        <f>Data!I709</f>
        <v/>
      </c>
      <c r="E710" s="4">
        <f>Data!J709</f>
        <v/>
      </c>
      <c r="F710" s="4">
        <f>Data!H709</f>
        <v/>
      </c>
      <c r="G710" s="4">
        <f>SUM(Data!Q709:Data!Y709)</f>
        <v/>
      </c>
      <c r="H710" s="4">
        <f>Data!Z709</f>
        <v/>
      </c>
      <c r="I710" s="4">
        <f>Data!AB709</f>
        <v/>
      </c>
      <c r="J710" s="4">
        <f>Data!AD709</f>
        <v/>
      </c>
      <c r="K710" s="4">
        <f>Data!AE709</f>
        <v/>
      </c>
      <c r="L710" s="4">
        <f>Data!AF709</f>
        <v/>
      </c>
      <c r="M710" s="4">
        <f>Data!AG709</f>
        <v/>
      </c>
      <c r="N710" s="4">
        <f>Data!AH709</f>
        <v/>
      </c>
      <c r="O710" s="4">
        <f>Data!AI709</f>
        <v/>
      </c>
      <c r="P710" s="4">
        <f>Data!AJ709</f>
        <v/>
      </c>
      <c r="Q710" s="4">
        <f>Data!AK709</f>
        <v/>
      </c>
      <c r="R710" s="4">
        <f>Data!AL709</f>
        <v/>
      </c>
    </row>
    <row r="711">
      <c r="A711" s="4">
        <f>Data!A710</f>
        <v/>
      </c>
      <c r="B711" s="4">
        <f>Data!B710</f>
        <v/>
      </c>
      <c r="C711" s="4">
        <f>Data!C710</f>
        <v/>
      </c>
      <c r="D711" s="4">
        <f>Data!I710</f>
        <v/>
      </c>
      <c r="E711" s="4">
        <f>Data!J710</f>
        <v/>
      </c>
      <c r="F711" s="4">
        <f>Data!H710</f>
        <v/>
      </c>
      <c r="G711" s="4">
        <f>SUM(Data!Q710:Data!Y710)</f>
        <v/>
      </c>
      <c r="H711" s="4">
        <f>Data!Z710</f>
        <v/>
      </c>
      <c r="I711" s="4">
        <f>Data!AB710</f>
        <v/>
      </c>
      <c r="J711" s="4">
        <f>Data!AD710</f>
        <v/>
      </c>
      <c r="K711" s="4">
        <f>Data!AE710</f>
        <v/>
      </c>
      <c r="L711" s="4">
        <f>Data!AF710</f>
        <v/>
      </c>
      <c r="M711" s="4">
        <f>Data!AG710</f>
        <v/>
      </c>
      <c r="N711" s="4">
        <f>Data!AH710</f>
        <v/>
      </c>
      <c r="O711" s="4">
        <f>Data!AI710</f>
        <v/>
      </c>
      <c r="P711" s="4">
        <f>Data!AJ710</f>
        <v/>
      </c>
      <c r="Q711" s="4">
        <f>Data!AK710</f>
        <v/>
      </c>
      <c r="R711" s="4">
        <f>Data!AL710</f>
        <v/>
      </c>
    </row>
    <row r="712">
      <c r="A712" s="4">
        <f>Data!A711</f>
        <v/>
      </c>
      <c r="B712" s="4">
        <f>Data!B711</f>
        <v/>
      </c>
      <c r="C712" s="4">
        <f>Data!C711</f>
        <v/>
      </c>
      <c r="D712" s="4">
        <f>Data!I711</f>
        <v/>
      </c>
      <c r="E712" s="4">
        <f>Data!J711</f>
        <v/>
      </c>
      <c r="F712" s="4">
        <f>Data!H711</f>
        <v/>
      </c>
      <c r="G712" s="4">
        <f>SUM(Data!Q711:Data!Y711)</f>
        <v/>
      </c>
      <c r="H712" s="4">
        <f>Data!Z711</f>
        <v/>
      </c>
      <c r="I712" s="4">
        <f>Data!AB711</f>
        <v/>
      </c>
      <c r="J712" s="4">
        <f>Data!AD711</f>
        <v/>
      </c>
      <c r="K712" s="4">
        <f>Data!AE711</f>
        <v/>
      </c>
      <c r="L712" s="4">
        <f>Data!AF711</f>
        <v/>
      </c>
      <c r="M712" s="4">
        <f>Data!AG711</f>
        <v/>
      </c>
      <c r="N712" s="4">
        <f>Data!AH711</f>
        <v/>
      </c>
      <c r="O712" s="4">
        <f>Data!AI711</f>
        <v/>
      </c>
      <c r="P712" s="4">
        <f>Data!AJ711</f>
        <v/>
      </c>
      <c r="Q712" s="4">
        <f>Data!AK711</f>
        <v/>
      </c>
      <c r="R712" s="4">
        <f>Data!AL711</f>
        <v/>
      </c>
    </row>
    <row r="713">
      <c r="A713" s="4">
        <f>Data!A712</f>
        <v/>
      </c>
      <c r="B713" s="4">
        <f>Data!B712</f>
        <v/>
      </c>
      <c r="C713" s="4">
        <f>Data!C712</f>
        <v/>
      </c>
      <c r="D713" s="4">
        <f>Data!I712</f>
        <v/>
      </c>
      <c r="E713" s="4">
        <f>Data!J712</f>
        <v/>
      </c>
      <c r="F713" s="4">
        <f>Data!H712</f>
        <v/>
      </c>
      <c r="G713" s="4">
        <f>SUM(Data!Q712:Data!Y712)</f>
        <v/>
      </c>
      <c r="H713" s="4">
        <f>Data!Z712</f>
        <v/>
      </c>
      <c r="I713" s="4">
        <f>Data!AB712</f>
        <v/>
      </c>
      <c r="J713" s="4">
        <f>Data!AD712</f>
        <v/>
      </c>
      <c r="K713" s="4">
        <f>Data!AE712</f>
        <v/>
      </c>
      <c r="L713" s="4">
        <f>Data!AF712</f>
        <v/>
      </c>
      <c r="M713" s="4">
        <f>Data!AG712</f>
        <v/>
      </c>
      <c r="N713" s="4">
        <f>Data!AH712</f>
        <v/>
      </c>
      <c r="O713" s="4">
        <f>Data!AI712</f>
        <v/>
      </c>
      <c r="P713" s="4">
        <f>Data!AJ712</f>
        <v/>
      </c>
      <c r="Q713" s="4">
        <f>Data!AK712</f>
        <v/>
      </c>
      <c r="R713" s="4">
        <f>Data!AL712</f>
        <v/>
      </c>
    </row>
    <row r="714">
      <c r="A714" s="4">
        <f>Data!A713</f>
        <v/>
      </c>
      <c r="B714" s="4">
        <f>Data!B713</f>
        <v/>
      </c>
      <c r="C714" s="4">
        <f>Data!C713</f>
        <v/>
      </c>
      <c r="D714" s="4">
        <f>Data!I713</f>
        <v/>
      </c>
      <c r="E714" s="4">
        <f>Data!J713</f>
        <v/>
      </c>
      <c r="F714" s="4">
        <f>Data!H713</f>
        <v/>
      </c>
      <c r="G714" s="4">
        <f>SUM(Data!Q713:Data!Y713)</f>
        <v/>
      </c>
      <c r="H714" s="4">
        <f>Data!Z713</f>
        <v/>
      </c>
      <c r="I714" s="4">
        <f>Data!AB713</f>
        <v/>
      </c>
      <c r="J714" s="4">
        <f>Data!AD713</f>
        <v/>
      </c>
      <c r="K714" s="4">
        <f>Data!AE713</f>
        <v/>
      </c>
      <c r="L714" s="4">
        <f>Data!AF713</f>
        <v/>
      </c>
      <c r="M714" s="4">
        <f>Data!AG713</f>
        <v/>
      </c>
      <c r="N714" s="4">
        <f>Data!AH713</f>
        <v/>
      </c>
      <c r="O714" s="4">
        <f>Data!AI713</f>
        <v/>
      </c>
      <c r="P714" s="4">
        <f>Data!AJ713</f>
        <v/>
      </c>
      <c r="Q714" s="4">
        <f>Data!AK713</f>
        <v/>
      </c>
      <c r="R714" s="4">
        <f>Data!AL713</f>
        <v/>
      </c>
    </row>
    <row r="715">
      <c r="A715" s="4">
        <f>Data!A714</f>
        <v/>
      </c>
      <c r="B715" s="4">
        <f>Data!B714</f>
        <v/>
      </c>
      <c r="C715" s="4">
        <f>Data!C714</f>
        <v/>
      </c>
      <c r="D715" s="4">
        <f>Data!I714</f>
        <v/>
      </c>
      <c r="E715" s="4">
        <f>Data!J714</f>
        <v/>
      </c>
      <c r="F715" s="4">
        <f>Data!H714</f>
        <v/>
      </c>
      <c r="G715" s="4">
        <f>SUM(Data!Q714:Data!Y714)</f>
        <v/>
      </c>
      <c r="H715" s="4">
        <f>Data!Z714</f>
        <v/>
      </c>
      <c r="I715" s="4">
        <f>Data!AB714</f>
        <v/>
      </c>
      <c r="J715" s="4">
        <f>Data!AD714</f>
        <v/>
      </c>
      <c r="K715" s="4">
        <f>Data!AE714</f>
        <v/>
      </c>
      <c r="L715" s="4">
        <f>Data!AF714</f>
        <v/>
      </c>
      <c r="M715" s="4">
        <f>Data!AG714</f>
        <v/>
      </c>
      <c r="N715" s="4">
        <f>Data!AH714</f>
        <v/>
      </c>
      <c r="O715" s="4">
        <f>Data!AI714</f>
        <v/>
      </c>
      <c r="P715" s="4">
        <f>Data!AJ714</f>
        <v/>
      </c>
      <c r="Q715" s="4">
        <f>Data!AK714</f>
        <v/>
      </c>
      <c r="R715" s="4">
        <f>Data!AL714</f>
        <v/>
      </c>
    </row>
    <row r="716">
      <c r="A716" s="4">
        <f>Data!A715</f>
        <v/>
      </c>
      <c r="B716" s="4">
        <f>Data!B715</f>
        <v/>
      </c>
      <c r="C716" s="4">
        <f>Data!C715</f>
        <v/>
      </c>
      <c r="D716" s="4">
        <f>Data!I715</f>
        <v/>
      </c>
      <c r="E716" s="4">
        <f>Data!J715</f>
        <v/>
      </c>
      <c r="F716" s="4">
        <f>Data!H715</f>
        <v/>
      </c>
      <c r="G716" s="4">
        <f>SUM(Data!Q715:Data!Y715)</f>
        <v/>
      </c>
      <c r="H716" s="4">
        <f>Data!Z715</f>
        <v/>
      </c>
      <c r="I716" s="4">
        <f>Data!AB715</f>
        <v/>
      </c>
      <c r="J716" s="4">
        <f>Data!AD715</f>
        <v/>
      </c>
      <c r="K716" s="4">
        <f>Data!AE715</f>
        <v/>
      </c>
      <c r="L716" s="4">
        <f>Data!AF715</f>
        <v/>
      </c>
      <c r="M716" s="4">
        <f>Data!AG715</f>
        <v/>
      </c>
      <c r="N716" s="4">
        <f>Data!AH715</f>
        <v/>
      </c>
      <c r="O716" s="4">
        <f>Data!AI715</f>
        <v/>
      </c>
      <c r="P716" s="4">
        <f>Data!AJ715</f>
        <v/>
      </c>
      <c r="Q716" s="4">
        <f>Data!AK715</f>
        <v/>
      </c>
      <c r="R716" s="4">
        <f>Data!AL715</f>
        <v/>
      </c>
    </row>
    <row r="717">
      <c r="A717" s="4">
        <f>Data!A716</f>
        <v/>
      </c>
      <c r="B717" s="4">
        <f>Data!B716</f>
        <v/>
      </c>
      <c r="C717" s="4">
        <f>Data!C716</f>
        <v/>
      </c>
      <c r="D717" s="4">
        <f>Data!I716</f>
        <v/>
      </c>
      <c r="E717" s="4">
        <f>Data!J716</f>
        <v/>
      </c>
      <c r="F717" s="4">
        <f>Data!H716</f>
        <v/>
      </c>
      <c r="G717" s="4">
        <f>SUM(Data!Q716:Data!Y716)</f>
        <v/>
      </c>
      <c r="H717" s="4">
        <f>Data!Z716</f>
        <v/>
      </c>
      <c r="I717" s="4">
        <f>Data!AB716</f>
        <v/>
      </c>
      <c r="J717" s="4">
        <f>Data!AD716</f>
        <v/>
      </c>
      <c r="K717" s="4">
        <f>Data!AE716</f>
        <v/>
      </c>
      <c r="L717" s="4">
        <f>Data!AF716</f>
        <v/>
      </c>
      <c r="M717" s="4">
        <f>Data!AG716</f>
        <v/>
      </c>
      <c r="N717" s="4">
        <f>Data!AH716</f>
        <v/>
      </c>
      <c r="O717" s="4">
        <f>Data!AI716</f>
        <v/>
      </c>
      <c r="P717" s="4">
        <f>Data!AJ716</f>
        <v/>
      </c>
      <c r="Q717" s="4">
        <f>Data!AK716</f>
        <v/>
      </c>
      <c r="R717" s="4">
        <f>Data!AL716</f>
        <v/>
      </c>
    </row>
    <row r="718">
      <c r="A718" s="4">
        <f>Data!A717</f>
        <v/>
      </c>
      <c r="B718" s="4">
        <f>Data!B717</f>
        <v/>
      </c>
      <c r="C718" s="4">
        <f>Data!C717</f>
        <v/>
      </c>
      <c r="D718" s="4">
        <f>Data!I717</f>
        <v/>
      </c>
      <c r="E718" s="4">
        <f>Data!J717</f>
        <v/>
      </c>
      <c r="F718" s="4">
        <f>Data!H717</f>
        <v/>
      </c>
      <c r="G718" s="4">
        <f>SUM(Data!Q717:Data!Y717)</f>
        <v/>
      </c>
      <c r="H718" s="4">
        <f>Data!Z717</f>
        <v/>
      </c>
      <c r="I718" s="4">
        <f>Data!AB717</f>
        <v/>
      </c>
      <c r="J718" s="4">
        <f>Data!AD717</f>
        <v/>
      </c>
      <c r="K718" s="4">
        <f>Data!AE717</f>
        <v/>
      </c>
      <c r="L718" s="4">
        <f>Data!AF717</f>
        <v/>
      </c>
      <c r="M718" s="4">
        <f>Data!AG717</f>
        <v/>
      </c>
      <c r="N718" s="4">
        <f>Data!AH717</f>
        <v/>
      </c>
      <c r="O718" s="4">
        <f>Data!AI717</f>
        <v/>
      </c>
      <c r="P718" s="4">
        <f>Data!AJ717</f>
        <v/>
      </c>
      <c r="Q718" s="4">
        <f>Data!AK717</f>
        <v/>
      </c>
      <c r="R718" s="4">
        <f>Data!AL717</f>
        <v/>
      </c>
    </row>
    <row r="719">
      <c r="A719" s="4">
        <f>Data!A718</f>
        <v/>
      </c>
      <c r="B719" s="4">
        <f>Data!B718</f>
        <v/>
      </c>
      <c r="C719" s="4">
        <f>Data!C718</f>
        <v/>
      </c>
      <c r="D719" s="4">
        <f>Data!I718</f>
        <v/>
      </c>
      <c r="E719" s="4">
        <f>Data!J718</f>
        <v/>
      </c>
      <c r="F719" s="4">
        <f>Data!H718</f>
        <v/>
      </c>
      <c r="G719" s="4">
        <f>SUM(Data!Q718:Data!Y718)</f>
        <v/>
      </c>
      <c r="H719" s="4">
        <f>Data!Z718</f>
        <v/>
      </c>
      <c r="I719" s="4">
        <f>Data!AB718</f>
        <v/>
      </c>
      <c r="J719" s="4">
        <f>Data!AD718</f>
        <v/>
      </c>
      <c r="K719" s="4">
        <f>Data!AE718</f>
        <v/>
      </c>
      <c r="L719" s="4">
        <f>Data!AF718</f>
        <v/>
      </c>
      <c r="M719" s="4">
        <f>Data!AG718</f>
        <v/>
      </c>
      <c r="N719" s="4">
        <f>Data!AH718</f>
        <v/>
      </c>
      <c r="O719" s="4">
        <f>Data!AI718</f>
        <v/>
      </c>
      <c r="P719" s="4">
        <f>Data!AJ718</f>
        <v/>
      </c>
      <c r="Q719" s="4">
        <f>Data!AK718</f>
        <v/>
      </c>
      <c r="R719" s="4">
        <f>Data!AL718</f>
        <v/>
      </c>
    </row>
    <row r="720">
      <c r="A720" s="4">
        <f>Data!A719</f>
        <v/>
      </c>
      <c r="B720" s="4">
        <f>Data!B719</f>
        <v/>
      </c>
      <c r="C720" s="4">
        <f>Data!C719</f>
        <v/>
      </c>
      <c r="D720" s="4">
        <f>Data!I719</f>
        <v/>
      </c>
      <c r="E720" s="4">
        <f>Data!J719</f>
        <v/>
      </c>
      <c r="F720" s="4">
        <f>Data!H719</f>
        <v/>
      </c>
      <c r="G720" s="4">
        <f>SUM(Data!Q719:Data!Y719)</f>
        <v/>
      </c>
      <c r="H720" s="4">
        <f>Data!Z719</f>
        <v/>
      </c>
      <c r="I720" s="4">
        <f>Data!AB719</f>
        <v/>
      </c>
      <c r="J720" s="4">
        <f>Data!AD719</f>
        <v/>
      </c>
      <c r="K720" s="4">
        <f>Data!AE719</f>
        <v/>
      </c>
      <c r="L720" s="4">
        <f>Data!AF719</f>
        <v/>
      </c>
      <c r="M720" s="4">
        <f>Data!AG719</f>
        <v/>
      </c>
      <c r="N720" s="4">
        <f>Data!AH719</f>
        <v/>
      </c>
      <c r="O720" s="4">
        <f>Data!AI719</f>
        <v/>
      </c>
      <c r="P720" s="4">
        <f>Data!AJ719</f>
        <v/>
      </c>
      <c r="Q720" s="4">
        <f>Data!AK719</f>
        <v/>
      </c>
      <c r="R720" s="4">
        <f>Data!AL719</f>
        <v/>
      </c>
    </row>
    <row r="721">
      <c r="A721" s="4">
        <f>Data!A720</f>
        <v/>
      </c>
      <c r="B721" s="4">
        <f>Data!B720</f>
        <v/>
      </c>
      <c r="C721" s="4">
        <f>Data!C720</f>
        <v/>
      </c>
      <c r="D721" s="4">
        <f>Data!I720</f>
        <v/>
      </c>
      <c r="E721" s="4">
        <f>Data!J720</f>
        <v/>
      </c>
      <c r="F721" s="4">
        <f>Data!H720</f>
        <v/>
      </c>
      <c r="G721" s="4">
        <f>SUM(Data!Q720:Data!Y720)</f>
        <v/>
      </c>
      <c r="H721" s="4">
        <f>Data!Z720</f>
        <v/>
      </c>
      <c r="I721" s="4">
        <f>Data!AB720</f>
        <v/>
      </c>
      <c r="J721" s="4">
        <f>Data!AD720</f>
        <v/>
      </c>
      <c r="K721" s="4">
        <f>Data!AE720</f>
        <v/>
      </c>
      <c r="L721" s="4">
        <f>Data!AF720</f>
        <v/>
      </c>
      <c r="M721" s="4">
        <f>Data!AG720</f>
        <v/>
      </c>
      <c r="N721" s="4">
        <f>Data!AH720</f>
        <v/>
      </c>
      <c r="O721" s="4">
        <f>Data!AI720</f>
        <v/>
      </c>
      <c r="P721" s="4">
        <f>Data!AJ720</f>
        <v/>
      </c>
      <c r="Q721" s="4">
        <f>Data!AK720</f>
        <v/>
      </c>
      <c r="R721" s="4">
        <f>Data!AL720</f>
        <v/>
      </c>
    </row>
    <row r="722">
      <c r="A722" s="4">
        <f>Data!A721</f>
        <v/>
      </c>
      <c r="B722" s="4">
        <f>Data!B721</f>
        <v/>
      </c>
      <c r="C722" s="4">
        <f>Data!C721</f>
        <v/>
      </c>
      <c r="D722" s="4">
        <f>Data!I721</f>
        <v/>
      </c>
      <c r="E722" s="4">
        <f>Data!J721</f>
        <v/>
      </c>
      <c r="F722" s="4">
        <f>Data!H721</f>
        <v/>
      </c>
      <c r="G722" s="4">
        <f>SUM(Data!Q721:Data!Y721)</f>
        <v/>
      </c>
      <c r="H722" s="4">
        <f>Data!Z721</f>
        <v/>
      </c>
      <c r="I722" s="4">
        <f>Data!AB721</f>
        <v/>
      </c>
      <c r="J722" s="4">
        <f>Data!AD721</f>
        <v/>
      </c>
      <c r="K722" s="4">
        <f>Data!AE721</f>
        <v/>
      </c>
      <c r="L722" s="4">
        <f>Data!AF721</f>
        <v/>
      </c>
      <c r="M722" s="4">
        <f>Data!AG721</f>
        <v/>
      </c>
      <c r="N722" s="4">
        <f>Data!AH721</f>
        <v/>
      </c>
      <c r="O722" s="4">
        <f>Data!AI721</f>
        <v/>
      </c>
      <c r="P722" s="4">
        <f>Data!AJ721</f>
        <v/>
      </c>
      <c r="Q722" s="4">
        <f>Data!AK721</f>
        <v/>
      </c>
      <c r="R722" s="4">
        <f>Data!AL721</f>
        <v/>
      </c>
    </row>
    <row r="723">
      <c r="A723" s="4">
        <f>Data!A722</f>
        <v/>
      </c>
      <c r="B723" s="4">
        <f>Data!B722</f>
        <v/>
      </c>
      <c r="C723" s="4">
        <f>Data!C722</f>
        <v/>
      </c>
      <c r="D723" s="4">
        <f>Data!I722</f>
        <v/>
      </c>
      <c r="E723" s="4">
        <f>Data!J722</f>
        <v/>
      </c>
      <c r="F723" s="4">
        <f>Data!H722</f>
        <v/>
      </c>
      <c r="G723" s="4">
        <f>SUM(Data!Q722:Data!Y722)</f>
        <v/>
      </c>
      <c r="H723" s="4">
        <f>Data!Z722</f>
        <v/>
      </c>
      <c r="I723" s="4">
        <f>Data!AB722</f>
        <v/>
      </c>
      <c r="J723" s="4">
        <f>Data!AD722</f>
        <v/>
      </c>
      <c r="K723" s="4">
        <f>Data!AE722</f>
        <v/>
      </c>
      <c r="L723" s="4">
        <f>Data!AF722</f>
        <v/>
      </c>
      <c r="M723" s="4">
        <f>Data!AG722</f>
        <v/>
      </c>
      <c r="N723" s="4">
        <f>Data!AH722</f>
        <v/>
      </c>
      <c r="O723" s="4">
        <f>Data!AI722</f>
        <v/>
      </c>
      <c r="P723" s="4">
        <f>Data!AJ722</f>
        <v/>
      </c>
      <c r="Q723" s="4">
        <f>Data!AK722</f>
        <v/>
      </c>
      <c r="R723" s="4">
        <f>Data!AL722</f>
        <v/>
      </c>
    </row>
    <row r="724">
      <c r="A724" s="4">
        <f>Data!A723</f>
        <v/>
      </c>
      <c r="B724" s="4">
        <f>Data!B723</f>
        <v/>
      </c>
      <c r="C724" s="4">
        <f>Data!C723</f>
        <v/>
      </c>
      <c r="D724" s="4">
        <f>Data!I723</f>
        <v/>
      </c>
      <c r="E724" s="4">
        <f>Data!J723</f>
        <v/>
      </c>
      <c r="F724" s="4">
        <f>Data!H723</f>
        <v/>
      </c>
      <c r="G724" s="4">
        <f>SUM(Data!Q723:Data!Y723)</f>
        <v/>
      </c>
      <c r="H724" s="4">
        <f>Data!Z723</f>
        <v/>
      </c>
      <c r="I724" s="4">
        <f>Data!AB723</f>
        <v/>
      </c>
      <c r="J724" s="4">
        <f>Data!AD723</f>
        <v/>
      </c>
      <c r="K724" s="4">
        <f>Data!AE723</f>
        <v/>
      </c>
      <c r="L724" s="4">
        <f>Data!AF723</f>
        <v/>
      </c>
      <c r="M724" s="4">
        <f>Data!AG723</f>
        <v/>
      </c>
      <c r="N724" s="4">
        <f>Data!AH723</f>
        <v/>
      </c>
      <c r="O724" s="4">
        <f>Data!AI723</f>
        <v/>
      </c>
      <c r="P724" s="4">
        <f>Data!AJ723</f>
        <v/>
      </c>
      <c r="Q724" s="4">
        <f>Data!AK723</f>
        <v/>
      </c>
      <c r="R724" s="4">
        <f>Data!AL723</f>
        <v/>
      </c>
    </row>
    <row r="725">
      <c r="A725" s="4">
        <f>Data!A724</f>
        <v/>
      </c>
      <c r="B725" s="4">
        <f>Data!B724</f>
        <v/>
      </c>
      <c r="C725" s="4">
        <f>Data!C724</f>
        <v/>
      </c>
      <c r="D725" s="4">
        <f>Data!I724</f>
        <v/>
      </c>
      <c r="E725" s="4">
        <f>Data!J724</f>
        <v/>
      </c>
      <c r="F725" s="4">
        <f>Data!H724</f>
        <v/>
      </c>
      <c r="G725" s="4">
        <f>SUM(Data!Q724:Data!Y724)</f>
        <v/>
      </c>
      <c r="H725" s="4">
        <f>Data!Z724</f>
        <v/>
      </c>
      <c r="I725" s="4">
        <f>Data!AB724</f>
        <v/>
      </c>
      <c r="J725" s="4">
        <f>Data!AD724</f>
        <v/>
      </c>
      <c r="K725" s="4">
        <f>Data!AE724</f>
        <v/>
      </c>
      <c r="L725" s="4">
        <f>Data!AF724</f>
        <v/>
      </c>
      <c r="M725" s="4">
        <f>Data!AG724</f>
        <v/>
      </c>
      <c r="N725" s="4">
        <f>Data!AH724</f>
        <v/>
      </c>
      <c r="O725" s="4">
        <f>Data!AI724</f>
        <v/>
      </c>
      <c r="P725" s="4">
        <f>Data!AJ724</f>
        <v/>
      </c>
      <c r="Q725" s="4">
        <f>Data!AK724</f>
        <v/>
      </c>
      <c r="R725" s="4">
        <f>Data!AL724</f>
        <v/>
      </c>
    </row>
    <row r="726">
      <c r="A726" s="4">
        <f>Data!A725</f>
        <v/>
      </c>
      <c r="B726" s="4">
        <f>Data!B725</f>
        <v/>
      </c>
      <c r="C726" s="4">
        <f>Data!C725</f>
        <v/>
      </c>
      <c r="D726" s="4">
        <f>Data!I725</f>
        <v/>
      </c>
      <c r="E726" s="4">
        <f>Data!J725</f>
        <v/>
      </c>
      <c r="F726" s="4">
        <f>Data!H725</f>
        <v/>
      </c>
      <c r="G726" s="4">
        <f>SUM(Data!Q725:Data!Y725)</f>
        <v/>
      </c>
      <c r="H726" s="4">
        <f>Data!Z725</f>
        <v/>
      </c>
      <c r="I726" s="4">
        <f>Data!AB725</f>
        <v/>
      </c>
      <c r="J726" s="4">
        <f>Data!AD725</f>
        <v/>
      </c>
      <c r="K726" s="4">
        <f>Data!AE725</f>
        <v/>
      </c>
      <c r="L726" s="4">
        <f>Data!AF725</f>
        <v/>
      </c>
      <c r="M726" s="4">
        <f>Data!AG725</f>
        <v/>
      </c>
      <c r="N726" s="4">
        <f>Data!AH725</f>
        <v/>
      </c>
      <c r="O726" s="4">
        <f>Data!AI725</f>
        <v/>
      </c>
      <c r="P726" s="4">
        <f>Data!AJ725</f>
        <v/>
      </c>
      <c r="Q726" s="4">
        <f>Data!AK725</f>
        <v/>
      </c>
      <c r="R726" s="4">
        <f>Data!AL725</f>
        <v/>
      </c>
    </row>
    <row r="727">
      <c r="A727" s="4">
        <f>Data!A726</f>
        <v/>
      </c>
      <c r="B727" s="4">
        <f>Data!B726</f>
        <v/>
      </c>
      <c r="C727" s="4">
        <f>Data!C726</f>
        <v/>
      </c>
      <c r="D727" s="4">
        <f>Data!I726</f>
        <v/>
      </c>
      <c r="E727" s="4">
        <f>Data!J726</f>
        <v/>
      </c>
      <c r="F727" s="4">
        <f>Data!H726</f>
        <v/>
      </c>
      <c r="G727" s="4">
        <f>SUM(Data!Q726:Data!Y726)</f>
        <v/>
      </c>
      <c r="H727" s="4">
        <f>Data!Z726</f>
        <v/>
      </c>
      <c r="I727" s="4">
        <f>Data!AB726</f>
        <v/>
      </c>
      <c r="J727" s="4">
        <f>Data!AD726</f>
        <v/>
      </c>
      <c r="K727" s="4">
        <f>Data!AE726</f>
        <v/>
      </c>
      <c r="L727" s="4">
        <f>Data!AF726</f>
        <v/>
      </c>
      <c r="M727" s="4">
        <f>Data!AG726</f>
        <v/>
      </c>
      <c r="N727" s="4">
        <f>Data!AH726</f>
        <v/>
      </c>
      <c r="O727" s="4">
        <f>Data!AI726</f>
        <v/>
      </c>
      <c r="P727" s="4">
        <f>Data!AJ726</f>
        <v/>
      </c>
      <c r="Q727" s="4">
        <f>Data!AK726</f>
        <v/>
      </c>
      <c r="R727" s="4">
        <f>Data!AL726</f>
        <v/>
      </c>
    </row>
    <row r="728">
      <c r="A728" s="4">
        <f>Data!A727</f>
        <v/>
      </c>
      <c r="B728" s="4">
        <f>Data!B727</f>
        <v/>
      </c>
      <c r="C728" s="4">
        <f>Data!C727</f>
        <v/>
      </c>
      <c r="D728" s="4">
        <f>Data!I727</f>
        <v/>
      </c>
      <c r="E728" s="4">
        <f>Data!J727</f>
        <v/>
      </c>
      <c r="F728" s="4">
        <f>Data!H727</f>
        <v/>
      </c>
      <c r="G728" s="4">
        <f>SUM(Data!Q727:Data!Y727)</f>
        <v/>
      </c>
      <c r="H728" s="4">
        <f>Data!Z727</f>
        <v/>
      </c>
      <c r="I728" s="4">
        <f>Data!AB727</f>
        <v/>
      </c>
      <c r="J728" s="4">
        <f>Data!AD727</f>
        <v/>
      </c>
      <c r="K728" s="4">
        <f>Data!AE727</f>
        <v/>
      </c>
      <c r="L728" s="4">
        <f>Data!AF727</f>
        <v/>
      </c>
      <c r="M728" s="4">
        <f>Data!AG727</f>
        <v/>
      </c>
      <c r="N728" s="4">
        <f>Data!AH727</f>
        <v/>
      </c>
      <c r="O728" s="4">
        <f>Data!AI727</f>
        <v/>
      </c>
      <c r="P728" s="4">
        <f>Data!AJ727</f>
        <v/>
      </c>
      <c r="Q728" s="4">
        <f>Data!AK727</f>
        <v/>
      </c>
      <c r="R728" s="4">
        <f>Data!AL727</f>
        <v/>
      </c>
    </row>
    <row r="729">
      <c r="A729" s="4">
        <f>Data!A728</f>
        <v/>
      </c>
      <c r="B729" s="4">
        <f>Data!B728</f>
        <v/>
      </c>
      <c r="C729" s="4">
        <f>Data!C728</f>
        <v/>
      </c>
      <c r="D729" s="4">
        <f>Data!I728</f>
        <v/>
      </c>
      <c r="E729" s="4">
        <f>Data!J728</f>
        <v/>
      </c>
      <c r="F729" s="4">
        <f>Data!H728</f>
        <v/>
      </c>
      <c r="G729" s="4">
        <f>SUM(Data!Q728:Data!Y728)</f>
        <v/>
      </c>
      <c r="H729" s="4">
        <f>Data!Z728</f>
        <v/>
      </c>
      <c r="I729" s="4">
        <f>Data!AB728</f>
        <v/>
      </c>
      <c r="J729" s="4">
        <f>Data!AD728</f>
        <v/>
      </c>
      <c r="K729" s="4">
        <f>Data!AE728</f>
        <v/>
      </c>
      <c r="L729" s="4">
        <f>Data!AF728</f>
        <v/>
      </c>
      <c r="M729" s="4">
        <f>Data!AG728</f>
        <v/>
      </c>
      <c r="N729" s="4">
        <f>Data!AH728</f>
        <v/>
      </c>
      <c r="O729" s="4">
        <f>Data!AI728</f>
        <v/>
      </c>
      <c r="P729" s="4">
        <f>Data!AJ728</f>
        <v/>
      </c>
      <c r="Q729" s="4">
        <f>Data!AK728</f>
        <v/>
      </c>
      <c r="R729" s="4">
        <f>Data!AL728</f>
        <v/>
      </c>
    </row>
    <row r="730">
      <c r="A730" s="4">
        <f>Data!A729</f>
        <v/>
      </c>
      <c r="B730" s="4">
        <f>Data!B729</f>
        <v/>
      </c>
      <c r="C730" s="4">
        <f>Data!C729</f>
        <v/>
      </c>
      <c r="D730" s="4">
        <f>Data!I729</f>
        <v/>
      </c>
      <c r="E730" s="4">
        <f>Data!J729</f>
        <v/>
      </c>
      <c r="F730" s="4">
        <f>Data!H729</f>
        <v/>
      </c>
      <c r="G730" s="4">
        <f>SUM(Data!Q729:Data!Y729)</f>
        <v/>
      </c>
      <c r="H730" s="4">
        <f>Data!Z729</f>
        <v/>
      </c>
      <c r="I730" s="4">
        <f>Data!AB729</f>
        <v/>
      </c>
      <c r="J730" s="4">
        <f>Data!AD729</f>
        <v/>
      </c>
      <c r="K730" s="4">
        <f>Data!AE729</f>
        <v/>
      </c>
      <c r="L730" s="4">
        <f>Data!AF729</f>
        <v/>
      </c>
      <c r="M730" s="4">
        <f>Data!AG729</f>
        <v/>
      </c>
      <c r="N730" s="4">
        <f>Data!AH729</f>
        <v/>
      </c>
      <c r="O730" s="4">
        <f>Data!AI729</f>
        <v/>
      </c>
      <c r="P730" s="4">
        <f>Data!AJ729</f>
        <v/>
      </c>
      <c r="Q730" s="4">
        <f>Data!AK729</f>
        <v/>
      </c>
      <c r="R730" s="4">
        <f>Data!AL729</f>
        <v/>
      </c>
    </row>
    <row r="731">
      <c r="A731" s="4">
        <f>Data!A730</f>
        <v/>
      </c>
      <c r="B731" s="4">
        <f>Data!B730</f>
        <v/>
      </c>
      <c r="C731" s="4">
        <f>Data!C730</f>
        <v/>
      </c>
      <c r="D731" s="4">
        <f>Data!I730</f>
        <v/>
      </c>
      <c r="E731" s="4">
        <f>Data!J730</f>
        <v/>
      </c>
      <c r="F731" s="4">
        <f>Data!H730</f>
        <v/>
      </c>
      <c r="G731" s="4">
        <f>SUM(Data!Q730:Data!Y730)</f>
        <v/>
      </c>
      <c r="H731" s="4">
        <f>Data!Z730</f>
        <v/>
      </c>
      <c r="I731" s="4">
        <f>Data!AB730</f>
        <v/>
      </c>
      <c r="J731" s="4">
        <f>Data!AD730</f>
        <v/>
      </c>
      <c r="K731" s="4">
        <f>Data!AE730</f>
        <v/>
      </c>
      <c r="L731" s="4">
        <f>Data!AF730</f>
        <v/>
      </c>
      <c r="M731" s="4">
        <f>Data!AG730</f>
        <v/>
      </c>
      <c r="N731" s="4">
        <f>Data!AH730</f>
        <v/>
      </c>
      <c r="O731" s="4">
        <f>Data!AI730</f>
        <v/>
      </c>
      <c r="P731" s="4">
        <f>Data!AJ730</f>
        <v/>
      </c>
      <c r="Q731" s="4">
        <f>Data!AK730</f>
        <v/>
      </c>
      <c r="R731" s="4">
        <f>Data!AL730</f>
        <v/>
      </c>
    </row>
    <row r="732">
      <c r="A732" s="4">
        <f>Data!A731</f>
        <v/>
      </c>
      <c r="B732" s="4">
        <f>Data!B731</f>
        <v/>
      </c>
      <c r="C732" s="4">
        <f>Data!C731</f>
        <v/>
      </c>
      <c r="D732" s="4">
        <f>Data!I731</f>
        <v/>
      </c>
      <c r="E732" s="4">
        <f>Data!J731</f>
        <v/>
      </c>
      <c r="F732" s="4">
        <f>Data!H731</f>
        <v/>
      </c>
      <c r="G732" s="4">
        <f>SUM(Data!Q731:Data!Y731)</f>
        <v/>
      </c>
      <c r="H732" s="4">
        <f>Data!Z731</f>
        <v/>
      </c>
      <c r="I732" s="4">
        <f>Data!AB731</f>
        <v/>
      </c>
      <c r="J732" s="4">
        <f>Data!AD731</f>
        <v/>
      </c>
      <c r="K732" s="4">
        <f>Data!AE731</f>
        <v/>
      </c>
      <c r="L732" s="4">
        <f>Data!AF731</f>
        <v/>
      </c>
      <c r="M732" s="4">
        <f>Data!AG731</f>
        <v/>
      </c>
      <c r="N732" s="4">
        <f>Data!AH731</f>
        <v/>
      </c>
      <c r="O732" s="4">
        <f>Data!AI731</f>
        <v/>
      </c>
      <c r="P732" s="4">
        <f>Data!AJ731</f>
        <v/>
      </c>
      <c r="Q732" s="4">
        <f>Data!AK731</f>
        <v/>
      </c>
      <c r="R732" s="4">
        <f>Data!AL731</f>
        <v/>
      </c>
    </row>
    <row r="733">
      <c r="A733" s="4">
        <f>Data!A732</f>
        <v/>
      </c>
      <c r="B733" s="4">
        <f>Data!B732</f>
        <v/>
      </c>
      <c r="C733" s="4">
        <f>Data!C732</f>
        <v/>
      </c>
      <c r="D733" s="4">
        <f>Data!I732</f>
        <v/>
      </c>
      <c r="E733" s="4">
        <f>Data!J732</f>
        <v/>
      </c>
      <c r="F733" s="4">
        <f>Data!H732</f>
        <v/>
      </c>
      <c r="G733" s="4">
        <f>SUM(Data!Q732:Data!Y732)</f>
        <v/>
      </c>
      <c r="H733" s="4">
        <f>Data!Z732</f>
        <v/>
      </c>
      <c r="I733" s="4">
        <f>Data!AB732</f>
        <v/>
      </c>
      <c r="J733" s="4">
        <f>Data!AD732</f>
        <v/>
      </c>
      <c r="K733" s="4">
        <f>Data!AE732</f>
        <v/>
      </c>
      <c r="L733" s="4">
        <f>Data!AF732</f>
        <v/>
      </c>
      <c r="M733" s="4">
        <f>Data!AG732</f>
        <v/>
      </c>
      <c r="N733" s="4">
        <f>Data!AH732</f>
        <v/>
      </c>
      <c r="O733" s="4">
        <f>Data!AI732</f>
        <v/>
      </c>
      <c r="P733" s="4">
        <f>Data!AJ732</f>
        <v/>
      </c>
      <c r="Q733" s="4">
        <f>Data!AK732</f>
        <v/>
      </c>
      <c r="R733" s="4">
        <f>Data!AL732</f>
        <v/>
      </c>
    </row>
    <row r="734">
      <c r="A734" s="4">
        <f>Data!A733</f>
        <v/>
      </c>
      <c r="B734" s="4">
        <f>Data!B733</f>
        <v/>
      </c>
      <c r="C734" s="4">
        <f>Data!C733</f>
        <v/>
      </c>
      <c r="D734" s="4">
        <f>Data!I733</f>
        <v/>
      </c>
      <c r="E734" s="4">
        <f>Data!J733</f>
        <v/>
      </c>
      <c r="F734" s="4">
        <f>Data!H733</f>
        <v/>
      </c>
      <c r="G734" s="4">
        <f>SUM(Data!Q733:Data!Y733)</f>
        <v/>
      </c>
      <c r="H734" s="4">
        <f>Data!Z733</f>
        <v/>
      </c>
      <c r="I734" s="4">
        <f>Data!AB733</f>
        <v/>
      </c>
      <c r="J734" s="4">
        <f>Data!AD733</f>
        <v/>
      </c>
      <c r="K734" s="4">
        <f>Data!AE733</f>
        <v/>
      </c>
      <c r="L734" s="4">
        <f>Data!AF733</f>
        <v/>
      </c>
      <c r="M734" s="4">
        <f>Data!AG733</f>
        <v/>
      </c>
      <c r="N734" s="4">
        <f>Data!AH733</f>
        <v/>
      </c>
      <c r="O734" s="4">
        <f>Data!AI733</f>
        <v/>
      </c>
      <c r="P734" s="4">
        <f>Data!AJ733</f>
        <v/>
      </c>
      <c r="Q734" s="4">
        <f>Data!AK733</f>
        <v/>
      </c>
      <c r="R734" s="4">
        <f>Data!AL733</f>
        <v/>
      </c>
    </row>
    <row r="735">
      <c r="A735" s="4">
        <f>Data!A734</f>
        <v/>
      </c>
      <c r="B735" s="4">
        <f>Data!B734</f>
        <v/>
      </c>
      <c r="C735" s="4">
        <f>Data!C734</f>
        <v/>
      </c>
      <c r="D735" s="4">
        <f>Data!I734</f>
        <v/>
      </c>
      <c r="E735" s="4">
        <f>Data!J734</f>
        <v/>
      </c>
      <c r="F735" s="4">
        <f>Data!H734</f>
        <v/>
      </c>
      <c r="G735" s="4">
        <f>SUM(Data!Q734:Data!Y734)</f>
        <v/>
      </c>
      <c r="H735" s="4">
        <f>Data!Z734</f>
        <v/>
      </c>
      <c r="I735" s="4">
        <f>Data!AB734</f>
        <v/>
      </c>
      <c r="J735" s="4">
        <f>Data!AD734</f>
        <v/>
      </c>
      <c r="K735" s="4">
        <f>Data!AE734</f>
        <v/>
      </c>
      <c r="L735" s="4">
        <f>Data!AF734</f>
        <v/>
      </c>
      <c r="M735" s="4">
        <f>Data!AG734</f>
        <v/>
      </c>
      <c r="N735" s="4">
        <f>Data!AH734</f>
        <v/>
      </c>
      <c r="O735" s="4">
        <f>Data!AI734</f>
        <v/>
      </c>
      <c r="P735" s="4">
        <f>Data!AJ734</f>
        <v/>
      </c>
      <c r="Q735" s="4">
        <f>Data!AK734</f>
        <v/>
      </c>
      <c r="R735" s="4">
        <f>Data!AL734</f>
        <v/>
      </c>
    </row>
    <row r="736">
      <c r="A736" s="4">
        <f>Data!A735</f>
        <v/>
      </c>
      <c r="B736" s="4">
        <f>Data!B735</f>
        <v/>
      </c>
      <c r="C736" s="4">
        <f>Data!C735</f>
        <v/>
      </c>
      <c r="D736" s="4">
        <f>Data!I735</f>
        <v/>
      </c>
      <c r="E736" s="4">
        <f>Data!J735</f>
        <v/>
      </c>
      <c r="F736" s="4">
        <f>Data!H735</f>
        <v/>
      </c>
      <c r="G736" s="4">
        <f>SUM(Data!Q735:Data!Y735)</f>
        <v/>
      </c>
      <c r="H736" s="4">
        <f>Data!Z735</f>
        <v/>
      </c>
      <c r="I736" s="4">
        <f>Data!AB735</f>
        <v/>
      </c>
      <c r="J736" s="4">
        <f>Data!AD735</f>
        <v/>
      </c>
      <c r="K736" s="4">
        <f>Data!AE735</f>
        <v/>
      </c>
      <c r="L736" s="4">
        <f>Data!AF735</f>
        <v/>
      </c>
      <c r="M736" s="4">
        <f>Data!AG735</f>
        <v/>
      </c>
      <c r="N736" s="4">
        <f>Data!AH735</f>
        <v/>
      </c>
      <c r="O736" s="4">
        <f>Data!AI735</f>
        <v/>
      </c>
      <c r="P736" s="4">
        <f>Data!AJ735</f>
        <v/>
      </c>
      <c r="Q736" s="4">
        <f>Data!AK735</f>
        <v/>
      </c>
      <c r="R736" s="4">
        <f>Data!AL735</f>
        <v/>
      </c>
    </row>
    <row r="737">
      <c r="A737" s="4">
        <f>Data!A736</f>
        <v/>
      </c>
      <c r="B737" s="4">
        <f>Data!B736</f>
        <v/>
      </c>
      <c r="C737" s="4">
        <f>Data!C736</f>
        <v/>
      </c>
      <c r="D737" s="4">
        <f>Data!I736</f>
        <v/>
      </c>
      <c r="E737" s="4">
        <f>Data!J736</f>
        <v/>
      </c>
      <c r="F737" s="4">
        <f>Data!H736</f>
        <v/>
      </c>
      <c r="G737" s="4">
        <f>SUM(Data!Q736:Data!Y736)</f>
        <v/>
      </c>
      <c r="H737" s="4">
        <f>Data!Z736</f>
        <v/>
      </c>
      <c r="I737" s="4">
        <f>Data!AB736</f>
        <v/>
      </c>
      <c r="J737" s="4">
        <f>Data!AD736</f>
        <v/>
      </c>
      <c r="K737" s="4">
        <f>Data!AE736</f>
        <v/>
      </c>
      <c r="L737" s="4">
        <f>Data!AF736</f>
        <v/>
      </c>
      <c r="M737" s="4">
        <f>Data!AG736</f>
        <v/>
      </c>
      <c r="N737" s="4">
        <f>Data!AH736</f>
        <v/>
      </c>
      <c r="O737" s="4">
        <f>Data!AI736</f>
        <v/>
      </c>
      <c r="P737" s="4">
        <f>Data!AJ736</f>
        <v/>
      </c>
      <c r="Q737" s="4">
        <f>Data!AK736</f>
        <v/>
      </c>
      <c r="R737" s="4">
        <f>Data!AL736</f>
        <v/>
      </c>
    </row>
    <row r="738">
      <c r="A738" s="4">
        <f>Data!A737</f>
        <v/>
      </c>
      <c r="B738" s="4">
        <f>Data!B737</f>
        <v/>
      </c>
      <c r="C738" s="4">
        <f>Data!C737</f>
        <v/>
      </c>
      <c r="D738" s="4">
        <f>Data!I737</f>
        <v/>
      </c>
      <c r="E738" s="4">
        <f>Data!J737</f>
        <v/>
      </c>
      <c r="F738" s="4">
        <f>Data!H737</f>
        <v/>
      </c>
      <c r="G738" s="4">
        <f>SUM(Data!Q737:Data!Y737)</f>
        <v/>
      </c>
      <c r="H738" s="4">
        <f>Data!Z737</f>
        <v/>
      </c>
      <c r="I738" s="4">
        <f>Data!AB737</f>
        <v/>
      </c>
      <c r="J738" s="4">
        <f>Data!AD737</f>
        <v/>
      </c>
      <c r="K738" s="4">
        <f>Data!AE737</f>
        <v/>
      </c>
      <c r="L738" s="4">
        <f>Data!AF737</f>
        <v/>
      </c>
      <c r="M738" s="4">
        <f>Data!AG737</f>
        <v/>
      </c>
      <c r="N738" s="4">
        <f>Data!AH737</f>
        <v/>
      </c>
      <c r="O738" s="4">
        <f>Data!AI737</f>
        <v/>
      </c>
      <c r="P738" s="4">
        <f>Data!AJ737</f>
        <v/>
      </c>
      <c r="Q738" s="4">
        <f>Data!AK737</f>
        <v/>
      </c>
      <c r="R738" s="4">
        <f>Data!AL737</f>
        <v/>
      </c>
    </row>
    <row r="739">
      <c r="A739" s="4">
        <f>Data!A738</f>
        <v/>
      </c>
      <c r="B739" s="4">
        <f>Data!B738</f>
        <v/>
      </c>
      <c r="C739" s="4">
        <f>Data!C738</f>
        <v/>
      </c>
      <c r="D739" s="4">
        <f>Data!I738</f>
        <v/>
      </c>
      <c r="E739" s="4">
        <f>Data!J738</f>
        <v/>
      </c>
      <c r="F739" s="4">
        <f>Data!H738</f>
        <v/>
      </c>
      <c r="G739" s="4">
        <f>SUM(Data!Q738:Data!Y738)</f>
        <v/>
      </c>
      <c r="H739" s="4">
        <f>Data!Z738</f>
        <v/>
      </c>
      <c r="I739" s="4">
        <f>Data!AB738</f>
        <v/>
      </c>
      <c r="J739" s="4">
        <f>Data!AD738</f>
        <v/>
      </c>
      <c r="K739" s="4">
        <f>Data!AE738</f>
        <v/>
      </c>
      <c r="L739" s="4">
        <f>Data!AF738</f>
        <v/>
      </c>
      <c r="M739" s="4">
        <f>Data!AG738</f>
        <v/>
      </c>
      <c r="N739" s="4">
        <f>Data!AH738</f>
        <v/>
      </c>
      <c r="O739" s="4">
        <f>Data!AI738</f>
        <v/>
      </c>
      <c r="P739" s="4">
        <f>Data!AJ738</f>
        <v/>
      </c>
      <c r="Q739" s="4">
        <f>Data!AK738</f>
        <v/>
      </c>
      <c r="R739" s="4">
        <f>Data!AL738</f>
        <v/>
      </c>
    </row>
    <row r="740">
      <c r="A740" s="4">
        <f>Data!A739</f>
        <v/>
      </c>
      <c r="B740" s="4">
        <f>Data!B739</f>
        <v/>
      </c>
      <c r="C740" s="4">
        <f>Data!C739</f>
        <v/>
      </c>
      <c r="D740" s="4">
        <f>Data!I739</f>
        <v/>
      </c>
      <c r="E740" s="4">
        <f>Data!J739</f>
        <v/>
      </c>
      <c r="F740" s="4">
        <f>Data!H739</f>
        <v/>
      </c>
      <c r="G740" s="4">
        <f>SUM(Data!Q739:Data!Y739)</f>
        <v/>
      </c>
      <c r="H740" s="4">
        <f>Data!Z739</f>
        <v/>
      </c>
      <c r="I740" s="4">
        <f>Data!AB739</f>
        <v/>
      </c>
      <c r="J740" s="4">
        <f>Data!AD739</f>
        <v/>
      </c>
      <c r="K740" s="4">
        <f>Data!AE739</f>
        <v/>
      </c>
      <c r="L740" s="4">
        <f>Data!AF739</f>
        <v/>
      </c>
      <c r="M740" s="4">
        <f>Data!AG739</f>
        <v/>
      </c>
      <c r="N740" s="4">
        <f>Data!AH739</f>
        <v/>
      </c>
      <c r="O740" s="4">
        <f>Data!AI739</f>
        <v/>
      </c>
      <c r="P740" s="4">
        <f>Data!AJ739</f>
        <v/>
      </c>
      <c r="Q740" s="4">
        <f>Data!AK739</f>
        <v/>
      </c>
      <c r="R740" s="4">
        <f>Data!AL739</f>
        <v/>
      </c>
    </row>
    <row r="741">
      <c r="A741" s="4">
        <f>Data!A740</f>
        <v/>
      </c>
      <c r="B741" s="4">
        <f>Data!B740</f>
        <v/>
      </c>
      <c r="C741" s="4">
        <f>Data!C740</f>
        <v/>
      </c>
      <c r="D741" s="4">
        <f>Data!I740</f>
        <v/>
      </c>
      <c r="E741" s="4">
        <f>Data!J740</f>
        <v/>
      </c>
      <c r="F741" s="4">
        <f>Data!H740</f>
        <v/>
      </c>
      <c r="G741" s="4">
        <f>SUM(Data!Q740:Data!Y740)</f>
        <v/>
      </c>
      <c r="H741" s="4">
        <f>Data!Z740</f>
        <v/>
      </c>
      <c r="I741" s="4">
        <f>Data!AB740</f>
        <v/>
      </c>
      <c r="J741" s="4">
        <f>Data!AD740</f>
        <v/>
      </c>
      <c r="K741" s="4">
        <f>Data!AE740</f>
        <v/>
      </c>
      <c r="L741" s="4">
        <f>Data!AF740</f>
        <v/>
      </c>
      <c r="M741" s="4">
        <f>Data!AG740</f>
        <v/>
      </c>
      <c r="N741" s="4">
        <f>Data!AH740</f>
        <v/>
      </c>
      <c r="O741" s="4">
        <f>Data!AI740</f>
        <v/>
      </c>
      <c r="P741" s="4">
        <f>Data!AJ740</f>
        <v/>
      </c>
      <c r="Q741" s="4">
        <f>Data!AK740</f>
        <v/>
      </c>
      <c r="R741" s="4">
        <f>Data!AL740</f>
        <v/>
      </c>
    </row>
    <row r="742">
      <c r="A742" s="4">
        <f>Data!A741</f>
        <v/>
      </c>
      <c r="B742" s="4">
        <f>Data!B741</f>
        <v/>
      </c>
      <c r="C742" s="4">
        <f>Data!C741</f>
        <v/>
      </c>
      <c r="D742" s="4">
        <f>Data!I741</f>
        <v/>
      </c>
      <c r="E742" s="4">
        <f>Data!J741</f>
        <v/>
      </c>
      <c r="F742" s="4">
        <f>Data!H741</f>
        <v/>
      </c>
      <c r="G742" s="4">
        <f>SUM(Data!Q741:Data!Y741)</f>
        <v/>
      </c>
      <c r="H742" s="4">
        <f>Data!Z741</f>
        <v/>
      </c>
      <c r="I742" s="4">
        <f>Data!AB741</f>
        <v/>
      </c>
      <c r="J742" s="4">
        <f>Data!AD741</f>
        <v/>
      </c>
      <c r="K742" s="4">
        <f>Data!AE741</f>
        <v/>
      </c>
      <c r="L742" s="4">
        <f>Data!AF741</f>
        <v/>
      </c>
      <c r="M742" s="4">
        <f>Data!AG741</f>
        <v/>
      </c>
      <c r="N742" s="4">
        <f>Data!AH741</f>
        <v/>
      </c>
      <c r="O742" s="4">
        <f>Data!AI741</f>
        <v/>
      </c>
      <c r="P742" s="4">
        <f>Data!AJ741</f>
        <v/>
      </c>
      <c r="Q742" s="4">
        <f>Data!AK741</f>
        <v/>
      </c>
      <c r="R742" s="4">
        <f>Data!AL741</f>
        <v/>
      </c>
    </row>
    <row r="743">
      <c r="A743" s="4">
        <f>Data!A742</f>
        <v/>
      </c>
      <c r="B743" s="4">
        <f>Data!B742</f>
        <v/>
      </c>
      <c r="C743" s="4">
        <f>Data!C742</f>
        <v/>
      </c>
      <c r="D743" s="4">
        <f>Data!I742</f>
        <v/>
      </c>
      <c r="E743" s="4">
        <f>Data!J742</f>
        <v/>
      </c>
      <c r="F743" s="4">
        <f>Data!H742</f>
        <v/>
      </c>
      <c r="G743" s="4">
        <f>SUM(Data!Q742:Data!Y742)</f>
        <v/>
      </c>
      <c r="H743" s="4">
        <f>Data!Z742</f>
        <v/>
      </c>
      <c r="I743" s="4">
        <f>Data!AB742</f>
        <v/>
      </c>
      <c r="J743" s="4">
        <f>Data!AD742</f>
        <v/>
      </c>
      <c r="K743" s="4">
        <f>Data!AE742</f>
        <v/>
      </c>
      <c r="L743" s="4">
        <f>Data!AF742</f>
        <v/>
      </c>
      <c r="M743" s="4">
        <f>Data!AG742</f>
        <v/>
      </c>
      <c r="N743" s="4">
        <f>Data!AH742</f>
        <v/>
      </c>
      <c r="O743" s="4">
        <f>Data!AI742</f>
        <v/>
      </c>
      <c r="P743" s="4">
        <f>Data!AJ742</f>
        <v/>
      </c>
      <c r="Q743" s="4">
        <f>Data!AK742</f>
        <v/>
      </c>
      <c r="R743" s="4">
        <f>Data!AL742</f>
        <v/>
      </c>
    </row>
    <row r="744">
      <c r="A744" s="4">
        <f>Data!A743</f>
        <v/>
      </c>
      <c r="B744" s="4">
        <f>Data!B743</f>
        <v/>
      </c>
      <c r="C744" s="4">
        <f>Data!C743</f>
        <v/>
      </c>
      <c r="D744" s="4">
        <f>Data!I743</f>
        <v/>
      </c>
      <c r="E744" s="4">
        <f>Data!J743</f>
        <v/>
      </c>
      <c r="F744" s="4">
        <f>Data!H743</f>
        <v/>
      </c>
      <c r="G744" s="4">
        <f>SUM(Data!Q743:Data!Y743)</f>
        <v/>
      </c>
      <c r="H744" s="4">
        <f>Data!Z743</f>
        <v/>
      </c>
      <c r="I744" s="4">
        <f>Data!AB743</f>
        <v/>
      </c>
      <c r="J744" s="4">
        <f>Data!AD743</f>
        <v/>
      </c>
      <c r="K744" s="4">
        <f>Data!AE743</f>
        <v/>
      </c>
      <c r="L744" s="4">
        <f>Data!AF743</f>
        <v/>
      </c>
      <c r="M744" s="4">
        <f>Data!AG743</f>
        <v/>
      </c>
      <c r="N744" s="4">
        <f>Data!AH743</f>
        <v/>
      </c>
      <c r="O744" s="4">
        <f>Data!AI743</f>
        <v/>
      </c>
      <c r="P744" s="4">
        <f>Data!AJ743</f>
        <v/>
      </c>
      <c r="Q744" s="4">
        <f>Data!AK743</f>
        <v/>
      </c>
      <c r="R744" s="4">
        <f>Data!AL743</f>
        <v/>
      </c>
    </row>
    <row r="745">
      <c r="A745" s="4">
        <f>Data!A744</f>
        <v/>
      </c>
      <c r="B745" s="4">
        <f>Data!B744</f>
        <v/>
      </c>
      <c r="C745" s="4">
        <f>Data!C744</f>
        <v/>
      </c>
      <c r="D745" s="4">
        <f>Data!I744</f>
        <v/>
      </c>
      <c r="E745" s="4">
        <f>Data!J744</f>
        <v/>
      </c>
      <c r="F745" s="4">
        <f>Data!H744</f>
        <v/>
      </c>
      <c r="G745" s="4">
        <f>SUM(Data!Q744:Data!Y744)</f>
        <v/>
      </c>
      <c r="H745" s="4">
        <f>Data!Z744</f>
        <v/>
      </c>
      <c r="I745" s="4">
        <f>Data!AB744</f>
        <v/>
      </c>
      <c r="J745" s="4">
        <f>Data!AD744</f>
        <v/>
      </c>
      <c r="K745" s="4">
        <f>Data!AE744</f>
        <v/>
      </c>
      <c r="L745" s="4">
        <f>Data!AF744</f>
        <v/>
      </c>
      <c r="M745" s="4">
        <f>Data!AG744</f>
        <v/>
      </c>
      <c r="N745" s="4">
        <f>Data!AH744</f>
        <v/>
      </c>
      <c r="O745" s="4">
        <f>Data!AI744</f>
        <v/>
      </c>
      <c r="P745" s="4">
        <f>Data!AJ744</f>
        <v/>
      </c>
      <c r="Q745" s="4">
        <f>Data!AK744</f>
        <v/>
      </c>
      <c r="R745" s="4">
        <f>Data!AL744</f>
        <v/>
      </c>
    </row>
    <row r="746">
      <c r="A746" s="4">
        <f>Data!A745</f>
        <v/>
      </c>
      <c r="B746" s="4">
        <f>Data!B745</f>
        <v/>
      </c>
      <c r="C746" s="4">
        <f>Data!C745</f>
        <v/>
      </c>
      <c r="D746" s="4">
        <f>Data!I745</f>
        <v/>
      </c>
      <c r="E746" s="4">
        <f>Data!J745</f>
        <v/>
      </c>
      <c r="F746" s="4">
        <f>Data!H745</f>
        <v/>
      </c>
      <c r="G746" s="4">
        <f>SUM(Data!Q745:Data!Y745)</f>
        <v/>
      </c>
      <c r="H746" s="4">
        <f>Data!Z745</f>
        <v/>
      </c>
      <c r="I746" s="4">
        <f>Data!AB745</f>
        <v/>
      </c>
      <c r="J746" s="4">
        <f>Data!AD745</f>
        <v/>
      </c>
      <c r="K746" s="4">
        <f>Data!AE745</f>
        <v/>
      </c>
      <c r="L746" s="4">
        <f>Data!AF745</f>
        <v/>
      </c>
      <c r="M746" s="4">
        <f>Data!AG745</f>
        <v/>
      </c>
      <c r="N746" s="4">
        <f>Data!AH745</f>
        <v/>
      </c>
      <c r="O746" s="4">
        <f>Data!AI745</f>
        <v/>
      </c>
      <c r="P746" s="4">
        <f>Data!AJ745</f>
        <v/>
      </c>
      <c r="Q746" s="4">
        <f>Data!AK745</f>
        <v/>
      </c>
      <c r="R746" s="4">
        <f>Data!AL745</f>
        <v/>
      </c>
    </row>
    <row r="747">
      <c r="A747" s="4">
        <f>Data!A746</f>
        <v/>
      </c>
      <c r="B747" s="4">
        <f>Data!B746</f>
        <v/>
      </c>
      <c r="C747" s="4">
        <f>Data!C746</f>
        <v/>
      </c>
      <c r="D747" s="4">
        <f>Data!I746</f>
        <v/>
      </c>
      <c r="E747" s="4">
        <f>Data!J746</f>
        <v/>
      </c>
      <c r="F747" s="4">
        <f>Data!H746</f>
        <v/>
      </c>
      <c r="G747" s="4">
        <f>SUM(Data!Q746:Data!Y746)</f>
        <v/>
      </c>
      <c r="H747" s="4">
        <f>Data!Z746</f>
        <v/>
      </c>
      <c r="I747" s="4">
        <f>Data!AB746</f>
        <v/>
      </c>
      <c r="J747" s="4">
        <f>Data!AD746</f>
        <v/>
      </c>
      <c r="K747" s="4">
        <f>Data!AE746</f>
        <v/>
      </c>
      <c r="L747" s="4">
        <f>Data!AF746</f>
        <v/>
      </c>
      <c r="M747" s="4">
        <f>Data!AG746</f>
        <v/>
      </c>
      <c r="N747" s="4">
        <f>Data!AH746</f>
        <v/>
      </c>
      <c r="O747" s="4">
        <f>Data!AI746</f>
        <v/>
      </c>
      <c r="P747" s="4">
        <f>Data!AJ746</f>
        <v/>
      </c>
      <c r="Q747" s="4">
        <f>Data!AK746</f>
        <v/>
      </c>
      <c r="R747" s="4">
        <f>Data!AL746</f>
        <v/>
      </c>
    </row>
    <row r="748">
      <c r="A748" s="4">
        <f>Data!A747</f>
        <v/>
      </c>
      <c r="B748" s="4">
        <f>Data!B747</f>
        <v/>
      </c>
      <c r="C748" s="4">
        <f>Data!C747</f>
        <v/>
      </c>
      <c r="D748" s="4">
        <f>Data!I747</f>
        <v/>
      </c>
      <c r="E748" s="4">
        <f>Data!J747</f>
        <v/>
      </c>
      <c r="F748" s="4">
        <f>Data!H747</f>
        <v/>
      </c>
      <c r="G748" s="4">
        <f>SUM(Data!Q747:Data!Y747)</f>
        <v/>
      </c>
      <c r="H748" s="4">
        <f>Data!Z747</f>
        <v/>
      </c>
      <c r="I748" s="4">
        <f>Data!AB747</f>
        <v/>
      </c>
      <c r="J748" s="4">
        <f>Data!AD747</f>
        <v/>
      </c>
      <c r="K748" s="4">
        <f>Data!AE747</f>
        <v/>
      </c>
      <c r="L748" s="4">
        <f>Data!AF747</f>
        <v/>
      </c>
      <c r="M748" s="4">
        <f>Data!AG747</f>
        <v/>
      </c>
      <c r="N748" s="4">
        <f>Data!AH747</f>
        <v/>
      </c>
      <c r="O748" s="4">
        <f>Data!AI747</f>
        <v/>
      </c>
      <c r="P748" s="4">
        <f>Data!AJ747</f>
        <v/>
      </c>
      <c r="Q748" s="4">
        <f>Data!AK747</f>
        <v/>
      </c>
      <c r="R748" s="4">
        <f>Data!AL747</f>
        <v/>
      </c>
    </row>
    <row r="749">
      <c r="A749" s="4">
        <f>Data!A748</f>
        <v/>
      </c>
      <c r="B749" s="4">
        <f>Data!B748</f>
        <v/>
      </c>
      <c r="C749" s="4">
        <f>Data!C748</f>
        <v/>
      </c>
      <c r="D749" s="4">
        <f>Data!I748</f>
        <v/>
      </c>
      <c r="E749" s="4">
        <f>Data!J748</f>
        <v/>
      </c>
      <c r="F749" s="4">
        <f>Data!H748</f>
        <v/>
      </c>
      <c r="G749" s="4">
        <f>SUM(Data!Q748:Data!Y748)</f>
        <v/>
      </c>
      <c r="H749" s="4">
        <f>Data!Z748</f>
        <v/>
      </c>
      <c r="I749" s="4">
        <f>Data!AB748</f>
        <v/>
      </c>
      <c r="J749" s="4">
        <f>Data!AD748</f>
        <v/>
      </c>
      <c r="K749" s="4">
        <f>Data!AE748</f>
        <v/>
      </c>
      <c r="L749" s="4">
        <f>Data!AF748</f>
        <v/>
      </c>
      <c r="M749" s="4">
        <f>Data!AG748</f>
        <v/>
      </c>
      <c r="N749" s="4">
        <f>Data!AH748</f>
        <v/>
      </c>
      <c r="O749" s="4">
        <f>Data!AI748</f>
        <v/>
      </c>
      <c r="P749" s="4">
        <f>Data!AJ748</f>
        <v/>
      </c>
      <c r="Q749" s="4">
        <f>Data!AK748</f>
        <v/>
      </c>
      <c r="R749" s="4">
        <f>Data!AL748</f>
        <v/>
      </c>
    </row>
    <row r="750">
      <c r="A750" s="4">
        <f>Data!A749</f>
        <v/>
      </c>
      <c r="B750" s="4">
        <f>Data!B749</f>
        <v/>
      </c>
      <c r="C750" s="4">
        <f>Data!C749</f>
        <v/>
      </c>
      <c r="D750" s="4">
        <f>Data!I749</f>
        <v/>
      </c>
      <c r="E750" s="4">
        <f>Data!J749</f>
        <v/>
      </c>
      <c r="F750" s="4">
        <f>Data!H749</f>
        <v/>
      </c>
      <c r="G750" s="4">
        <f>SUM(Data!Q749:Data!Y749)</f>
        <v/>
      </c>
      <c r="H750" s="4">
        <f>Data!Z749</f>
        <v/>
      </c>
      <c r="I750" s="4">
        <f>Data!AB749</f>
        <v/>
      </c>
      <c r="J750" s="4">
        <f>Data!AD749</f>
        <v/>
      </c>
      <c r="K750" s="4">
        <f>Data!AE749</f>
        <v/>
      </c>
      <c r="L750" s="4">
        <f>Data!AF749</f>
        <v/>
      </c>
      <c r="M750" s="4">
        <f>Data!AG749</f>
        <v/>
      </c>
      <c r="N750" s="4">
        <f>Data!AH749</f>
        <v/>
      </c>
      <c r="O750" s="4">
        <f>Data!AI749</f>
        <v/>
      </c>
      <c r="P750" s="4">
        <f>Data!AJ749</f>
        <v/>
      </c>
      <c r="Q750" s="4">
        <f>Data!AK749</f>
        <v/>
      </c>
      <c r="R750" s="4">
        <f>Data!AL749</f>
        <v/>
      </c>
    </row>
    <row r="751">
      <c r="A751" s="4">
        <f>Data!A750</f>
        <v/>
      </c>
      <c r="B751" s="4">
        <f>Data!B750</f>
        <v/>
      </c>
      <c r="C751" s="4">
        <f>Data!C750</f>
        <v/>
      </c>
      <c r="D751" s="4">
        <f>Data!I750</f>
        <v/>
      </c>
      <c r="E751" s="4">
        <f>Data!J750</f>
        <v/>
      </c>
      <c r="F751" s="4">
        <f>Data!H750</f>
        <v/>
      </c>
      <c r="G751" s="4">
        <f>SUM(Data!Q750:Data!Y750)</f>
        <v/>
      </c>
      <c r="H751" s="4">
        <f>Data!Z750</f>
        <v/>
      </c>
      <c r="I751" s="4">
        <f>Data!AB750</f>
        <v/>
      </c>
      <c r="J751" s="4">
        <f>Data!AD750</f>
        <v/>
      </c>
      <c r="K751" s="4">
        <f>Data!AE750</f>
        <v/>
      </c>
      <c r="L751" s="4">
        <f>Data!AF750</f>
        <v/>
      </c>
      <c r="M751" s="4">
        <f>Data!AG750</f>
        <v/>
      </c>
      <c r="N751" s="4">
        <f>Data!AH750</f>
        <v/>
      </c>
      <c r="O751" s="4">
        <f>Data!AI750</f>
        <v/>
      </c>
      <c r="P751" s="4">
        <f>Data!AJ750</f>
        <v/>
      </c>
      <c r="Q751" s="4">
        <f>Data!AK750</f>
        <v/>
      </c>
      <c r="R751" s="4">
        <f>Data!AL750</f>
        <v/>
      </c>
    </row>
    <row r="752">
      <c r="A752" s="4">
        <f>Data!A751</f>
        <v/>
      </c>
      <c r="B752" s="4">
        <f>Data!B751</f>
        <v/>
      </c>
      <c r="C752" s="4">
        <f>Data!C751</f>
        <v/>
      </c>
      <c r="D752" s="4">
        <f>Data!I751</f>
        <v/>
      </c>
      <c r="E752" s="4">
        <f>Data!J751</f>
        <v/>
      </c>
      <c r="F752" s="4">
        <f>Data!H751</f>
        <v/>
      </c>
      <c r="G752" s="4">
        <f>SUM(Data!Q751:Data!Y751)</f>
        <v/>
      </c>
      <c r="H752" s="4">
        <f>Data!Z751</f>
        <v/>
      </c>
      <c r="I752" s="4">
        <f>Data!AB751</f>
        <v/>
      </c>
      <c r="J752" s="4">
        <f>Data!AD751</f>
        <v/>
      </c>
      <c r="K752" s="4">
        <f>Data!AE751</f>
        <v/>
      </c>
      <c r="L752" s="4">
        <f>Data!AF751</f>
        <v/>
      </c>
      <c r="M752" s="4">
        <f>Data!AG751</f>
        <v/>
      </c>
      <c r="N752" s="4">
        <f>Data!AH751</f>
        <v/>
      </c>
      <c r="O752" s="4">
        <f>Data!AI751</f>
        <v/>
      </c>
      <c r="P752" s="4">
        <f>Data!AJ751</f>
        <v/>
      </c>
      <c r="Q752" s="4">
        <f>Data!AK751</f>
        <v/>
      </c>
      <c r="R752" s="4">
        <f>Data!AL751</f>
        <v/>
      </c>
    </row>
    <row r="753">
      <c r="A753" s="4">
        <f>Data!A752</f>
        <v/>
      </c>
      <c r="B753" s="4">
        <f>Data!B752</f>
        <v/>
      </c>
      <c r="C753" s="4">
        <f>Data!C752</f>
        <v/>
      </c>
      <c r="D753" s="4">
        <f>Data!I752</f>
        <v/>
      </c>
      <c r="E753" s="4">
        <f>Data!J752</f>
        <v/>
      </c>
      <c r="F753" s="4">
        <f>Data!H752</f>
        <v/>
      </c>
      <c r="G753" s="4">
        <f>SUM(Data!Q752:Data!Y752)</f>
        <v/>
      </c>
      <c r="H753" s="4">
        <f>Data!Z752</f>
        <v/>
      </c>
      <c r="I753" s="4">
        <f>Data!AB752</f>
        <v/>
      </c>
      <c r="J753" s="4">
        <f>Data!AD752</f>
        <v/>
      </c>
      <c r="K753" s="4">
        <f>Data!AE752</f>
        <v/>
      </c>
      <c r="L753" s="4">
        <f>Data!AF752</f>
        <v/>
      </c>
      <c r="M753" s="4">
        <f>Data!AG752</f>
        <v/>
      </c>
      <c r="N753" s="4">
        <f>Data!AH752</f>
        <v/>
      </c>
      <c r="O753" s="4">
        <f>Data!AI752</f>
        <v/>
      </c>
      <c r="P753" s="4">
        <f>Data!AJ752</f>
        <v/>
      </c>
      <c r="Q753" s="4">
        <f>Data!AK752</f>
        <v/>
      </c>
      <c r="R753" s="4">
        <f>Data!AL752</f>
        <v/>
      </c>
    </row>
    <row r="754">
      <c r="A754" s="4">
        <f>Data!A753</f>
        <v/>
      </c>
      <c r="B754" s="4">
        <f>Data!B753</f>
        <v/>
      </c>
      <c r="C754" s="4">
        <f>Data!C753</f>
        <v/>
      </c>
      <c r="D754" s="4">
        <f>Data!I753</f>
        <v/>
      </c>
      <c r="E754" s="4">
        <f>Data!J753</f>
        <v/>
      </c>
      <c r="F754" s="4">
        <f>Data!H753</f>
        <v/>
      </c>
      <c r="G754" s="4">
        <f>SUM(Data!Q753:Data!Y753)</f>
        <v/>
      </c>
      <c r="H754" s="4">
        <f>Data!Z753</f>
        <v/>
      </c>
      <c r="I754" s="4">
        <f>Data!AB753</f>
        <v/>
      </c>
      <c r="J754" s="4">
        <f>Data!AD753</f>
        <v/>
      </c>
      <c r="K754" s="4">
        <f>Data!AE753</f>
        <v/>
      </c>
      <c r="L754" s="4">
        <f>Data!AF753</f>
        <v/>
      </c>
      <c r="M754" s="4">
        <f>Data!AG753</f>
        <v/>
      </c>
      <c r="N754" s="4">
        <f>Data!AH753</f>
        <v/>
      </c>
      <c r="O754" s="4">
        <f>Data!AI753</f>
        <v/>
      </c>
      <c r="P754" s="4">
        <f>Data!AJ753</f>
        <v/>
      </c>
      <c r="Q754" s="4">
        <f>Data!AK753</f>
        <v/>
      </c>
      <c r="R754" s="4">
        <f>Data!AL753</f>
        <v/>
      </c>
    </row>
    <row r="755">
      <c r="A755" s="4">
        <f>Data!A754</f>
        <v/>
      </c>
      <c r="B755" s="4">
        <f>Data!B754</f>
        <v/>
      </c>
      <c r="C755" s="4">
        <f>Data!C754</f>
        <v/>
      </c>
      <c r="D755" s="4">
        <f>Data!I754</f>
        <v/>
      </c>
      <c r="E755" s="4">
        <f>Data!J754</f>
        <v/>
      </c>
      <c r="F755" s="4">
        <f>Data!H754</f>
        <v/>
      </c>
      <c r="G755" s="4">
        <f>SUM(Data!Q754:Data!Y754)</f>
        <v/>
      </c>
      <c r="H755" s="4">
        <f>Data!Z754</f>
        <v/>
      </c>
      <c r="I755" s="4">
        <f>Data!AB754</f>
        <v/>
      </c>
      <c r="J755" s="4">
        <f>Data!AD754</f>
        <v/>
      </c>
      <c r="K755" s="4">
        <f>Data!AE754</f>
        <v/>
      </c>
      <c r="L755" s="4">
        <f>Data!AF754</f>
        <v/>
      </c>
      <c r="M755" s="4">
        <f>Data!AG754</f>
        <v/>
      </c>
      <c r="N755" s="4">
        <f>Data!AH754</f>
        <v/>
      </c>
      <c r="O755" s="4">
        <f>Data!AI754</f>
        <v/>
      </c>
      <c r="P755" s="4">
        <f>Data!AJ754</f>
        <v/>
      </c>
      <c r="Q755" s="4">
        <f>Data!AK754</f>
        <v/>
      </c>
      <c r="R755" s="4">
        <f>Data!AL754</f>
        <v/>
      </c>
    </row>
    <row r="756">
      <c r="A756" s="4">
        <f>Data!A755</f>
        <v/>
      </c>
      <c r="B756" s="4">
        <f>Data!B755</f>
        <v/>
      </c>
      <c r="C756" s="4">
        <f>Data!C755</f>
        <v/>
      </c>
      <c r="D756" s="4">
        <f>Data!I755</f>
        <v/>
      </c>
      <c r="E756" s="4">
        <f>Data!J755</f>
        <v/>
      </c>
      <c r="F756" s="4">
        <f>Data!H755</f>
        <v/>
      </c>
      <c r="G756" s="4">
        <f>SUM(Data!Q755:Data!Y755)</f>
        <v/>
      </c>
      <c r="H756" s="4">
        <f>Data!Z755</f>
        <v/>
      </c>
      <c r="I756" s="4">
        <f>Data!AB755</f>
        <v/>
      </c>
      <c r="J756" s="4">
        <f>Data!AD755</f>
        <v/>
      </c>
      <c r="K756" s="4">
        <f>Data!AE755</f>
        <v/>
      </c>
      <c r="L756" s="4">
        <f>Data!AF755</f>
        <v/>
      </c>
      <c r="M756" s="4">
        <f>Data!AG755</f>
        <v/>
      </c>
      <c r="N756" s="4">
        <f>Data!AH755</f>
        <v/>
      </c>
      <c r="O756" s="4">
        <f>Data!AI755</f>
        <v/>
      </c>
      <c r="P756" s="4">
        <f>Data!AJ755</f>
        <v/>
      </c>
      <c r="Q756" s="4">
        <f>Data!AK755</f>
        <v/>
      </c>
      <c r="R756" s="4">
        <f>Data!AL755</f>
        <v/>
      </c>
    </row>
    <row r="757">
      <c r="A757" s="4">
        <f>Data!A756</f>
        <v/>
      </c>
      <c r="B757" s="4">
        <f>Data!B756</f>
        <v/>
      </c>
      <c r="C757" s="4">
        <f>Data!C756</f>
        <v/>
      </c>
      <c r="D757" s="4">
        <f>Data!I756</f>
        <v/>
      </c>
      <c r="E757" s="4">
        <f>Data!J756</f>
        <v/>
      </c>
      <c r="F757" s="4">
        <f>Data!H756</f>
        <v/>
      </c>
      <c r="G757" s="4">
        <f>SUM(Data!Q756:Data!Y756)</f>
        <v/>
      </c>
      <c r="H757" s="4">
        <f>Data!Z756</f>
        <v/>
      </c>
      <c r="I757" s="4">
        <f>Data!AB756</f>
        <v/>
      </c>
      <c r="J757" s="4">
        <f>Data!AD756</f>
        <v/>
      </c>
      <c r="K757" s="4">
        <f>Data!AE756</f>
        <v/>
      </c>
      <c r="L757" s="4">
        <f>Data!AF756</f>
        <v/>
      </c>
      <c r="M757" s="4">
        <f>Data!AG756</f>
        <v/>
      </c>
      <c r="N757" s="4">
        <f>Data!AH756</f>
        <v/>
      </c>
      <c r="O757" s="4">
        <f>Data!AI756</f>
        <v/>
      </c>
      <c r="P757" s="4">
        <f>Data!AJ756</f>
        <v/>
      </c>
      <c r="Q757" s="4">
        <f>Data!AK756</f>
        <v/>
      </c>
      <c r="R757" s="4">
        <f>Data!AL756</f>
        <v/>
      </c>
    </row>
    <row r="758">
      <c r="A758" s="4">
        <f>Data!A757</f>
        <v/>
      </c>
      <c r="B758" s="4">
        <f>Data!B757</f>
        <v/>
      </c>
      <c r="C758" s="4">
        <f>Data!C757</f>
        <v/>
      </c>
      <c r="D758" s="4">
        <f>Data!I757</f>
        <v/>
      </c>
      <c r="E758" s="4">
        <f>Data!J757</f>
        <v/>
      </c>
      <c r="F758" s="4">
        <f>Data!H757</f>
        <v/>
      </c>
      <c r="G758" s="4">
        <f>SUM(Data!Q757:Data!Y757)</f>
        <v/>
      </c>
      <c r="H758" s="4">
        <f>Data!Z757</f>
        <v/>
      </c>
      <c r="I758" s="4">
        <f>Data!AB757</f>
        <v/>
      </c>
      <c r="J758" s="4">
        <f>Data!AD757</f>
        <v/>
      </c>
      <c r="K758" s="4">
        <f>Data!AE757</f>
        <v/>
      </c>
      <c r="L758" s="4">
        <f>Data!AF757</f>
        <v/>
      </c>
      <c r="M758" s="4">
        <f>Data!AG757</f>
        <v/>
      </c>
      <c r="N758" s="4">
        <f>Data!AH757</f>
        <v/>
      </c>
      <c r="O758" s="4">
        <f>Data!AI757</f>
        <v/>
      </c>
      <c r="P758" s="4">
        <f>Data!AJ757</f>
        <v/>
      </c>
      <c r="Q758" s="4">
        <f>Data!AK757</f>
        <v/>
      </c>
      <c r="R758" s="4">
        <f>Data!AL757</f>
        <v/>
      </c>
    </row>
    <row r="759">
      <c r="A759" s="4">
        <f>Data!A758</f>
        <v/>
      </c>
      <c r="B759" s="4">
        <f>Data!B758</f>
        <v/>
      </c>
      <c r="C759" s="4">
        <f>Data!C758</f>
        <v/>
      </c>
      <c r="D759" s="4">
        <f>Data!I758</f>
        <v/>
      </c>
      <c r="E759" s="4">
        <f>Data!J758</f>
        <v/>
      </c>
      <c r="F759" s="4">
        <f>Data!H758</f>
        <v/>
      </c>
      <c r="G759" s="4">
        <f>SUM(Data!Q758:Data!Y758)</f>
        <v/>
      </c>
      <c r="H759" s="4">
        <f>Data!Z758</f>
        <v/>
      </c>
      <c r="I759" s="4">
        <f>Data!AB758</f>
        <v/>
      </c>
      <c r="J759" s="4">
        <f>Data!AD758</f>
        <v/>
      </c>
      <c r="K759" s="4">
        <f>Data!AE758</f>
        <v/>
      </c>
      <c r="L759" s="4">
        <f>Data!AF758</f>
        <v/>
      </c>
      <c r="M759" s="4">
        <f>Data!AG758</f>
        <v/>
      </c>
      <c r="N759" s="4">
        <f>Data!AH758</f>
        <v/>
      </c>
      <c r="O759" s="4">
        <f>Data!AI758</f>
        <v/>
      </c>
      <c r="P759" s="4">
        <f>Data!AJ758</f>
        <v/>
      </c>
      <c r="Q759" s="4">
        <f>Data!AK758</f>
        <v/>
      </c>
      <c r="R759" s="4">
        <f>Data!AL758</f>
        <v/>
      </c>
    </row>
    <row r="760">
      <c r="A760" s="4">
        <f>Data!A759</f>
        <v/>
      </c>
      <c r="B760" s="4">
        <f>Data!B759</f>
        <v/>
      </c>
      <c r="C760" s="4">
        <f>Data!C759</f>
        <v/>
      </c>
      <c r="D760" s="4">
        <f>Data!I759</f>
        <v/>
      </c>
      <c r="E760" s="4">
        <f>Data!J759</f>
        <v/>
      </c>
      <c r="F760" s="4">
        <f>Data!H759</f>
        <v/>
      </c>
      <c r="G760" s="4">
        <f>SUM(Data!Q759:Data!Y759)</f>
        <v/>
      </c>
      <c r="H760" s="4">
        <f>Data!Z759</f>
        <v/>
      </c>
      <c r="I760" s="4">
        <f>Data!AB759</f>
        <v/>
      </c>
      <c r="J760" s="4">
        <f>Data!AD759</f>
        <v/>
      </c>
      <c r="K760" s="4">
        <f>Data!AE759</f>
        <v/>
      </c>
      <c r="L760" s="4">
        <f>Data!AF759</f>
        <v/>
      </c>
      <c r="M760" s="4">
        <f>Data!AG759</f>
        <v/>
      </c>
      <c r="N760" s="4">
        <f>Data!AH759</f>
        <v/>
      </c>
      <c r="O760" s="4">
        <f>Data!AI759</f>
        <v/>
      </c>
      <c r="P760" s="4">
        <f>Data!AJ759</f>
        <v/>
      </c>
      <c r="Q760" s="4">
        <f>Data!AK759</f>
        <v/>
      </c>
      <c r="R760" s="4">
        <f>Data!AL759</f>
        <v/>
      </c>
    </row>
    <row r="761">
      <c r="A761" s="4">
        <f>Data!A760</f>
        <v/>
      </c>
      <c r="B761" s="4">
        <f>Data!B760</f>
        <v/>
      </c>
      <c r="C761" s="4">
        <f>Data!C760</f>
        <v/>
      </c>
      <c r="D761" s="4">
        <f>Data!I760</f>
        <v/>
      </c>
      <c r="E761" s="4">
        <f>Data!J760</f>
        <v/>
      </c>
      <c r="F761" s="4">
        <f>Data!H760</f>
        <v/>
      </c>
      <c r="G761" s="4">
        <f>SUM(Data!Q760:Data!Y760)</f>
        <v/>
      </c>
      <c r="H761" s="4">
        <f>Data!Z760</f>
        <v/>
      </c>
      <c r="I761" s="4">
        <f>Data!AB760</f>
        <v/>
      </c>
      <c r="J761" s="4">
        <f>Data!AD760</f>
        <v/>
      </c>
      <c r="K761" s="4">
        <f>Data!AE760</f>
        <v/>
      </c>
      <c r="L761" s="4">
        <f>Data!AF760</f>
        <v/>
      </c>
      <c r="M761" s="4">
        <f>Data!AG760</f>
        <v/>
      </c>
      <c r="N761" s="4">
        <f>Data!AH760</f>
        <v/>
      </c>
      <c r="O761" s="4">
        <f>Data!AI760</f>
        <v/>
      </c>
      <c r="P761" s="4">
        <f>Data!AJ760</f>
        <v/>
      </c>
      <c r="Q761" s="4">
        <f>Data!AK760</f>
        <v/>
      </c>
      <c r="R761" s="4">
        <f>Data!AL760</f>
        <v/>
      </c>
    </row>
    <row r="762">
      <c r="A762" s="4">
        <f>Data!A761</f>
        <v/>
      </c>
      <c r="B762" s="4">
        <f>Data!B761</f>
        <v/>
      </c>
      <c r="C762" s="4">
        <f>Data!C761</f>
        <v/>
      </c>
      <c r="D762" s="4">
        <f>Data!I761</f>
        <v/>
      </c>
      <c r="E762" s="4">
        <f>Data!J761</f>
        <v/>
      </c>
      <c r="F762" s="4">
        <f>Data!H761</f>
        <v/>
      </c>
      <c r="G762" s="4">
        <f>SUM(Data!Q761:Data!Y761)</f>
        <v/>
      </c>
      <c r="H762" s="4">
        <f>Data!Z761</f>
        <v/>
      </c>
      <c r="I762" s="4">
        <f>Data!AB761</f>
        <v/>
      </c>
      <c r="J762" s="4">
        <f>Data!AD761</f>
        <v/>
      </c>
      <c r="K762" s="4">
        <f>Data!AE761</f>
        <v/>
      </c>
      <c r="L762" s="4">
        <f>Data!AF761</f>
        <v/>
      </c>
      <c r="M762" s="4">
        <f>Data!AG761</f>
        <v/>
      </c>
      <c r="N762" s="4">
        <f>Data!AH761</f>
        <v/>
      </c>
      <c r="O762" s="4">
        <f>Data!AI761</f>
        <v/>
      </c>
      <c r="P762" s="4">
        <f>Data!AJ761</f>
        <v/>
      </c>
      <c r="Q762" s="4">
        <f>Data!AK761</f>
        <v/>
      </c>
      <c r="R762" s="4">
        <f>Data!AL761</f>
        <v/>
      </c>
    </row>
    <row r="763">
      <c r="A763" s="4">
        <f>Data!A762</f>
        <v/>
      </c>
      <c r="B763" s="4">
        <f>Data!B762</f>
        <v/>
      </c>
      <c r="C763" s="4">
        <f>Data!C762</f>
        <v/>
      </c>
      <c r="D763" s="4">
        <f>Data!I762</f>
        <v/>
      </c>
      <c r="E763" s="4">
        <f>Data!J762</f>
        <v/>
      </c>
      <c r="F763" s="4">
        <f>Data!H762</f>
        <v/>
      </c>
      <c r="G763" s="4">
        <f>SUM(Data!Q762:Data!Y762)</f>
        <v/>
      </c>
      <c r="H763" s="4">
        <f>Data!Z762</f>
        <v/>
      </c>
      <c r="I763" s="4">
        <f>Data!AB762</f>
        <v/>
      </c>
      <c r="J763" s="4">
        <f>Data!AD762</f>
        <v/>
      </c>
      <c r="K763" s="4">
        <f>Data!AE762</f>
        <v/>
      </c>
      <c r="L763" s="4">
        <f>Data!AF762</f>
        <v/>
      </c>
      <c r="M763" s="4">
        <f>Data!AG762</f>
        <v/>
      </c>
      <c r="N763" s="4">
        <f>Data!AH762</f>
        <v/>
      </c>
      <c r="O763" s="4">
        <f>Data!AI762</f>
        <v/>
      </c>
      <c r="P763" s="4">
        <f>Data!AJ762</f>
        <v/>
      </c>
      <c r="Q763" s="4">
        <f>Data!AK762</f>
        <v/>
      </c>
      <c r="R763" s="4">
        <f>Data!AL762</f>
        <v/>
      </c>
    </row>
    <row r="764">
      <c r="A764" s="4">
        <f>Data!A763</f>
        <v/>
      </c>
      <c r="B764" s="4">
        <f>Data!B763</f>
        <v/>
      </c>
      <c r="C764" s="4">
        <f>Data!C763</f>
        <v/>
      </c>
      <c r="D764" s="4">
        <f>Data!I763</f>
        <v/>
      </c>
      <c r="E764" s="4">
        <f>Data!J763</f>
        <v/>
      </c>
      <c r="F764" s="4">
        <f>Data!H763</f>
        <v/>
      </c>
      <c r="G764" s="4">
        <f>SUM(Data!Q763:Data!Y763)</f>
        <v/>
      </c>
      <c r="H764" s="4">
        <f>Data!Z763</f>
        <v/>
      </c>
      <c r="I764" s="4">
        <f>Data!AB763</f>
        <v/>
      </c>
      <c r="J764" s="4">
        <f>Data!AD763</f>
        <v/>
      </c>
      <c r="K764" s="4">
        <f>Data!AE763</f>
        <v/>
      </c>
      <c r="L764" s="4">
        <f>Data!AF763</f>
        <v/>
      </c>
      <c r="M764" s="4">
        <f>Data!AG763</f>
        <v/>
      </c>
      <c r="N764" s="4">
        <f>Data!AH763</f>
        <v/>
      </c>
      <c r="O764" s="4">
        <f>Data!AI763</f>
        <v/>
      </c>
      <c r="P764" s="4">
        <f>Data!AJ763</f>
        <v/>
      </c>
      <c r="Q764" s="4">
        <f>Data!AK763</f>
        <v/>
      </c>
      <c r="R764" s="4">
        <f>Data!AL763</f>
        <v/>
      </c>
    </row>
    <row r="765">
      <c r="A765" s="4">
        <f>Data!A764</f>
        <v/>
      </c>
      <c r="B765" s="4">
        <f>Data!B764</f>
        <v/>
      </c>
      <c r="C765" s="4">
        <f>Data!C764</f>
        <v/>
      </c>
      <c r="D765" s="4">
        <f>Data!I764</f>
        <v/>
      </c>
      <c r="E765" s="4">
        <f>Data!J764</f>
        <v/>
      </c>
      <c r="F765" s="4">
        <f>Data!H764</f>
        <v/>
      </c>
      <c r="G765" s="4">
        <f>SUM(Data!Q764:Data!Y764)</f>
        <v/>
      </c>
      <c r="H765" s="4">
        <f>Data!Z764</f>
        <v/>
      </c>
      <c r="I765" s="4">
        <f>Data!AB764</f>
        <v/>
      </c>
      <c r="J765" s="4">
        <f>Data!AD764</f>
        <v/>
      </c>
      <c r="K765" s="4">
        <f>Data!AE764</f>
        <v/>
      </c>
      <c r="L765" s="4">
        <f>Data!AF764</f>
        <v/>
      </c>
      <c r="M765" s="4">
        <f>Data!AG764</f>
        <v/>
      </c>
      <c r="N765" s="4">
        <f>Data!AH764</f>
        <v/>
      </c>
      <c r="O765" s="4">
        <f>Data!AI764</f>
        <v/>
      </c>
      <c r="P765" s="4">
        <f>Data!AJ764</f>
        <v/>
      </c>
      <c r="Q765" s="4">
        <f>Data!AK764</f>
        <v/>
      </c>
      <c r="R765" s="4">
        <f>Data!AL764</f>
        <v/>
      </c>
    </row>
    <row r="766">
      <c r="A766" s="4">
        <f>Data!A765</f>
        <v/>
      </c>
      <c r="B766" s="4">
        <f>Data!B765</f>
        <v/>
      </c>
      <c r="C766" s="4">
        <f>Data!C765</f>
        <v/>
      </c>
      <c r="D766" s="4">
        <f>Data!I765</f>
        <v/>
      </c>
      <c r="E766" s="4">
        <f>Data!J765</f>
        <v/>
      </c>
      <c r="F766" s="4">
        <f>Data!H765</f>
        <v/>
      </c>
      <c r="G766" s="4">
        <f>SUM(Data!Q765:Data!Y765)</f>
        <v/>
      </c>
      <c r="H766" s="4">
        <f>Data!Z765</f>
        <v/>
      </c>
      <c r="I766" s="4">
        <f>Data!AB765</f>
        <v/>
      </c>
      <c r="J766" s="4">
        <f>Data!AD765</f>
        <v/>
      </c>
      <c r="K766" s="4">
        <f>Data!AE765</f>
        <v/>
      </c>
      <c r="L766" s="4">
        <f>Data!AF765</f>
        <v/>
      </c>
      <c r="M766" s="4">
        <f>Data!AG765</f>
        <v/>
      </c>
      <c r="N766" s="4">
        <f>Data!AH765</f>
        <v/>
      </c>
      <c r="O766" s="4">
        <f>Data!AI765</f>
        <v/>
      </c>
      <c r="P766" s="4">
        <f>Data!AJ765</f>
        <v/>
      </c>
      <c r="Q766" s="4">
        <f>Data!AK765</f>
        <v/>
      </c>
      <c r="R766" s="4">
        <f>Data!AL765</f>
        <v/>
      </c>
    </row>
    <row r="767">
      <c r="A767" s="4">
        <f>Data!A766</f>
        <v/>
      </c>
      <c r="B767" s="4">
        <f>Data!B766</f>
        <v/>
      </c>
      <c r="C767" s="4">
        <f>Data!C766</f>
        <v/>
      </c>
      <c r="D767" s="4">
        <f>Data!I766</f>
        <v/>
      </c>
      <c r="E767" s="4">
        <f>Data!J766</f>
        <v/>
      </c>
      <c r="F767" s="4">
        <f>Data!H766</f>
        <v/>
      </c>
      <c r="G767" s="4">
        <f>SUM(Data!Q766:Data!Y766)</f>
        <v/>
      </c>
      <c r="H767" s="4">
        <f>Data!Z766</f>
        <v/>
      </c>
      <c r="I767" s="4">
        <f>Data!AB766</f>
        <v/>
      </c>
      <c r="J767" s="4">
        <f>Data!AD766</f>
        <v/>
      </c>
      <c r="K767" s="4">
        <f>Data!AE766</f>
        <v/>
      </c>
      <c r="L767" s="4">
        <f>Data!AF766</f>
        <v/>
      </c>
      <c r="M767" s="4">
        <f>Data!AG766</f>
        <v/>
      </c>
      <c r="N767" s="4">
        <f>Data!AH766</f>
        <v/>
      </c>
      <c r="O767" s="4">
        <f>Data!AI766</f>
        <v/>
      </c>
      <c r="P767" s="4">
        <f>Data!AJ766</f>
        <v/>
      </c>
      <c r="Q767" s="4">
        <f>Data!AK766</f>
        <v/>
      </c>
      <c r="R767" s="4">
        <f>Data!AL766</f>
        <v/>
      </c>
    </row>
    <row r="768">
      <c r="A768" s="4">
        <f>Data!A767</f>
        <v/>
      </c>
      <c r="B768" s="4">
        <f>Data!B767</f>
        <v/>
      </c>
      <c r="C768" s="4">
        <f>Data!C767</f>
        <v/>
      </c>
      <c r="D768" s="4">
        <f>Data!I767</f>
        <v/>
      </c>
      <c r="E768" s="4">
        <f>Data!J767</f>
        <v/>
      </c>
      <c r="F768" s="4">
        <f>Data!H767</f>
        <v/>
      </c>
      <c r="G768" s="4">
        <f>SUM(Data!Q767:Data!Y767)</f>
        <v/>
      </c>
      <c r="H768" s="4">
        <f>Data!Z767</f>
        <v/>
      </c>
      <c r="I768" s="4">
        <f>Data!AB767</f>
        <v/>
      </c>
      <c r="J768" s="4">
        <f>Data!AD767</f>
        <v/>
      </c>
      <c r="K768" s="4">
        <f>Data!AE767</f>
        <v/>
      </c>
      <c r="L768" s="4">
        <f>Data!AF767</f>
        <v/>
      </c>
      <c r="M768" s="4">
        <f>Data!AG767</f>
        <v/>
      </c>
      <c r="N768" s="4">
        <f>Data!AH767</f>
        <v/>
      </c>
      <c r="O768" s="4">
        <f>Data!AI767</f>
        <v/>
      </c>
      <c r="P768" s="4">
        <f>Data!AJ767</f>
        <v/>
      </c>
      <c r="Q768" s="4">
        <f>Data!AK767</f>
        <v/>
      </c>
      <c r="R768" s="4">
        <f>Data!AL767</f>
        <v/>
      </c>
    </row>
    <row r="769">
      <c r="A769" s="4">
        <f>Data!A768</f>
        <v/>
      </c>
      <c r="B769" s="4">
        <f>Data!B768</f>
        <v/>
      </c>
      <c r="C769" s="4">
        <f>Data!C768</f>
        <v/>
      </c>
      <c r="D769" s="4">
        <f>Data!I768</f>
        <v/>
      </c>
      <c r="E769" s="4">
        <f>Data!J768</f>
        <v/>
      </c>
      <c r="F769" s="4">
        <f>Data!H768</f>
        <v/>
      </c>
      <c r="G769" s="4">
        <f>SUM(Data!Q768:Data!Y768)</f>
        <v/>
      </c>
      <c r="H769" s="4">
        <f>Data!Z768</f>
        <v/>
      </c>
      <c r="I769" s="4">
        <f>Data!AB768</f>
        <v/>
      </c>
      <c r="J769" s="4">
        <f>Data!AD768</f>
        <v/>
      </c>
      <c r="K769" s="4">
        <f>Data!AE768</f>
        <v/>
      </c>
      <c r="L769" s="4">
        <f>Data!AF768</f>
        <v/>
      </c>
      <c r="M769" s="4">
        <f>Data!AG768</f>
        <v/>
      </c>
      <c r="N769" s="4">
        <f>Data!AH768</f>
        <v/>
      </c>
      <c r="O769" s="4">
        <f>Data!AI768</f>
        <v/>
      </c>
      <c r="P769" s="4">
        <f>Data!AJ768</f>
        <v/>
      </c>
      <c r="Q769" s="4">
        <f>Data!AK768</f>
        <v/>
      </c>
      <c r="R769" s="4">
        <f>Data!AL768</f>
        <v/>
      </c>
    </row>
    <row r="770">
      <c r="A770" s="4">
        <f>Data!A769</f>
        <v/>
      </c>
      <c r="B770" s="4">
        <f>Data!B769</f>
        <v/>
      </c>
      <c r="C770" s="4">
        <f>Data!C769</f>
        <v/>
      </c>
      <c r="D770" s="4">
        <f>Data!I769</f>
        <v/>
      </c>
      <c r="E770" s="4">
        <f>Data!J769</f>
        <v/>
      </c>
      <c r="F770" s="4">
        <f>Data!H769</f>
        <v/>
      </c>
      <c r="G770" s="4">
        <f>SUM(Data!Q769:Data!Y769)</f>
        <v/>
      </c>
      <c r="H770" s="4">
        <f>Data!Z769</f>
        <v/>
      </c>
      <c r="I770" s="4">
        <f>Data!AB769</f>
        <v/>
      </c>
      <c r="J770" s="4">
        <f>Data!AD769</f>
        <v/>
      </c>
      <c r="K770" s="4">
        <f>Data!AE769</f>
        <v/>
      </c>
      <c r="L770" s="4">
        <f>Data!AF769</f>
        <v/>
      </c>
      <c r="M770" s="4">
        <f>Data!AG769</f>
        <v/>
      </c>
      <c r="N770" s="4">
        <f>Data!AH769</f>
        <v/>
      </c>
      <c r="O770" s="4">
        <f>Data!AI769</f>
        <v/>
      </c>
      <c r="P770" s="4">
        <f>Data!AJ769</f>
        <v/>
      </c>
      <c r="Q770" s="4">
        <f>Data!AK769</f>
        <v/>
      </c>
      <c r="R770" s="4">
        <f>Data!AL769</f>
        <v/>
      </c>
    </row>
    <row r="771">
      <c r="A771" s="4">
        <f>Data!A770</f>
        <v/>
      </c>
      <c r="B771" s="4">
        <f>Data!B770</f>
        <v/>
      </c>
      <c r="C771" s="4">
        <f>Data!C770</f>
        <v/>
      </c>
      <c r="D771" s="4">
        <f>Data!I770</f>
        <v/>
      </c>
      <c r="E771" s="4">
        <f>Data!J770</f>
        <v/>
      </c>
      <c r="F771" s="4">
        <f>Data!H770</f>
        <v/>
      </c>
      <c r="G771" s="4">
        <f>SUM(Data!Q770:Data!Y770)</f>
        <v/>
      </c>
      <c r="H771" s="4">
        <f>Data!Z770</f>
        <v/>
      </c>
      <c r="I771" s="4">
        <f>Data!AB770</f>
        <v/>
      </c>
      <c r="J771" s="4">
        <f>Data!AD770</f>
        <v/>
      </c>
      <c r="K771" s="4">
        <f>Data!AE770</f>
        <v/>
      </c>
      <c r="L771" s="4">
        <f>Data!AF770</f>
        <v/>
      </c>
      <c r="M771" s="4">
        <f>Data!AG770</f>
        <v/>
      </c>
      <c r="N771" s="4">
        <f>Data!AH770</f>
        <v/>
      </c>
      <c r="O771" s="4">
        <f>Data!AI770</f>
        <v/>
      </c>
      <c r="P771" s="4">
        <f>Data!AJ770</f>
        <v/>
      </c>
      <c r="Q771" s="4">
        <f>Data!AK770</f>
        <v/>
      </c>
      <c r="R771" s="4">
        <f>Data!AL770</f>
        <v/>
      </c>
    </row>
    <row r="772">
      <c r="A772" s="4">
        <f>Data!A771</f>
        <v/>
      </c>
      <c r="B772" s="4">
        <f>Data!B771</f>
        <v/>
      </c>
      <c r="C772" s="4">
        <f>Data!C771</f>
        <v/>
      </c>
      <c r="D772" s="4">
        <f>Data!I771</f>
        <v/>
      </c>
      <c r="E772" s="4">
        <f>Data!J771</f>
        <v/>
      </c>
      <c r="F772" s="4">
        <f>Data!H771</f>
        <v/>
      </c>
      <c r="G772" s="4">
        <f>SUM(Data!Q771:Data!Y771)</f>
        <v/>
      </c>
      <c r="H772" s="4">
        <f>Data!Z771</f>
        <v/>
      </c>
      <c r="I772" s="4">
        <f>Data!AB771</f>
        <v/>
      </c>
      <c r="J772" s="4">
        <f>Data!AD771</f>
        <v/>
      </c>
      <c r="K772" s="4">
        <f>Data!AE771</f>
        <v/>
      </c>
      <c r="L772" s="4">
        <f>Data!AF771</f>
        <v/>
      </c>
      <c r="M772" s="4">
        <f>Data!AG771</f>
        <v/>
      </c>
      <c r="N772" s="4">
        <f>Data!AH771</f>
        <v/>
      </c>
      <c r="O772" s="4">
        <f>Data!AI771</f>
        <v/>
      </c>
      <c r="P772" s="4">
        <f>Data!AJ771</f>
        <v/>
      </c>
      <c r="Q772" s="4">
        <f>Data!AK771</f>
        <v/>
      </c>
      <c r="R772" s="4">
        <f>Data!AL771</f>
        <v/>
      </c>
    </row>
    <row r="773">
      <c r="A773" s="4">
        <f>Data!A772</f>
        <v/>
      </c>
      <c r="B773" s="4">
        <f>Data!B772</f>
        <v/>
      </c>
      <c r="C773" s="4">
        <f>Data!C772</f>
        <v/>
      </c>
      <c r="D773" s="4">
        <f>Data!I772</f>
        <v/>
      </c>
      <c r="E773" s="4">
        <f>Data!J772</f>
        <v/>
      </c>
      <c r="F773" s="4">
        <f>Data!H772</f>
        <v/>
      </c>
      <c r="G773" s="4">
        <f>SUM(Data!Q772:Data!Y772)</f>
        <v/>
      </c>
      <c r="H773" s="4">
        <f>Data!Z772</f>
        <v/>
      </c>
      <c r="I773" s="4">
        <f>Data!AB772</f>
        <v/>
      </c>
      <c r="J773" s="4">
        <f>Data!AD772</f>
        <v/>
      </c>
      <c r="K773" s="4">
        <f>Data!AE772</f>
        <v/>
      </c>
      <c r="L773" s="4">
        <f>Data!AF772</f>
        <v/>
      </c>
      <c r="M773" s="4">
        <f>Data!AG772</f>
        <v/>
      </c>
      <c r="N773" s="4">
        <f>Data!AH772</f>
        <v/>
      </c>
      <c r="O773" s="4">
        <f>Data!AI772</f>
        <v/>
      </c>
      <c r="P773" s="4">
        <f>Data!AJ772</f>
        <v/>
      </c>
      <c r="Q773" s="4">
        <f>Data!AK772</f>
        <v/>
      </c>
      <c r="R773" s="4">
        <f>Data!AL772</f>
        <v/>
      </c>
    </row>
    <row r="774">
      <c r="A774" s="4">
        <f>Data!A773</f>
        <v/>
      </c>
      <c r="B774" s="4">
        <f>Data!B773</f>
        <v/>
      </c>
      <c r="C774" s="4">
        <f>Data!C773</f>
        <v/>
      </c>
      <c r="D774" s="4">
        <f>Data!I773</f>
        <v/>
      </c>
      <c r="E774" s="4">
        <f>Data!J773</f>
        <v/>
      </c>
      <c r="F774" s="4">
        <f>Data!H773</f>
        <v/>
      </c>
      <c r="G774" s="4">
        <f>SUM(Data!Q773:Data!Y773)</f>
        <v/>
      </c>
      <c r="H774" s="4">
        <f>Data!Z773</f>
        <v/>
      </c>
      <c r="I774" s="4">
        <f>Data!AB773</f>
        <v/>
      </c>
      <c r="J774" s="4">
        <f>Data!AD773</f>
        <v/>
      </c>
      <c r="K774" s="4">
        <f>Data!AE773</f>
        <v/>
      </c>
      <c r="L774" s="4">
        <f>Data!AF773</f>
        <v/>
      </c>
      <c r="M774" s="4">
        <f>Data!AG773</f>
        <v/>
      </c>
      <c r="N774" s="4">
        <f>Data!AH773</f>
        <v/>
      </c>
      <c r="O774" s="4">
        <f>Data!AI773</f>
        <v/>
      </c>
      <c r="P774" s="4">
        <f>Data!AJ773</f>
        <v/>
      </c>
      <c r="Q774" s="4">
        <f>Data!AK773</f>
        <v/>
      </c>
      <c r="R774" s="4">
        <f>Data!AL773</f>
        <v/>
      </c>
    </row>
    <row r="775">
      <c r="A775" s="4">
        <f>Data!A774</f>
        <v/>
      </c>
      <c r="B775" s="4">
        <f>Data!B774</f>
        <v/>
      </c>
      <c r="C775" s="4">
        <f>Data!C774</f>
        <v/>
      </c>
      <c r="D775" s="4">
        <f>Data!I774</f>
        <v/>
      </c>
      <c r="E775" s="4">
        <f>Data!J774</f>
        <v/>
      </c>
      <c r="F775" s="4">
        <f>Data!H774</f>
        <v/>
      </c>
      <c r="G775" s="4">
        <f>SUM(Data!Q774:Data!Y774)</f>
        <v/>
      </c>
      <c r="H775" s="4">
        <f>Data!Z774</f>
        <v/>
      </c>
      <c r="I775" s="4">
        <f>Data!AB774</f>
        <v/>
      </c>
      <c r="J775" s="4">
        <f>Data!AD774</f>
        <v/>
      </c>
      <c r="K775" s="4">
        <f>Data!AE774</f>
        <v/>
      </c>
      <c r="L775" s="4">
        <f>Data!AF774</f>
        <v/>
      </c>
      <c r="M775" s="4">
        <f>Data!AG774</f>
        <v/>
      </c>
      <c r="N775" s="4">
        <f>Data!AH774</f>
        <v/>
      </c>
      <c r="O775" s="4">
        <f>Data!AI774</f>
        <v/>
      </c>
      <c r="P775" s="4">
        <f>Data!AJ774</f>
        <v/>
      </c>
      <c r="Q775" s="4">
        <f>Data!AK774</f>
        <v/>
      </c>
      <c r="R775" s="4">
        <f>Data!AL774</f>
        <v/>
      </c>
    </row>
    <row r="776">
      <c r="A776" s="4">
        <f>Data!A775</f>
        <v/>
      </c>
      <c r="B776" s="4">
        <f>Data!B775</f>
        <v/>
      </c>
      <c r="C776" s="4">
        <f>Data!C775</f>
        <v/>
      </c>
      <c r="D776" s="4">
        <f>Data!I775</f>
        <v/>
      </c>
      <c r="E776" s="4">
        <f>Data!J775</f>
        <v/>
      </c>
      <c r="F776" s="4">
        <f>Data!H775</f>
        <v/>
      </c>
      <c r="G776" s="4">
        <f>SUM(Data!Q775:Data!Y775)</f>
        <v/>
      </c>
      <c r="H776" s="4">
        <f>Data!Z775</f>
        <v/>
      </c>
      <c r="I776" s="4">
        <f>Data!AB775</f>
        <v/>
      </c>
      <c r="J776" s="4">
        <f>Data!AD775</f>
        <v/>
      </c>
      <c r="K776" s="4">
        <f>Data!AE775</f>
        <v/>
      </c>
      <c r="L776" s="4">
        <f>Data!AF775</f>
        <v/>
      </c>
      <c r="M776" s="4">
        <f>Data!AG775</f>
        <v/>
      </c>
      <c r="N776" s="4">
        <f>Data!AH775</f>
        <v/>
      </c>
      <c r="O776" s="4">
        <f>Data!AI775</f>
        <v/>
      </c>
      <c r="P776" s="4">
        <f>Data!AJ775</f>
        <v/>
      </c>
      <c r="Q776" s="4">
        <f>Data!AK775</f>
        <v/>
      </c>
      <c r="R776" s="4">
        <f>Data!AL775</f>
        <v/>
      </c>
    </row>
    <row r="777">
      <c r="A777" s="4">
        <f>Data!A776</f>
        <v/>
      </c>
      <c r="B777" s="4">
        <f>Data!B776</f>
        <v/>
      </c>
      <c r="C777" s="4">
        <f>Data!C776</f>
        <v/>
      </c>
      <c r="D777" s="4">
        <f>Data!I776</f>
        <v/>
      </c>
      <c r="E777" s="4">
        <f>Data!J776</f>
        <v/>
      </c>
      <c r="F777" s="4">
        <f>Data!H776</f>
        <v/>
      </c>
      <c r="G777" s="4">
        <f>SUM(Data!Q776:Data!Y776)</f>
        <v/>
      </c>
      <c r="H777" s="4">
        <f>Data!Z776</f>
        <v/>
      </c>
      <c r="I777" s="4">
        <f>Data!AB776</f>
        <v/>
      </c>
      <c r="J777" s="4">
        <f>Data!AD776</f>
        <v/>
      </c>
      <c r="K777" s="4">
        <f>Data!AE776</f>
        <v/>
      </c>
      <c r="L777" s="4">
        <f>Data!AF776</f>
        <v/>
      </c>
      <c r="M777" s="4">
        <f>Data!AG776</f>
        <v/>
      </c>
      <c r="N777" s="4">
        <f>Data!AH776</f>
        <v/>
      </c>
      <c r="O777" s="4">
        <f>Data!AI776</f>
        <v/>
      </c>
      <c r="P777" s="4">
        <f>Data!AJ776</f>
        <v/>
      </c>
      <c r="Q777" s="4">
        <f>Data!AK776</f>
        <v/>
      </c>
      <c r="R777" s="4">
        <f>Data!AL776</f>
        <v/>
      </c>
    </row>
    <row r="778">
      <c r="A778" s="4">
        <f>Data!A777</f>
        <v/>
      </c>
      <c r="B778" s="4">
        <f>Data!B777</f>
        <v/>
      </c>
      <c r="C778" s="4">
        <f>Data!C777</f>
        <v/>
      </c>
      <c r="D778" s="4">
        <f>Data!I777</f>
        <v/>
      </c>
      <c r="E778" s="4">
        <f>Data!J777</f>
        <v/>
      </c>
      <c r="F778" s="4">
        <f>Data!H777</f>
        <v/>
      </c>
      <c r="G778" s="4">
        <f>SUM(Data!Q777:Data!Y777)</f>
        <v/>
      </c>
      <c r="H778" s="4">
        <f>Data!Z777</f>
        <v/>
      </c>
      <c r="I778" s="4">
        <f>Data!AB777</f>
        <v/>
      </c>
      <c r="J778" s="4">
        <f>Data!AD777</f>
        <v/>
      </c>
      <c r="K778" s="4">
        <f>Data!AE777</f>
        <v/>
      </c>
      <c r="L778" s="4">
        <f>Data!AF777</f>
        <v/>
      </c>
      <c r="M778" s="4">
        <f>Data!AG777</f>
        <v/>
      </c>
      <c r="N778" s="4">
        <f>Data!AH777</f>
        <v/>
      </c>
      <c r="O778" s="4">
        <f>Data!AI777</f>
        <v/>
      </c>
      <c r="P778" s="4">
        <f>Data!AJ777</f>
        <v/>
      </c>
      <c r="Q778" s="4">
        <f>Data!AK777</f>
        <v/>
      </c>
      <c r="R778" s="4">
        <f>Data!AL777</f>
        <v/>
      </c>
    </row>
    <row r="779">
      <c r="A779" s="4">
        <f>Data!A778</f>
        <v/>
      </c>
      <c r="B779" s="4">
        <f>Data!B778</f>
        <v/>
      </c>
      <c r="C779" s="4">
        <f>Data!C778</f>
        <v/>
      </c>
      <c r="D779" s="4">
        <f>Data!I778</f>
        <v/>
      </c>
      <c r="E779" s="4">
        <f>Data!J778</f>
        <v/>
      </c>
      <c r="F779" s="4">
        <f>Data!H778</f>
        <v/>
      </c>
      <c r="G779" s="4">
        <f>SUM(Data!Q778:Data!Y778)</f>
        <v/>
      </c>
      <c r="H779" s="4">
        <f>Data!Z778</f>
        <v/>
      </c>
      <c r="I779" s="4">
        <f>Data!AB778</f>
        <v/>
      </c>
      <c r="J779" s="4">
        <f>Data!AD778</f>
        <v/>
      </c>
      <c r="K779" s="4">
        <f>Data!AE778</f>
        <v/>
      </c>
      <c r="L779" s="4">
        <f>Data!AF778</f>
        <v/>
      </c>
      <c r="M779" s="4">
        <f>Data!AG778</f>
        <v/>
      </c>
      <c r="N779" s="4">
        <f>Data!AH778</f>
        <v/>
      </c>
      <c r="O779" s="4">
        <f>Data!AI778</f>
        <v/>
      </c>
      <c r="P779" s="4">
        <f>Data!AJ778</f>
        <v/>
      </c>
      <c r="Q779" s="4">
        <f>Data!AK778</f>
        <v/>
      </c>
      <c r="R779" s="4">
        <f>Data!AL778</f>
        <v/>
      </c>
    </row>
    <row r="780">
      <c r="A780" s="4">
        <f>Data!A779</f>
        <v/>
      </c>
      <c r="B780" s="4">
        <f>Data!B779</f>
        <v/>
      </c>
      <c r="C780" s="4">
        <f>Data!C779</f>
        <v/>
      </c>
      <c r="D780" s="4">
        <f>Data!I779</f>
        <v/>
      </c>
      <c r="E780" s="4">
        <f>Data!J779</f>
        <v/>
      </c>
      <c r="F780" s="4">
        <f>Data!H779</f>
        <v/>
      </c>
      <c r="G780" s="4">
        <f>SUM(Data!Q779:Data!Y779)</f>
        <v/>
      </c>
      <c r="H780" s="4">
        <f>Data!Z779</f>
        <v/>
      </c>
      <c r="I780" s="4">
        <f>Data!AB779</f>
        <v/>
      </c>
      <c r="J780" s="4">
        <f>Data!AD779</f>
        <v/>
      </c>
      <c r="K780" s="4">
        <f>Data!AE779</f>
        <v/>
      </c>
      <c r="L780" s="4">
        <f>Data!AF779</f>
        <v/>
      </c>
      <c r="M780" s="4">
        <f>Data!AG779</f>
        <v/>
      </c>
      <c r="N780" s="4">
        <f>Data!AH779</f>
        <v/>
      </c>
      <c r="O780" s="4">
        <f>Data!AI779</f>
        <v/>
      </c>
      <c r="P780" s="4">
        <f>Data!AJ779</f>
        <v/>
      </c>
      <c r="Q780" s="4">
        <f>Data!AK779</f>
        <v/>
      </c>
      <c r="R780" s="4">
        <f>Data!AL779</f>
        <v/>
      </c>
    </row>
    <row r="781">
      <c r="A781" s="4">
        <f>Data!A780</f>
        <v/>
      </c>
      <c r="B781" s="4">
        <f>Data!B780</f>
        <v/>
      </c>
      <c r="C781" s="4">
        <f>Data!C780</f>
        <v/>
      </c>
      <c r="D781" s="4">
        <f>Data!I780</f>
        <v/>
      </c>
      <c r="E781" s="4">
        <f>Data!J780</f>
        <v/>
      </c>
      <c r="F781" s="4">
        <f>Data!H780</f>
        <v/>
      </c>
      <c r="G781" s="4">
        <f>SUM(Data!Q780:Data!Y780)</f>
        <v/>
      </c>
      <c r="H781" s="4">
        <f>Data!Z780</f>
        <v/>
      </c>
      <c r="I781" s="4">
        <f>Data!AB780</f>
        <v/>
      </c>
      <c r="J781" s="4">
        <f>Data!AD780</f>
        <v/>
      </c>
      <c r="K781" s="4">
        <f>Data!AE780</f>
        <v/>
      </c>
      <c r="L781" s="4">
        <f>Data!AF780</f>
        <v/>
      </c>
      <c r="M781" s="4">
        <f>Data!AG780</f>
        <v/>
      </c>
      <c r="N781" s="4">
        <f>Data!AH780</f>
        <v/>
      </c>
      <c r="O781" s="4">
        <f>Data!AI780</f>
        <v/>
      </c>
      <c r="P781" s="4">
        <f>Data!AJ780</f>
        <v/>
      </c>
      <c r="Q781" s="4">
        <f>Data!AK780</f>
        <v/>
      </c>
      <c r="R781" s="4">
        <f>Data!AL780</f>
        <v/>
      </c>
    </row>
    <row r="782">
      <c r="A782" s="4">
        <f>Data!A781</f>
        <v/>
      </c>
      <c r="B782" s="4">
        <f>Data!B781</f>
        <v/>
      </c>
      <c r="C782" s="4">
        <f>Data!C781</f>
        <v/>
      </c>
      <c r="D782" s="4">
        <f>Data!I781</f>
        <v/>
      </c>
      <c r="E782" s="4">
        <f>Data!J781</f>
        <v/>
      </c>
      <c r="F782" s="4">
        <f>Data!H781</f>
        <v/>
      </c>
      <c r="G782" s="4">
        <f>SUM(Data!Q781:Data!Y781)</f>
        <v/>
      </c>
      <c r="H782" s="4">
        <f>Data!Z781</f>
        <v/>
      </c>
      <c r="I782" s="4">
        <f>Data!AB781</f>
        <v/>
      </c>
      <c r="J782" s="4">
        <f>Data!AD781</f>
        <v/>
      </c>
      <c r="K782" s="4">
        <f>Data!AE781</f>
        <v/>
      </c>
      <c r="L782" s="4">
        <f>Data!AF781</f>
        <v/>
      </c>
      <c r="M782" s="4">
        <f>Data!AG781</f>
        <v/>
      </c>
      <c r="N782" s="4">
        <f>Data!AH781</f>
        <v/>
      </c>
      <c r="O782" s="4">
        <f>Data!AI781</f>
        <v/>
      </c>
      <c r="P782" s="4">
        <f>Data!AJ781</f>
        <v/>
      </c>
      <c r="Q782" s="4">
        <f>Data!AK781</f>
        <v/>
      </c>
      <c r="R782" s="4">
        <f>Data!AL781</f>
        <v/>
      </c>
    </row>
    <row r="783">
      <c r="A783" s="4">
        <f>Data!A782</f>
        <v/>
      </c>
      <c r="B783" s="4">
        <f>Data!B782</f>
        <v/>
      </c>
      <c r="C783" s="4">
        <f>Data!C782</f>
        <v/>
      </c>
      <c r="D783" s="4">
        <f>Data!I782</f>
        <v/>
      </c>
      <c r="E783" s="4">
        <f>Data!J782</f>
        <v/>
      </c>
      <c r="F783" s="4">
        <f>Data!H782</f>
        <v/>
      </c>
      <c r="G783" s="4">
        <f>SUM(Data!Q782:Data!Y782)</f>
        <v/>
      </c>
      <c r="H783" s="4">
        <f>Data!Z782</f>
        <v/>
      </c>
      <c r="I783" s="4">
        <f>Data!AB782</f>
        <v/>
      </c>
      <c r="J783" s="4">
        <f>Data!AD782</f>
        <v/>
      </c>
      <c r="K783" s="4">
        <f>Data!AE782</f>
        <v/>
      </c>
      <c r="L783" s="4">
        <f>Data!AF782</f>
        <v/>
      </c>
      <c r="M783" s="4">
        <f>Data!AG782</f>
        <v/>
      </c>
      <c r="N783" s="4">
        <f>Data!AH782</f>
        <v/>
      </c>
      <c r="O783" s="4">
        <f>Data!AI782</f>
        <v/>
      </c>
      <c r="P783" s="4">
        <f>Data!AJ782</f>
        <v/>
      </c>
      <c r="Q783" s="4">
        <f>Data!AK782</f>
        <v/>
      </c>
      <c r="R783" s="4">
        <f>Data!AL782</f>
        <v/>
      </c>
    </row>
    <row r="784">
      <c r="A784" s="4">
        <f>Data!A783</f>
        <v/>
      </c>
      <c r="B784" s="4">
        <f>Data!B783</f>
        <v/>
      </c>
      <c r="C784" s="4">
        <f>Data!C783</f>
        <v/>
      </c>
      <c r="D784" s="4">
        <f>Data!I783</f>
        <v/>
      </c>
      <c r="E784" s="4">
        <f>Data!J783</f>
        <v/>
      </c>
      <c r="F784" s="4">
        <f>Data!H783</f>
        <v/>
      </c>
      <c r="G784" s="4">
        <f>SUM(Data!Q783:Data!Y783)</f>
        <v/>
      </c>
      <c r="H784" s="4">
        <f>Data!Z783</f>
        <v/>
      </c>
      <c r="I784" s="4">
        <f>Data!AB783</f>
        <v/>
      </c>
      <c r="J784" s="4">
        <f>Data!AD783</f>
        <v/>
      </c>
      <c r="K784" s="4">
        <f>Data!AE783</f>
        <v/>
      </c>
      <c r="L784" s="4">
        <f>Data!AF783</f>
        <v/>
      </c>
      <c r="M784" s="4">
        <f>Data!AG783</f>
        <v/>
      </c>
      <c r="N784" s="4">
        <f>Data!AH783</f>
        <v/>
      </c>
      <c r="O784" s="4">
        <f>Data!AI783</f>
        <v/>
      </c>
      <c r="P784" s="4">
        <f>Data!AJ783</f>
        <v/>
      </c>
      <c r="Q784" s="4">
        <f>Data!AK783</f>
        <v/>
      </c>
      <c r="R784" s="4">
        <f>Data!AL783</f>
        <v/>
      </c>
    </row>
    <row r="785">
      <c r="A785" s="4">
        <f>Data!A784</f>
        <v/>
      </c>
      <c r="B785" s="4">
        <f>Data!B784</f>
        <v/>
      </c>
      <c r="C785" s="4">
        <f>Data!C784</f>
        <v/>
      </c>
      <c r="D785" s="4">
        <f>Data!I784</f>
        <v/>
      </c>
      <c r="E785" s="4">
        <f>Data!J784</f>
        <v/>
      </c>
      <c r="F785" s="4">
        <f>Data!H784</f>
        <v/>
      </c>
      <c r="G785" s="4">
        <f>SUM(Data!Q784:Data!Y784)</f>
        <v/>
      </c>
      <c r="H785" s="4">
        <f>Data!Z784</f>
        <v/>
      </c>
      <c r="I785" s="4">
        <f>Data!AB784</f>
        <v/>
      </c>
      <c r="J785" s="4">
        <f>Data!AD784</f>
        <v/>
      </c>
      <c r="K785" s="4">
        <f>Data!AE784</f>
        <v/>
      </c>
      <c r="L785" s="4">
        <f>Data!AF784</f>
        <v/>
      </c>
      <c r="M785" s="4">
        <f>Data!AG784</f>
        <v/>
      </c>
      <c r="N785" s="4">
        <f>Data!AH784</f>
        <v/>
      </c>
      <c r="O785" s="4">
        <f>Data!AI784</f>
        <v/>
      </c>
      <c r="P785" s="4">
        <f>Data!AJ784</f>
        <v/>
      </c>
      <c r="Q785" s="4">
        <f>Data!AK784</f>
        <v/>
      </c>
      <c r="R785" s="4">
        <f>Data!AL784</f>
        <v/>
      </c>
    </row>
    <row r="786">
      <c r="A786" s="4">
        <f>Data!A785</f>
        <v/>
      </c>
      <c r="B786" s="4">
        <f>Data!B785</f>
        <v/>
      </c>
      <c r="C786" s="4">
        <f>Data!C785</f>
        <v/>
      </c>
      <c r="D786" s="4">
        <f>Data!I785</f>
        <v/>
      </c>
      <c r="E786" s="4">
        <f>Data!J785</f>
        <v/>
      </c>
      <c r="F786" s="4">
        <f>Data!H785</f>
        <v/>
      </c>
      <c r="G786" s="4">
        <f>SUM(Data!Q785:Data!Y785)</f>
        <v/>
      </c>
      <c r="H786" s="4">
        <f>Data!Z785</f>
        <v/>
      </c>
      <c r="I786" s="4">
        <f>Data!AB785</f>
        <v/>
      </c>
      <c r="J786" s="4">
        <f>Data!AD785</f>
        <v/>
      </c>
      <c r="K786" s="4">
        <f>Data!AE785</f>
        <v/>
      </c>
      <c r="L786" s="4">
        <f>Data!AF785</f>
        <v/>
      </c>
      <c r="M786" s="4">
        <f>Data!AG785</f>
        <v/>
      </c>
      <c r="N786" s="4">
        <f>Data!AH785</f>
        <v/>
      </c>
      <c r="O786" s="4">
        <f>Data!AI785</f>
        <v/>
      </c>
      <c r="P786" s="4">
        <f>Data!AJ785</f>
        <v/>
      </c>
      <c r="Q786" s="4">
        <f>Data!AK785</f>
        <v/>
      </c>
      <c r="R786" s="4">
        <f>Data!AL785</f>
        <v/>
      </c>
    </row>
    <row r="787">
      <c r="A787" s="4">
        <f>Data!A786</f>
        <v/>
      </c>
      <c r="B787" s="4">
        <f>Data!B786</f>
        <v/>
      </c>
      <c r="C787" s="4">
        <f>Data!C786</f>
        <v/>
      </c>
      <c r="D787" s="4">
        <f>Data!I786</f>
        <v/>
      </c>
      <c r="E787" s="4">
        <f>Data!J786</f>
        <v/>
      </c>
      <c r="F787" s="4">
        <f>Data!H786</f>
        <v/>
      </c>
      <c r="G787" s="4">
        <f>SUM(Data!Q786:Data!Y786)</f>
        <v/>
      </c>
      <c r="H787" s="4">
        <f>Data!Z786</f>
        <v/>
      </c>
      <c r="I787" s="4">
        <f>Data!AB786</f>
        <v/>
      </c>
      <c r="J787" s="4">
        <f>Data!AD786</f>
        <v/>
      </c>
      <c r="K787" s="4">
        <f>Data!AE786</f>
        <v/>
      </c>
      <c r="L787" s="4">
        <f>Data!AF786</f>
        <v/>
      </c>
      <c r="M787" s="4">
        <f>Data!AG786</f>
        <v/>
      </c>
      <c r="N787" s="4">
        <f>Data!AH786</f>
        <v/>
      </c>
      <c r="O787" s="4">
        <f>Data!AI786</f>
        <v/>
      </c>
      <c r="P787" s="4">
        <f>Data!AJ786</f>
        <v/>
      </c>
      <c r="Q787" s="4">
        <f>Data!AK786</f>
        <v/>
      </c>
      <c r="R787" s="4">
        <f>Data!AL786</f>
        <v/>
      </c>
    </row>
    <row r="788">
      <c r="A788" s="4">
        <f>Data!A787</f>
        <v/>
      </c>
      <c r="B788" s="4">
        <f>Data!B787</f>
        <v/>
      </c>
      <c r="C788" s="4">
        <f>Data!C787</f>
        <v/>
      </c>
      <c r="D788" s="4">
        <f>Data!I787</f>
        <v/>
      </c>
      <c r="E788" s="4">
        <f>Data!J787</f>
        <v/>
      </c>
      <c r="F788" s="4">
        <f>Data!H787</f>
        <v/>
      </c>
      <c r="G788" s="4">
        <f>SUM(Data!Q787:Data!Y787)</f>
        <v/>
      </c>
      <c r="H788" s="4">
        <f>Data!Z787</f>
        <v/>
      </c>
      <c r="I788" s="4">
        <f>Data!AB787</f>
        <v/>
      </c>
      <c r="J788" s="4">
        <f>Data!AD787</f>
        <v/>
      </c>
      <c r="K788" s="4">
        <f>Data!AE787</f>
        <v/>
      </c>
      <c r="L788" s="4">
        <f>Data!AF787</f>
        <v/>
      </c>
      <c r="M788" s="4">
        <f>Data!AG787</f>
        <v/>
      </c>
      <c r="N788" s="4">
        <f>Data!AH787</f>
        <v/>
      </c>
      <c r="O788" s="4">
        <f>Data!AI787</f>
        <v/>
      </c>
      <c r="P788" s="4">
        <f>Data!AJ787</f>
        <v/>
      </c>
      <c r="Q788" s="4">
        <f>Data!AK787</f>
        <v/>
      </c>
      <c r="R788" s="4">
        <f>Data!AL787</f>
        <v/>
      </c>
    </row>
    <row r="789">
      <c r="A789" s="4">
        <f>Data!A788</f>
        <v/>
      </c>
      <c r="B789" s="4">
        <f>Data!B788</f>
        <v/>
      </c>
      <c r="C789" s="4">
        <f>Data!C788</f>
        <v/>
      </c>
      <c r="D789" s="4">
        <f>Data!I788</f>
        <v/>
      </c>
      <c r="E789" s="4">
        <f>Data!J788</f>
        <v/>
      </c>
      <c r="F789" s="4">
        <f>Data!H788</f>
        <v/>
      </c>
      <c r="G789" s="4">
        <f>SUM(Data!Q788:Data!Y788)</f>
        <v/>
      </c>
      <c r="H789" s="4">
        <f>Data!Z788</f>
        <v/>
      </c>
      <c r="I789" s="4">
        <f>Data!AB788</f>
        <v/>
      </c>
      <c r="J789" s="4">
        <f>Data!AD788</f>
        <v/>
      </c>
      <c r="K789" s="4">
        <f>Data!AE788</f>
        <v/>
      </c>
      <c r="L789" s="4">
        <f>Data!AF788</f>
        <v/>
      </c>
      <c r="M789" s="4">
        <f>Data!AG788</f>
        <v/>
      </c>
      <c r="N789" s="4">
        <f>Data!AH788</f>
        <v/>
      </c>
      <c r="O789" s="4">
        <f>Data!AI788</f>
        <v/>
      </c>
      <c r="P789" s="4">
        <f>Data!AJ788</f>
        <v/>
      </c>
      <c r="Q789" s="4">
        <f>Data!AK788</f>
        <v/>
      </c>
      <c r="R789" s="4">
        <f>Data!AL788</f>
        <v/>
      </c>
    </row>
    <row r="790">
      <c r="A790" s="4">
        <f>Data!A789</f>
        <v/>
      </c>
      <c r="B790" s="4">
        <f>Data!B789</f>
        <v/>
      </c>
      <c r="C790" s="4">
        <f>Data!C789</f>
        <v/>
      </c>
      <c r="D790" s="4">
        <f>Data!I789</f>
        <v/>
      </c>
      <c r="E790" s="4">
        <f>Data!J789</f>
        <v/>
      </c>
      <c r="F790" s="4">
        <f>Data!H789</f>
        <v/>
      </c>
      <c r="G790" s="4">
        <f>SUM(Data!Q789:Data!Y789)</f>
        <v/>
      </c>
      <c r="H790" s="4">
        <f>Data!Z789</f>
        <v/>
      </c>
      <c r="I790" s="4">
        <f>Data!AB789</f>
        <v/>
      </c>
      <c r="J790" s="4">
        <f>Data!AD789</f>
        <v/>
      </c>
      <c r="K790" s="4">
        <f>Data!AE789</f>
        <v/>
      </c>
      <c r="L790" s="4">
        <f>Data!AF789</f>
        <v/>
      </c>
      <c r="M790" s="4">
        <f>Data!AG789</f>
        <v/>
      </c>
      <c r="N790" s="4">
        <f>Data!AH789</f>
        <v/>
      </c>
      <c r="O790" s="4">
        <f>Data!AI789</f>
        <v/>
      </c>
      <c r="P790" s="4">
        <f>Data!AJ789</f>
        <v/>
      </c>
      <c r="Q790" s="4">
        <f>Data!AK789</f>
        <v/>
      </c>
      <c r="R790" s="4">
        <f>Data!AL789</f>
        <v/>
      </c>
    </row>
    <row r="791">
      <c r="A791" s="4">
        <f>Data!A790</f>
        <v/>
      </c>
      <c r="B791" s="4">
        <f>Data!B790</f>
        <v/>
      </c>
      <c r="C791" s="4">
        <f>Data!C790</f>
        <v/>
      </c>
      <c r="D791" s="4">
        <f>Data!I790</f>
        <v/>
      </c>
      <c r="E791" s="4">
        <f>Data!J790</f>
        <v/>
      </c>
      <c r="F791" s="4">
        <f>Data!H790</f>
        <v/>
      </c>
      <c r="G791" s="4">
        <f>SUM(Data!Q790:Data!Y790)</f>
        <v/>
      </c>
      <c r="H791" s="4">
        <f>Data!Z790</f>
        <v/>
      </c>
      <c r="I791" s="4">
        <f>Data!AB790</f>
        <v/>
      </c>
      <c r="J791" s="4">
        <f>Data!AD790</f>
        <v/>
      </c>
      <c r="K791" s="4">
        <f>Data!AE790</f>
        <v/>
      </c>
      <c r="L791" s="4">
        <f>Data!AF790</f>
        <v/>
      </c>
      <c r="M791" s="4">
        <f>Data!AG790</f>
        <v/>
      </c>
      <c r="N791" s="4">
        <f>Data!AH790</f>
        <v/>
      </c>
      <c r="O791" s="4">
        <f>Data!AI790</f>
        <v/>
      </c>
      <c r="P791" s="4">
        <f>Data!AJ790</f>
        <v/>
      </c>
      <c r="Q791" s="4">
        <f>Data!AK790</f>
        <v/>
      </c>
      <c r="R791" s="4">
        <f>Data!AL790</f>
        <v/>
      </c>
    </row>
    <row r="792">
      <c r="A792" s="4">
        <f>Data!A791</f>
        <v/>
      </c>
      <c r="B792" s="4">
        <f>Data!B791</f>
        <v/>
      </c>
      <c r="C792" s="4">
        <f>Data!C791</f>
        <v/>
      </c>
      <c r="D792" s="4">
        <f>Data!I791</f>
        <v/>
      </c>
      <c r="E792" s="4">
        <f>Data!J791</f>
        <v/>
      </c>
      <c r="F792" s="4">
        <f>Data!H791</f>
        <v/>
      </c>
      <c r="G792" s="4">
        <f>SUM(Data!Q791:Data!Y791)</f>
        <v/>
      </c>
      <c r="H792" s="4">
        <f>Data!Z791</f>
        <v/>
      </c>
      <c r="I792" s="4">
        <f>Data!AB791</f>
        <v/>
      </c>
      <c r="J792" s="4">
        <f>Data!AD791</f>
        <v/>
      </c>
      <c r="K792" s="4">
        <f>Data!AE791</f>
        <v/>
      </c>
      <c r="L792" s="4">
        <f>Data!AF791</f>
        <v/>
      </c>
      <c r="M792" s="4">
        <f>Data!AG791</f>
        <v/>
      </c>
      <c r="N792" s="4">
        <f>Data!AH791</f>
        <v/>
      </c>
      <c r="O792" s="4">
        <f>Data!AI791</f>
        <v/>
      </c>
      <c r="P792" s="4">
        <f>Data!AJ791</f>
        <v/>
      </c>
      <c r="Q792" s="4">
        <f>Data!AK791</f>
        <v/>
      </c>
      <c r="R792" s="4">
        <f>Data!AL791</f>
        <v/>
      </c>
    </row>
    <row r="793">
      <c r="A793" s="4">
        <f>Data!A792</f>
        <v/>
      </c>
      <c r="B793" s="4">
        <f>Data!B792</f>
        <v/>
      </c>
      <c r="C793" s="4">
        <f>Data!C792</f>
        <v/>
      </c>
      <c r="D793" s="4">
        <f>Data!I792</f>
        <v/>
      </c>
      <c r="E793" s="4">
        <f>Data!J792</f>
        <v/>
      </c>
      <c r="F793" s="4">
        <f>Data!H792</f>
        <v/>
      </c>
      <c r="G793" s="4">
        <f>SUM(Data!Q792:Data!Y792)</f>
        <v/>
      </c>
      <c r="H793" s="4">
        <f>Data!Z792</f>
        <v/>
      </c>
      <c r="I793" s="4">
        <f>Data!AB792</f>
        <v/>
      </c>
      <c r="J793" s="4">
        <f>Data!AD792</f>
        <v/>
      </c>
      <c r="K793" s="4">
        <f>Data!AE792</f>
        <v/>
      </c>
      <c r="L793" s="4">
        <f>Data!AF792</f>
        <v/>
      </c>
      <c r="M793" s="4">
        <f>Data!AG792</f>
        <v/>
      </c>
      <c r="N793" s="4">
        <f>Data!AH792</f>
        <v/>
      </c>
      <c r="O793" s="4">
        <f>Data!AI792</f>
        <v/>
      </c>
      <c r="P793" s="4">
        <f>Data!AJ792</f>
        <v/>
      </c>
      <c r="Q793" s="4">
        <f>Data!AK792</f>
        <v/>
      </c>
      <c r="R793" s="4">
        <f>Data!AL792</f>
        <v/>
      </c>
    </row>
    <row r="794">
      <c r="A794" s="4">
        <f>Data!A793</f>
        <v/>
      </c>
      <c r="B794" s="4">
        <f>Data!B793</f>
        <v/>
      </c>
      <c r="C794" s="4">
        <f>Data!C793</f>
        <v/>
      </c>
      <c r="D794" s="4">
        <f>Data!I793</f>
        <v/>
      </c>
      <c r="E794" s="4">
        <f>Data!J793</f>
        <v/>
      </c>
      <c r="F794" s="4">
        <f>Data!H793</f>
        <v/>
      </c>
      <c r="G794" s="4">
        <f>SUM(Data!Q793:Data!Y793)</f>
        <v/>
      </c>
      <c r="H794" s="4">
        <f>Data!Z793</f>
        <v/>
      </c>
      <c r="I794" s="4">
        <f>Data!AB793</f>
        <v/>
      </c>
      <c r="J794" s="4">
        <f>Data!AD793</f>
        <v/>
      </c>
      <c r="K794" s="4">
        <f>Data!AE793</f>
        <v/>
      </c>
      <c r="L794" s="4">
        <f>Data!AF793</f>
        <v/>
      </c>
      <c r="M794" s="4">
        <f>Data!AG793</f>
        <v/>
      </c>
      <c r="N794" s="4">
        <f>Data!AH793</f>
        <v/>
      </c>
      <c r="O794" s="4">
        <f>Data!AI793</f>
        <v/>
      </c>
      <c r="P794" s="4">
        <f>Data!AJ793</f>
        <v/>
      </c>
      <c r="Q794" s="4">
        <f>Data!AK793</f>
        <v/>
      </c>
      <c r="R794" s="4">
        <f>Data!AL793</f>
        <v/>
      </c>
    </row>
    <row r="795">
      <c r="A795" s="4">
        <f>Data!A794</f>
        <v/>
      </c>
      <c r="B795" s="4">
        <f>Data!B794</f>
        <v/>
      </c>
      <c r="C795" s="4">
        <f>Data!C794</f>
        <v/>
      </c>
      <c r="D795" s="4">
        <f>Data!I794</f>
        <v/>
      </c>
      <c r="E795" s="4">
        <f>Data!J794</f>
        <v/>
      </c>
      <c r="F795" s="4">
        <f>Data!H794</f>
        <v/>
      </c>
      <c r="G795" s="4">
        <f>SUM(Data!Q794:Data!Y794)</f>
        <v/>
      </c>
      <c r="H795" s="4">
        <f>Data!Z794</f>
        <v/>
      </c>
      <c r="I795" s="4">
        <f>Data!AB794</f>
        <v/>
      </c>
      <c r="J795" s="4">
        <f>Data!AD794</f>
        <v/>
      </c>
      <c r="K795" s="4">
        <f>Data!AE794</f>
        <v/>
      </c>
      <c r="L795" s="4">
        <f>Data!AF794</f>
        <v/>
      </c>
      <c r="M795" s="4">
        <f>Data!AG794</f>
        <v/>
      </c>
      <c r="N795" s="4">
        <f>Data!AH794</f>
        <v/>
      </c>
      <c r="O795" s="4">
        <f>Data!AI794</f>
        <v/>
      </c>
      <c r="P795" s="4">
        <f>Data!AJ794</f>
        <v/>
      </c>
      <c r="Q795" s="4">
        <f>Data!AK794</f>
        <v/>
      </c>
      <c r="R795" s="4">
        <f>Data!AL794</f>
        <v/>
      </c>
    </row>
    <row r="796">
      <c r="A796" s="4">
        <f>Data!A795</f>
        <v/>
      </c>
      <c r="B796" s="4">
        <f>Data!B795</f>
        <v/>
      </c>
      <c r="C796" s="4">
        <f>Data!C795</f>
        <v/>
      </c>
      <c r="D796" s="4">
        <f>Data!I795</f>
        <v/>
      </c>
      <c r="E796" s="4">
        <f>Data!J795</f>
        <v/>
      </c>
      <c r="F796" s="4">
        <f>Data!H795</f>
        <v/>
      </c>
      <c r="G796" s="4">
        <f>SUM(Data!Q795:Data!Y795)</f>
        <v/>
      </c>
      <c r="H796" s="4">
        <f>Data!Z795</f>
        <v/>
      </c>
      <c r="I796" s="4">
        <f>Data!AB795</f>
        <v/>
      </c>
      <c r="J796" s="4">
        <f>Data!AD795</f>
        <v/>
      </c>
      <c r="K796" s="4">
        <f>Data!AE795</f>
        <v/>
      </c>
      <c r="L796" s="4">
        <f>Data!AF795</f>
        <v/>
      </c>
      <c r="M796" s="4">
        <f>Data!AG795</f>
        <v/>
      </c>
      <c r="N796" s="4">
        <f>Data!AH795</f>
        <v/>
      </c>
      <c r="O796" s="4">
        <f>Data!AI795</f>
        <v/>
      </c>
      <c r="P796" s="4">
        <f>Data!AJ795</f>
        <v/>
      </c>
      <c r="Q796" s="4">
        <f>Data!AK795</f>
        <v/>
      </c>
      <c r="R796" s="4">
        <f>Data!AL795</f>
        <v/>
      </c>
    </row>
    <row r="797">
      <c r="A797" s="4">
        <f>Data!A796</f>
        <v/>
      </c>
      <c r="B797" s="4">
        <f>Data!B796</f>
        <v/>
      </c>
      <c r="C797" s="4">
        <f>Data!C796</f>
        <v/>
      </c>
      <c r="D797" s="4">
        <f>Data!I796</f>
        <v/>
      </c>
      <c r="E797" s="4">
        <f>Data!J796</f>
        <v/>
      </c>
      <c r="F797" s="4">
        <f>Data!H796</f>
        <v/>
      </c>
      <c r="G797" s="4">
        <f>SUM(Data!Q796:Data!Y796)</f>
        <v/>
      </c>
      <c r="H797" s="4">
        <f>Data!Z796</f>
        <v/>
      </c>
      <c r="I797" s="4">
        <f>Data!AB796</f>
        <v/>
      </c>
      <c r="J797" s="4">
        <f>Data!AD796</f>
        <v/>
      </c>
      <c r="K797" s="4">
        <f>Data!AE796</f>
        <v/>
      </c>
      <c r="L797" s="4">
        <f>Data!AF796</f>
        <v/>
      </c>
      <c r="M797" s="4">
        <f>Data!AG796</f>
        <v/>
      </c>
      <c r="N797" s="4">
        <f>Data!AH796</f>
        <v/>
      </c>
      <c r="O797" s="4">
        <f>Data!AI796</f>
        <v/>
      </c>
      <c r="P797" s="4">
        <f>Data!AJ796</f>
        <v/>
      </c>
      <c r="Q797" s="4">
        <f>Data!AK796</f>
        <v/>
      </c>
      <c r="R797" s="4">
        <f>Data!AL796</f>
        <v/>
      </c>
    </row>
    <row r="798">
      <c r="A798" s="4">
        <f>Data!A797</f>
        <v/>
      </c>
      <c r="B798" s="4">
        <f>Data!B797</f>
        <v/>
      </c>
      <c r="C798" s="4">
        <f>Data!C797</f>
        <v/>
      </c>
      <c r="D798" s="4">
        <f>Data!I797</f>
        <v/>
      </c>
      <c r="E798" s="4">
        <f>Data!J797</f>
        <v/>
      </c>
      <c r="F798" s="4">
        <f>Data!H797</f>
        <v/>
      </c>
      <c r="G798" s="4">
        <f>SUM(Data!Q797:Data!Y797)</f>
        <v/>
      </c>
      <c r="H798" s="4">
        <f>Data!Z797</f>
        <v/>
      </c>
      <c r="I798" s="4">
        <f>Data!AB797</f>
        <v/>
      </c>
      <c r="J798" s="4">
        <f>Data!AD797</f>
        <v/>
      </c>
      <c r="K798" s="4">
        <f>Data!AE797</f>
        <v/>
      </c>
      <c r="L798" s="4">
        <f>Data!AF797</f>
        <v/>
      </c>
      <c r="M798" s="4">
        <f>Data!AG797</f>
        <v/>
      </c>
      <c r="N798" s="4">
        <f>Data!AH797</f>
        <v/>
      </c>
      <c r="O798" s="4">
        <f>Data!AI797</f>
        <v/>
      </c>
      <c r="P798" s="4">
        <f>Data!AJ797</f>
        <v/>
      </c>
      <c r="Q798" s="4">
        <f>Data!AK797</f>
        <v/>
      </c>
      <c r="R798" s="4">
        <f>Data!AL797</f>
        <v/>
      </c>
    </row>
    <row r="799">
      <c r="A799" s="4">
        <f>Data!A798</f>
        <v/>
      </c>
      <c r="B799" s="4">
        <f>Data!B798</f>
        <v/>
      </c>
      <c r="C799" s="4">
        <f>Data!C798</f>
        <v/>
      </c>
      <c r="D799" s="4">
        <f>Data!I798</f>
        <v/>
      </c>
      <c r="E799" s="4">
        <f>Data!J798</f>
        <v/>
      </c>
      <c r="F799" s="4">
        <f>Data!H798</f>
        <v/>
      </c>
      <c r="G799" s="4">
        <f>SUM(Data!Q798:Data!Y798)</f>
        <v/>
      </c>
      <c r="H799" s="4">
        <f>Data!Z798</f>
        <v/>
      </c>
      <c r="I799" s="4">
        <f>Data!AB798</f>
        <v/>
      </c>
      <c r="J799" s="4">
        <f>Data!AD798</f>
        <v/>
      </c>
      <c r="K799" s="4">
        <f>Data!AE798</f>
        <v/>
      </c>
      <c r="L799" s="4">
        <f>Data!AF798</f>
        <v/>
      </c>
      <c r="M799" s="4">
        <f>Data!AG798</f>
        <v/>
      </c>
      <c r="N799" s="4">
        <f>Data!AH798</f>
        <v/>
      </c>
      <c r="O799" s="4">
        <f>Data!AI798</f>
        <v/>
      </c>
      <c r="P799" s="4">
        <f>Data!AJ798</f>
        <v/>
      </c>
      <c r="Q799" s="4">
        <f>Data!AK798</f>
        <v/>
      </c>
      <c r="R799" s="4">
        <f>Data!AL798</f>
        <v/>
      </c>
    </row>
    <row r="800">
      <c r="A800" s="4">
        <f>Data!A799</f>
        <v/>
      </c>
      <c r="B800" s="4">
        <f>Data!B799</f>
        <v/>
      </c>
      <c r="C800" s="4">
        <f>Data!C799</f>
        <v/>
      </c>
      <c r="D800" s="4">
        <f>Data!I799</f>
        <v/>
      </c>
      <c r="E800" s="4">
        <f>Data!J799</f>
        <v/>
      </c>
      <c r="F800" s="4">
        <f>Data!H799</f>
        <v/>
      </c>
      <c r="G800" s="4">
        <f>SUM(Data!Q799:Data!Y799)</f>
        <v/>
      </c>
      <c r="H800" s="4">
        <f>Data!Z799</f>
        <v/>
      </c>
      <c r="I800" s="4">
        <f>Data!AB799</f>
        <v/>
      </c>
      <c r="J800" s="4">
        <f>Data!AD799</f>
        <v/>
      </c>
      <c r="K800" s="4">
        <f>Data!AE799</f>
        <v/>
      </c>
      <c r="L800" s="4">
        <f>Data!AF799</f>
        <v/>
      </c>
      <c r="M800" s="4">
        <f>Data!AG799</f>
        <v/>
      </c>
      <c r="N800" s="4">
        <f>Data!AH799</f>
        <v/>
      </c>
      <c r="O800" s="4">
        <f>Data!AI799</f>
        <v/>
      </c>
      <c r="P800" s="4">
        <f>Data!AJ799</f>
        <v/>
      </c>
      <c r="Q800" s="4">
        <f>Data!AK799</f>
        <v/>
      </c>
      <c r="R800" s="4">
        <f>Data!AL799</f>
        <v/>
      </c>
    </row>
    <row r="801">
      <c r="A801" s="4">
        <f>Data!A800</f>
        <v/>
      </c>
      <c r="B801" s="4">
        <f>Data!B800</f>
        <v/>
      </c>
      <c r="C801" s="4">
        <f>Data!C800</f>
        <v/>
      </c>
      <c r="D801" s="4">
        <f>Data!I800</f>
        <v/>
      </c>
      <c r="E801" s="4">
        <f>Data!J800</f>
        <v/>
      </c>
      <c r="F801" s="4">
        <f>Data!H800</f>
        <v/>
      </c>
      <c r="G801" s="4">
        <f>SUM(Data!Q800:Data!Y800)</f>
        <v/>
      </c>
      <c r="H801" s="4">
        <f>Data!Z800</f>
        <v/>
      </c>
      <c r="I801" s="4">
        <f>Data!AB800</f>
        <v/>
      </c>
      <c r="J801" s="4">
        <f>Data!AD800</f>
        <v/>
      </c>
      <c r="K801" s="4">
        <f>Data!AE800</f>
        <v/>
      </c>
      <c r="L801" s="4">
        <f>Data!AF800</f>
        <v/>
      </c>
      <c r="M801" s="4">
        <f>Data!AG800</f>
        <v/>
      </c>
      <c r="N801" s="4">
        <f>Data!AH800</f>
        <v/>
      </c>
      <c r="O801" s="4">
        <f>Data!AI800</f>
        <v/>
      </c>
      <c r="P801" s="4">
        <f>Data!AJ800</f>
        <v/>
      </c>
      <c r="Q801" s="4">
        <f>Data!AK800</f>
        <v/>
      </c>
      <c r="R801" s="4">
        <f>Data!AL800</f>
        <v/>
      </c>
    </row>
    <row r="802">
      <c r="A802" s="4">
        <f>Data!A801</f>
        <v/>
      </c>
      <c r="B802" s="4">
        <f>Data!B801</f>
        <v/>
      </c>
      <c r="C802" s="4">
        <f>Data!C801</f>
        <v/>
      </c>
      <c r="D802" s="4">
        <f>Data!I801</f>
        <v/>
      </c>
      <c r="E802" s="4">
        <f>Data!J801</f>
        <v/>
      </c>
      <c r="F802" s="4">
        <f>Data!H801</f>
        <v/>
      </c>
      <c r="G802" s="4">
        <f>SUM(Data!Q801:Data!Y801)</f>
        <v/>
      </c>
      <c r="H802" s="4">
        <f>Data!Z801</f>
        <v/>
      </c>
      <c r="I802" s="4">
        <f>Data!AB801</f>
        <v/>
      </c>
      <c r="J802" s="4">
        <f>Data!AD801</f>
        <v/>
      </c>
      <c r="K802" s="4">
        <f>Data!AE801</f>
        <v/>
      </c>
      <c r="L802" s="4">
        <f>Data!AF801</f>
        <v/>
      </c>
      <c r="M802" s="4">
        <f>Data!AG801</f>
        <v/>
      </c>
      <c r="N802" s="4">
        <f>Data!AH801</f>
        <v/>
      </c>
      <c r="O802" s="4">
        <f>Data!AI801</f>
        <v/>
      </c>
      <c r="P802" s="4">
        <f>Data!AJ801</f>
        <v/>
      </c>
      <c r="Q802" s="4">
        <f>Data!AK801</f>
        <v/>
      </c>
      <c r="R802" s="4">
        <f>Data!AL801</f>
        <v/>
      </c>
    </row>
    <row r="803">
      <c r="A803" s="4">
        <f>Data!A802</f>
        <v/>
      </c>
      <c r="B803" s="4">
        <f>Data!B802</f>
        <v/>
      </c>
      <c r="C803" s="4">
        <f>Data!C802</f>
        <v/>
      </c>
      <c r="D803" s="4">
        <f>Data!I802</f>
        <v/>
      </c>
      <c r="E803" s="4">
        <f>Data!J802</f>
        <v/>
      </c>
      <c r="F803" s="4">
        <f>Data!H802</f>
        <v/>
      </c>
      <c r="G803" s="4">
        <f>SUM(Data!Q802:Data!Y802)</f>
        <v/>
      </c>
      <c r="H803" s="4">
        <f>Data!Z802</f>
        <v/>
      </c>
      <c r="I803" s="4">
        <f>Data!AB802</f>
        <v/>
      </c>
      <c r="J803" s="4">
        <f>Data!AD802</f>
        <v/>
      </c>
      <c r="K803" s="4">
        <f>Data!AE802</f>
        <v/>
      </c>
      <c r="L803" s="4">
        <f>Data!AF802</f>
        <v/>
      </c>
      <c r="M803" s="4">
        <f>Data!AG802</f>
        <v/>
      </c>
      <c r="N803" s="4">
        <f>Data!AH802</f>
        <v/>
      </c>
      <c r="O803" s="4">
        <f>Data!AI802</f>
        <v/>
      </c>
      <c r="P803" s="4">
        <f>Data!AJ802</f>
        <v/>
      </c>
      <c r="Q803" s="4">
        <f>Data!AK802</f>
        <v/>
      </c>
      <c r="R803" s="4">
        <f>Data!AL802</f>
        <v/>
      </c>
    </row>
    <row r="804">
      <c r="A804" s="4">
        <f>Data!A803</f>
        <v/>
      </c>
      <c r="B804" s="4">
        <f>Data!B803</f>
        <v/>
      </c>
      <c r="C804" s="4">
        <f>Data!C803</f>
        <v/>
      </c>
      <c r="D804" s="4">
        <f>Data!I803</f>
        <v/>
      </c>
      <c r="E804" s="4">
        <f>Data!J803</f>
        <v/>
      </c>
      <c r="F804" s="4">
        <f>Data!H803</f>
        <v/>
      </c>
      <c r="G804" s="4">
        <f>SUM(Data!Q803:Data!Y803)</f>
        <v/>
      </c>
      <c r="H804" s="4">
        <f>Data!Z803</f>
        <v/>
      </c>
      <c r="I804" s="4">
        <f>Data!AB803</f>
        <v/>
      </c>
      <c r="J804" s="4">
        <f>Data!AD803</f>
        <v/>
      </c>
      <c r="K804" s="4">
        <f>Data!AE803</f>
        <v/>
      </c>
      <c r="L804" s="4">
        <f>Data!AF803</f>
        <v/>
      </c>
      <c r="M804" s="4">
        <f>Data!AG803</f>
        <v/>
      </c>
      <c r="N804" s="4">
        <f>Data!AH803</f>
        <v/>
      </c>
      <c r="O804" s="4">
        <f>Data!AI803</f>
        <v/>
      </c>
      <c r="P804" s="4">
        <f>Data!AJ803</f>
        <v/>
      </c>
      <c r="Q804" s="4">
        <f>Data!AK803</f>
        <v/>
      </c>
      <c r="R804" s="4">
        <f>Data!AL803</f>
        <v/>
      </c>
    </row>
    <row r="805">
      <c r="A805" s="4">
        <f>Data!A804</f>
        <v/>
      </c>
      <c r="B805" s="4">
        <f>Data!B804</f>
        <v/>
      </c>
      <c r="C805" s="4">
        <f>Data!C804</f>
        <v/>
      </c>
      <c r="D805" s="4">
        <f>Data!I804</f>
        <v/>
      </c>
      <c r="E805" s="4">
        <f>Data!J804</f>
        <v/>
      </c>
      <c r="F805" s="4">
        <f>Data!H804</f>
        <v/>
      </c>
      <c r="G805" s="4">
        <f>SUM(Data!Q804:Data!Y804)</f>
        <v/>
      </c>
      <c r="H805" s="4">
        <f>Data!Z804</f>
        <v/>
      </c>
      <c r="I805" s="4">
        <f>Data!AB804</f>
        <v/>
      </c>
      <c r="J805" s="4">
        <f>Data!AD804</f>
        <v/>
      </c>
      <c r="K805" s="4">
        <f>Data!AE804</f>
        <v/>
      </c>
      <c r="L805" s="4">
        <f>Data!AF804</f>
        <v/>
      </c>
      <c r="M805" s="4">
        <f>Data!AG804</f>
        <v/>
      </c>
      <c r="N805" s="4">
        <f>Data!AH804</f>
        <v/>
      </c>
      <c r="O805" s="4">
        <f>Data!AI804</f>
        <v/>
      </c>
      <c r="P805" s="4">
        <f>Data!AJ804</f>
        <v/>
      </c>
      <c r="Q805" s="4">
        <f>Data!AK804</f>
        <v/>
      </c>
      <c r="R805" s="4">
        <f>Data!AL804</f>
        <v/>
      </c>
    </row>
    <row r="806">
      <c r="A806" s="4">
        <f>Data!A805</f>
        <v/>
      </c>
      <c r="B806" s="4">
        <f>Data!B805</f>
        <v/>
      </c>
      <c r="C806" s="4">
        <f>Data!C805</f>
        <v/>
      </c>
      <c r="D806" s="4">
        <f>Data!I805</f>
        <v/>
      </c>
      <c r="E806" s="4">
        <f>Data!J805</f>
        <v/>
      </c>
      <c r="F806" s="4">
        <f>Data!H805</f>
        <v/>
      </c>
      <c r="G806" s="4">
        <f>SUM(Data!Q805:Data!Y805)</f>
        <v/>
      </c>
      <c r="H806" s="4">
        <f>Data!Z805</f>
        <v/>
      </c>
      <c r="I806" s="4">
        <f>Data!AB805</f>
        <v/>
      </c>
      <c r="J806" s="4">
        <f>Data!AD805</f>
        <v/>
      </c>
      <c r="K806" s="4">
        <f>Data!AE805</f>
        <v/>
      </c>
      <c r="L806" s="4">
        <f>Data!AF805</f>
        <v/>
      </c>
      <c r="M806" s="4">
        <f>Data!AG805</f>
        <v/>
      </c>
      <c r="N806" s="4">
        <f>Data!AH805</f>
        <v/>
      </c>
      <c r="O806" s="4">
        <f>Data!AI805</f>
        <v/>
      </c>
      <c r="P806" s="4">
        <f>Data!AJ805</f>
        <v/>
      </c>
      <c r="Q806" s="4">
        <f>Data!AK805</f>
        <v/>
      </c>
      <c r="R806" s="4">
        <f>Data!AL805</f>
        <v/>
      </c>
    </row>
    <row r="807">
      <c r="A807" s="4">
        <f>Data!A806</f>
        <v/>
      </c>
      <c r="B807" s="4">
        <f>Data!B806</f>
        <v/>
      </c>
      <c r="C807" s="4">
        <f>Data!C806</f>
        <v/>
      </c>
      <c r="D807" s="4">
        <f>Data!I806</f>
        <v/>
      </c>
      <c r="E807" s="4">
        <f>Data!J806</f>
        <v/>
      </c>
      <c r="F807" s="4">
        <f>Data!H806</f>
        <v/>
      </c>
      <c r="G807" s="4">
        <f>SUM(Data!Q806:Data!Y806)</f>
        <v/>
      </c>
      <c r="H807" s="4">
        <f>Data!Z806</f>
        <v/>
      </c>
      <c r="I807" s="4">
        <f>Data!AB806</f>
        <v/>
      </c>
      <c r="J807" s="4">
        <f>Data!AD806</f>
        <v/>
      </c>
      <c r="K807" s="4">
        <f>Data!AE806</f>
        <v/>
      </c>
      <c r="L807" s="4">
        <f>Data!AF806</f>
        <v/>
      </c>
      <c r="M807" s="4">
        <f>Data!AG806</f>
        <v/>
      </c>
      <c r="N807" s="4">
        <f>Data!AH806</f>
        <v/>
      </c>
      <c r="O807" s="4">
        <f>Data!AI806</f>
        <v/>
      </c>
      <c r="P807" s="4">
        <f>Data!AJ806</f>
        <v/>
      </c>
      <c r="Q807" s="4">
        <f>Data!AK806</f>
        <v/>
      </c>
      <c r="R807" s="4">
        <f>Data!AL806</f>
        <v/>
      </c>
    </row>
    <row r="808">
      <c r="A808" s="4">
        <f>Data!A807</f>
        <v/>
      </c>
      <c r="B808" s="4">
        <f>Data!B807</f>
        <v/>
      </c>
      <c r="C808" s="4">
        <f>Data!C807</f>
        <v/>
      </c>
      <c r="D808" s="4">
        <f>Data!I807</f>
        <v/>
      </c>
      <c r="E808" s="4">
        <f>Data!J807</f>
        <v/>
      </c>
      <c r="F808" s="4">
        <f>Data!H807</f>
        <v/>
      </c>
      <c r="G808" s="4">
        <f>SUM(Data!Q807:Data!Y807)</f>
        <v/>
      </c>
      <c r="H808" s="4">
        <f>Data!Z807</f>
        <v/>
      </c>
      <c r="I808" s="4">
        <f>Data!AB807</f>
        <v/>
      </c>
      <c r="J808" s="4">
        <f>Data!AD807</f>
        <v/>
      </c>
      <c r="K808" s="4">
        <f>Data!AE807</f>
        <v/>
      </c>
      <c r="L808" s="4">
        <f>Data!AF807</f>
        <v/>
      </c>
      <c r="M808" s="4">
        <f>Data!AG807</f>
        <v/>
      </c>
      <c r="N808" s="4">
        <f>Data!AH807</f>
        <v/>
      </c>
      <c r="O808" s="4">
        <f>Data!AI807</f>
        <v/>
      </c>
      <c r="P808" s="4">
        <f>Data!AJ807</f>
        <v/>
      </c>
      <c r="Q808" s="4">
        <f>Data!AK807</f>
        <v/>
      </c>
      <c r="R808" s="4">
        <f>Data!AL807</f>
        <v/>
      </c>
    </row>
    <row r="809">
      <c r="A809" s="4">
        <f>Data!A808</f>
        <v/>
      </c>
      <c r="B809" s="4">
        <f>Data!B808</f>
        <v/>
      </c>
      <c r="C809" s="4">
        <f>Data!C808</f>
        <v/>
      </c>
      <c r="D809" s="4">
        <f>Data!I808</f>
        <v/>
      </c>
      <c r="E809" s="4">
        <f>Data!J808</f>
        <v/>
      </c>
      <c r="F809" s="4">
        <f>Data!H808</f>
        <v/>
      </c>
      <c r="G809" s="4">
        <f>SUM(Data!Q808:Data!Y808)</f>
        <v/>
      </c>
      <c r="H809" s="4">
        <f>Data!Z808</f>
        <v/>
      </c>
      <c r="I809" s="4">
        <f>Data!AB808</f>
        <v/>
      </c>
      <c r="J809" s="4">
        <f>Data!AD808</f>
        <v/>
      </c>
      <c r="K809" s="4">
        <f>Data!AE808</f>
        <v/>
      </c>
      <c r="L809" s="4">
        <f>Data!AF808</f>
        <v/>
      </c>
      <c r="M809" s="4">
        <f>Data!AG808</f>
        <v/>
      </c>
      <c r="N809" s="4">
        <f>Data!AH808</f>
        <v/>
      </c>
      <c r="O809" s="4">
        <f>Data!AI808</f>
        <v/>
      </c>
      <c r="P809" s="4">
        <f>Data!AJ808</f>
        <v/>
      </c>
      <c r="Q809" s="4">
        <f>Data!AK808</f>
        <v/>
      </c>
      <c r="R809" s="4">
        <f>Data!AL808</f>
        <v/>
      </c>
    </row>
    <row r="810">
      <c r="A810" s="4">
        <f>Data!A809</f>
        <v/>
      </c>
      <c r="B810" s="4">
        <f>Data!B809</f>
        <v/>
      </c>
      <c r="C810" s="4">
        <f>Data!C809</f>
        <v/>
      </c>
      <c r="D810" s="4">
        <f>Data!I809</f>
        <v/>
      </c>
      <c r="E810" s="4">
        <f>Data!J809</f>
        <v/>
      </c>
      <c r="F810" s="4">
        <f>Data!H809</f>
        <v/>
      </c>
      <c r="G810" s="4">
        <f>SUM(Data!Q809:Data!Y809)</f>
        <v/>
      </c>
      <c r="H810" s="4">
        <f>Data!Z809</f>
        <v/>
      </c>
      <c r="I810" s="4">
        <f>Data!AB809</f>
        <v/>
      </c>
      <c r="J810" s="4">
        <f>Data!AD809</f>
        <v/>
      </c>
      <c r="K810" s="4">
        <f>Data!AE809</f>
        <v/>
      </c>
      <c r="L810" s="4">
        <f>Data!AF809</f>
        <v/>
      </c>
      <c r="M810" s="4">
        <f>Data!AG809</f>
        <v/>
      </c>
      <c r="N810" s="4">
        <f>Data!AH809</f>
        <v/>
      </c>
      <c r="O810" s="4">
        <f>Data!AI809</f>
        <v/>
      </c>
      <c r="P810" s="4">
        <f>Data!AJ809</f>
        <v/>
      </c>
      <c r="Q810" s="4">
        <f>Data!AK809</f>
        <v/>
      </c>
      <c r="R810" s="4">
        <f>Data!AL809</f>
        <v/>
      </c>
    </row>
    <row r="811">
      <c r="A811" s="4">
        <f>Data!A810</f>
        <v/>
      </c>
      <c r="B811" s="4">
        <f>Data!B810</f>
        <v/>
      </c>
      <c r="C811" s="4">
        <f>Data!C810</f>
        <v/>
      </c>
      <c r="D811" s="4">
        <f>Data!I810</f>
        <v/>
      </c>
      <c r="E811" s="4">
        <f>Data!J810</f>
        <v/>
      </c>
      <c r="F811" s="4">
        <f>Data!H810</f>
        <v/>
      </c>
      <c r="G811" s="4">
        <f>SUM(Data!Q810:Data!Y810)</f>
        <v/>
      </c>
      <c r="H811" s="4">
        <f>Data!Z810</f>
        <v/>
      </c>
      <c r="I811" s="4">
        <f>Data!AB810</f>
        <v/>
      </c>
      <c r="J811" s="4">
        <f>Data!AD810</f>
        <v/>
      </c>
      <c r="K811" s="4">
        <f>Data!AE810</f>
        <v/>
      </c>
      <c r="L811" s="4">
        <f>Data!AF810</f>
        <v/>
      </c>
      <c r="M811" s="4">
        <f>Data!AG810</f>
        <v/>
      </c>
      <c r="N811" s="4">
        <f>Data!AH810</f>
        <v/>
      </c>
      <c r="O811" s="4">
        <f>Data!AI810</f>
        <v/>
      </c>
      <c r="P811" s="4">
        <f>Data!AJ810</f>
        <v/>
      </c>
      <c r="Q811" s="4">
        <f>Data!AK810</f>
        <v/>
      </c>
      <c r="R811" s="4">
        <f>Data!AL810</f>
        <v/>
      </c>
    </row>
    <row r="812">
      <c r="A812" s="4">
        <f>Data!A811</f>
        <v/>
      </c>
      <c r="B812" s="4">
        <f>Data!B811</f>
        <v/>
      </c>
      <c r="C812" s="4">
        <f>Data!C811</f>
        <v/>
      </c>
      <c r="D812" s="4">
        <f>Data!I811</f>
        <v/>
      </c>
      <c r="E812" s="4">
        <f>Data!J811</f>
        <v/>
      </c>
      <c r="F812" s="4">
        <f>Data!H811</f>
        <v/>
      </c>
      <c r="G812" s="4">
        <f>SUM(Data!Q811:Data!Y811)</f>
        <v/>
      </c>
      <c r="H812" s="4">
        <f>Data!Z811</f>
        <v/>
      </c>
      <c r="I812" s="4">
        <f>Data!AB811</f>
        <v/>
      </c>
      <c r="J812" s="4">
        <f>Data!AD811</f>
        <v/>
      </c>
      <c r="K812" s="4">
        <f>Data!AE811</f>
        <v/>
      </c>
      <c r="L812" s="4">
        <f>Data!AF811</f>
        <v/>
      </c>
      <c r="M812" s="4">
        <f>Data!AG811</f>
        <v/>
      </c>
      <c r="N812" s="4">
        <f>Data!AH811</f>
        <v/>
      </c>
      <c r="O812" s="4">
        <f>Data!AI811</f>
        <v/>
      </c>
      <c r="P812" s="4">
        <f>Data!AJ811</f>
        <v/>
      </c>
      <c r="Q812" s="4">
        <f>Data!AK811</f>
        <v/>
      </c>
      <c r="R812" s="4">
        <f>Data!AL811</f>
        <v/>
      </c>
    </row>
    <row r="813">
      <c r="A813" s="4">
        <f>Data!A812</f>
        <v/>
      </c>
      <c r="B813" s="4">
        <f>Data!B812</f>
        <v/>
      </c>
      <c r="C813" s="4">
        <f>Data!C812</f>
        <v/>
      </c>
      <c r="D813" s="4">
        <f>Data!I812</f>
        <v/>
      </c>
      <c r="E813" s="4">
        <f>Data!J812</f>
        <v/>
      </c>
      <c r="F813" s="4">
        <f>Data!H812</f>
        <v/>
      </c>
      <c r="G813" s="4">
        <f>SUM(Data!Q812:Data!Y812)</f>
        <v/>
      </c>
      <c r="H813" s="4">
        <f>Data!Z812</f>
        <v/>
      </c>
      <c r="I813" s="4">
        <f>Data!AB812</f>
        <v/>
      </c>
      <c r="J813" s="4">
        <f>Data!AD812</f>
        <v/>
      </c>
      <c r="K813" s="4">
        <f>Data!AE812</f>
        <v/>
      </c>
      <c r="L813" s="4">
        <f>Data!AF812</f>
        <v/>
      </c>
      <c r="M813" s="4">
        <f>Data!AG812</f>
        <v/>
      </c>
      <c r="N813" s="4">
        <f>Data!AH812</f>
        <v/>
      </c>
      <c r="O813" s="4">
        <f>Data!AI812</f>
        <v/>
      </c>
      <c r="P813" s="4">
        <f>Data!AJ812</f>
        <v/>
      </c>
      <c r="Q813" s="4">
        <f>Data!AK812</f>
        <v/>
      </c>
      <c r="R813" s="4">
        <f>Data!AL812</f>
        <v/>
      </c>
    </row>
    <row r="814">
      <c r="A814" s="4">
        <f>Data!A813</f>
        <v/>
      </c>
      <c r="B814" s="4">
        <f>Data!B813</f>
        <v/>
      </c>
      <c r="C814" s="4">
        <f>Data!C813</f>
        <v/>
      </c>
      <c r="D814" s="4">
        <f>Data!I813</f>
        <v/>
      </c>
      <c r="E814" s="4">
        <f>Data!J813</f>
        <v/>
      </c>
      <c r="F814" s="4">
        <f>Data!H813</f>
        <v/>
      </c>
      <c r="G814" s="4">
        <f>SUM(Data!Q813:Data!Y813)</f>
        <v/>
      </c>
      <c r="H814" s="4">
        <f>Data!Z813</f>
        <v/>
      </c>
      <c r="I814" s="4">
        <f>Data!AB813</f>
        <v/>
      </c>
      <c r="J814" s="4">
        <f>Data!AD813</f>
        <v/>
      </c>
      <c r="K814" s="4">
        <f>Data!AE813</f>
        <v/>
      </c>
      <c r="L814" s="4">
        <f>Data!AF813</f>
        <v/>
      </c>
      <c r="M814" s="4">
        <f>Data!AG813</f>
        <v/>
      </c>
      <c r="N814" s="4">
        <f>Data!AH813</f>
        <v/>
      </c>
      <c r="O814" s="4">
        <f>Data!AI813</f>
        <v/>
      </c>
      <c r="P814" s="4">
        <f>Data!AJ813</f>
        <v/>
      </c>
      <c r="Q814" s="4">
        <f>Data!AK813</f>
        <v/>
      </c>
      <c r="R814" s="4">
        <f>Data!AL813</f>
        <v/>
      </c>
    </row>
    <row r="815">
      <c r="A815" s="4">
        <f>Data!A814</f>
        <v/>
      </c>
      <c r="B815" s="4">
        <f>Data!B814</f>
        <v/>
      </c>
      <c r="C815" s="4">
        <f>Data!C814</f>
        <v/>
      </c>
      <c r="D815" s="4">
        <f>Data!I814</f>
        <v/>
      </c>
      <c r="E815" s="4">
        <f>Data!J814</f>
        <v/>
      </c>
      <c r="F815" s="4">
        <f>Data!H814</f>
        <v/>
      </c>
      <c r="G815" s="4">
        <f>SUM(Data!Q814:Data!Y814)</f>
        <v/>
      </c>
      <c r="H815" s="4">
        <f>Data!Z814</f>
        <v/>
      </c>
      <c r="I815" s="4">
        <f>Data!AB814</f>
        <v/>
      </c>
      <c r="J815" s="4">
        <f>Data!AD814</f>
        <v/>
      </c>
      <c r="K815" s="4">
        <f>Data!AE814</f>
        <v/>
      </c>
      <c r="L815" s="4">
        <f>Data!AF814</f>
        <v/>
      </c>
      <c r="M815" s="4">
        <f>Data!AG814</f>
        <v/>
      </c>
      <c r="N815" s="4">
        <f>Data!AH814</f>
        <v/>
      </c>
      <c r="O815" s="4">
        <f>Data!AI814</f>
        <v/>
      </c>
      <c r="P815" s="4">
        <f>Data!AJ814</f>
        <v/>
      </c>
      <c r="Q815" s="4">
        <f>Data!AK814</f>
        <v/>
      </c>
      <c r="R815" s="4">
        <f>Data!AL814</f>
        <v/>
      </c>
    </row>
    <row r="816">
      <c r="A816" s="4">
        <f>Data!A815</f>
        <v/>
      </c>
      <c r="B816" s="4">
        <f>Data!B815</f>
        <v/>
      </c>
      <c r="C816" s="4">
        <f>Data!C815</f>
        <v/>
      </c>
      <c r="D816" s="4">
        <f>Data!I815</f>
        <v/>
      </c>
      <c r="E816" s="4">
        <f>Data!J815</f>
        <v/>
      </c>
      <c r="F816" s="4">
        <f>Data!H815</f>
        <v/>
      </c>
      <c r="G816" s="4">
        <f>SUM(Data!Q815:Data!Y815)</f>
        <v/>
      </c>
      <c r="H816" s="4">
        <f>Data!Z815</f>
        <v/>
      </c>
      <c r="I816" s="4">
        <f>Data!AB815</f>
        <v/>
      </c>
      <c r="J816" s="4">
        <f>Data!AD815</f>
        <v/>
      </c>
      <c r="K816" s="4">
        <f>Data!AE815</f>
        <v/>
      </c>
      <c r="L816" s="4">
        <f>Data!AF815</f>
        <v/>
      </c>
      <c r="M816" s="4">
        <f>Data!AG815</f>
        <v/>
      </c>
      <c r="N816" s="4">
        <f>Data!AH815</f>
        <v/>
      </c>
      <c r="O816" s="4">
        <f>Data!AI815</f>
        <v/>
      </c>
      <c r="P816" s="4">
        <f>Data!AJ815</f>
        <v/>
      </c>
      <c r="Q816" s="4">
        <f>Data!AK815</f>
        <v/>
      </c>
      <c r="R816" s="4">
        <f>Data!AL815</f>
        <v/>
      </c>
    </row>
    <row r="817">
      <c r="A817" s="4">
        <f>Data!A816</f>
        <v/>
      </c>
      <c r="B817" s="4">
        <f>Data!B816</f>
        <v/>
      </c>
      <c r="C817" s="4">
        <f>Data!C816</f>
        <v/>
      </c>
      <c r="D817" s="4">
        <f>Data!I816</f>
        <v/>
      </c>
      <c r="E817" s="4">
        <f>Data!J816</f>
        <v/>
      </c>
      <c r="F817" s="4">
        <f>Data!H816</f>
        <v/>
      </c>
      <c r="G817" s="4">
        <f>SUM(Data!Q816:Data!Y816)</f>
        <v/>
      </c>
      <c r="H817" s="4">
        <f>Data!Z816</f>
        <v/>
      </c>
      <c r="I817" s="4">
        <f>Data!AB816</f>
        <v/>
      </c>
      <c r="J817" s="4">
        <f>Data!AD816</f>
        <v/>
      </c>
      <c r="K817" s="4">
        <f>Data!AE816</f>
        <v/>
      </c>
      <c r="L817" s="4">
        <f>Data!AF816</f>
        <v/>
      </c>
      <c r="M817" s="4">
        <f>Data!AG816</f>
        <v/>
      </c>
      <c r="N817" s="4">
        <f>Data!AH816</f>
        <v/>
      </c>
      <c r="O817" s="4">
        <f>Data!AI816</f>
        <v/>
      </c>
      <c r="P817" s="4">
        <f>Data!AJ816</f>
        <v/>
      </c>
      <c r="Q817" s="4">
        <f>Data!AK816</f>
        <v/>
      </c>
      <c r="R817" s="4">
        <f>Data!AL816</f>
        <v/>
      </c>
    </row>
    <row r="818">
      <c r="A818" s="4">
        <f>Data!A817</f>
        <v/>
      </c>
      <c r="B818" s="4">
        <f>Data!B817</f>
        <v/>
      </c>
      <c r="C818" s="4">
        <f>Data!C817</f>
        <v/>
      </c>
      <c r="D818" s="4">
        <f>Data!I817</f>
        <v/>
      </c>
      <c r="E818" s="4">
        <f>Data!J817</f>
        <v/>
      </c>
      <c r="F818" s="4">
        <f>Data!H817</f>
        <v/>
      </c>
      <c r="G818" s="4">
        <f>SUM(Data!Q817:Data!Y817)</f>
        <v/>
      </c>
      <c r="H818" s="4">
        <f>Data!Z817</f>
        <v/>
      </c>
      <c r="I818" s="4">
        <f>Data!AB817</f>
        <v/>
      </c>
      <c r="J818" s="4">
        <f>Data!AD817</f>
        <v/>
      </c>
      <c r="K818" s="4">
        <f>Data!AE817</f>
        <v/>
      </c>
      <c r="L818" s="4">
        <f>Data!AF817</f>
        <v/>
      </c>
      <c r="M818" s="4">
        <f>Data!AG817</f>
        <v/>
      </c>
      <c r="N818" s="4">
        <f>Data!AH817</f>
        <v/>
      </c>
      <c r="O818" s="4">
        <f>Data!AI817</f>
        <v/>
      </c>
      <c r="P818" s="4">
        <f>Data!AJ817</f>
        <v/>
      </c>
      <c r="Q818" s="4">
        <f>Data!AK817</f>
        <v/>
      </c>
      <c r="R818" s="4">
        <f>Data!AL817</f>
        <v/>
      </c>
    </row>
    <row r="819">
      <c r="A819" s="4">
        <f>Data!A818</f>
        <v/>
      </c>
      <c r="B819" s="4">
        <f>Data!B818</f>
        <v/>
      </c>
      <c r="C819" s="4">
        <f>Data!C818</f>
        <v/>
      </c>
      <c r="D819" s="4">
        <f>Data!I818</f>
        <v/>
      </c>
      <c r="E819" s="4">
        <f>Data!J818</f>
        <v/>
      </c>
      <c r="F819" s="4">
        <f>Data!H818</f>
        <v/>
      </c>
      <c r="G819" s="4">
        <f>SUM(Data!Q818:Data!Y818)</f>
        <v/>
      </c>
      <c r="H819" s="4">
        <f>Data!Z818</f>
        <v/>
      </c>
      <c r="I819" s="4">
        <f>Data!AB818</f>
        <v/>
      </c>
      <c r="J819" s="4">
        <f>Data!AD818</f>
        <v/>
      </c>
      <c r="K819" s="4">
        <f>Data!AE818</f>
        <v/>
      </c>
      <c r="L819" s="4">
        <f>Data!AF818</f>
        <v/>
      </c>
      <c r="M819" s="4">
        <f>Data!AG818</f>
        <v/>
      </c>
      <c r="N819" s="4">
        <f>Data!AH818</f>
        <v/>
      </c>
      <c r="O819" s="4">
        <f>Data!AI818</f>
        <v/>
      </c>
      <c r="P819" s="4">
        <f>Data!AJ818</f>
        <v/>
      </c>
      <c r="Q819" s="4">
        <f>Data!AK818</f>
        <v/>
      </c>
      <c r="R819" s="4">
        <f>Data!AL818</f>
        <v/>
      </c>
    </row>
    <row r="820">
      <c r="A820" s="4">
        <f>Data!A819</f>
        <v/>
      </c>
      <c r="B820" s="4">
        <f>Data!B819</f>
        <v/>
      </c>
      <c r="C820" s="4">
        <f>Data!C819</f>
        <v/>
      </c>
      <c r="D820" s="4">
        <f>Data!I819</f>
        <v/>
      </c>
      <c r="E820" s="4">
        <f>Data!J819</f>
        <v/>
      </c>
      <c r="F820" s="4">
        <f>Data!H819</f>
        <v/>
      </c>
      <c r="G820" s="4">
        <f>SUM(Data!Q819:Data!Y819)</f>
        <v/>
      </c>
      <c r="H820" s="4">
        <f>Data!Z819</f>
        <v/>
      </c>
      <c r="I820" s="4">
        <f>Data!AB819</f>
        <v/>
      </c>
      <c r="J820" s="4">
        <f>Data!AD819</f>
        <v/>
      </c>
      <c r="K820" s="4">
        <f>Data!AE819</f>
        <v/>
      </c>
      <c r="L820" s="4">
        <f>Data!AF819</f>
        <v/>
      </c>
      <c r="M820" s="4">
        <f>Data!AG819</f>
        <v/>
      </c>
      <c r="N820" s="4">
        <f>Data!AH819</f>
        <v/>
      </c>
      <c r="O820" s="4">
        <f>Data!AI819</f>
        <v/>
      </c>
      <c r="P820" s="4">
        <f>Data!AJ819</f>
        <v/>
      </c>
      <c r="Q820" s="4">
        <f>Data!AK819</f>
        <v/>
      </c>
      <c r="R820" s="4">
        <f>Data!AL819</f>
        <v/>
      </c>
    </row>
    <row r="821">
      <c r="A821" s="4">
        <f>Data!A820</f>
        <v/>
      </c>
      <c r="B821" s="4">
        <f>Data!B820</f>
        <v/>
      </c>
      <c r="C821" s="4">
        <f>Data!C820</f>
        <v/>
      </c>
      <c r="D821" s="4">
        <f>Data!I820</f>
        <v/>
      </c>
      <c r="E821" s="4">
        <f>Data!J820</f>
        <v/>
      </c>
      <c r="F821" s="4">
        <f>Data!H820</f>
        <v/>
      </c>
      <c r="G821" s="4">
        <f>SUM(Data!Q820:Data!Y820)</f>
        <v/>
      </c>
      <c r="H821" s="4">
        <f>Data!Z820</f>
        <v/>
      </c>
      <c r="I821" s="4">
        <f>Data!AB820</f>
        <v/>
      </c>
      <c r="J821" s="4">
        <f>Data!AD820</f>
        <v/>
      </c>
      <c r="K821" s="4">
        <f>Data!AE820</f>
        <v/>
      </c>
      <c r="L821" s="4">
        <f>Data!AF820</f>
        <v/>
      </c>
      <c r="M821" s="4">
        <f>Data!AG820</f>
        <v/>
      </c>
      <c r="N821" s="4">
        <f>Data!AH820</f>
        <v/>
      </c>
      <c r="O821" s="4">
        <f>Data!AI820</f>
        <v/>
      </c>
      <c r="P821" s="4">
        <f>Data!AJ820</f>
        <v/>
      </c>
      <c r="Q821" s="4">
        <f>Data!AK820</f>
        <v/>
      </c>
      <c r="R821" s="4">
        <f>Data!AL820</f>
        <v/>
      </c>
    </row>
    <row r="822">
      <c r="A822" s="4">
        <f>Data!A821</f>
        <v/>
      </c>
      <c r="B822" s="4">
        <f>Data!B821</f>
        <v/>
      </c>
      <c r="C822" s="4">
        <f>Data!C821</f>
        <v/>
      </c>
      <c r="D822" s="4">
        <f>Data!I821</f>
        <v/>
      </c>
      <c r="E822" s="4">
        <f>Data!J821</f>
        <v/>
      </c>
      <c r="F822" s="4">
        <f>Data!H821</f>
        <v/>
      </c>
      <c r="G822" s="4">
        <f>SUM(Data!Q821:Data!Y821)</f>
        <v/>
      </c>
      <c r="H822" s="4">
        <f>Data!Z821</f>
        <v/>
      </c>
      <c r="I822" s="4">
        <f>Data!AB821</f>
        <v/>
      </c>
      <c r="J822" s="4">
        <f>Data!AD821</f>
        <v/>
      </c>
      <c r="K822" s="4">
        <f>Data!AE821</f>
        <v/>
      </c>
      <c r="L822" s="4">
        <f>Data!AF821</f>
        <v/>
      </c>
      <c r="M822" s="4">
        <f>Data!AG821</f>
        <v/>
      </c>
      <c r="N822" s="4">
        <f>Data!AH821</f>
        <v/>
      </c>
      <c r="O822" s="4">
        <f>Data!AI821</f>
        <v/>
      </c>
      <c r="P822" s="4">
        <f>Data!AJ821</f>
        <v/>
      </c>
      <c r="Q822" s="4">
        <f>Data!AK821</f>
        <v/>
      </c>
      <c r="R822" s="4">
        <f>Data!AL821</f>
        <v/>
      </c>
    </row>
    <row r="823">
      <c r="A823" s="4">
        <f>Data!A822</f>
        <v/>
      </c>
      <c r="B823" s="4">
        <f>Data!B822</f>
        <v/>
      </c>
      <c r="C823" s="4">
        <f>Data!C822</f>
        <v/>
      </c>
      <c r="D823" s="4">
        <f>Data!I822</f>
        <v/>
      </c>
      <c r="E823" s="4">
        <f>Data!J822</f>
        <v/>
      </c>
      <c r="F823" s="4">
        <f>Data!H822</f>
        <v/>
      </c>
      <c r="G823" s="4">
        <f>SUM(Data!Q822:Data!Y822)</f>
        <v/>
      </c>
      <c r="H823" s="4">
        <f>Data!Z822</f>
        <v/>
      </c>
      <c r="I823" s="4">
        <f>Data!AB822</f>
        <v/>
      </c>
      <c r="J823" s="4">
        <f>Data!AD822</f>
        <v/>
      </c>
      <c r="K823" s="4">
        <f>Data!AE822</f>
        <v/>
      </c>
      <c r="L823" s="4">
        <f>Data!AF822</f>
        <v/>
      </c>
      <c r="M823" s="4">
        <f>Data!AG822</f>
        <v/>
      </c>
      <c r="N823" s="4">
        <f>Data!AH822</f>
        <v/>
      </c>
      <c r="O823" s="4">
        <f>Data!AI822</f>
        <v/>
      </c>
      <c r="P823" s="4">
        <f>Data!AJ822</f>
        <v/>
      </c>
      <c r="Q823" s="4">
        <f>Data!AK822</f>
        <v/>
      </c>
      <c r="R823" s="4">
        <f>Data!AL822</f>
        <v/>
      </c>
    </row>
    <row r="824">
      <c r="A824" s="4">
        <f>Data!A823</f>
        <v/>
      </c>
      <c r="B824" s="4">
        <f>Data!B823</f>
        <v/>
      </c>
      <c r="C824" s="4">
        <f>Data!C823</f>
        <v/>
      </c>
      <c r="D824" s="4">
        <f>Data!I823</f>
        <v/>
      </c>
      <c r="E824" s="4">
        <f>Data!J823</f>
        <v/>
      </c>
      <c r="F824" s="4">
        <f>Data!H823</f>
        <v/>
      </c>
      <c r="G824" s="4">
        <f>SUM(Data!Q823:Data!Y823)</f>
        <v/>
      </c>
      <c r="H824" s="4">
        <f>Data!Z823</f>
        <v/>
      </c>
      <c r="I824" s="4">
        <f>Data!AB823</f>
        <v/>
      </c>
      <c r="J824" s="4">
        <f>Data!AD823</f>
        <v/>
      </c>
      <c r="K824" s="4">
        <f>Data!AE823</f>
        <v/>
      </c>
      <c r="L824" s="4">
        <f>Data!AF823</f>
        <v/>
      </c>
      <c r="M824" s="4">
        <f>Data!AG823</f>
        <v/>
      </c>
      <c r="N824" s="4">
        <f>Data!AH823</f>
        <v/>
      </c>
      <c r="O824" s="4">
        <f>Data!AI823</f>
        <v/>
      </c>
      <c r="P824" s="4">
        <f>Data!AJ823</f>
        <v/>
      </c>
      <c r="Q824" s="4">
        <f>Data!AK823</f>
        <v/>
      </c>
      <c r="R824" s="4">
        <f>Data!AL823</f>
        <v/>
      </c>
    </row>
    <row r="825">
      <c r="A825" s="4">
        <f>Data!A824</f>
        <v/>
      </c>
      <c r="B825" s="4">
        <f>Data!B824</f>
        <v/>
      </c>
      <c r="C825" s="4">
        <f>Data!C824</f>
        <v/>
      </c>
      <c r="D825" s="4">
        <f>Data!I824</f>
        <v/>
      </c>
      <c r="E825" s="4">
        <f>Data!J824</f>
        <v/>
      </c>
      <c r="F825" s="4">
        <f>Data!H824</f>
        <v/>
      </c>
      <c r="G825" s="4">
        <f>SUM(Data!Q824:Data!Y824)</f>
        <v/>
      </c>
      <c r="H825" s="4">
        <f>Data!Z824</f>
        <v/>
      </c>
      <c r="I825" s="4">
        <f>Data!AB824</f>
        <v/>
      </c>
      <c r="J825" s="4">
        <f>Data!AD824</f>
        <v/>
      </c>
      <c r="K825" s="4">
        <f>Data!AE824</f>
        <v/>
      </c>
      <c r="L825" s="4">
        <f>Data!AF824</f>
        <v/>
      </c>
      <c r="M825" s="4">
        <f>Data!AG824</f>
        <v/>
      </c>
      <c r="N825" s="4">
        <f>Data!AH824</f>
        <v/>
      </c>
      <c r="O825" s="4">
        <f>Data!AI824</f>
        <v/>
      </c>
      <c r="P825" s="4">
        <f>Data!AJ824</f>
        <v/>
      </c>
      <c r="Q825" s="4">
        <f>Data!AK824</f>
        <v/>
      </c>
      <c r="R825" s="4">
        <f>Data!AL824</f>
        <v/>
      </c>
    </row>
    <row r="826">
      <c r="A826" s="4">
        <f>Data!A825</f>
        <v/>
      </c>
      <c r="B826" s="4">
        <f>Data!B825</f>
        <v/>
      </c>
      <c r="C826" s="4">
        <f>Data!C825</f>
        <v/>
      </c>
      <c r="D826" s="4">
        <f>Data!I825</f>
        <v/>
      </c>
      <c r="E826" s="4">
        <f>Data!J825</f>
        <v/>
      </c>
      <c r="F826" s="4">
        <f>Data!H825</f>
        <v/>
      </c>
      <c r="G826" s="4">
        <f>SUM(Data!Q825:Data!Y825)</f>
        <v/>
      </c>
      <c r="H826" s="4">
        <f>Data!Z825</f>
        <v/>
      </c>
      <c r="I826" s="4">
        <f>Data!AB825</f>
        <v/>
      </c>
      <c r="J826" s="4">
        <f>Data!AD825</f>
        <v/>
      </c>
      <c r="K826" s="4">
        <f>Data!AE825</f>
        <v/>
      </c>
      <c r="L826" s="4">
        <f>Data!AF825</f>
        <v/>
      </c>
      <c r="M826" s="4">
        <f>Data!AG825</f>
        <v/>
      </c>
      <c r="N826" s="4">
        <f>Data!AH825</f>
        <v/>
      </c>
      <c r="O826" s="4">
        <f>Data!AI825</f>
        <v/>
      </c>
      <c r="P826" s="4">
        <f>Data!AJ825</f>
        <v/>
      </c>
      <c r="Q826" s="4">
        <f>Data!AK825</f>
        <v/>
      </c>
      <c r="R826" s="4">
        <f>Data!AL825</f>
        <v/>
      </c>
    </row>
    <row r="827">
      <c r="A827" s="4">
        <f>Data!A826</f>
        <v/>
      </c>
      <c r="B827" s="4">
        <f>Data!B826</f>
        <v/>
      </c>
      <c r="C827" s="4">
        <f>Data!C826</f>
        <v/>
      </c>
      <c r="D827" s="4">
        <f>Data!I826</f>
        <v/>
      </c>
      <c r="E827" s="4">
        <f>Data!J826</f>
        <v/>
      </c>
      <c r="F827" s="4">
        <f>Data!H826</f>
        <v/>
      </c>
      <c r="G827" s="4">
        <f>SUM(Data!Q826:Data!Y826)</f>
        <v/>
      </c>
      <c r="H827" s="4">
        <f>Data!Z826</f>
        <v/>
      </c>
      <c r="I827" s="4">
        <f>Data!AB826</f>
        <v/>
      </c>
      <c r="J827" s="4">
        <f>Data!AD826</f>
        <v/>
      </c>
      <c r="K827" s="4">
        <f>Data!AE826</f>
        <v/>
      </c>
      <c r="L827" s="4">
        <f>Data!AF826</f>
        <v/>
      </c>
      <c r="M827" s="4">
        <f>Data!AG826</f>
        <v/>
      </c>
      <c r="N827" s="4">
        <f>Data!AH826</f>
        <v/>
      </c>
      <c r="O827" s="4">
        <f>Data!AI826</f>
        <v/>
      </c>
      <c r="P827" s="4">
        <f>Data!AJ826</f>
        <v/>
      </c>
      <c r="Q827" s="4">
        <f>Data!AK826</f>
        <v/>
      </c>
      <c r="R827" s="4">
        <f>Data!AL826</f>
        <v/>
      </c>
    </row>
    <row r="828">
      <c r="A828" s="4">
        <f>Data!A827</f>
        <v/>
      </c>
      <c r="B828" s="4">
        <f>Data!B827</f>
        <v/>
      </c>
      <c r="C828" s="4">
        <f>Data!C827</f>
        <v/>
      </c>
      <c r="D828" s="4">
        <f>Data!I827</f>
        <v/>
      </c>
      <c r="E828" s="4">
        <f>Data!J827</f>
        <v/>
      </c>
      <c r="F828" s="4">
        <f>Data!H827</f>
        <v/>
      </c>
      <c r="G828" s="4">
        <f>SUM(Data!Q827:Data!Y827)</f>
        <v/>
      </c>
      <c r="H828" s="4">
        <f>Data!Z827</f>
        <v/>
      </c>
      <c r="I828" s="4">
        <f>Data!AB827</f>
        <v/>
      </c>
      <c r="J828" s="4">
        <f>Data!AD827</f>
        <v/>
      </c>
      <c r="K828" s="4">
        <f>Data!AE827</f>
        <v/>
      </c>
      <c r="L828" s="4">
        <f>Data!AF827</f>
        <v/>
      </c>
      <c r="M828" s="4">
        <f>Data!AG827</f>
        <v/>
      </c>
      <c r="N828" s="4">
        <f>Data!AH827</f>
        <v/>
      </c>
      <c r="O828" s="4">
        <f>Data!AI827</f>
        <v/>
      </c>
      <c r="P828" s="4">
        <f>Data!AJ827</f>
        <v/>
      </c>
      <c r="Q828" s="4">
        <f>Data!AK827</f>
        <v/>
      </c>
      <c r="R828" s="4">
        <f>Data!AL827</f>
        <v/>
      </c>
    </row>
    <row r="829">
      <c r="A829" s="4">
        <f>Data!A828</f>
        <v/>
      </c>
      <c r="B829" s="4">
        <f>Data!B828</f>
        <v/>
      </c>
      <c r="C829" s="4">
        <f>Data!C828</f>
        <v/>
      </c>
      <c r="D829" s="4">
        <f>Data!I828</f>
        <v/>
      </c>
      <c r="E829" s="4">
        <f>Data!J828</f>
        <v/>
      </c>
      <c r="F829" s="4">
        <f>Data!H828</f>
        <v/>
      </c>
      <c r="G829" s="4">
        <f>SUM(Data!Q828:Data!Y828)</f>
        <v/>
      </c>
      <c r="H829" s="4">
        <f>Data!Z828</f>
        <v/>
      </c>
      <c r="I829" s="4">
        <f>Data!AB828</f>
        <v/>
      </c>
      <c r="J829" s="4">
        <f>Data!AD828</f>
        <v/>
      </c>
      <c r="K829" s="4">
        <f>Data!AE828</f>
        <v/>
      </c>
      <c r="L829" s="4">
        <f>Data!AF828</f>
        <v/>
      </c>
      <c r="M829" s="4">
        <f>Data!AG828</f>
        <v/>
      </c>
      <c r="N829" s="4">
        <f>Data!AH828</f>
        <v/>
      </c>
      <c r="O829" s="4">
        <f>Data!AI828</f>
        <v/>
      </c>
      <c r="P829" s="4">
        <f>Data!AJ828</f>
        <v/>
      </c>
      <c r="Q829" s="4">
        <f>Data!AK828</f>
        <v/>
      </c>
      <c r="R829" s="4">
        <f>Data!AL828</f>
        <v/>
      </c>
    </row>
    <row r="830">
      <c r="A830" s="4">
        <f>Data!A829</f>
        <v/>
      </c>
      <c r="B830" s="4">
        <f>Data!B829</f>
        <v/>
      </c>
      <c r="C830" s="4">
        <f>Data!C829</f>
        <v/>
      </c>
      <c r="D830" s="4">
        <f>Data!I829</f>
        <v/>
      </c>
      <c r="E830" s="4">
        <f>Data!J829</f>
        <v/>
      </c>
      <c r="F830" s="4">
        <f>Data!H829</f>
        <v/>
      </c>
      <c r="G830" s="4">
        <f>SUM(Data!Q829:Data!Y829)</f>
        <v/>
      </c>
      <c r="H830" s="4">
        <f>Data!Z829</f>
        <v/>
      </c>
      <c r="I830" s="4">
        <f>Data!AB829</f>
        <v/>
      </c>
      <c r="J830" s="4">
        <f>Data!AD829</f>
        <v/>
      </c>
      <c r="K830" s="4">
        <f>Data!AE829</f>
        <v/>
      </c>
      <c r="L830" s="4">
        <f>Data!AF829</f>
        <v/>
      </c>
      <c r="M830" s="4">
        <f>Data!AG829</f>
        <v/>
      </c>
      <c r="N830" s="4">
        <f>Data!AH829</f>
        <v/>
      </c>
      <c r="O830" s="4">
        <f>Data!AI829</f>
        <v/>
      </c>
      <c r="P830" s="4">
        <f>Data!AJ829</f>
        <v/>
      </c>
      <c r="Q830" s="4">
        <f>Data!AK829</f>
        <v/>
      </c>
      <c r="R830" s="4">
        <f>Data!AL829</f>
        <v/>
      </c>
    </row>
    <row r="831">
      <c r="A831" s="4">
        <f>Data!A830</f>
        <v/>
      </c>
      <c r="B831" s="4">
        <f>Data!B830</f>
        <v/>
      </c>
      <c r="C831" s="4">
        <f>Data!C830</f>
        <v/>
      </c>
      <c r="D831" s="4">
        <f>Data!I830</f>
        <v/>
      </c>
      <c r="E831" s="4">
        <f>Data!J830</f>
        <v/>
      </c>
      <c r="F831" s="4">
        <f>Data!H830</f>
        <v/>
      </c>
      <c r="G831" s="4">
        <f>SUM(Data!Q830:Data!Y830)</f>
        <v/>
      </c>
      <c r="H831" s="4">
        <f>Data!Z830</f>
        <v/>
      </c>
      <c r="I831" s="4">
        <f>Data!AB830</f>
        <v/>
      </c>
      <c r="J831" s="4">
        <f>Data!AD830</f>
        <v/>
      </c>
      <c r="K831" s="4">
        <f>Data!AE830</f>
        <v/>
      </c>
      <c r="L831" s="4">
        <f>Data!AF830</f>
        <v/>
      </c>
      <c r="M831" s="4">
        <f>Data!AG830</f>
        <v/>
      </c>
      <c r="N831" s="4">
        <f>Data!AH830</f>
        <v/>
      </c>
      <c r="O831" s="4">
        <f>Data!AI830</f>
        <v/>
      </c>
      <c r="P831" s="4">
        <f>Data!AJ830</f>
        <v/>
      </c>
      <c r="Q831" s="4">
        <f>Data!AK830</f>
        <v/>
      </c>
      <c r="R831" s="4">
        <f>Data!AL830</f>
        <v/>
      </c>
    </row>
    <row r="832">
      <c r="A832" s="4">
        <f>Data!A831</f>
        <v/>
      </c>
      <c r="B832" s="4">
        <f>Data!B831</f>
        <v/>
      </c>
      <c r="C832" s="4">
        <f>Data!C831</f>
        <v/>
      </c>
      <c r="D832" s="4">
        <f>Data!I831</f>
        <v/>
      </c>
      <c r="E832" s="4">
        <f>Data!J831</f>
        <v/>
      </c>
      <c r="F832" s="4">
        <f>Data!H831</f>
        <v/>
      </c>
      <c r="G832" s="4">
        <f>SUM(Data!Q831:Data!Y831)</f>
        <v/>
      </c>
      <c r="H832" s="4">
        <f>Data!Z831</f>
        <v/>
      </c>
      <c r="I832" s="4">
        <f>Data!AB831</f>
        <v/>
      </c>
      <c r="J832" s="4">
        <f>Data!AD831</f>
        <v/>
      </c>
      <c r="K832" s="4">
        <f>Data!AE831</f>
        <v/>
      </c>
      <c r="L832" s="4">
        <f>Data!AF831</f>
        <v/>
      </c>
      <c r="M832" s="4">
        <f>Data!AG831</f>
        <v/>
      </c>
      <c r="N832" s="4">
        <f>Data!AH831</f>
        <v/>
      </c>
      <c r="O832" s="4">
        <f>Data!AI831</f>
        <v/>
      </c>
      <c r="P832" s="4">
        <f>Data!AJ831</f>
        <v/>
      </c>
      <c r="Q832" s="4">
        <f>Data!AK831</f>
        <v/>
      </c>
      <c r="R832" s="4">
        <f>Data!AL831</f>
        <v/>
      </c>
    </row>
    <row r="833">
      <c r="A833" s="4">
        <f>Data!A832</f>
        <v/>
      </c>
      <c r="B833" s="4">
        <f>Data!B832</f>
        <v/>
      </c>
      <c r="C833" s="4">
        <f>Data!C832</f>
        <v/>
      </c>
      <c r="D833" s="4">
        <f>Data!I832</f>
        <v/>
      </c>
      <c r="E833" s="4">
        <f>Data!J832</f>
        <v/>
      </c>
      <c r="F833" s="4">
        <f>Data!H832</f>
        <v/>
      </c>
      <c r="G833" s="4">
        <f>SUM(Data!Q832:Data!Y832)</f>
        <v/>
      </c>
      <c r="H833" s="4">
        <f>Data!Z832</f>
        <v/>
      </c>
      <c r="I833" s="4">
        <f>Data!AB832</f>
        <v/>
      </c>
      <c r="J833" s="4">
        <f>Data!AD832</f>
        <v/>
      </c>
      <c r="K833" s="4">
        <f>Data!AE832</f>
        <v/>
      </c>
      <c r="L833" s="4">
        <f>Data!AF832</f>
        <v/>
      </c>
      <c r="M833" s="4">
        <f>Data!AG832</f>
        <v/>
      </c>
      <c r="N833" s="4">
        <f>Data!AH832</f>
        <v/>
      </c>
      <c r="O833" s="4">
        <f>Data!AI832</f>
        <v/>
      </c>
      <c r="P833" s="4">
        <f>Data!AJ832</f>
        <v/>
      </c>
      <c r="Q833" s="4">
        <f>Data!AK832</f>
        <v/>
      </c>
      <c r="R833" s="4">
        <f>Data!AL832</f>
        <v/>
      </c>
    </row>
    <row r="834">
      <c r="A834" s="4">
        <f>Data!A833</f>
        <v/>
      </c>
      <c r="B834" s="4">
        <f>Data!B833</f>
        <v/>
      </c>
      <c r="C834" s="4">
        <f>Data!C833</f>
        <v/>
      </c>
      <c r="D834" s="4">
        <f>Data!I833</f>
        <v/>
      </c>
      <c r="E834" s="4">
        <f>Data!J833</f>
        <v/>
      </c>
      <c r="F834" s="4">
        <f>Data!H833</f>
        <v/>
      </c>
      <c r="G834" s="4">
        <f>SUM(Data!Q833:Data!Y833)</f>
        <v/>
      </c>
      <c r="H834" s="4">
        <f>Data!Z833</f>
        <v/>
      </c>
      <c r="I834" s="4">
        <f>Data!AB833</f>
        <v/>
      </c>
      <c r="J834" s="4">
        <f>Data!AD833</f>
        <v/>
      </c>
      <c r="K834" s="4">
        <f>Data!AE833</f>
        <v/>
      </c>
      <c r="L834" s="4">
        <f>Data!AF833</f>
        <v/>
      </c>
      <c r="M834" s="4">
        <f>Data!AG833</f>
        <v/>
      </c>
      <c r="N834" s="4">
        <f>Data!AH833</f>
        <v/>
      </c>
      <c r="O834" s="4">
        <f>Data!AI833</f>
        <v/>
      </c>
      <c r="P834" s="4">
        <f>Data!AJ833</f>
        <v/>
      </c>
      <c r="Q834" s="4">
        <f>Data!AK833</f>
        <v/>
      </c>
      <c r="R834" s="4">
        <f>Data!AL833</f>
        <v/>
      </c>
    </row>
    <row r="835">
      <c r="A835" s="4">
        <f>Data!A834</f>
        <v/>
      </c>
      <c r="B835" s="4">
        <f>Data!B834</f>
        <v/>
      </c>
      <c r="C835" s="4">
        <f>Data!C834</f>
        <v/>
      </c>
      <c r="D835" s="4">
        <f>Data!I834</f>
        <v/>
      </c>
      <c r="E835" s="4">
        <f>Data!J834</f>
        <v/>
      </c>
      <c r="F835" s="4">
        <f>Data!H834</f>
        <v/>
      </c>
      <c r="G835" s="4">
        <f>SUM(Data!Q834:Data!Y834)</f>
        <v/>
      </c>
      <c r="H835" s="4">
        <f>Data!Z834</f>
        <v/>
      </c>
      <c r="I835" s="4">
        <f>Data!AB834</f>
        <v/>
      </c>
      <c r="J835" s="4">
        <f>Data!AD834</f>
        <v/>
      </c>
      <c r="K835" s="4">
        <f>Data!AE834</f>
        <v/>
      </c>
      <c r="L835" s="4">
        <f>Data!AF834</f>
        <v/>
      </c>
      <c r="M835" s="4">
        <f>Data!AG834</f>
        <v/>
      </c>
      <c r="N835" s="4">
        <f>Data!AH834</f>
        <v/>
      </c>
      <c r="O835" s="4">
        <f>Data!AI834</f>
        <v/>
      </c>
      <c r="P835" s="4">
        <f>Data!AJ834</f>
        <v/>
      </c>
      <c r="Q835" s="4">
        <f>Data!AK834</f>
        <v/>
      </c>
      <c r="R835" s="4">
        <f>Data!AL834</f>
        <v/>
      </c>
    </row>
    <row r="836">
      <c r="A836" s="4">
        <f>Data!A835</f>
        <v/>
      </c>
      <c r="B836" s="4">
        <f>Data!B835</f>
        <v/>
      </c>
      <c r="C836" s="4">
        <f>Data!C835</f>
        <v/>
      </c>
      <c r="D836" s="4">
        <f>Data!I835</f>
        <v/>
      </c>
      <c r="E836" s="4">
        <f>Data!J835</f>
        <v/>
      </c>
      <c r="F836" s="4">
        <f>Data!H835</f>
        <v/>
      </c>
      <c r="G836" s="4">
        <f>SUM(Data!Q835:Data!Y835)</f>
        <v/>
      </c>
      <c r="H836" s="4">
        <f>Data!Z835</f>
        <v/>
      </c>
      <c r="I836" s="4">
        <f>Data!AB835</f>
        <v/>
      </c>
      <c r="J836" s="4">
        <f>Data!AD835</f>
        <v/>
      </c>
      <c r="K836" s="4">
        <f>Data!AE835</f>
        <v/>
      </c>
      <c r="L836" s="4">
        <f>Data!AF835</f>
        <v/>
      </c>
      <c r="M836" s="4">
        <f>Data!AG835</f>
        <v/>
      </c>
      <c r="N836" s="4">
        <f>Data!AH835</f>
        <v/>
      </c>
      <c r="O836" s="4">
        <f>Data!AI835</f>
        <v/>
      </c>
      <c r="P836" s="4">
        <f>Data!AJ835</f>
        <v/>
      </c>
      <c r="Q836" s="4">
        <f>Data!AK835</f>
        <v/>
      </c>
      <c r="R836" s="4">
        <f>Data!AL835</f>
        <v/>
      </c>
    </row>
    <row r="837">
      <c r="A837" s="4">
        <f>Data!A836</f>
        <v/>
      </c>
      <c r="B837" s="4">
        <f>Data!B836</f>
        <v/>
      </c>
      <c r="C837" s="4">
        <f>Data!C836</f>
        <v/>
      </c>
      <c r="D837" s="4">
        <f>Data!I836</f>
        <v/>
      </c>
      <c r="E837" s="4">
        <f>Data!J836</f>
        <v/>
      </c>
      <c r="F837" s="4">
        <f>Data!H836</f>
        <v/>
      </c>
      <c r="G837" s="4">
        <f>SUM(Data!Q836:Data!Y836)</f>
        <v/>
      </c>
      <c r="H837" s="4">
        <f>Data!Z836</f>
        <v/>
      </c>
      <c r="I837" s="4">
        <f>Data!AB836</f>
        <v/>
      </c>
      <c r="J837" s="4">
        <f>Data!AD836</f>
        <v/>
      </c>
      <c r="K837" s="4">
        <f>Data!AE836</f>
        <v/>
      </c>
      <c r="L837" s="4">
        <f>Data!AF836</f>
        <v/>
      </c>
      <c r="M837" s="4">
        <f>Data!AG836</f>
        <v/>
      </c>
      <c r="N837" s="4">
        <f>Data!AH836</f>
        <v/>
      </c>
      <c r="O837" s="4">
        <f>Data!AI836</f>
        <v/>
      </c>
      <c r="P837" s="4">
        <f>Data!AJ836</f>
        <v/>
      </c>
      <c r="Q837" s="4">
        <f>Data!AK836</f>
        <v/>
      </c>
      <c r="R837" s="4">
        <f>Data!AL836</f>
        <v/>
      </c>
    </row>
    <row r="838">
      <c r="A838" s="4">
        <f>Data!A837</f>
        <v/>
      </c>
      <c r="B838" s="4">
        <f>Data!B837</f>
        <v/>
      </c>
      <c r="C838" s="4">
        <f>Data!C837</f>
        <v/>
      </c>
      <c r="D838" s="4">
        <f>Data!I837</f>
        <v/>
      </c>
      <c r="E838" s="4">
        <f>Data!J837</f>
        <v/>
      </c>
      <c r="F838" s="4">
        <f>Data!H837</f>
        <v/>
      </c>
      <c r="G838" s="4">
        <f>SUM(Data!Q837:Data!Y837)</f>
        <v/>
      </c>
      <c r="H838" s="4">
        <f>Data!Z837</f>
        <v/>
      </c>
      <c r="I838" s="4">
        <f>Data!AB837</f>
        <v/>
      </c>
      <c r="J838" s="4">
        <f>Data!AD837</f>
        <v/>
      </c>
      <c r="K838" s="4">
        <f>Data!AE837</f>
        <v/>
      </c>
      <c r="L838" s="4">
        <f>Data!AF837</f>
        <v/>
      </c>
      <c r="M838" s="4">
        <f>Data!AG837</f>
        <v/>
      </c>
      <c r="N838" s="4">
        <f>Data!AH837</f>
        <v/>
      </c>
      <c r="O838" s="4">
        <f>Data!AI837</f>
        <v/>
      </c>
      <c r="P838" s="4">
        <f>Data!AJ837</f>
        <v/>
      </c>
      <c r="Q838" s="4">
        <f>Data!AK837</f>
        <v/>
      </c>
      <c r="R838" s="4">
        <f>Data!AL837</f>
        <v/>
      </c>
    </row>
    <row r="839">
      <c r="A839" s="4">
        <f>Data!A838</f>
        <v/>
      </c>
      <c r="B839" s="4">
        <f>Data!B838</f>
        <v/>
      </c>
      <c r="C839" s="4">
        <f>Data!C838</f>
        <v/>
      </c>
      <c r="D839" s="4">
        <f>Data!I838</f>
        <v/>
      </c>
      <c r="E839" s="4">
        <f>Data!J838</f>
        <v/>
      </c>
      <c r="F839" s="4">
        <f>Data!H838</f>
        <v/>
      </c>
      <c r="G839" s="4">
        <f>SUM(Data!Q838:Data!Y838)</f>
        <v/>
      </c>
      <c r="H839" s="4">
        <f>Data!Z838</f>
        <v/>
      </c>
      <c r="I839" s="4">
        <f>Data!AB838</f>
        <v/>
      </c>
      <c r="J839" s="4">
        <f>Data!AD838</f>
        <v/>
      </c>
      <c r="K839" s="4">
        <f>Data!AE838</f>
        <v/>
      </c>
      <c r="L839" s="4">
        <f>Data!AF838</f>
        <v/>
      </c>
      <c r="M839" s="4">
        <f>Data!AG838</f>
        <v/>
      </c>
      <c r="N839" s="4">
        <f>Data!AH838</f>
        <v/>
      </c>
      <c r="O839" s="4">
        <f>Data!AI838</f>
        <v/>
      </c>
      <c r="P839" s="4">
        <f>Data!AJ838</f>
        <v/>
      </c>
      <c r="Q839" s="4">
        <f>Data!AK838</f>
        <v/>
      </c>
      <c r="R839" s="4">
        <f>Data!AL838</f>
        <v/>
      </c>
    </row>
    <row r="840">
      <c r="A840" s="4">
        <f>Data!A839</f>
        <v/>
      </c>
      <c r="B840" s="4">
        <f>Data!B839</f>
        <v/>
      </c>
      <c r="C840" s="4">
        <f>Data!C839</f>
        <v/>
      </c>
      <c r="D840" s="4">
        <f>Data!I839</f>
        <v/>
      </c>
      <c r="E840" s="4">
        <f>Data!J839</f>
        <v/>
      </c>
      <c r="F840" s="4">
        <f>Data!H839</f>
        <v/>
      </c>
      <c r="G840" s="4">
        <f>SUM(Data!Q839:Data!Y839)</f>
        <v/>
      </c>
      <c r="H840" s="4">
        <f>Data!Z839</f>
        <v/>
      </c>
      <c r="I840" s="4">
        <f>Data!AB839</f>
        <v/>
      </c>
      <c r="J840" s="4">
        <f>Data!AD839</f>
        <v/>
      </c>
      <c r="K840" s="4">
        <f>Data!AE839</f>
        <v/>
      </c>
      <c r="L840" s="4">
        <f>Data!AF839</f>
        <v/>
      </c>
      <c r="M840" s="4">
        <f>Data!AG839</f>
        <v/>
      </c>
      <c r="N840" s="4">
        <f>Data!AH839</f>
        <v/>
      </c>
      <c r="O840" s="4">
        <f>Data!AI839</f>
        <v/>
      </c>
      <c r="P840" s="4">
        <f>Data!AJ839</f>
        <v/>
      </c>
      <c r="Q840" s="4">
        <f>Data!AK839</f>
        <v/>
      </c>
      <c r="R840" s="4">
        <f>Data!AL839</f>
        <v/>
      </c>
    </row>
    <row r="841">
      <c r="A841" s="4">
        <f>Data!A840</f>
        <v/>
      </c>
      <c r="B841" s="4">
        <f>Data!B840</f>
        <v/>
      </c>
      <c r="C841" s="4">
        <f>Data!C840</f>
        <v/>
      </c>
      <c r="D841" s="4">
        <f>Data!I840</f>
        <v/>
      </c>
      <c r="E841" s="4">
        <f>Data!J840</f>
        <v/>
      </c>
      <c r="F841" s="4">
        <f>Data!H840</f>
        <v/>
      </c>
      <c r="G841" s="4">
        <f>SUM(Data!Q840:Data!Y840)</f>
        <v/>
      </c>
      <c r="H841" s="4">
        <f>Data!Z840</f>
        <v/>
      </c>
      <c r="I841" s="4">
        <f>Data!AB840</f>
        <v/>
      </c>
      <c r="J841" s="4">
        <f>Data!AD840</f>
        <v/>
      </c>
      <c r="K841" s="4">
        <f>Data!AE840</f>
        <v/>
      </c>
      <c r="L841" s="4">
        <f>Data!AF840</f>
        <v/>
      </c>
      <c r="M841" s="4">
        <f>Data!AG840</f>
        <v/>
      </c>
      <c r="N841" s="4">
        <f>Data!AH840</f>
        <v/>
      </c>
      <c r="O841" s="4">
        <f>Data!AI840</f>
        <v/>
      </c>
      <c r="P841" s="4">
        <f>Data!AJ840</f>
        <v/>
      </c>
      <c r="Q841" s="4">
        <f>Data!AK840</f>
        <v/>
      </c>
      <c r="R841" s="4">
        <f>Data!AL840</f>
        <v/>
      </c>
    </row>
    <row r="842">
      <c r="A842" s="4">
        <f>Data!A841</f>
        <v/>
      </c>
      <c r="B842" s="4">
        <f>Data!B841</f>
        <v/>
      </c>
      <c r="C842" s="4">
        <f>Data!C841</f>
        <v/>
      </c>
      <c r="D842" s="4">
        <f>Data!I841</f>
        <v/>
      </c>
      <c r="E842" s="4">
        <f>Data!J841</f>
        <v/>
      </c>
      <c r="F842" s="4">
        <f>Data!H841</f>
        <v/>
      </c>
      <c r="G842" s="4">
        <f>SUM(Data!Q841:Data!Y841)</f>
        <v/>
      </c>
      <c r="H842" s="4">
        <f>Data!Z841</f>
        <v/>
      </c>
      <c r="I842" s="4">
        <f>Data!AB841</f>
        <v/>
      </c>
      <c r="J842" s="4">
        <f>Data!AD841</f>
        <v/>
      </c>
      <c r="K842" s="4">
        <f>Data!AE841</f>
        <v/>
      </c>
      <c r="L842" s="4">
        <f>Data!AF841</f>
        <v/>
      </c>
      <c r="M842" s="4">
        <f>Data!AG841</f>
        <v/>
      </c>
      <c r="N842" s="4">
        <f>Data!AH841</f>
        <v/>
      </c>
      <c r="O842" s="4">
        <f>Data!AI841</f>
        <v/>
      </c>
      <c r="P842" s="4">
        <f>Data!AJ841</f>
        <v/>
      </c>
      <c r="Q842" s="4">
        <f>Data!AK841</f>
        <v/>
      </c>
      <c r="R842" s="4">
        <f>Data!AL841</f>
        <v/>
      </c>
    </row>
    <row r="843">
      <c r="A843" s="4">
        <f>Data!A842</f>
        <v/>
      </c>
      <c r="B843" s="4">
        <f>Data!B842</f>
        <v/>
      </c>
      <c r="C843" s="4">
        <f>Data!C842</f>
        <v/>
      </c>
      <c r="D843" s="4">
        <f>Data!I842</f>
        <v/>
      </c>
      <c r="E843" s="4">
        <f>Data!J842</f>
        <v/>
      </c>
      <c r="F843" s="4">
        <f>Data!H842</f>
        <v/>
      </c>
      <c r="G843" s="4">
        <f>SUM(Data!Q842:Data!Y842)</f>
        <v/>
      </c>
      <c r="H843" s="4">
        <f>Data!Z842</f>
        <v/>
      </c>
      <c r="I843" s="4">
        <f>Data!AB842</f>
        <v/>
      </c>
      <c r="J843" s="4">
        <f>Data!AD842</f>
        <v/>
      </c>
      <c r="K843" s="4">
        <f>Data!AE842</f>
        <v/>
      </c>
      <c r="L843" s="4">
        <f>Data!AF842</f>
        <v/>
      </c>
      <c r="M843" s="4">
        <f>Data!AG842</f>
        <v/>
      </c>
      <c r="N843" s="4">
        <f>Data!AH842</f>
        <v/>
      </c>
      <c r="O843" s="4">
        <f>Data!AI842</f>
        <v/>
      </c>
      <c r="P843" s="4">
        <f>Data!AJ842</f>
        <v/>
      </c>
      <c r="Q843" s="4">
        <f>Data!AK842</f>
        <v/>
      </c>
      <c r="R843" s="4">
        <f>Data!AL842</f>
        <v/>
      </c>
    </row>
    <row r="844">
      <c r="A844" s="4">
        <f>Data!A843</f>
        <v/>
      </c>
      <c r="B844" s="4">
        <f>Data!B843</f>
        <v/>
      </c>
      <c r="C844" s="4">
        <f>Data!C843</f>
        <v/>
      </c>
      <c r="D844" s="4">
        <f>Data!I843</f>
        <v/>
      </c>
      <c r="E844" s="4">
        <f>Data!J843</f>
        <v/>
      </c>
      <c r="F844" s="4">
        <f>Data!H843</f>
        <v/>
      </c>
      <c r="G844" s="4">
        <f>SUM(Data!Q843:Data!Y843)</f>
        <v/>
      </c>
      <c r="H844" s="4">
        <f>Data!Z843</f>
        <v/>
      </c>
      <c r="I844" s="4">
        <f>Data!AB843</f>
        <v/>
      </c>
      <c r="J844" s="4">
        <f>Data!AD843</f>
        <v/>
      </c>
      <c r="K844" s="4">
        <f>Data!AE843</f>
        <v/>
      </c>
      <c r="L844" s="4">
        <f>Data!AF843</f>
        <v/>
      </c>
      <c r="M844" s="4">
        <f>Data!AG843</f>
        <v/>
      </c>
      <c r="N844" s="4">
        <f>Data!AH843</f>
        <v/>
      </c>
      <c r="O844" s="4">
        <f>Data!AI843</f>
        <v/>
      </c>
      <c r="P844" s="4">
        <f>Data!AJ843</f>
        <v/>
      </c>
      <c r="Q844" s="4">
        <f>Data!AK843</f>
        <v/>
      </c>
      <c r="R844" s="4">
        <f>Data!AL843</f>
        <v/>
      </c>
    </row>
    <row r="845">
      <c r="A845" s="4">
        <f>Data!A844</f>
        <v/>
      </c>
      <c r="B845" s="4">
        <f>Data!B844</f>
        <v/>
      </c>
      <c r="C845" s="4">
        <f>Data!C844</f>
        <v/>
      </c>
      <c r="D845" s="4">
        <f>Data!I844</f>
        <v/>
      </c>
      <c r="E845" s="4">
        <f>Data!J844</f>
        <v/>
      </c>
      <c r="F845" s="4">
        <f>Data!H844</f>
        <v/>
      </c>
      <c r="G845" s="4">
        <f>SUM(Data!Q844:Data!Y844)</f>
        <v/>
      </c>
      <c r="H845" s="4">
        <f>Data!Z844</f>
        <v/>
      </c>
      <c r="I845" s="4">
        <f>Data!AB844</f>
        <v/>
      </c>
      <c r="J845" s="4">
        <f>Data!AD844</f>
        <v/>
      </c>
      <c r="K845" s="4">
        <f>Data!AE844</f>
        <v/>
      </c>
      <c r="L845" s="4">
        <f>Data!AF844</f>
        <v/>
      </c>
      <c r="M845" s="4">
        <f>Data!AG844</f>
        <v/>
      </c>
      <c r="N845" s="4">
        <f>Data!AH844</f>
        <v/>
      </c>
      <c r="O845" s="4">
        <f>Data!AI844</f>
        <v/>
      </c>
      <c r="P845" s="4">
        <f>Data!AJ844</f>
        <v/>
      </c>
      <c r="Q845" s="4">
        <f>Data!AK844</f>
        <v/>
      </c>
      <c r="R845" s="4">
        <f>Data!AL844</f>
        <v/>
      </c>
    </row>
    <row r="846">
      <c r="A846" s="4">
        <f>Data!A845</f>
        <v/>
      </c>
      <c r="B846" s="4">
        <f>Data!B845</f>
        <v/>
      </c>
      <c r="C846" s="4">
        <f>Data!C845</f>
        <v/>
      </c>
      <c r="D846" s="4">
        <f>Data!I845</f>
        <v/>
      </c>
      <c r="E846" s="4">
        <f>Data!J845</f>
        <v/>
      </c>
      <c r="F846" s="4">
        <f>Data!H845</f>
        <v/>
      </c>
      <c r="G846" s="4">
        <f>SUM(Data!Q845:Data!Y845)</f>
        <v/>
      </c>
      <c r="H846" s="4">
        <f>Data!Z845</f>
        <v/>
      </c>
      <c r="I846" s="4">
        <f>Data!AB845</f>
        <v/>
      </c>
      <c r="J846" s="4">
        <f>Data!AD845</f>
        <v/>
      </c>
      <c r="K846" s="4">
        <f>Data!AE845</f>
        <v/>
      </c>
      <c r="L846" s="4">
        <f>Data!AF845</f>
        <v/>
      </c>
      <c r="M846" s="4">
        <f>Data!AG845</f>
        <v/>
      </c>
      <c r="N846" s="4">
        <f>Data!AH845</f>
        <v/>
      </c>
      <c r="O846" s="4">
        <f>Data!AI845</f>
        <v/>
      </c>
      <c r="P846" s="4">
        <f>Data!AJ845</f>
        <v/>
      </c>
      <c r="Q846" s="4">
        <f>Data!AK845</f>
        <v/>
      </c>
      <c r="R846" s="4">
        <f>Data!AL845</f>
        <v/>
      </c>
    </row>
    <row r="847">
      <c r="A847" s="4">
        <f>Data!A846</f>
        <v/>
      </c>
      <c r="B847" s="4">
        <f>Data!B846</f>
        <v/>
      </c>
      <c r="C847" s="4">
        <f>Data!C846</f>
        <v/>
      </c>
      <c r="D847" s="4">
        <f>Data!I846</f>
        <v/>
      </c>
      <c r="E847" s="4">
        <f>Data!J846</f>
        <v/>
      </c>
      <c r="F847" s="4">
        <f>Data!H846</f>
        <v/>
      </c>
      <c r="G847" s="4">
        <f>SUM(Data!Q846:Data!Y846)</f>
        <v/>
      </c>
      <c r="H847" s="4">
        <f>Data!Z846</f>
        <v/>
      </c>
      <c r="I847" s="4">
        <f>Data!AB846</f>
        <v/>
      </c>
      <c r="J847" s="4">
        <f>Data!AD846</f>
        <v/>
      </c>
      <c r="K847" s="4">
        <f>Data!AE846</f>
        <v/>
      </c>
      <c r="L847" s="4">
        <f>Data!AF846</f>
        <v/>
      </c>
      <c r="M847" s="4">
        <f>Data!AG846</f>
        <v/>
      </c>
      <c r="N847" s="4">
        <f>Data!AH846</f>
        <v/>
      </c>
      <c r="O847" s="4">
        <f>Data!AI846</f>
        <v/>
      </c>
      <c r="P847" s="4">
        <f>Data!AJ846</f>
        <v/>
      </c>
      <c r="Q847" s="4">
        <f>Data!AK846</f>
        <v/>
      </c>
      <c r="R847" s="4">
        <f>Data!AL846</f>
        <v/>
      </c>
    </row>
    <row r="848">
      <c r="A848" s="4">
        <f>Data!A847</f>
        <v/>
      </c>
      <c r="B848" s="4">
        <f>Data!B847</f>
        <v/>
      </c>
      <c r="C848" s="4">
        <f>Data!C847</f>
        <v/>
      </c>
      <c r="D848" s="4">
        <f>Data!I847</f>
        <v/>
      </c>
      <c r="E848" s="4">
        <f>Data!J847</f>
        <v/>
      </c>
      <c r="F848" s="4">
        <f>Data!H847</f>
        <v/>
      </c>
      <c r="G848" s="4">
        <f>SUM(Data!Q847:Data!Y847)</f>
        <v/>
      </c>
      <c r="H848" s="4">
        <f>Data!Z847</f>
        <v/>
      </c>
      <c r="I848" s="4">
        <f>Data!AB847</f>
        <v/>
      </c>
      <c r="J848" s="4">
        <f>Data!AD847</f>
        <v/>
      </c>
      <c r="K848" s="4">
        <f>Data!AE847</f>
        <v/>
      </c>
      <c r="L848" s="4">
        <f>Data!AF847</f>
        <v/>
      </c>
      <c r="M848" s="4">
        <f>Data!AG847</f>
        <v/>
      </c>
      <c r="N848" s="4">
        <f>Data!AH847</f>
        <v/>
      </c>
      <c r="O848" s="4">
        <f>Data!AI847</f>
        <v/>
      </c>
      <c r="P848" s="4">
        <f>Data!AJ847</f>
        <v/>
      </c>
      <c r="Q848" s="4">
        <f>Data!AK847</f>
        <v/>
      </c>
      <c r="R848" s="4">
        <f>Data!AL847</f>
        <v/>
      </c>
    </row>
    <row r="849">
      <c r="A849" s="4">
        <f>Data!A848</f>
        <v/>
      </c>
      <c r="B849" s="4">
        <f>Data!B848</f>
        <v/>
      </c>
      <c r="C849" s="4">
        <f>Data!C848</f>
        <v/>
      </c>
      <c r="D849" s="4">
        <f>Data!I848</f>
        <v/>
      </c>
      <c r="E849" s="4">
        <f>Data!J848</f>
        <v/>
      </c>
      <c r="F849" s="4">
        <f>Data!H848</f>
        <v/>
      </c>
      <c r="G849" s="4">
        <f>SUM(Data!Q848:Data!Y848)</f>
        <v/>
      </c>
      <c r="H849" s="4">
        <f>Data!Z848</f>
        <v/>
      </c>
      <c r="I849" s="4">
        <f>Data!AB848</f>
        <v/>
      </c>
      <c r="J849" s="4">
        <f>Data!AD848</f>
        <v/>
      </c>
      <c r="K849" s="4">
        <f>Data!AE848</f>
        <v/>
      </c>
      <c r="L849" s="4">
        <f>Data!AF848</f>
        <v/>
      </c>
      <c r="M849" s="4">
        <f>Data!AG848</f>
        <v/>
      </c>
      <c r="N849" s="4">
        <f>Data!AH848</f>
        <v/>
      </c>
      <c r="O849" s="4">
        <f>Data!AI848</f>
        <v/>
      </c>
      <c r="P849" s="4">
        <f>Data!AJ848</f>
        <v/>
      </c>
      <c r="Q849" s="4">
        <f>Data!AK848</f>
        <v/>
      </c>
      <c r="R849" s="4">
        <f>Data!AL848</f>
        <v/>
      </c>
    </row>
    <row r="850">
      <c r="A850" s="4">
        <f>Data!A849</f>
        <v/>
      </c>
      <c r="B850" s="4">
        <f>Data!B849</f>
        <v/>
      </c>
      <c r="C850" s="4">
        <f>Data!C849</f>
        <v/>
      </c>
      <c r="D850" s="4">
        <f>Data!I849</f>
        <v/>
      </c>
      <c r="E850" s="4">
        <f>Data!J849</f>
        <v/>
      </c>
      <c r="F850" s="4">
        <f>Data!H849</f>
        <v/>
      </c>
      <c r="G850" s="4">
        <f>SUM(Data!Q849:Data!Y849)</f>
        <v/>
      </c>
      <c r="H850" s="4">
        <f>Data!Z849</f>
        <v/>
      </c>
      <c r="I850" s="4">
        <f>Data!AB849</f>
        <v/>
      </c>
      <c r="J850" s="4">
        <f>Data!AD849</f>
        <v/>
      </c>
      <c r="K850" s="4">
        <f>Data!AE849</f>
        <v/>
      </c>
      <c r="L850" s="4">
        <f>Data!AF849</f>
        <v/>
      </c>
      <c r="M850" s="4">
        <f>Data!AG849</f>
        <v/>
      </c>
      <c r="N850" s="4">
        <f>Data!AH849</f>
        <v/>
      </c>
      <c r="O850" s="4">
        <f>Data!AI849</f>
        <v/>
      </c>
      <c r="P850" s="4">
        <f>Data!AJ849</f>
        <v/>
      </c>
      <c r="Q850" s="4">
        <f>Data!AK849</f>
        <v/>
      </c>
      <c r="R850" s="4">
        <f>Data!AL849</f>
        <v/>
      </c>
    </row>
    <row r="851">
      <c r="A851" s="4">
        <f>Data!A850</f>
        <v/>
      </c>
      <c r="B851" s="4">
        <f>Data!B850</f>
        <v/>
      </c>
      <c r="C851" s="4">
        <f>Data!C850</f>
        <v/>
      </c>
      <c r="D851" s="4">
        <f>Data!I850</f>
        <v/>
      </c>
      <c r="E851" s="4">
        <f>Data!J850</f>
        <v/>
      </c>
      <c r="F851" s="4">
        <f>Data!H850</f>
        <v/>
      </c>
      <c r="G851" s="4">
        <f>SUM(Data!Q850:Data!Y850)</f>
        <v/>
      </c>
      <c r="H851" s="4">
        <f>Data!Z850</f>
        <v/>
      </c>
      <c r="I851" s="4">
        <f>Data!AB850</f>
        <v/>
      </c>
      <c r="J851" s="4">
        <f>Data!AD850</f>
        <v/>
      </c>
      <c r="K851" s="4">
        <f>Data!AE850</f>
        <v/>
      </c>
      <c r="L851" s="4">
        <f>Data!AF850</f>
        <v/>
      </c>
      <c r="M851" s="4">
        <f>Data!AG850</f>
        <v/>
      </c>
      <c r="N851" s="4">
        <f>Data!AH850</f>
        <v/>
      </c>
      <c r="O851" s="4">
        <f>Data!AI850</f>
        <v/>
      </c>
      <c r="P851" s="4">
        <f>Data!AJ850</f>
        <v/>
      </c>
      <c r="Q851" s="4">
        <f>Data!AK850</f>
        <v/>
      </c>
      <c r="R851" s="4">
        <f>Data!AL850</f>
        <v/>
      </c>
    </row>
    <row r="852">
      <c r="A852" s="4">
        <f>Data!A851</f>
        <v/>
      </c>
      <c r="B852" s="4">
        <f>Data!B851</f>
        <v/>
      </c>
      <c r="C852" s="4">
        <f>Data!C851</f>
        <v/>
      </c>
      <c r="D852" s="4">
        <f>Data!I851</f>
        <v/>
      </c>
      <c r="E852" s="4">
        <f>Data!J851</f>
        <v/>
      </c>
      <c r="F852" s="4">
        <f>Data!H851</f>
        <v/>
      </c>
      <c r="G852" s="4">
        <f>SUM(Data!Q851:Data!Y851)</f>
        <v/>
      </c>
      <c r="H852" s="4">
        <f>Data!Z851</f>
        <v/>
      </c>
      <c r="I852" s="4">
        <f>Data!AB851</f>
        <v/>
      </c>
      <c r="J852" s="4">
        <f>Data!AD851</f>
        <v/>
      </c>
      <c r="K852" s="4">
        <f>Data!AE851</f>
        <v/>
      </c>
      <c r="L852" s="4">
        <f>Data!AF851</f>
        <v/>
      </c>
      <c r="M852" s="4">
        <f>Data!AG851</f>
        <v/>
      </c>
      <c r="N852" s="4">
        <f>Data!AH851</f>
        <v/>
      </c>
      <c r="O852" s="4">
        <f>Data!AI851</f>
        <v/>
      </c>
      <c r="P852" s="4">
        <f>Data!AJ851</f>
        <v/>
      </c>
      <c r="Q852" s="4">
        <f>Data!AK851</f>
        <v/>
      </c>
      <c r="R852" s="4">
        <f>Data!AL851</f>
        <v/>
      </c>
    </row>
    <row r="853">
      <c r="A853" s="4">
        <f>Data!A852</f>
        <v/>
      </c>
      <c r="B853" s="4">
        <f>Data!B852</f>
        <v/>
      </c>
      <c r="C853" s="4">
        <f>Data!C852</f>
        <v/>
      </c>
      <c r="D853" s="4">
        <f>Data!I852</f>
        <v/>
      </c>
      <c r="E853" s="4">
        <f>Data!J852</f>
        <v/>
      </c>
      <c r="F853" s="4">
        <f>Data!H852</f>
        <v/>
      </c>
      <c r="G853" s="4">
        <f>SUM(Data!Q852:Data!Y852)</f>
        <v/>
      </c>
      <c r="H853" s="4">
        <f>Data!Z852</f>
        <v/>
      </c>
      <c r="I853" s="4">
        <f>Data!AB852</f>
        <v/>
      </c>
      <c r="J853" s="4">
        <f>Data!AD852</f>
        <v/>
      </c>
      <c r="K853" s="4">
        <f>Data!AE852</f>
        <v/>
      </c>
      <c r="L853" s="4">
        <f>Data!AF852</f>
        <v/>
      </c>
      <c r="M853" s="4">
        <f>Data!AG852</f>
        <v/>
      </c>
      <c r="N853" s="4">
        <f>Data!AH852</f>
        <v/>
      </c>
      <c r="O853" s="4">
        <f>Data!AI852</f>
        <v/>
      </c>
      <c r="P853" s="4">
        <f>Data!AJ852</f>
        <v/>
      </c>
      <c r="Q853" s="4">
        <f>Data!AK852</f>
        <v/>
      </c>
      <c r="R853" s="4">
        <f>Data!AL852</f>
        <v/>
      </c>
    </row>
    <row r="854">
      <c r="A854" s="4">
        <f>Data!A853</f>
        <v/>
      </c>
      <c r="B854" s="4">
        <f>Data!B853</f>
        <v/>
      </c>
      <c r="C854" s="4">
        <f>Data!C853</f>
        <v/>
      </c>
      <c r="D854" s="4">
        <f>Data!I853</f>
        <v/>
      </c>
      <c r="E854" s="4">
        <f>Data!J853</f>
        <v/>
      </c>
      <c r="F854" s="4">
        <f>Data!H853</f>
        <v/>
      </c>
      <c r="G854" s="4">
        <f>SUM(Data!Q853:Data!Y853)</f>
        <v/>
      </c>
      <c r="H854" s="4">
        <f>Data!Z853</f>
        <v/>
      </c>
      <c r="I854" s="4">
        <f>Data!AB853</f>
        <v/>
      </c>
      <c r="J854" s="4">
        <f>Data!AD853</f>
        <v/>
      </c>
      <c r="K854" s="4">
        <f>Data!AE853</f>
        <v/>
      </c>
      <c r="L854" s="4">
        <f>Data!AF853</f>
        <v/>
      </c>
      <c r="M854" s="4">
        <f>Data!AG853</f>
        <v/>
      </c>
      <c r="N854" s="4">
        <f>Data!AH853</f>
        <v/>
      </c>
      <c r="O854" s="4">
        <f>Data!AI853</f>
        <v/>
      </c>
      <c r="P854" s="4">
        <f>Data!AJ853</f>
        <v/>
      </c>
      <c r="Q854" s="4">
        <f>Data!AK853</f>
        <v/>
      </c>
      <c r="R854" s="4">
        <f>Data!AL853</f>
        <v/>
      </c>
    </row>
    <row r="855">
      <c r="A855" s="4">
        <f>Data!A854</f>
        <v/>
      </c>
      <c r="B855" s="4">
        <f>Data!B854</f>
        <v/>
      </c>
      <c r="C855" s="4">
        <f>Data!C854</f>
        <v/>
      </c>
      <c r="D855" s="4">
        <f>Data!I854</f>
        <v/>
      </c>
      <c r="E855" s="4">
        <f>Data!J854</f>
        <v/>
      </c>
      <c r="F855" s="4">
        <f>Data!H854</f>
        <v/>
      </c>
      <c r="G855" s="4">
        <f>SUM(Data!Q854:Data!Y854)</f>
        <v/>
      </c>
      <c r="H855" s="4">
        <f>Data!Z854</f>
        <v/>
      </c>
      <c r="I855" s="4">
        <f>Data!AB854</f>
        <v/>
      </c>
      <c r="J855" s="4">
        <f>Data!AD854</f>
        <v/>
      </c>
      <c r="K855" s="4">
        <f>Data!AE854</f>
        <v/>
      </c>
      <c r="L855" s="4">
        <f>Data!AF854</f>
        <v/>
      </c>
      <c r="M855" s="4">
        <f>Data!AG854</f>
        <v/>
      </c>
      <c r="N855" s="4">
        <f>Data!AH854</f>
        <v/>
      </c>
      <c r="O855" s="4">
        <f>Data!AI854</f>
        <v/>
      </c>
      <c r="P855" s="4">
        <f>Data!AJ854</f>
        <v/>
      </c>
      <c r="Q855" s="4">
        <f>Data!AK854</f>
        <v/>
      </c>
      <c r="R855" s="4">
        <f>Data!AL854</f>
        <v/>
      </c>
    </row>
    <row r="856">
      <c r="A856" s="4">
        <f>Data!A855</f>
        <v/>
      </c>
      <c r="B856" s="4">
        <f>Data!B855</f>
        <v/>
      </c>
      <c r="C856" s="4">
        <f>Data!C855</f>
        <v/>
      </c>
      <c r="D856" s="4">
        <f>Data!I855</f>
        <v/>
      </c>
      <c r="E856" s="4">
        <f>Data!J855</f>
        <v/>
      </c>
      <c r="F856" s="4">
        <f>Data!H855</f>
        <v/>
      </c>
      <c r="G856" s="4">
        <f>SUM(Data!Q855:Data!Y855)</f>
        <v/>
      </c>
      <c r="H856" s="4">
        <f>Data!Z855</f>
        <v/>
      </c>
      <c r="I856" s="4">
        <f>Data!AB855</f>
        <v/>
      </c>
      <c r="J856" s="4">
        <f>Data!AD855</f>
        <v/>
      </c>
      <c r="K856" s="4">
        <f>Data!AE855</f>
        <v/>
      </c>
      <c r="L856" s="4">
        <f>Data!AF855</f>
        <v/>
      </c>
      <c r="M856" s="4">
        <f>Data!AG855</f>
        <v/>
      </c>
      <c r="N856" s="4">
        <f>Data!AH855</f>
        <v/>
      </c>
      <c r="O856" s="4">
        <f>Data!AI855</f>
        <v/>
      </c>
      <c r="P856" s="4">
        <f>Data!AJ855</f>
        <v/>
      </c>
      <c r="Q856" s="4">
        <f>Data!AK855</f>
        <v/>
      </c>
      <c r="R856" s="4">
        <f>Data!AL855</f>
        <v/>
      </c>
    </row>
    <row r="857">
      <c r="A857" s="4">
        <f>Data!A856</f>
        <v/>
      </c>
      <c r="B857" s="4">
        <f>Data!B856</f>
        <v/>
      </c>
      <c r="C857" s="4">
        <f>Data!C856</f>
        <v/>
      </c>
      <c r="D857" s="4">
        <f>Data!I856</f>
        <v/>
      </c>
      <c r="E857" s="4">
        <f>Data!J856</f>
        <v/>
      </c>
      <c r="F857" s="4">
        <f>Data!H856</f>
        <v/>
      </c>
      <c r="G857" s="4">
        <f>SUM(Data!Q856:Data!Y856)</f>
        <v/>
      </c>
      <c r="H857" s="4">
        <f>Data!Z856</f>
        <v/>
      </c>
      <c r="I857" s="4">
        <f>Data!AB856</f>
        <v/>
      </c>
      <c r="J857" s="4">
        <f>Data!AD856</f>
        <v/>
      </c>
      <c r="K857" s="4">
        <f>Data!AE856</f>
        <v/>
      </c>
      <c r="L857" s="4">
        <f>Data!AF856</f>
        <v/>
      </c>
      <c r="M857" s="4">
        <f>Data!AG856</f>
        <v/>
      </c>
      <c r="N857" s="4">
        <f>Data!AH856</f>
        <v/>
      </c>
      <c r="O857" s="4">
        <f>Data!AI856</f>
        <v/>
      </c>
      <c r="P857" s="4">
        <f>Data!AJ856</f>
        <v/>
      </c>
      <c r="Q857" s="4">
        <f>Data!AK856</f>
        <v/>
      </c>
      <c r="R857" s="4">
        <f>Data!AL856</f>
        <v/>
      </c>
    </row>
    <row r="858">
      <c r="A858" s="4">
        <f>Data!A857</f>
        <v/>
      </c>
      <c r="B858" s="4">
        <f>Data!B857</f>
        <v/>
      </c>
      <c r="C858" s="4">
        <f>Data!C857</f>
        <v/>
      </c>
      <c r="D858" s="4">
        <f>Data!I857</f>
        <v/>
      </c>
      <c r="E858" s="4">
        <f>Data!J857</f>
        <v/>
      </c>
      <c r="F858" s="4">
        <f>Data!H857</f>
        <v/>
      </c>
      <c r="G858" s="4">
        <f>SUM(Data!Q857:Data!Y857)</f>
        <v/>
      </c>
      <c r="H858" s="4">
        <f>Data!Z857</f>
        <v/>
      </c>
      <c r="I858" s="4">
        <f>Data!AB857</f>
        <v/>
      </c>
      <c r="J858" s="4">
        <f>Data!AD857</f>
        <v/>
      </c>
      <c r="K858" s="4">
        <f>Data!AE857</f>
        <v/>
      </c>
      <c r="L858" s="4">
        <f>Data!AF857</f>
        <v/>
      </c>
      <c r="M858" s="4">
        <f>Data!AG857</f>
        <v/>
      </c>
      <c r="N858" s="4">
        <f>Data!AH857</f>
        <v/>
      </c>
      <c r="O858" s="4">
        <f>Data!AI857</f>
        <v/>
      </c>
      <c r="P858" s="4">
        <f>Data!AJ857</f>
        <v/>
      </c>
      <c r="Q858" s="4">
        <f>Data!AK857</f>
        <v/>
      </c>
      <c r="R858" s="4">
        <f>Data!AL857</f>
        <v/>
      </c>
    </row>
    <row r="859">
      <c r="A859" s="4">
        <f>Data!A858</f>
        <v/>
      </c>
      <c r="B859" s="4">
        <f>Data!B858</f>
        <v/>
      </c>
      <c r="C859" s="4">
        <f>Data!C858</f>
        <v/>
      </c>
      <c r="D859" s="4">
        <f>Data!I858</f>
        <v/>
      </c>
      <c r="E859" s="4">
        <f>Data!J858</f>
        <v/>
      </c>
      <c r="F859" s="4">
        <f>Data!H858</f>
        <v/>
      </c>
      <c r="G859" s="4">
        <f>SUM(Data!Q858:Data!Y858)</f>
        <v/>
      </c>
      <c r="H859" s="4">
        <f>Data!Z858</f>
        <v/>
      </c>
      <c r="I859" s="4">
        <f>Data!AB858</f>
        <v/>
      </c>
      <c r="J859" s="4">
        <f>Data!AD858</f>
        <v/>
      </c>
      <c r="K859" s="4">
        <f>Data!AE858</f>
        <v/>
      </c>
      <c r="L859" s="4">
        <f>Data!AF858</f>
        <v/>
      </c>
      <c r="M859" s="4">
        <f>Data!AG858</f>
        <v/>
      </c>
      <c r="N859" s="4">
        <f>Data!AH858</f>
        <v/>
      </c>
      <c r="O859" s="4">
        <f>Data!AI858</f>
        <v/>
      </c>
      <c r="P859" s="4">
        <f>Data!AJ858</f>
        <v/>
      </c>
      <c r="Q859" s="4">
        <f>Data!AK858</f>
        <v/>
      </c>
      <c r="R859" s="4">
        <f>Data!AL858</f>
        <v/>
      </c>
    </row>
    <row r="860">
      <c r="A860" s="4">
        <f>Data!A859</f>
        <v/>
      </c>
      <c r="B860" s="4">
        <f>Data!B859</f>
        <v/>
      </c>
      <c r="C860" s="4">
        <f>Data!C859</f>
        <v/>
      </c>
      <c r="D860" s="4">
        <f>Data!I859</f>
        <v/>
      </c>
      <c r="E860" s="4">
        <f>Data!J859</f>
        <v/>
      </c>
      <c r="F860" s="4">
        <f>Data!H859</f>
        <v/>
      </c>
      <c r="G860" s="4">
        <f>SUM(Data!Q859:Data!Y859)</f>
        <v/>
      </c>
      <c r="H860" s="4">
        <f>Data!Z859</f>
        <v/>
      </c>
      <c r="I860" s="4">
        <f>Data!AB859</f>
        <v/>
      </c>
      <c r="J860" s="4">
        <f>Data!AD859</f>
        <v/>
      </c>
      <c r="K860" s="4">
        <f>Data!AE859</f>
        <v/>
      </c>
      <c r="L860" s="4">
        <f>Data!AF859</f>
        <v/>
      </c>
      <c r="M860" s="4">
        <f>Data!AG859</f>
        <v/>
      </c>
      <c r="N860" s="4">
        <f>Data!AH859</f>
        <v/>
      </c>
      <c r="O860" s="4">
        <f>Data!AI859</f>
        <v/>
      </c>
      <c r="P860" s="4">
        <f>Data!AJ859</f>
        <v/>
      </c>
      <c r="Q860" s="4">
        <f>Data!AK859</f>
        <v/>
      </c>
      <c r="R860" s="4">
        <f>Data!AL859</f>
        <v/>
      </c>
    </row>
    <row r="861">
      <c r="A861" s="4">
        <f>Data!A860</f>
        <v/>
      </c>
      <c r="B861" s="4">
        <f>Data!B860</f>
        <v/>
      </c>
      <c r="C861" s="4">
        <f>Data!C860</f>
        <v/>
      </c>
      <c r="D861" s="4">
        <f>Data!I860</f>
        <v/>
      </c>
      <c r="E861" s="4">
        <f>Data!J860</f>
        <v/>
      </c>
      <c r="F861" s="4">
        <f>Data!H860</f>
        <v/>
      </c>
      <c r="G861" s="4">
        <f>SUM(Data!Q860:Data!Y860)</f>
        <v/>
      </c>
      <c r="H861" s="4">
        <f>Data!Z860</f>
        <v/>
      </c>
      <c r="I861" s="4">
        <f>Data!AB860</f>
        <v/>
      </c>
      <c r="J861" s="4">
        <f>Data!AD860</f>
        <v/>
      </c>
      <c r="K861" s="4">
        <f>Data!AE860</f>
        <v/>
      </c>
      <c r="L861" s="4">
        <f>Data!AF860</f>
        <v/>
      </c>
      <c r="M861" s="4">
        <f>Data!AG860</f>
        <v/>
      </c>
      <c r="N861" s="4">
        <f>Data!AH860</f>
        <v/>
      </c>
      <c r="O861" s="4">
        <f>Data!AI860</f>
        <v/>
      </c>
      <c r="P861" s="4">
        <f>Data!AJ860</f>
        <v/>
      </c>
      <c r="Q861" s="4">
        <f>Data!AK860</f>
        <v/>
      </c>
      <c r="R861" s="4">
        <f>Data!AL860</f>
        <v/>
      </c>
    </row>
    <row r="862">
      <c r="A862" s="4">
        <f>Data!A861</f>
        <v/>
      </c>
      <c r="B862" s="4">
        <f>Data!B861</f>
        <v/>
      </c>
      <c r="C862" s="4">
        <f>Data!C861</f>
        <v/>
      </c>
      <c r="D862" s="4">
        <f>Data!I861</f>
        <v/>
      </c>
      <c r="E862" s="4">
        <f>Data!J861</f>
        <v/>
      </c>
      <c r="F862" s="4">
        <f>Data!H861</f>
        <v/>
      </c>
      <c r="G862" s="4">
        <f>SUM(Data!Q861:Data!Y861)</f>
        <v/>
      </c>
      <c r="H862" s="4">
        <f>Data!Z861</f>
        <v/>
      </c>
      <c r="I862" s="4">
        <f>Data!AB861</f>
        <v/>
      </c>
      <c r="J862" s="4">
        <f>Data!AD861</f>
        <v/>
      </c>
      <c r="K862" s="4">
        <f>Data!AE861</f>
        <v/>
      </c>
      <c r="L862" s="4">
        <f>Data!AF861</f>
        <v/>
      </c>
      <c r="M862" s="4">
        <f>Data!AG861</f>
        <v/>
      </c>
      <c r="N862" s="4">
        <f>Data!AH861</f>
        <v/>
      </c>
      <c r="O862" s="4">
        <f>Data!AI861</f>
        <v/>
      </c>
      <c r="P862" s="4">
        <f>Data!AJ861</f>
        <v/>
      </c>
      <c r="Q862" s="4">
        <f>Data!AK861</f>
        <v/>
      </c>
      <c r="R862" s="4">
        <f>Data!AL861</f>
        <v/>
      </c>
    </row>
    <row r="863">
      <c r="A863" s="4">
        <f>Data!A862</f>
        <v/>
      </c>
      <c r="B863" s="4">
        <f>Data!B862</f>
        <v/>
      </c>
      <c r="C863" s="4">
        <f>Data!C862</f>
        <v/>
      </c>
      <c r="D863" s="4">
        <f>Data!I862</f>
        <v/>
      </c>
      <c r="E863" s="4">
        <f>Data!J862</f>
        <v/>
      </c>
      <c r="F863" s="4">
        <f>Data!H862</f>
        <v/>
      </c>
      <c r="G863" s="4">
        <f>SUM(Data!Q862:Data!Y862)</f>
        <v/>
      </c>
      <c r="H863" s="4">
        <f>Data!Z862</f>
        <v/>
      </c>
      <c r="I863" s="4">
        <f>Data!AB862</f>
        <v/>
      </c>
      <c r="J863" s="4">
        <f>Data!AD862</f>
        <v/>
      </c>
      <c r="K863" s="4">
        <f>Data!AE862</f>
        <v/>
      </c>
      <c r="L863" s="4">
        <f>Data!AF862</f>
        <v/>
      </c>
      <c r="M863" s="4">
        <f>Data!AG862</f>
        <v/>
      </c>
      <c r="N863" s="4">
        <f>Data!AH862</f>
        <v/>
      </c>
      <c r="O863" s="4">
        <f>Data!AI862</f>
        <v/>
      </c>
      <c r="P863" s="4">
        <f>Data!AJ862</f>
        <v/>
      </c>
      <c r="Q863" s="4">
        <f>Data!AK862</f>
        <v/>
      </c>
      <c r="R863" s="4">
        <f>Data!AL862</f>
        <v/>
      </c>
    </row>
    <row r="864">
      <c r="A864" s="4">
        <f>Data!A863</f>
        <v/>
      </c>
      <c r="B864" s="4">
        <f>Data!B863</f>
        <v/>
      </c>
      <c r="C864" s="4">
        <f>Data!C863</f>
        <v/>
      </c>
      <c r="D864" s="4">
        <f>Data!I863</f>
        <v/>
      </c>
      <c r="E864" s="4">
        <f>Data!J863</f>
        <v/>
      </c>
      <c r="F864" s="4">
        <f>Data!H863</f>
        <v/>
      </c>
      <c r="G864" s="4">
        <f>SUM(Data!Q863:Data!Y863)</f>
        <v/>
      </c>
      <c r="H864" s="4">
        <f>Data!Z863</f>
        <v/>
      </c>
      <c r="I864" s="4">
        <f>Data!AB863</f>
        <v/>
      </c>
      <c r="J864" s="4">
        <f>Data!AD863</f>
        <v/>
      </c>
      <c r="K864" s="4">
        <f>Data!AE863</f>
        <v/>
      </c>
      <c r="L864" s="4">
        <f>Data!AF863</f>
        <v/>
      </c>
      <c r="M864" s="4">
        <f>Data!AG863</f>
        <v/>
      </c>
      <c r="N864" s="4">
        <f>Data!AH863</f>
        <v/>
      </c>
      <c r="O864" s="4">
        <f>Data!AI863</f>
        <v/>
      </c>
      <c r="P864" s="4">
        <f>Data!AJ863</f>
        <v/>
      </c>
      <c r="Q864" s="4">
        <f>Data!AK863</f>
        <v/>
      </c>
      <c r="R864" s="4">
        <f>Data!AL863</f>
        <v/>
      </c>
    </row>
    <row r="865">
      <c r="A865" s="4">
        <f>Data!A864</f>
        <v/>
      </c>
      <c r="B865" s="4">
        <f>Data!B864</f>
        <v/>
      </c>
      <c r="C865" s="4">
        <f>Data!C864</f>
        <v/>
      </c>
      <c r="D865" s="4">
        <f>Data!I864</f>
        <v/>
      </c>
      <c r="E865" s="4">
        <f>Data!J864</f>
        <v/>
      </c>
      <c r="F865" s="4">
        <f>Data!H864</f>
        <v/>
      </c>
      <c r="G865" s="4">
        <f>SUM(Data!Q864:Data!Y864)</f>
        <v/>
      </c>
      <c r="H865" s="4">
        <f>Data!Z864</f>
        <v/>
      </c>
      <c r="I865" s="4">
        <f>Data!AB864</f>
        <v/>
      </c>
      <c r="J865" s="4">
        <f>Data!AD864</f>
        <v/>
      </c>
      <c r="K865" s="4">
        <f>Data!AE864</f>
        <v/>
      </c>
      <c r="L865" s="4">
        <f>Data!AF864</f>
        <v/>
      </c>
      <c r="M865" s="4">
        <f>Data!AG864</f>
        <v/>
      </c>
      <c r="N865" s="4">
        <f>Data!AH864</f>
        <v/>
      </c>
      <c r="O865" s="4">
        <f>Data!AI864</f>
        <v/>
      </c>
      <c r="P865" s="4">
        <f>Data!AJ864</f>
        <v/>
      </c>
      <c r="Q865" s="4">
        <f>Data!AK864</f>
        <v/>
      </c>
      <c r="R865" s="4">
        <f>Data!AL864</f>
        <v/>
      </c>
    </row>
    <row r="866">
      <c r="A866" s="4">
        <f>Data!A865</f>
        <v/>
      </c>
      <c r="B866" s="4">
        <f>Data!B865</f>
        <v/>
      </c>
      <c r="C866" s="4">
        <f>Data!C865</f>
        <v/>
      </c>
      <c r="D866" s="4">
        <f>Data!I865</f>
        <v/>
      </c>
      <c r="E866" s="4">
        <f>Data!J865</f>
        <v/>
      </c>
      <c r="F866" s="4">
        <f>Data!H865</f>
        <v/>
      </c>
      <c r="G866" s="4">
        <f>SUM(Data!Q865:Data!Y865)</f>
        <v/>
      </c>
      <c r="H866" s="4">
        <f>Data!Z865</f>
        <v/>
      </c>
      <c r="I866" s="4">
        <f>Data!AB865</f>
        <v/>
      </c>
      <c r="J866" s="4">
        <f>Data!AD865</f>
        <v/>
      </c>
      <c r="K866" s="4">
        <f>Data!AE865</f>
        <v/>
      </c>
      <c r="L866" s="4">
        <f>Data!AF865</f>
        <v/>
      </c>
      <c r="M866" s="4">
        <f>Data!AG865</f>
        <v/>
      </c>
      <c r="N866" s="4">
        <f>Data!AH865</f>
        <v/>
      </c>
      <c r="O866" s="4">
        <f>Data!AI865</f>
        <v/>
      </c>
      <c r="P866" s="4">
        <f>Data!AJ865</f>
        <v/>
      </c>
      <c r="Q866" s="4">
        <f>Data!AK865</f>
        <v/>
      </c>
      <c r="R866" s="4">
        <f>Data!AL865</f>
        <v/>
      </c>
    </row>
    <row r="867">
      <c r="A867" s="4">
        <f>Data!A866</f>
        <v/>
      </c>
      <c r="B867" s="4">
        <f>Data!B866</f>
        <v/>
      </c>
      <c r="C867" s="4">
        <f>Data!C866</f>
        <v/>
      </c>
      <c r="D867" s="4">
        <f>Data!I866</f>
        <v/>
      </c>
      <c r="E867" s="4">
        <f>Data!J866</f>
        <v/>
      </c>
      <c r="F867" s="4">
        <f>Data!H866</f>
        <v/>
      </c>
      <c r="G867" s="4">
        <f>SUM(Data!Q866:Data!Y866)</f>
        <v/>
      </c>
      <c r="H867" s="4">
        <f>Data!Z866</f>
        <v/>
      </c>
      <c r="I867" s="4">
        <f>Data!AB866</f>
        <v/>
      </c>
      <c r="J867" s="4">
        <f>Data!AD866</f>
        <v/>
      </c>
      <c r="K867" s="4">
        <f>Data!AE866</f>
        <v/>
      </c>
      <c r="L867" s="4">
        <f>Data!AF866</f>
        <v/>
      </c>
      <c r="M867" s="4">
        <f>Data!AG866</f>
        <v/>
      </c>
      <c r="N867" s="4">
        <f>Data!AH866</f>
        <v/>
      </c>
      <c r="O867" s="4">
        <f>Data!AI866</f>
        <v/>
      </c>
      <c r="P867" s="4">
        <f>Data!AJ866</f>
        <v/>
      </c>
      <c r="Q867" s="4">
        <f>Data!AK866</f>
        <v/>
      </c>
      <c r="R867" s="4">
        <f>Data!AL866</f>
        <v/>
      </c>
    </row>
    <row r="868">
      <c r="A868" s="4">
        <f>Data!A867</f>
        <v/>
      </c>
      <c r="B868" s="4">
        <f>Data!B867</f>
        <v/>
      </c>
      <c r="C868" s="4">
        <f>Data!C867</f>
        <v/>
      </c>
      <c r="D868" s="4">
        <f>Data!I867</f>
        <v/>
      </c>
      <c r="E868" s="4">
        <f>Data!J867</f>
        <v/>
      </c>
      <c r="F868" s="4">
        <f>Data!H867</f>
        <v/>
      </c>
      <c r="G868" s="4">
        <f>SUM(Data!Q867:Data!Y867)</f>
        <v/>
      </c>
      <c r="H868" s="4">
        <f>Data!Z867</f>
        <v/>
      </c>
      <c r="I868" s="4">
        <f>Data!AB867</f>
        <v/>
      </c>
      <c r="J868" s="4">
        <f>Data!AD867</f>
        <v/>
      </c>
      <c r="K868" s="4">
        <f>Data!AE867</f>
        <v/>
      </c>
      <c r="L868" s="4">
        <f>Data!AF867</f>
        <v/>
      </c>
      <c r="M868" s="4">
        <f>Data!AG867</f>
        <v/>
      </c>
      <c r="N868" s="4">
        <f>Data!AH867</f>
        <v/>
      </c>
      <c r="O868" s="4">
        <f>Data!AI867</f>
        <v/>
      </c>
      <c r="P868" s="4">
        <f>Data!AJ867</f>
        <v/>
      </c>
      <c r="Q868" s="4">
        <f>Data!AK867</f>
        <v/>
      </c>
      <c r="R868" s="4">
        <f>Data!AL867</f>
        <v/>
      </c>
    </row>
    <row r="869">
      <c r="A869" s="4">
        <f>Data!A868</f>
        <v/>
      </c>
      <c r="B869" s="4">
        <f>Data!B868</f>
        <v/>
      </c>
      <c r="C869" s="4">
        <f>Data!C868</f>
        <v/>
      </c>
      <c r="D869" s="4">
        <f>Data!I868</f>
        <v/>
      </c>
      <c r="E869" s="4">
        <f>Data!J868</f>
        <v/>
      </c>
      <c r="F869" s="4">
        <f>Data!H868</f>
        <v/>
      </c>
      <c r="G869" s="4">
        <f>SUM(Data!Q868:Data!Y868)</f>
        <v/>
      </c>
      <c r="H869" s="4">
        <f>Data!Z868</f>
        <v/>
      </c>
      <c r="I869" s="4">
        <f>Data!AB868</f>
        <v/>
      </c>
      <c r="J869" s="4">
        <f>Data!AD868</f>
        <v/>
      </c>
      <c r="K869" s="4">
        <f>Data!AE868</f>
        <v/>
      </c>
      <c r="L869" s="4">
        <f>Data!AF868</f>
        <v/>
      </c>
      <c r="M869" s="4">
        <f>Data!AG868</f>
        <v/>
      </c>
      <c r="N869" s="4">
        <f>Data!AH868</f>
        <v/>
      </c>
      <c r="O869" s="4">
        <f>Data!AI868</f>
        <v/>
      </c>
      <c r="P869" s="4">
        <f>Data!AJ868</f>
        <v/>
      </c>
      <c r="Q869" s="4">
        <f>Data!AK868</f>
        <v/>
      </c>
      <c r="R869" s="4">
        <f>Data!AL868</f>
        <v/>
      </c>
    </row>
    <row r="870">
      <c r="A870" s="4">
        <f>Data!A869</f>
        <v/>
      </c>
      <c r="B870" s="4">
        <f>Data!B869</f>
        <v/>
      </c>
      <c r="C870" s="4">
        <f>Data!C869</f>
        <v/>
      </c>
      <c r="D870" s="4">
        <f>Data!I869</f>
        <v/>
      </c>
      <c r="E870" s="4">
        <f>Data!J869</f>
        <v/>
      </c>
      <c r="F870" s="4">
        <f>Data!H869</f>
        <v/>
      </c>
      <c r="G870" s="4">
        <f>SUM(Data!Q869:Data!Y869)</f>
        <v/>
      </c>
      <c r="H870" s="4">
        <f>Data!Z869</f>
        <v/>
      </c>
      <c r="I870" s="4">
        <f>Data!AB869</f>
        <v/>
      </c>
      <c r="J870" s="4">
        <f>Data!AD869</f>
        <v/>
      </c>
      <c r="K870" s="4">
        <f>Data!AE869</f>
        <v/>
      </c>
      <c r="L870" s="4">
        <f>Data!AF869</f>
        <v/>
      </c>
      <c r="M870" s="4">
        <f>Data!AG869</f>
        <v/>
      </c>
      <c r="N870" s="4">
        <f>Data!AH869</f>
        <v/>
      </c>
      <c r="O870" s="4">
        <f>Data!AI869</f>
        <v/>
      </c>
      <c r="P870" s="4">
        <f>Data!AJ869</f>
        <v/>
      </c>
      <c r="Q870" s="4">
        <f>Data!AK869</f>
        <v/>
      </c>
      <c r="R870" s="4">
        <f>Data!AL869</f>
        <v/>
      </c>
    </row>
    <row r="871">
      <c r="A871" s="4">
        <f>Data!A870</f>
        <v/>
      </c>
      <c r="B871" s="4">
        <f>Data!B870</f>
        <v/>
      </c>
      <c r="C871" s="4">
        <f>Data!C870</f>
        <v/>
      </c>
      <c r="D871" s="4">
        <f>Data!I870</f>
        <v/>
      </c>
      <c r="E871" s="4">
        <f>Data!J870</f>
        <v/>
      </c>
      <c r="F871" s="4">
        <f>Data!H870</f>
        <v/>
      </c>
      <c r="G871" s="4">
        <f>SUM(Data!Q870:Data!Y870)</f>
        <v/>
      </c>
      <c r="H871" s="4">
        <f>Data!Z870</f>
        <v/>
      </c>
      <c r="I871" s="4">
        <f>Data!AB870</f>
        <v/>
      </c>
      <c r="J871" s="4">
        <f>Data!AD870</f>
        <v/>
      </c>
      <c r="K871" s="4">
        <f>Data!AE870</f>
        <v/>
      </c>
      <c r="L871" s="4">
        <f>Data!AF870</f>
        <v/>
      </c>
      <c r="M871" s="4">
        <f>Data!AG870</f>
        <v/>
      </c>
      <c r="N871" s="4">
        <f>Data!AH870</f>
        <v/>
      </c>
      <c r="O871" s="4">
        <f>Data!AI870</f>
        <v/>
      </c>
      <c r="P871" s="4">
        <f>Data!AJ870</f>
        <v/>
      </c>
      <c r="Q871" s="4">
        <f>Data!AK870</f>
        <v/>
      </c>
      <c r="R871" s="4">
        <f>Data!AL870</f>
        <v/>
      </c>
    </row>
    <row r="872">
      <c r="A872" s="4">
        <f>Data!A871</f>
        <v/>
      </c>
      <c r="B872" s="4">
        <f>Data!B871</f>
        <v/>
      </c>
      <c r="C872" s="4">
        <f>Data!C871</f>
        <v/>
      </c>
      <c r="D872" s="4">
        <f>Data!I871</f>
        <v/>
      </c>
      <c r="E872" s="4">
        <f>Data!J871</f>
        <v/>
      </c>
      <c r="F872" s="4">
        <f>Data!H871</f>
        <v/>
      </c>
      <c r="G872" s="4">
        <f>SUM(Data!Q871:Data!Y871)</f>
        <v/>
      </c>
      <c r="H872" s="4">
        <f>Data!Z871</f>
        <v/>
      </c>
      <c r="I872" s="4">
        <f>Data!AB871</f>
        <v/>
      </c>
      <c r="J872" s="4">
        <f>Data!AD871</f>
        <v/>
      </c>
      <c r="K872" s="4">
        <f>Data!AE871</f>
        <v/>
      </c>
      <c r="L872" s="4">
        <f>Data!AF871</f>
        <v/>
      </c>
      <c r="M872" s="4">
        <f>Data!AG871</f>
        <v/>
      </c>
      <c r="N872" s="4">
        <f>Data!AH871</f>
        <v/>
      </c>
      <c r="O872" s="4">
        <f>Data!AI871</f>
        <v/>
      </c>
      <c r="P872" s="4">
        <f>Data!AJ871</f>
        <v/>
      </c>
      <c r="Q872" s="4">
        <f>Data!AK871</f>
        <v/>
      </c>
      <c r="R872" s="4">
        <f>Data!AL871</f>
        <v/>
      </c>
    </row>
    <row r="873">
      <c r="A873" s="4">
        <f>Data!A872</f>
        <v/>
      </c>
      <c r="B873" s="4">
        <f>Data!B872</f>
        <v/>
      </c>
      <c r="C873" s="4">
        <f>Data!C872</f>
        <v/>
      </c>
      <c r="D873" s="4">
        <f>Data!I872</f>
        <v/>
      </c>
      <c r="E873" s="4">
        <f>Data!J872</f>
        <v/>
      </c>
      <c r="F873" s="4">
        <f>Data!H872</f>
        <v/>
      </c>
      <c r="G873" s="4">
        <f>SUM(Data!Q872:Data!Y872)</f>
        <v/>
      </c>
      <c r="H873" s="4">
        <f>Data!Z872</f>
        <v/>
      </c>
      <c r="I873" s="4">
        <f>Data!AB872</f>
        <v/>
      </c>
      <c r="J873" s="4">
        <f>Data!AD872</f>
        <v/>
      </c>
      <c r="K873" s="4">
        <f>Data!AE872</f>
        <v/>
      </c>
      <c r="L873" s="4">
        <f>Data!AF872</f>
        <v/>
      </c>
      <c r="M873" s="4">
        <f>Data!AG872</f>
        <v/>
      </c>
      <c r="N873" s="4">
        <f>Data!AH872</f>
        <v/>
      </c>
      <c r="O873" s="4">
        <f>Data!AI872</f>
        <v/>
      </c>
      <c r="P873" s="4">
        <f>Data!AJ872</f>
        <v/>
      </c>
      <c r="Q873" s="4">
        <f>Data!AK872</f>
        <v/>
      </c>
      <c r="R873" s="4">
        <f>Data!AL872</f>
        <v/>
      </c>
    </row>
    <row r="874">
      <c r="A874" s="4">
        <f>Data!A873</f>
        <v/>
      </c>
      <c r="B874" s="4">
        <f>Data!B873</f>
        <v/>
      </c>
      <c r="C874" s="4">
        <f>Data!C873</f>
        <v/>
      </c>
      <c r="D874" s="4">
        <f>Data!I873</f>
        <v/>
      </c>
      <c r="E874" s="4">
        <f>Data!J873</f>
        <v/>
      </c>
      <c r="F874" s="4">
        <f>Data!H873</f>
        <v/>
      </c>
      <c r="G874" s="4">
        <f>SUM(Data!Q873:Data!Y873)</f>
        <v/>
      </c>
      <c r="H874" s="4">
        <f>Data!Z873</f>
        <v/>
      </c>
      <c r="I874" s="4">
        <f>Data!AB873</f>
        <v/>
      </c>
      <c r="J874" s="4">
        <f>Data!AD873</f>
        <v/>
      </c>
      <c r="K874" s="4">
        <f>Data!AE873</f>
        <v/>
      </c>
      <c r="L874" s="4">
        <f>Data!AF873</f>
        <v/>
      </c>
      <c r="M874" s="4">
        <f>Data!AG873</f>
        <v/>
      </c>
      <c r="N874" s="4">
        <f>Data!AH873</f>
        <v/>
      </c>
      <c r="O874" s="4">
        <f>Data!AI873</f>
        <v/>
      </c>
      <c r="P874" s="4">
        <f>Data!AJ873</f>
        <v/>
      </c>
      <c r="Q874" s="4">
        <f>Data!AK873</f>
        <v/>
      </c>
      <c r="R874" s="4">
        <f>Data!AL873</f>
        <v/>
      </c>
    </row>
    <row r="875">
      <c r="A875" s="4">
        <f>Data!A874</f>
        <v/>
      </c>
      <c r="B875" s="4">
        <f>Data!B874</f>
        <v/>
      </c>
      <c r="C875" s="4">
        <f>Data!C874</f>
        <v/>
      </c>
      <c r="D875" s="4">
        <f>Data!I874</f>
        <v/>
      </c>
      <c r="E875" s="4">
        <f>Data!J874</f>
        <v/>
      </c>
      <c r="F875" s="4">
        <f>Data!H874</f>
        <v/>
      </c>
      <c r="G875" s="4">
        <f>SUM(Data!Q874:Data!Y874)</f>
        <v/>
      </c>
      <c r="H875" s="4">
        <f>Data!Z874</f>
        <v/>
      </c>
      <c r="I875" s="4">
        <f>Data!AB874</f>
        <v/>
      </c>
      <c r="J875" s="4">
        <f>Data!AD874</f>
        <v/>
      </c>
      <c r="K875" s="4">
        <f>Data!AE874</f>
        <v/>
      </c>
      <c r="L875" s="4">
        <f>Data!AF874</f>
        <v/>
      </c>
      <c r="M875" s="4">
        <f>Data!AG874</f>
        <v/>
      </c>
      <c r="N875" s="4">
        <f>Data!AH874</f>
        <v/>
      </c>
      <c r="O875" s="4">
        <f>Data!AI874</f>
        <v/>
      </c>
      <c r="P875" s="4">
        <f>Data!AJ874</f>
        <v/>
      </c>
      <c r="Q875" s="4">
        <f>Data!AK874</f>
        <v/>
      </c>
      <c r="R875" s="4">
        <f>Data!AL874</f>
        <v/>
      </c>
    </row>
    <row r="876">
      <c r="A876" s="4">
        <f>Data!A875</f>
        <v/>
      </c>
      <c r="B876" s="4">
        <f>Data!B875</f>
        <v/>
      </c>
      <c r="C876" s="4">
        <f>Data!C875</f>
        <v/>
      </c>
      <c r="D876" s="4">
        <f>Data!I875</f>
        <v/>
      </c>
      <c r="E876" s="4">
        <f>Data!J875</f>
        <v/>
      </c>
      <c r="F876" s="4">
        <f>Data!H875</f>
        <v/>
      </c>
      <c r="G876" s="4">
        <f>SUM(Data!Q875:Data!Y875)</f>
        <v/>
      </c>
      <c r="H876" s="4">
        <f>Data!Z875</f>
        <v/>
      </c>
      <c r="I876" s="4">
        <f>Data!AB875</f>
        <v/>
      </c>
      <c r="J876" s="4">
        <f>Data!AD875</f>
        <v/>
      </c>
      <c r="K876" s="4">
        <f>Data!AE875</f>
        <v/>
      </c>
      <c r="L876" s="4">
        <f>Data!AF875</f>
        <v/>
      </c>
      <c r="M876" s="4">
        <f>Data!AG875</f>
        <v/>
      </c>
      <c r="N876" s="4">
        <f>Data!AH875</f>
        <v/>
      </c>
      <c r="O876" s="4">
        <f>Data!AI875</f>
        <v/>
      </c>
      <c r="P876" s="4">
        <f>Data!AJ875</f>
        <v/>
      </c>
      <c r="Q876" s="4">
        <f>Data!AK875</f>
        <v/>
      </c>
      <c r="R876" s="4">
        <f>Data!AL875</f>
        <v/>
      </c>
    </row>
    <row r="877">
      <c r="A877" s="4">
        <f>Data!A876</f>
        <v/>
      </c>
      <c r="B877" s="4">
        <f>Data!B876</f>
        <v/>
      </c>
      <c r="C877" s="4">
        <f>Data!C876</f>
        <v/>
      </c>
      <c r="D877" s="4">
        <f>Data!I876</f>
        <v/>
      </c>
      <c r="E877" s="4">
        <f>Data!J876</f>
        <v/>
      </c>
      <c r="F877" s="4">
        <f>Data!H876</f>
        <v/>
      </c>
      <c r="G877" s="4">
        <f>SUM(Data!Q876:Data!Y876)</f>
        <v/>
      </c>
      <c r="H877" s="4">
        <f>Data!Z876</f>
        <v/>
      </c>
      <c r="I877" s="4">
        <f>Data!AB876</f>
        <v/>
      </c>
      <c r="J877" s="4">
        <f>Data!AD876</f>
        <v/>
      </c>
      <c r="K877" s="4">
        <f>Data!AE876</f>
        <v/>
      </c>
      <c r="L877" s="4">
        <f>Data!AF876</f>
        <v/>
      </c>
      <c r="M877" s="4">
        <f>Data!AG876</f>
        <v/>
      </c>
      <c r="N877" s="4">
        <f>Data!AH876</f>
        <v/>
      </c>
      <c r="O877" s="4">
        <f>Data!AI876</f>
        <v/>
      </c>
      <c r="P877" s="4">
        <f>Data!AJ876</f>
        <v/>
      </c>
      <c r="Q877" s="4">
        <f>Data!AK876</f>
        <v/>
      </c>
      <c r="R877" s="4">
        <f>Data!AL876</f>
        <v/>
      </c>
    </row>
    <row r="878">
      <c r="A878" s="4">
        <f>Data!A877</f>
        <v/>
      </c>
      <c r="B878" s="4">
        <f>Data!B877</f>
        <v/>
      </c>
      <c r="C878" s="4">
        <f>Data!C877</f>
        <v/>
      </c>
      <c r="D878" s="4">
        <f>Data!I877</f>
        <v/>
      </c>
      <c r="E878" s="4">
        <f>Data!J877</f>
        <v/>
      </c>
      <c r="F878" s="4">
        <f>Data!H877</f>
        <v/>
      </c>
      <c r="G878" s="4">
        <f>SUM(Data!Q877:Data!Y877)</f>
        <v/>
      </c>
      <c r="H878" s="4">
        <f>Data!Z877</f>
        <v/>
      </c>
      <c r="I878" s="4">
        <f>Data!AB877</f>
        <v/>
      </c>
      <c r="J878" s="4">
        <f>Data!AD877</f>
        <v/>
      </c>
      <c r="K878" s="4">
        <f>Data!AE877</f>
        <v/>
      </c>
      <c r="L878" s="4">
        <f>Data!AF877</f>
        <v/>
      </c>
      <c r="M878" s="4">
        <f>Data!AG877</f>
        <v/>
      </c>
      <c r="N878" s="4">
        <f>Data!AH877</f>
        <v/>
      </c>
      <c r="O878" s="4">
        <f>Data!AI877</f>
        <v/>
      </c>
      <c r="P878" s="4">
        <f>Data!AJ877</f>
        <v/>
      </c>
      <c r="Q878" s="4">
        <f>Data!AK877</f>
        <v/>
      </c>
      <c r="R878" s="4">
        <f>Data!AL877</f>
        <v/>
      </c>
    </row>
    <row r="879">
      <c r="A879" s="4">
        <f>Data!A878</f>
        <v/>
      </c>
      <c r="B879" s="4">
        <f>Data!B878</f>
        <v/>
      </c>
      <c r="C879" s="4">
        <f>Data!C878</f>
        <v/>
      </c>
      <c r="D879" s="4">
        <f>Data!I878</f>
        <v/>
      </c>
      <c r="E879" s="4">
        <f>Data!J878</f>
        <v/>
      </c>
      <c r="F879" s="4">
        <f>Data!H878</f>
        <v/>
      </c>
      <c r="G879" s="4">
        <f>SUM(Data!Q878:Data!Y878)</f>
        <v/>
      </c>
      <c r="H879" s="4">
        <f>Data!Z878</f>
        <v/>
      </c>
      <c r="I879" s="4">
        <f>Data!AB878</f>
        <v/>
      </c>
      <c r="J879" s="4">
        <f>Data!AD878</f>
        <v/>
      </c>
      <c r="K879" s="4">
        <f>Data!AE878</f>
        <v/>
      </c>
      <c r="L879" s="4">
        <f>Data!AF878</f>
        <v/>
      </c>
      <c r="M879" s="4">
        <f>Data!AG878</f>
        <v/>
      </c>
      <c r="N879" s="4">
        <f>Data!AH878</f>
        <v/>
      </c>
      <c r="O879" s="4">
        <f>Data!AI878</f>
        <v/>
      </c>
      <c r="P879" s="4">
        <f>Data!AJ878</f>
        <v/>
      </c>
      <c r="Q879" s="4">
        <f>Data!AK878</f>
        <v/>
      </c>
      <c r="R879" s="4">
        <f>Data!AL878</f>
        <v/>
      </c>
    </row>
    <row r="880">
      <c r="A880" s="4">
        <f>Data!A879</f>
        <v/>
      </c>
      <c r="B880" s="4">
        <f>Data!B879</f>
        <v/>
      </c>
      <c r="C880" s="4">
        <f>Data!C879</f>
        <v/>
      </c>
      <c r="D880" s="4">
        <f>Data!I879</f>
        <v/>
      </c>
      <c r="E880" s="4">
        <f>Data!J879</f>
        <v/>
      </c>
      <c r="F880" s="4">
        <f>Data!H879</f>
        <v/>
      </c>
      <c r="G880" s="4">
        <f>SUM(Data!Q879:Data!Y879)</f>
        <v/>
      </c>
      <c r="H880" s="4">
        <f>Data!Z879</f>
        <v/>
      </c>
      <c r="I880" s="4">
        <f>Data!AB879</f>
        <v/>
      </c>
      <c r="J880" s="4">
        <f>Data!AD879</f>
        <v/>
      </c>
      <c r="K880" s="4">
        <f>Data!AE879</f>
        <v/>
      </c>
      <c r="L880" s="4">
        <f>Data!AF879</f>
        <v/>
      </c>
      <c r="M880" s="4">
        <f>Data!AG879</f>
        <v/>
      </c>
      <c r="N880" s="4">
        <f>Data!AH879</f>
        <v/>
      </c>
      <c r="O880" s="4">
        <f>Data!AI879</f>
        <v/>
      </c>
      <c r="P880" s="4">
        <f>Data!AJ879</f>
        <v/>
      </c>
      <c r="Q880" s="4">
        <f>Data!AK879</f>
        <v/>
      </c>
      <c r="R880" s="4">
        <f>Data!AL879</f>
        <v/>
      </c>
    </row>
    <row r="881">
      <c r="A881" s="4">
        <f>Data!A880</f>
        <v/>
      </c>
      <c r="B881" s="4">
        <f>Data!B880</f>
        <v/>
      </c>
      <c r="C881" s="4">
        <f>Data!C880</f>
        <v/>
      </c>
      <c r="D881" s="4">
        <f>Data!I880</f>
        <v/>
      </c>
      <c r="E881" s="4">
        <f>Data!J880</f>
        <v/>
      </c>
      <c r="F881" s="4">
        <f>Data!H880</f>
        <v/>
      </c>
      <c r="G881" s="4">
        <f>SUM(Data!Q880:Data!Y880)</f>
        <v/>
      </c>
      <c r="H881" s="4">
        <f>Data!Z880</f>
        <v/>
      </c>
      <c r="I881" s="4">
        <f>Data!AB880</f>
        <v/>
      </c>
      <c r="J881" s="4">
        <f>Data!AD880</f>
        <v/>
      </c>
      <c r="K881" s="4">
        <f>Data!AE880</f>
        <v/>
      </c>
      <c r="L881" s="4">
        <f>Data!AF880</f>
        <v/>
      </c>
      <c r="M881" s="4">
        <f>Data!AG880</f>
        <v/>
      </c>
      <c r="N881" s="4">
        <f>Data!AH880</f>
        <v/>
      </c>
      <c r="O881" s="4">
        <f>Data!AI880</f>
        <v/>
      </c>
      <c r="P881" s="4">
        <f>Data!AJ880</f>
        <v/>
      </c>
      <c r="Q881" s="4">
        <f>Data!AK880</f>
        <v/>
      </c>
      <c r="R881" s="4">
        <f>Data!AL880</f>
        <v/>
      </c>
    </row>
    <row r="882">
      <c r="A882" s="4">
        <f>Data!A881</f>
        <v/>
      </c>
      <c r="B882" s="4">
        <f>Data!B881</f>
        <v/>
      </c>
      <c r="C882" s="4">
        <f>Data!C881</f>
        <v/>
      </c>
      <c r="D882" s="4">
        <f>Data!I881</f>
        <v/>
      </c>
      <c r="E882" s="4">
        <f>Data!J881</f>
        <v/>
      </c>
      <c r="F882" s="4">
        <f>Data!H881</f>
        <v/>
      </c>
      <c r="G882" s="4">
        <f>SUM(Data!Q881:Data!Y881)</f>
        <v/>
      </c>
      <c r="H882" s="4">
        <f>Data!Z881</f>
        <v/>
      </c>
      <c r="I882" s="4">
        <f>Data!AB881</f>
        <v/>
      </c>
      <c r="J882" s="4">
        <f>Data!AD881</f>
        <v/>
      </c>
      <c r="K882" s="4">
        <f>Data!AE881</f>
        <v/>
      </c>
      <c r="L882" s="4">
        <f>Data!AF881</f>
        <v/>
      </c>
      <c r="M882" s="4">
        <f>Data!AG881</f>
        <v/>
      </c>
      <c r="N882" s="4">
        <f>Data!AH881</f>
        <v/>
      </c>
      <c r="O882" s="4">
        <f>Data!AI881</f>
        <v/>
      </c>
      <c r="P882" s="4">
        <f>Data!AJ881</f>
        <v/>
      </c>
      <c r="Q882" s="4">
        <f>Data!AK881</f>
        <v/>
      </c>
      <c r="R882" s="4">
        <f>Data!AL881</f>
        <v/>
      </c>
    </row>
    <row r="883">
      <c r="A883" s="4">
        <f>Data!A882</f>
        <v/>
      </c>
      <c r="B883" s="4">
        <f>Data!B882</f>
        <v/>
      </c>
      <c r="C883" s="4">
        <f>Data!C882</f>
        <v/>
      </c>
      <c r="D883" s="4">
        <f>Data!I882</f>
        <v/>
      </c>
      <c r="E883" s="4">
        <f>Data!J882</f>
        <v/>
      </c>
      <c r="F883" s="4">
        <f>Data!H882</f>
        <v/>
      </c>
      <c r="G883" s="4">
        <f>SUM(Data!Q882:Data!Y882)</f>
        <v/>
      </c>
      <c r="H883" s="4">
        <f>Data!Z882</f>
        <v/>
      </c>
      <c r="I883" s="4">
        <f>Data!AB882</f>
        <v/>
      </c>
      <c r="J883" s="4">
        <f>Data!AD882</f>
        <v/>
      </c>
      <c r="K883" s="4">
        <f>Data!AE882</f>
        <v/>
      </c>
      <c r="L883" s="4">
        <f>Data!AF882</f>
        <v/>
      </c>
      <c r="M883" s="4">
        <f>Data!AG882</f>
        <v/>
      </c>
      <c r="N883" s="4">
        <f>Data!AH882</f>
        <v/>
      </c>
      <c r="O883" s="4">
        <f>Data!AI882</f>
        <v/>
      </c>
      <c r="P883" s="4">
        <f>Data!AJ882</f>
        <v/>
      </c>
      <c r="Q883" s="4">
        <f>Data!AK882</f>
        <v/>
      </c>
      <c r="R883" s="4">
        <f>Data!AL882</f>
        <v/>
      </c>
    </row>
    <row r="884">
      <c r="A884" s="4">
        <f>Data!A883</f>
        <v/>
      </c>
      <c r="B884" s="4">
        <f>Data!B883</f>
        <v/>
      </c>
      <c r="C884" s="4">
        <f>Data!C883</f>
        <v/>
      </c>
      <c r="D884" s="4">
        <f>Data!I883</f>
        <v/>
      </c>
      <c r="E884" s="4">
        <f>Data!J883</f>
        <v/>
      </c>
      <c r="F884" s="4">
        <f>Data!H883</f>
        <v/>
      </c>
      <c r="G884" s="4">
        <f>SUM(Data!Q883:Data!Y883)</f>
        <v/>
      </c>
      <c r="H884" s="4">
        <f>Data!Z883</f>
        <v/>
      </c>
      <c r="I884" s="4">
        <f>Data!AB883</f>
        <v/>
      </c>
      <c r="J884" s="4">
        <f>Data!AD883</f>
        <v/>
      </c>
      <c r="K884" s="4">
        <f>Data!AE883</f>
        <v/>
      </c>
      <c r="L884" s="4">
        <f>Data!AF883</f>
        <v/>
      </c>
      <c r="M884" s="4">
        <f>Data!AG883</f>
        <v/>
      </c>
      <c r="N884" s="4">
        <f>Data!AH883</f>
        <v/>
      </c>
      <c r="O884" s="4">
        <f>Data!AI883</f>
        <v/>
      </c>
      <c r="P884" s="4">
        <f>Data!AJ883</f>
        <v/>
      </c>
      <c r="Q884" s="4">
        <f>Data!AK883</f>
        <v/>
      </c>
      <c r="R884" s="4">
        <f>Data!AL883</f>
        <v/>
      </c>
    </row>
    <row r="885">
      <c r="A885" s="4">
        <f>Data!A884</f>
        <v/>
      </c>
      <c r="B885" s="4">
        <f>Data!B884</f>
        <v/>
      </c>
      <c r="C885" s="4">
        <f>Data!C884</f>
        <v/>
      </c>
      <c r="D885" s="4">
        <f>Data!I884</f>
        <v/>
      </c>
      <c r="E885" s="4">
        <f>Data!J884</f>
        <v/>
      </c>
      <c r="F885" s="4">
        <f>Data!H884</f>
        <v/>
      </c>
      <c r="G885" s="4">
        <f>SUM(Data!Q884:Data!Y884)</f>
        <v/>
      </c>
      <c r="H885" s="4">
        <f>Data!Z884</f>
        <v/>
      </c>
      <c r="I885" s="4">
        <f>Data!AB884</f>
        <v/>
      </c>
      <c r="J885" s="4">
        <f>Data!AD884</f>
        <v/>
      </c>
      <c r="K885" s="4">
        <f>Data!AE884</f>
        <v/>
      </c>
      <c r="L885" s="4">
        <f>Data!AF884</f>
        <v/>
      </c>
      <c r="M885" s="4">
        <f>Data!AG884</f>
        <v/>
      </c>
      <c r="N885" s="4">
        <f>Data!AH884</f>
        <v/>
      </c>
      <c r="O885" s="4">
        <f>Data!AI884</f>
        <v/>
      </c>
      <c r="P885" s="4">
        <f>Data!AJ884</f>
        <v/>
      </c>
      <c r="Q885" s="4">
        <f>Data!AK884</f>
        <v/>
      </c>
      <c r="R885" s="4">
        <f>Data!AL884</f>
        <v/>
      </c>
    </row>
    <row r="886">
      <c r="A886" s="4">
        <f>Data!A885</f>
        <v/>
      </c>
      <c r="B886" s="4">
        <f>Data!B885</f>
        <v/>
      </c>
      <c r="C886" s="4">
        <f>Data!C885</f>
        <v/>
      </c>
      <c r="D886" s="4">
        <f>Data!I885</f>
        <v/>
      </c>
      <c r="E886" s="4">
        <f>Data!J885</f>
        <v/>
      </c>
      <c r="F886" s="4">
        <f>Data!H885</f>
        <v/>
      </c>
      <c r="G886" s="4">
        <f>SUM(Data!Q885:Data!Y885)</f>
        <v/>
      </c>
      <c r="H886" s="4">
        <f>Data!Z885</f>
        <v/>
      </c>
      <c r="I886" s="4">
        <f>Data!AB885</f>
        <v/>
      </c>
      <c r="J886" s="4">
        <f>Data!AD885</f>
        <v/>
      </c>
      <c r="K886" s="4">
        <f>Data!AE885</f>
        <v/>
      </c>
      <c r="L886" s="4">
        <f>Data!AF885</f>
        <v/>
      </c>
      <c r="M886" s="4">
        <f>Data!AG885</f>
        <v/>
      </c>
      <c r="N886" s="4">
        <f>Data!AH885</f>
        <v/>
      </c>
      <c r="O886" s="4">
        <f>Data!AI885</f>
        <v/>
      </c>
      <c r="P886" s="4">
        <f>Data!AJ885</f>
        <v/>
      </c>
      <c r="Q886" s="4">
        <f>Data!AK885</f>
        <v/>
      </c>
      <c r="R886" s="4">
        <f>Data!AL885</f>
        <v/>
      </c>
    </row>
    <row r="887">
      <c r="A887" s="4">
        <f>Data!A886</f>
        <v/>
      </c>
      <c r="B887" s="4">
        <f>Data!B886</f>
        <v/>
      </c>
      <c r="C887" s="4">
        <f>Data!C886</f>
        <v/>
      </c>
      <c r="D887" s="4">
        <f>Data!I886</f>
        <v/>
      </c>
      <c r="E887" s="4">
        <f>Data!J886</f>
        <v/>
      </c>
      <c r="F887" s="4">
        <f>Data!H886</f>
        <v/>
      </c>
      <c r="G887" s="4">
        <f>SUM(Data!Q886:Data!Y886)</f>
        <v/>
      </c>
      <c r="H887" s="4">
        <f>Data!Z886</f>
        <v/>
      </c>
      <c r="I887" s="4">
        <f>Data!AB886</f>
        <v/>
      </c>
      <c r="J887" s="4">
        <f>Data!AD886</f>
        <v/>
      </c>
      <c r="K887" s="4">
        <f>Data!AE886</f>
        <v/>
      </c>
      <c r="L887" s="4">
        <f>Data!AF886</f>
        <v/>
      </c>
      <c r="M887" s="4">
        <f>Data!AG886</f>
        <v/>
      </c>
      <c r="N887" s="4">
        <f>Data!AH886</f>
        <v/>
      </c>
      <c r="O887" s="4">
        <f>Data!AI886</f>
        <v/>
      </c>
      <c r="P887" s="4">
        <f>Data!AJ886</f>
        <v/>
      </c>
      <c r="Q887" s="4">
        <f>Data!AK886</f>
        <v/>
      </c>
      <c r="R887" s="4">
        <f>Data!AL886</f>
        <v/>
      </c>
    </row>
    <row r="888">
      <c r="A888" s="4">
        <f>Data!A887</f>
        <v/>
      </c>
      <c r="B888" s="4">
        <f>Data!B887</f>
        <v/>
      </c>
      <c r="C888" s="4">
        <f>Data!C887</f>
        <v/>
      </c>
      <c r="D888" s="4">
        <f>Data!I887</f>
        <v/>
      </c>
      <c r="E888" s="4">
        <f>Data!J887</f>
        <v/>
      </c>
      <c r="F888" s="4">
        <f>Data!H887</f>
        <v/>
      </c>
      <c r="G888" s="4">
        <f>SUM(Data!Q887:Data!Y887)</f>
        <v/>
      </c>
      <c r="H888" s="4">
        <f>Data!Z887</f>
        <v/>
      </c>
      <c r="I888" s="4">
        <f>Data!AB887</f>
        <v/>
      </c>
      <c r="J888" s="4">
        <f>Data!AD887</f>
        <v/>
      </c>
      <c r="K888" s="4">
        <f>Data!AE887</f>
        <v/>
      </c>
      <c r="L888" s="4">
        <f>Data!AF887</f>
        <v/>
      </c>
      <c r="M888" s="4">
        <f>Data!AG887</f>
        <v/>
      </c>
      <c r="N888" s="4">
        <f>Data!AH887</f>
        <v/>
      </c>
      <c r="O888" s="4">
        <f>Data!AI887</f>
        <v/>
      </c>
      <c r="P888" s="4">
        <f>Data!AJ887</f>
        <v/>
      </c>
      <c r="Q888" s="4">
        <f>Data!AK887</f>
        <v/>
      </c>
      <c r="R888" s="4">
        <f>Data!AL887</f>
        <v/>
      </c>
    </row>
    <row r="889">
      <c r="A889" s="4">
        <f>Data!A888</f>
        <v/>
      </c>
      <c r="B889" s="4">
        <f>Data!B888</f>
        <v/>
      </c>
      <c r="C889" s="4">
        <f>Data!C888</f>
        <v/>
      </c>
      <c r="D889" s="4">
        <f>Data!I888</f>
        <v/>
      </c>
      <c r="E889" s="4">
        <f>Data!J888</f>
        <v/>
      </c>
      <c r="F889" s="4">
        <f>Data!H888</f>
        <v/>
      </c>
      <c r="G889" s="4">
        <f>SUM(Data!Q888:Data!Y888)</f>
        <v/>
      </c>
      <c r="H889" s="4">
        <f>Data!Z888</f>
        <v/>
      </c>
      <c r="I889" s="4">
        <f>Data!AB888</f>
        <v/>
      </c>
      <c r="J889" s="4">
        <f>Data!AD888</f>
        <v/>
      </c>
      <c r="K889" s="4">
        <f>Data!AE888</f>
        <v/>
      </c>
      <c r="L889" s="4">
        <f>Data!AF888</f>
        <v/>
      </c>
      <c r="M889" s="4">
        <f>Data!AG888</f>
        <v/>
      </c>
      <c r="N889" s="4">
        <f>Data!AH888</f>
        <v/>
      </c>
      <c r="O889" s="4">
        <f>Data!AI888</f>
        <v/>
      </c>
      <c r="P889" s="4">
        <f>Data!AJ888</f>
        <v/>
      </c>
      <c r="Q889" s="4">
        <f>Data!AK888</f>
        <v/>
      </c>
      <c r="R889" s="4">
        <f>Data!AL888</f>
        <v/>
      </c>
    </row>
    <row r="890">
      <c r="A890" s="4">
        <f>Data!A889</f>
        <v/>
      </c>
      <c r="B890" s="4">
        <f>Data!B889</f>
        <v/>
      </c>
      <c r="C890" s="4">
        <f>Data!C889</f>
        <v/>
      </c>
      <c r="D890" s="4">
        <f>Data!I889</f>
        <v/>
      </c>
      <c r="E890" s="4">
        <f>Data!J889</f>
        <v/>
      </c>
      <c r="F890" s="4">
        <f>Data!H889</f>
        <v/>
      </c>
      <c r="G890" s="4">
        <f>SUM(Data!Q889:Data!Y889)</f>
        <v/>
      </c>
      <c r="H890" s="4">
        <f>Data!Z889</f>
        <v/>
      </c>
      <c r="I890" s="4">
        <f>Data!AB889</f>
        <v/>
      </c>
      <c r="J890" s="4">
        <f>Data!AD889</f>
        <v/>
      </c>
      <c r="K890" s="4">
        <f>Data!AE889</f>
        <v/>
      </c>
      <c r="L890" s="4">
        <f>Data!AF889</f>
        <v/>
      </c>
      <c r="M890" s="4">
        <f>Data!AG889</f>
        <v/>
      </c>
      <c r="N890" s="4">
        <f>Data!AH889</f>
        <v/>
      </c>
      <c r="O890" s="4">
        <f>Data!AI889</f>
        <v/>
      </c>
      <c r="P890" s="4">
        <f>Data!AJ889</f>
        <v/>
      </c>
      <c r="Q890" s="4">
        <f>Data!AK889</f>
        <v/>
      </c>
      <c r="R890" s="4">
        <f>Data!AL889</f>
        <v/>
      </c>
    </row>
    <row r="891">
      <c r="A891" s="4">
        <f>Data!A890</f>
        <v/>
      </c>
      <c r="B891" s="4">
        <f>Data!B890</f>
        <v/>
      </c>
      <c r="C891" s="4">
        <f>Data!C890</f>
        <v/>
      </c>
      <c r="D891" s="4">
        <f>Data!I890</f>
        <v/>
      </c>
      <c r="E891" s="4">
        <f>Data!J890</f>
        <v/>
      </c>
      <c r="F891" s="4">
        <f>Data!H890</f>
        <v/>
      </c>
      <c r="G891" s="4">
        <f>SUM(Data!Q890:Data!Y890)</f>
        <v/>
      </c>
      <c r="H891" s="4">
        <f>Data!Z890</f>
        <v/>
      </c>
      <c r="I891" s="4">
        <f>Data!AB890</f>
        <v/>
      </c>
      <c r="J891" s="4">
        <f>Data!AD890</f>
        <v/>
      </c>
      <c r="K891" s="4">
        <f>Data!AE890</f>
        <v/>
      </c>
      <c r="L891" s="4">
        <f>Data!AF890</f>
        <v/>
      </c>
      <c r="M891" s="4">
        <f>Data!AG890</f>
        <v/>
      </c>
      <c r="N891" s="4">
        <f>Data!AH890</f>
        <v/>
      </c>
      <c r="O891" s="4">
        <f>Data!AI890</f>
        <v/>
      </c>
      <c r="P891" s="4">
        <f>Data!AJ890</f>
        <v/>
      </c>
      <c r="Q891" s="4">
        <f>Data!AK890</f>
        <v/>
      </c>
      <c r="R891" s="4">
        <f>Data!AL890</f>
        <v/>
      </c>
    </row>
    <row r="892">
      <c r="A892" s="4">
        <f>Data!A891</f>
        <v/>
      </c>
      <c r="B892" s="4">
        <f>Data!B891</f>
        <v/>
      </c>
      <c r="C892" s="4">
        <f>Data!C891</f>
        <v/>
      </c>
      <c r="D892" s="4">
        <f>Data!I891</f>
        <v/>
      </c>
      <c r="E892" s="4">
        <f>Data!J891</f>
        <v/>
      </c>
      <c r="F892" s="4">
        <f>Data!H891</f>
        <v/>
      </c>
      <c r="G892" s="4">
        <f>SUM(Data!Q891:Data!Y891)</f>
        <v/>
      </c>
      <c r="H892" s="4">
        <f>Data!Z891</f>
        <v/>
      </c>
      <c r="I892" s="4">
        <f>Data!AB891</f>
        <v/>
      </c>
      <c r="J892" s="4">
        <f>Data!AD891</f>
        <v/>
      </c>
      <c r="K892" s="4">
        <f>Data!AE891</f>
        <v/>
      </c>
      <c r="L892" s="4">
        <f>Data!AF891</f>
        <v/>
      </c>
      <c r="M892" s="4">
        <f>Data!AG891</f>
        <v/>
      </c>
      <c r="N892" s="4">
        <f>Data!AH891</f>
        <v/>
      </c>
      <c r="O892" s="4">
        <f>Data!AI891</f>
        <v/>
      </c>
      <c r="P892" s="4">
        <f>Data!AJ891</f>
        <v/>
      </c>
      <c r="Q892" s="4">
        <f>Data!AK891</f>
        <v/>
      </c>
      <c r="R892" s="4">
        <f>Data!AL891</f>
        <v/>
      </c>
    </row>
    <row r="893">
      <c r="A893" s="4">
        <f>Data!A892</f>
        <v/>
      </c>
      <c r="B893" s="4">
        <f>Data!B892</f>
        <v/>
      </c>
      <c r="C893" s="4">
        <f>Data!C892</f>
        <v/>
      </c>
      <c r="D893" s="4">
        <f>Data!I892</f>
        <v/>
      </c>
      <c r="E893" s="4">
        <f>Data!J892</f>
        <v/>
      </c>
      <c r="F893" s="4">
        <f>Data!H892</f>
        <v/>
      </c>
      <c r="G893" s="4">
        <f>SUM(Data!Q892:Data!Y892)</f>
        <v/>
      </c>
      <c r="H893" s="4">
        <f>Data!Z892</f>
        <v/>
      </c>
      <c r="I893" s="4">
        <f>Data!AB892</f>
        <v/>
      </c>
      <c r="J893" s="4">
        <f>Data!AD892</f>
        <v/>
      </c>
      <c r="K893" s="4">
        <f>Data!AE892</f>
        <v/>
      </c>
      <c r="L893" s="4">
        <f>Data!AF892</f>
        <v/>
      </c>
      <c r="M893" s="4">
        <f>Data!AG892</f>
        <v/>
      </c>
      <c r="N893" s="4">
        <f>Data!AH892</f>
        <v/>
      </c>
      <c r="O893" s="4">
        <f>Data!AI892</f>
        <v/>
      </c>
      <c r="P893" s="4">
        <f>Data!AJ892</f>
        <v/>
      </c>
      <c r="Q893" s="4">
        <f>Data!AK892</f>
        <v/>
      </c>
      <c r="R893" s="4">
        <f>Data!AL892</f>
        <v/>
      </c>
    </row>
    <row r="894">
      <c r="A894" s="4">
        <f>Data!A893</f>
        <v/>
      </c>
      <c r="B894" s="4">
        <f>Data!B893</f>
        <v/>
      </c>
      <c r="C894" s="4">
        <f>Data!C893</f>
        <v/>
      </c>
      <c r="D894" s="4">
        <f>Data!I893</f>
        <v/>
      </c>
      <c r="E894" s="4">
        <f>Data!J893</f>
        <v/>
      </c>
      <c r="F894" s="4">
        <f>Data!H893</f>
        <v/>
      </c>
      <c r="G894" s="4">
        <f>SUM(Data!Q893:Data!Y893)</f>
        <v/>
      </c>
      <c r="H894" s="4">
        <f>Data!Z893</f>
        <v/>
      </c>
      <c r="I894" s="4">
        <f>Data!AB893</f>
        <v/>
      </c>
      <c r="J894" s="4">
        <f>Data!AD893</f>
        <v/>
      </c>
      <c r="K894" s="4">
        <f>Data!AE893</f>
        <v/>
      </c>
      <c r="L894" s="4">
        <f>Data!AF893</f>
        <v/>
      </c>
      <c r="M894" s="4">
        <f>Data!AG893</f>
        <v/>
      </c>
      <c r="N894" s="4">
        <f>Data!AH893</f>
        <v/>
      </c>
      <c r="O894" s="4">
        <f>Data!AI893</f>
        <v/>
      </c>
      <c r="P894" s="4">
        <f>Data!AJ893</f>
        <v/>
      </c>
      <c r="Q894" s="4">
        <f>Data!AK893</f>
        <v/>
      </c>
      <c r="R894" s="4">
        <f>Data!AL893</f>
        <v/>
      </c>
    </row>
    <row r="895">
      <c r="A895" s="4">
        <f>Data!A894</f>
        <v/>
      </c>
      <c r="B895" s="4">
        <f>Data!B894</f>
        <v/>
      </c>
      <c r="C895" s="4">
        <f>Data!C894</f>
        <v/>
      </c>
      <c r="D895" s="4">
        <f>Data!I894</f>
        <v/>
      </c>
      <c r="E895" s="4">
        <f>Data!J894</f>
        <v/>
      </c>
      <c r="F895" s="4">
        <f>Data!H894</f>
        <v/>
      </c>
      <c r="G895" s="4">
        <f>SUM(Data!Q894:Data!Y894)</f>
        <v/>
      </c>
      <c r="H895" s="4">
        <f>Data!Z894</f>
        <v/>
      </c>
      <c r="I895" s="4">
        <f>Data!AB894</f>
        <v/>
      </c>
      <c r="J895" s="4">
        <f>Data!AD894</f>
        <v/>
      </c>
      <c r="K895" s="4">
        <f>Data!AE894</f>
        <v/>
      </c>
      <c r="L895" s="4">
        <f>Data!AF894</f>
        <v/>
      </c>
      <c r="M895" s="4">
        <f>Data!AG894</f>
        <v/>
      </c>
      <c r="N895" s="4">
        <f>Data!AH894</f>
        <v/>
      </c>
      <c r="O895" s="4">
        <f>Data!AI894</f>
        <v/>
      </c>
      <c r="P895" s="4">
        <f>Data!AJ894</f>
        <v/>
      </c>
      <c r="Q895" s="4">
        <f>Data!AK894</f>
        <v/>
      </c>
      <c r="R895" s="4">
        <f>Data!AL894</f>
        <v/>
      </c>
    </row>
    <row r="896">
      <c r="A896" s="4">
        <f>Data!A895</f>
        <v/>
      </c>
      <c r="B896" s="4">
        <f>Data!B895</f>
        <v/>
      </c>
      <c r="C896" s="4">
        <f>Data!C895</f>
        <v/>
      </c>
      <c r="D896" s="4">
        <f>Data!I895</f>
        <v/>
      </c>
      <c r="E896" s="4">
        <f>Data!J895</f>
        <v/>
      </c>
      <c r="F896" s="4">
        <f>Data!H895</f>
        <v/>
      </c>
      <c r="G896" s="4">
        <f>SUM(Data!Q895:Data!Y895)</f>
        <v/>
      </c>
      <c r="H896" s="4">
        <f>Data!Z895</f>
        <v/>
      </c>
      <c r="I896" s="4">
        <f>Data!AB895</f>
        <v/>
      </c>
      <c r="J896" s="4">
        <f>Data!AD895</f>
        <v/>
      </c>
      <c r="K896" s="4">
        <f>Data!AE895</f>
        <v/>
      </c>
      <c r="L896" s="4">
        <f>Data!AF895</f>
        <v/>
      </c>
      <c r="M896" s="4">
        <f>Data!AG895</f>
        <v/>
      </c>
      <c r="N896" s="4">
        <f>Data!AH895</f>
        <v/>
      </c>
      <c r="O896" s="4">
        <f>Data!AI895</f>
        <v/>
      </c>
      <c r="P896" s="4">
        <f>Data!AJ895</f>
        <v/>
      </c>
      <c r="Q896" s="4">
        <f>Data!AK895</f>
        <v/>
      </c>
      <c r="R896" s="4">
        <f>Data!AL895</f>
        <v/>
      </c>
    </row>
    <row r="897">
      <c r="A897" s="4">
        <f>Data!A896</f>
        <v/>
      </c>
      <c r="B897" s="4">
        <f>Data!B896</f>
        <v/>
      </c>
      <c r="C897" s="4">
        <f>Data!C896</f>
        <v/>
      </c>
      <c r="D897" s="4">
        <f>Data!I896</f>
        <v/>
      </c>
      <c r="E897" s="4">
        <f>Data!J896</f>
        <v/>
      </c>
      <c r="F897" s="4">
        <f>Data!H896</f>
        <v/>
      </c>
      <c r="G897" s="4">
        <f>SUM(Data!Q896:Data!Y896)</f>
        <v/>
      </c>
      <c r="H897" s="4">
        <f>Data!Z896</f>
        <v/>
      </c>
      <c r="I897" s="4">
        <f>Data!AB896</f>
        <v/>
      </c>
      <c r="J897" s="4">
        <f>Data!AD896</f>
        <v/>
      </c>
      <c r="K897" s="4">
        <f>Data!AE896</f>
        <v/>
      </c>
      <c r="L897" s="4">
        <f>Data!AF896</f>
        <v/>
      </c>
      <c r="M897" s="4">
        <f>Data!AG896</f>
        <v/>
      </c>
      <c r="N897" s="4">
        <f>Data!AH896</f>
        <v/>
      </c>
      <c r="O897" s="4">
        <f>Data!AI896</f>
        <v/>
      </c>
      <c r="P897" s="4">
        <f>Data!AJ896</f>
        <v/>
      </c>
      <c r="Q897" s="4">
        <f>Data!AK896</f>
        <v/>
      </c>
      <c r="R897" s="4">
        <f>Data!AL896</f>
        <v/>
      </c>
    </row>
    <row r="898">
      <c r="A898" s="4">
        <f>Data!A897</f>
        <v/>
      </c>
      <c r="B898" s="4">
        <f>Data!B897</f>
        <v/>
      </c>
      <c r="C898" s="4">
        <f>Data!C897</f>
        <v/>
      </c>
      <c r="D898" s="4">
        <f>Data!I897</f>
        <v/>
      </c>
      <c r="E898" s="4">
        <f>Data!J897</f>
        <v/>
      </c>
      <c r="F898" s="4">
        <f>Data!H897</f>
        <v/>
      </c>
      <c r="G898" s="4">
        <f>SUM(Data!Q897:Data!Y897)</f>
        <v/>
      </c>
      <c r="H898" s="4">
        <f>Data!Z897</f>
        <v/>
      </c>
      <c r="I898" s="4">
        <f>Data!AB897</f>
        <v/>
      </c>
      <c r="J898" s="4">
        <f>Data!AD897</f>
        <v/>
      </c>
      <c r="K898" s="4">
        <f>Data!AE897</f>
        <v/>
      </c>
      <c r="L898" s="4">
        <f>Data!AF897</f>
        <v/>
      </c>
      <c r="M898" s="4">
        <f>Data!AG897</f>
        <v/>
      </c>
      <c r="N898" s="4">
        <f>Data!AH897</f>
        <v/>
      </c>
      <c r="O898" s="4">
        <f>Data!AI897</f>
        <v/>
      </c>
      <c r="P898" s="4">
        <f>Data!AJ897</f>
        <v/>
      </c>
      <c r="Q898" s="4">
        <f>Data!AK897</f>
        <v/>
      </c>
      <c r="R898" s="4">
        <f>Data!AL897</f>
        <v/>
      </c>
    </row>
    <row r="899">
      <c r="A899" s="4">
        <f>Data!A898</f>
        <v/>
      </c>
      <c r="B899" s="4">
        <f>Data!B898</f>
        <v/>
      </c>
      <c r="C899" s="4">
        <f>Data!C898</f>
        <v/>
      </c>
      <c r="D899" s="4">
        <f>Data!I898</f>
        <v/>
      </c>
      <c r="E899" s="4">
        <f>Data!J898</f>
        <v/>
      </c>
      <c r="F899" s="4">
        <f>Data!H898</f>
        <v/>
      </c>
      <c r="G899" s="4">
        <f>SUM(Data!Q898:Data!Y898)</f>
        <v/>
      </c>
      <c r="H899" s="4">
        <f>Data!Z898</f>
        <v/>
      </c>
      <c r="I899" s="4">
        <f>Data!AB898</f>
        <v/>
      </c>
      <c r="J899" s="4">
        <f>Data!AD898</f>
        <v/>
      </c>
      <c r="K899" s="4">
        <f>Data!AE898</f>
        <v/>
      </c>
      <c r="L899" s="4">
        <f>Data!AF898</f>
        <v/>
      </c>
      <c r="M899" s="4">
        <f>Data!AG898</f>
        <v/>
      </c>
      <c r="N899" s="4">
        <f>Data!AH898</f>
        <v/>
      </c>
      <c r="O899" s="4">
        <f>Data!AI898</f>
        <v/>
      </c>
      <c r="P899" s="4">
        <f>Data!AJ898</f>
        <v/>
      </c>
      <c r="Q899" s="4">
        <f>Data!AK898</f>
        <v/>
      </c>
      <c r="R899" s="4">
        <f>Data!AL898</f>
        <v/>
      </c>
    </row>
    <row r="900">
      <c r="A900" s="4">
        <f>Data!A899</f>
        <v/>
      </c>
      <c r="B900" s="4">
        <f>Data!B899</f>
        <v/>
      </c>
      <c r="C900" s="4">
        <f>Data!C899</f>
        <v/>
      </c>
      <c r="D900" s="4">
        <f>Data!I899</f>
        <v/>
      </c>
      <c r="E900" s="4">
        <f>Data!J899</f>
        <v/>
      </c>
      <c r="F900" s="4">
        <f>Data!H899</f>
        <v/>
      </c>
      <c r="G900" s="4">
        <f>SUM(Data!Q899:Data!Y899)</f>
        <v/>
      </c>
      <c r="H900" s="4">
        <f>Data!Z899</f>
        <v/>
      </c>
      <c r="I900" s="4">
        <f>Data!AB899</f>
        <v/>
      </c>
      <c r="J900" s="4">
        <f>Data!AD899</f>
        <v/>
      </c>
      <c r="K900" s="4">
        <f>Data!AE899</f>
        <v/>
      </c>
      <c r="L900" s="4">
        <f>Data!AF899</f>
        <v/>
      </c>
      <c r="M900" s="4">
        <f>Data!AG899</f>
        <v/>
      </c>
      <c r="N900" s="4">
        <f>Data!AH899</f>
        <v/>
      </c>
      <c r="O900" s="4">
        <f>Data!AI899</f>
        <v/>
      </c>
      <c r="P900" s="4">
        <f>Data!AJ899</f>
        <v/>
      </c>
      <c r="Q900" s="4">
        <f>Data!AK899</f>
        <v/>
      </c>
      <c r="R900" s="4">
        <f>Data!AL899</f>
        <v/>
      </c>
    </row>
    <row r="901">
      <c r="A901" s="4">
        <f>Data!A900</f>
        <v/>
      </c>
      <c r="B901" s="4">
        <f>Data!B900</f>
        <v/>
      </c>
      <c r="C901" s="4">
        <f>Data!C900</f>
        <v/>
      </c>
      <c r="D901" s="4">
        <f>Data!I900</f>
        <v/>
      </c>
      <c r="E901" s="4">
        <f>Data!J900</f>
        <v/>
      </c>
      <c r="F901" s="4">
        <f>Data!H900</f>
        <v/>
      </c>
      <c r="G901" s="4">
        <f>SUM(Data!Q900:Data!Y900)</f>
        <v/>
      </c>
      <c r="H901" s="4">
        <f>Data!Z900</f>
        <v/>
      </c>
      <c r="I901" s="4">
        <f>Data!AB900</f>
        <v/>
      </c>
      <c r="J901" s="4">
        <f>Data!AD900</f>
        <v/>
      </c>
      <c r="K901" s="4">
        <f>Data!AE900</f>
        <v/>
      </c>
      <c r="L901" s="4">
        <f>Data!AF900</f>
        <v/>
      </c>
      <c r="M901" s="4">
        <f>Data!AG900</f>
        <v/>
      </c>
      <c r="N901" s="4">
        <f>Data!AH900</f>
        <v/>
      </c>
      <c r="O901" s="4">
        <f>Data!AI900</f>
        <v/>
      </c>
      <c r="P901" s="4">
        <f>Data!AJ900</f>
        <v/>
      </c>
      <c r="Q901" s="4">
        <f>Data!AK900</f>
        <v/>
      </c>
      <c r="R901" s="4">
        <f>Data!AL900</f>
        <v/>
      </c>
    </row>
    <row r="902">
      <c r="A902" s="4">
        <f>Data!A901</f>
        <v/>
      </c>
      <c r="B902" s="4">
        <f>Data!B901</f>
        <v/>
      </c>
      <c r="C902" s="4">
        <f>Data!C901</f>
        <v/>
      </c>
      <c r="D902" s="4">
        <f>Data!I901</f>
        <v/>
      </c>
      <c r="E902" s="4">
        <f>Data!J901</f>
        <v/>
      </c>
      <c r="F902" s="4">
        <f>Data!H901</f>
        <v/>
      </c>
      <c r="G902" s="4">
        <f>SUM(Data!Q901:Data!Y901)</f>
        <v/>
      </c>
      <c r="H902" s="4">
        <f>Data!Z901</f>
        <v/>
      </c>
      <c r="I902" s="4">
        <f>Data!AB901</f>
        <v/>
      </c>
      <c r="J902" s="4">
        <f>Data!AD901</f>
        <v/>
      </c>
      <c r="K902" s="4">
        <f>Data!AE901</f>
        <v/>
      </c>
      <c r="L902" s="4">
        <f>Data!AF901</f>
        <v/>
      </c>
      <c r="M902" s="4">
        <f>Data!AG901</f>
        <v/>
      </c>
      <c r="N902" s="4">
        <f>Data!AH901</f>
        <v/>
      </c>
      <c r="O902" s="4">
        <f>Data!AI901</f>
        <v/>
      </c>
      <c r="P902" s="4">
        <f>Data!AJ901</f>
        <v/>
      </c>
      <c r="Q902" s="4">
        <f>Data!AK901</f>
        <v/>
      </c>
      <c r="R902" s="4">
        <f>Data!AL901</f>
        <v/>
      </c>
    </row>
    <row r="903">
      <c r="A903" s="4">
        <f>Data!A902</f>
        <v/>
      </c>
      <c r="B903" s="4">
        <f>Data!B902</f>
        <v/>
      </c>
      <c r="C903" s="4">
        <f>Data!C902</f>
        <v/>
      </c>
      <c r="D903" s="4">
        <f>Data!I902</f>
        <v/>
      </c>
      <c r="E903" s="4">
        <f>Data!J902</f>
        <v/>
      </c>
      <c r="F903" s="4">
        <f>Data!H902</f>
        <v/>
      </c>
      <c r="G903" s="4">
        <f>SUM(Data!Q902:Data!Y902)</f>
        <v/>
      </c>
      <c r="H903" s="4">
        <f>Data!Z902</f>
        <v/>
      </c>
      <c r="I903" s="4">
        <f>Data!AB902</f>
        <v/>
      </c>
      <c r="J903" s="4">
        <f>Data!AD902</f>
        <v/>
      </c>
      <c r="K903" s="4">
        <f>Data!AE902</f>
        <v/>
      </c>
      <c r="L903" s="4">
        <f>Data!AF902</f>
        <v/>
      </c>
      <c r="M903" s="4">
        <f>Data!AG902</f>
        <v/>
      </c>
      <c r="N903" s="4">
        <f>Data!AH902</f>
        <v/>
      </c>
      <c r="O903" s="4">
        <f>Data!AI902</f>
        <v/>
      </c>
      <c r="P903" s="4">
        <f>Data!AJ902</f>
        <v/>
      </c>
      <c r="Q903" s="4">
        <f>Data!AK902</f>
        <v/>
      </c>
      <c r="R903" s="4">
        <f>Data!AL902</f>
        <v/>
      </c>
    </row>
    <row r="904">
      <c r="A904" s="4">
        <f>Data!A903</f>
        <v/>
      </c>
      <c r="B904" s="4">
        <f>Data!B903</f>
        <v/>
      </c>
      <c r="C904" s="4">
        <f>Data!C903</f>
        <v/>
      </c>
      <c r="D904" s="4">
        <f>Data!I903</f>
        <v/>
      </c>
      <c r="E904" s="4">
        <f>Data!J903</f>
        <v/>
      </c>
      <c r="F904" s="4">
        <f>Data!H903</f>
        <v/>
      </c>
      <c r="G904" s="4">
        <f>SUM(Data!Q903:Data!Y903)</f>
        <v/>
      </c>
      <c r="H904" s="4">
        <f>Data!Z903</f>
        <v/>
      </c>
      <c r="I904" s="4">
        <f>Data!AB903</f>
        <v/>
      </c>
      <c r="J904" s="4">
        <f>Data!AD903</f>
        <v/>
      </c>
      <c r="K904" s="4">
        <f>Data!AE903</f>
        <v/>
      </c>
      <c r="L904" s="4">
        <f>Data!AF903</f>
        <v/>
      </c>
      <c r="M904" s="4">
        <f>Data!AG903</f>
        <v/>
      </c>
      <c r="N904" s="4">
        <f>Data!AH903</f>
        <v/>
      </c>
      <c r="O904" s="4">
        <f>Data!AI903</f>
        <v/>
      </c>
      <c r="P904" s="4">
        <f>Data!AJ903</f>
        <v/>
      </c>
      <c r="Q904" s="4">
        <f>Data!AK903</f>
        <v/>
      </c>
      <c r="R904" s="4">
        <f>Data!AL903</f>
        <v/>
      </c>
    </row>
    <row r="905">
      <c r="A905" s="4">
        <f>Data!A904</f>
        <v/>
      </c>
      <c r="B905" s="4">
        <f>Data!B904</f>
        <v/>
      </c>
      <c r="C905" s="4">
        <f>Data!C904</f>
        <v/>
      </c>
      <c r="D905" s="4">
        <f>Data!I904</f>
        <v/>
      </c>
      <c r="E905" s="4">
        <f>Data!J904</f>
        <v/>
      </c>
      <c r="F905" s="4">
        <f>Data!H904</f>
        <v/>
      </c>
      <c r="G905" s="4">
        <f>SUM(Data!Q904:Data!Y904)</f>
        <v/>
      </c>
      <c r="H905" s="4">
        <f>Data!Z904</f>
        <v/>
      </c>
      <c r="I905" s="4">
        <f>Data!AB904</f>
        <v/>
      </c>
      <c r="J905" s="4">
        <f>Data!AD904</f>
        <v/>
      </c>
      <c r="K905" s="4">
        <f>Data!AE904</f>
        <v/>
      </c>
      <c r="L905" s="4">
        <f>Data!AF904</f>
        <v/>
      </c>
      <c r="M905" s="4">
        <f>Data!AG904</f>
        <v/>
      </c>
      <c r="N905" s="4">
        <f>Data!AH904</f>
        <v/>
      </c>
      <c r="O905" s="4">
        <f>Data!AI904</f>
        <v/>
      </c>
      <c r="P905" s="4">
        <f>Data!AJ904</f>
        <v/>
      </c>
      <c r="Q905" s="4">
        <f>Data!AK904</f>
        <v/>
      </c>
      <c r="R905" s="4">
        <f>Data!AL904</f>
        <v/>
      </c>
    </row>
    <row r="906">
      <c r="A906" s="4">
        <f>Data!A905</f>
        <v/>
      </c>
      <c r="B906" s="4">
        <f>Data!B905</f>
        <v/>
      </c>
      <c r="C906" s="4">
        <f>Data!C905</f>
        <v/>
      </c>
      <c r="D906" s="4">
        <f>Data!I905</f>
        <v/>
      </c>
      <c r="E906" s="4">
        <f>Data!J905</f>
        <v/>
      </c>
      <c r="F906" s="4">
        <f>Data!H905</f>
        <v/>
      </c>
      <c r="G906" s="4">
        <f>SUM(Data!Q905:Data!Y905)</f>
        <v/>
      </c>
      <c r="H906" s="4">
        <f>Data!Z905</f>
        <v/>
      </c>
      <c r="I906" s="4">
        <f>Data!AB905</f>
        <v/>
      </c>
      <c r="J906" s="4">
        <f>Data!AD905</f>
        <v/>
      </c>
      <c r="K906" s="4">
        <f>Data!AE905</f>
        <v/>
      </c>
      <c r="L906" s="4">
        <f>Data!AF905</f>
        <v/>
      </c>
      <c r="M906" s="4">
        <f>Data!AG905</f>
        <v/>
      </c>
      <c r="N906" s="4">
        <f>Data!AH905</f>
        <v/>
      </c>
      <c r="O906" s="4">
        <f>Data!AI905</f>
        <v/>
      </c>
      <c r="P906" s="4">
        <f>Data!AJ905</f>
        <v/>
      </c>
      <c r="Q906" s="4">
        <f>Data!AK905</f>
        <v/>
      </c>
      <c r="R906" s="4">
        <f>Data!AL905</f>
        <v/>
      </c>
    </row>
    <row r="907">
      <c r="A907" s="4">
        <f>Data!A906</f>
        <v/>
      </c>
      <c r="B907" s="4">
        <f>Data!B906</f>
        <v/>
      </c>
      <c r="C907" s="4">
        <f>Data!C906</f>
        <v/>
      </c>
      <c r="D907" s="4">
        <f>Data!I906</f>
        <v/>
      </c>
      <c r="E907" s="4">
        <f>Data!J906</f>
        <v/>
      </c>
      <c r="F907" s="4">
        <f>Data!H906</f>
        <v/>
      </c>
      <c r="G907" s="4">
        <f>SUM(Data!Q906:Data!Y906)</f>
        <v/>
      </c>
      <c r="H907" s="4">
        <f>Data!Z906</f>
        <v/>
      </c>
      <c r="I907" s="4">
        <f>Data!AB906</f>
        <v/>
      </c>
      <c r="J907" s="4">
        <f>Data!AD906</f>
        <v/>
      </c>
      <c r="K907" s="4">
        <f>Data!AE906</f>
        <v/>
      </c>
      <c r="L907" s="4">
        <f>Data!AF906</f>
        <v/>
      </c>
      <c r="M907" s="4">
        <f>Data!AG906</f>
        <v/>
      </c>
      <c r="N907" s="4">
        <f>Data!AH906</f>
        <v/>
      </c>
      <c r="O907" s="4">
        <f>Data!AI906</f>
        <v/>
      </c>
      <c r="P907" s="4">
        <f>Data!AJ906</f>
        <v/>
      </c>
      <c r="Q907" s="4">
        <f>Data!AK906</f>
        <v/>
      </c>
      <c r="R907" s="4">
        <f>Data!AL906</f>
        <v/>
      </c>
    </row>
    <row r="908">
      <c r="A908" s="4">
        <f>Data!A907</f>
        <v/>
      </c>
      <c r="B908" s="4">
        <f>Data!B907</f>
        <v/>
      </c>
      <c r="C908" s="4">
        <f>Data!C907</f>
        <v/>
      </c>
      <c r="D908" s="4">
        <f>Data!I907</f>
        <v/>
      </c>
      <c r="E908" s="4">
        <f>Data!J907</f>
        <v/>
      </c>
      <c r="F908" s="4">
        <f>Data!H907</f>
        <v/>
      </c>
      <c r="G908" s="4">
        <f>SUM(Data!Q907:Data!Y907)</f>
        <v/>
      </c>
      <c r="H908" s="4">
        <f>Data!Z907</f>
        <v/>
      </c>
      <c r="I908" s="4">
        <f>Data!AB907</f>
        <v/>
      </c>
      <c r="J908" s="4">
        <f>Data!AD907</f>
        <v/>
      </c>
      <c r="K908" s="4">
        <f>Data!AE907</f>
        <v/>
      </c>
      <c r="L908" s="4">
        <f>Data!AF907</f>
        <v/>
      </c>
      <c r="M908" s="4">
        <f>Data!AG907</f>
        <v/>
      </c>
      <c r="N908" s="4">
        <f>Data!AH907</f>
        <v/>
      </c>
      <c r="O908" s="4">
        <f>Data!AI907</f>
        <v/>
      </c>
      <c r="P908" s="4">
        <f>Data!AJ907</f>
        <v/>
      </c>
      <c r="Q908" s="4">
        <f>Data!AK907</f>
        <v/>
      </c>
      <c r="R908" s="4">
        <f>Data!AL907</f>
        <v/>
      </c>
    </row>
    <row r="909">
      <c r="A909" s="4">
        <f>Data!A908</f>
        <v/>
      </c>
      <c r="B909" s="4">
        <f>Data!B908</f>
        <v/>
      </c>
      <c r="C909" s="4">
        <f>Data!C908</f>
        <v/>
      </c>
      <c r="D909" s="4">
        <f>Data!I908</f>
        <v/>
      </c>
      <c r="E909" s="4">
        <f>Data!J908</f>
        <v/>
      </c>
      <c r="F909" s="4">
        <f>Data!H908</f>
        <v/>
      </c>
      <c r="G909" s="4">
        <f>SUM(Data!Q908:Data!Y908)</f>
        <v/>
      </c>
      <c r="H909" s="4">
        <f>Data!Z908</f>
        <v/>
      </c>
      <c r="I909" s="4">
        <f>Data!AB908</f>
        <v/>
      </c>
      <c r="J909" s="4">
        <f>Data!AD908</f>
        <v/>
      </c>
      <c r="K909" s="4">
        <f>Data!AE908</f>
        <v/>
      </c>
      <c r="L909" s="4">
        <f>Data!AF908</f>
        <v/>
      </c>
      <c r="M909" s="4">
        <f>Data!AG908</f>
        <v/>
      </c>
      <c r="N909" s="4">
        <f>Data!AH908</f>
        <v/>
      </c>
      <c r="O909" s="4">
        <f>Data!AI908</f>
        <v/>
      </c>
      <c r="P909" s="4">
        <f>Data!AJ908</f>
        <v/>
      </c>
      <c r="Q909" s="4">
        <f>Data!AK908</f>
        <v/>
      </c>
      <c r="R909" s="4">
        <f>Data!AL908</f>
        <v/>
      </c>
    </row>
    <row r="910">
      <c r="A910" s="4">
        <f>Data!A909</f>
        <v/>
      </c>
      <c r="B910" s="4">
        <f>Data!B909</f>
        <v/>
      </c>
      <c r="C910" s="4">
        <f>Data!C909</f>
        <v/>
      </c>
      <c r="D910" s="4">
        <f>Data!I909</f>
        <v/>
      </c>
      <c r="E910" s="4">
        <f>Data!J909</f>
        <v/>
      </c>
      <c r="F910" s="4">
        <f>Data!H909</f>
        <v/>
      </c>
      <c r="G910" s="4">
        <f>SUM(Data!Q909:Data!Y909)</f>
        <v/>
      </c>
      <c r="H910" s="4">
        <f>Data!Z909</f>
        <v/>
      </c>
      <c r="I910" s="4">
        <f>Data!AB909</f>
        <v/>
      </c>
      <c r="J910" s="4">
        <f>Data!AD909</f>
        <v/>
      </c>
      <c r="K910" s="4">
        <f>Data!AE909</f>
        <v/>
      </c>
      <c r="L910" s="4">
        <f>Data!AF909</f>
        <v/>
      </c>
      <c r="M910" s="4">
        <f>Data!AG909</f>
        <v/>
      </c>
      <c r="N910" s="4">
        <f>Data!AH909</f>
        <v/>
      </c>
      <c r="O910" s="4">
        <f>Data!AI909</f>
        <v/>
      </c>
      <c r="P910" s="4">
        <f>Data!AJ909</f>
        <v/>
      </c>
      <c r="Q910" s="4">
        <f>Data!AK909</f>
        <v/>
      </c>
      <c r="R910" s="4">
        <f>Data!AL909</f>
        <v/>
      </c>
    </row>
    <row r="911">
      <c r="A911" s="4">
        <f>Data!A910</f>
        <v/>
      </c>
      <c r="B911" s="4">
        <f>Data!B910</f>
        <v/>
      </c>
      <c r="C911" s="4">
        <f>Data!C910</f>
        <v/>
      </c>
      <c r="D911" s="4">
        <f>Data!I910</f>
        <v/>
      </c>
      <c r="E911" s="4">
        <f>Data!J910</f>
        <v/>
      </c>
      <c r="F911" s="4">
        <f>Data!H910</f>
        <v/>
      </c>
      <c r="G911" s="4">
        <f>SUM(Data!Q910:Data!Y910)</f>
        <v/>
      </c>
      <c r="H911" s="4">
        <f>Data!Z910</f>
        <v/>
      </c>
      <c r="I911" s="4">
        <f>Data!AB910</f>
        <v/>
      </c>
      <c r="J911" s="4">
        <f>Data!AD910</f>
        <v/>
      </c>
      <c r="K911" s="4">
        <f>Data!AE910</f>
        <v/>
      </c>
      <c r="L911" s="4">
        <f>Data!AF910</f>
        <v/>
      </c>
      <c r="M911" s="4">
        <f>Data!AG910</f>
        <v/>
      </c>
      <c r="N911" s="4">
        <f>Data!AH910</f>
        <v/>
      </c>
      <c r="O911" s="4">
        <f>Data!AI910</f>
        <v/>
      </c>
      <c r="P911" s="4">
        <f>Data!AJ910</f>
        <v/>
      </c>
      <c r="Q911" s="4">
        <f>Data!AK910</f>
        <v/>
      </c>
      <c r="R911" s="4">
        <f>Data!AL910</f>
        <v/>
      </c>
    </row>
    <row r="912">
      <c r="A912" s="4">
        <f>Data!A911</f>
        <v/>
      </c>
      <c r="B912" s="4">
        <f>Data!B911</f>
        <v/>
      </c>
      <c r="C912" s="4">
        <f>Data!C911</f>
        <v/>
      </c>
      <c r="D912" s="4">
        <f>Data!I911</f>
        <v/>
      </c>
      <c r="E912" s="4">
        <f>Data!J911</f>
        <v/>
      </c>
      <c r="F912" s="4">
        <f>Data!H911</f>
        <v/>
      </c>
      <c r="G912" s="4">
        <f>SUM(Data!Q911:Data!Y911)</f>
        <v/>
      </c>
      <c r="H912" s="4">
        <f>Data!Z911</f>
        <v/>
      </c>
      <c r="I912" s="4">
        <f>Data!AB911</f>
        <v/>
      </c>
      <c r="J912" s="4">
        <f>Data!AD911</f>
        <v/>
      </c>
      <c r="K912" s="4">
        <f>Data!AE911</f>
        <v/>
      </c>
      <c r="L912" s="4">
        <f>Data!AF911</f>
        <v/>
      </c>
      <c r="M912" s="4">
        <f>Data!AG911</f>
        <v/>
      </c>
      <c r="N912" s="4">
        <f>Data!AH911</f>
        <v/>
      </c>
      <c r="O912" s="4">
        <f>Data!AI911</f>
        <v/>
      </c>
      <c r="P912" s="4">
        <f>Data!AJ911</f>
        <v/>
      </c>
      <c r="Q912" s="4">
        <f>Data!AK911</f>
        <v/>
      </c>
      <c r="R912" s="4">
        <f>Data!AL911</f>
        <v/>
      </c>
    </row>
    <row r="913">
      <c r="A913" s="4">
        <f>Data!A912</f>
        <v/>
      </c>
      <c r="B913" s="4">
        <f>Data!B912</f>
        <v/>
      </c>
      <c r="C913" s="4">
        <f>Data!C912</f>
        <v/>
      </c>
      <c r="D913" s="4">
        <f>Data!I912</f>
        <v/>
      </c>
      <c r="E913" s="4">
        <f>Data!J912</f>
        <v/>
      </c>
      <c r="F913" s="4">
        <f>Data!H912</f>
        <v/>
      </c>
      <c r="G913" s="4">
        <f>SUM(Data!Q912:Data!Y912)</f>
        <v/>
      </c>
      <c r="H913" s="4">
        <f>Data!Z912</f>
        <v/>
      </c>
      <c r="I913" s="4">
        <f>Data!AB912</f>
        <v/>
      </c>
      <c r="J913" s="4">
        <f>Data!AD912</f>
        <v/>
      </c>
      <c r="K913" s="4">
        <f>Data!AE912</f>
        <v/>
      </c>
      <c r="L913" s="4">
        <f>Data!AF912</f>
        <v/>
      </c>
      <c r="M913" s="4">
        <f>Data!AG912</f>
        <v/>
      </c>
      <c r="N913" s="4">
        <f>Data!AH912</f>
        <v/>
      </c>
      <c r="O913" s="4">
        <f>Data!AI912</f>
        <v/>
      </c>
      <c r="P913" s="4">
        <f>Data!AJ912</f>
        <v/>
      </c>
      <c r="Q913" s="4">
        <f>Data!AK912</f>
        <v/>
      </c>
      <c r="R913" s="4">
        <f>Data!AL912</f>
        <v/>
      </c>
    </row>
    <row r="914">
      <c r="A914" s="4">
        <f>Data!A913</f>
        <v/>
      </c>
      <c r="B914" s="4">
        <f>Data!B913</f>
        <v/>
      </c>
      <c r="C914" s="4">
        <f>Data!C913</f>
        <v/>
      </c>
      <c r="D914" s="4">
        <f>Data!I913</f>
        <v/>
      </c>
      <c r="E914" s="4">
        <f>Data!J913</f>
        <v/>
      </c>
      <c r="F914" s="4">
        <f>Data!H913</f>
        <v/>
      </c>
      <c r="G914" s="4">
        <f>SUM(Data!Q913:Data!Y913)</f>
        <v/>
      </c>
      <c r="H914" s="4">
        <f>Data!Z913</f>
        <v/>
      </c>
      <c r="I914" s="4">
        <f>Data!AB913</f>
        <v/>
      </c>
      <c r="J914" s="4">
        <f>Data!AD913</f>
        <v/>
      </c>
      <c r="K914" s="4">
        <f>Data!AE913</f>
        <v/>
      </c>
      <c r="L914" s="4">
        <f>Data!AF913</f>
        <v/>
      </c>
      <c r="M914" s="4">
        <f>Data!AG913</f>
        <v/>
      </c>
      <c r="N914" s="4">
        <f>Data!AH913</f>
        <v/>
      </c>
      <c r="O914" s="4">
        <f>Data!AI913</f>
        <v/>
      </c>
      <c r="P914" s="4">
        <f>Data!AJ913</f>
        <v/>
      </c>
      <c r="Q914" s="4">
        <f>Data!AK913</f>
        <v/>
      </c>
      <c r="R914" s="4">
        <f>Data!AL913</f>
        <v/>
      </c>
    </row>
    <row r="915">
      <c r="A915" s="4">
        <f>Data!A914</f>
        <v/>
      </c>
      <c r="B915" s="4">
        <f>Data!B914</f>
        <v/>
      </c>
      <c r="C915" s="4">
        <f>Data!C914</f>
        <v/>
      </c>
      <c r="D915" s="4">
        <f>Data!I914</f>
        <v/>
      </c>
      <c r="E915" s="4">
        <f>Data!J914</f>
        <v/>
      </c>
      <c r="F915" s="4">
        <f>Data!H914</f>
        <v/>
      </c>
      <c r="G915" s="4">
        <f>SUM(Data!Q914:Data!Y914)</f>
        <v/>
      </c>
      <c r="H915" s="4">
        <f>Data!Z914</f>
        <v/>
      </c>
      <c r="I915" s="4">
        <f>Data!AB914</f>
        <v/>
      </c>
      <c r="J915" s="4">
        <f>Data!AD914</f>
        <v/>
      </c>
      <c r="K915" s="4">
        <f>Data!AE914</f>
        <v/>
      </c>
      <c r="L915" s="4">
        <f>Data!AF914</f>
        <v/>
      </c>
      <c r="M915" s="4">
        <f>Data!AG914</f>
        <v/>
      </c>
      <c r="N915" s="4">
        <f>Data!AH914</f>
        <v/>
      </c>
      <c r="O915" s="4">
        <f>Data!AI914</f>
        <v/>
      </c>
      <c r="P915" s="4">
        <f>Data!AJ914</f>
        <v/>
      </c>
      <c r="Q915" s="4">
        <f>Data!AK914</f>
        <v/>
      </c>
      <c r="R915" s="4">
        <f>Data!AL914</f>
        <v/>
      </c>
    </row>
    <row r="916">
      <c r="A916" s="4">
        <f>Data!A915</f>
        <v/>
      </c>
      <c r="B916" s="4">
        <f>Data!B915</f>
        <v/>
      </c>
      <c r="C916" s="4">
        <f>Data!C915</f>
        <v/>
      </c>
      <c r="D916" s="4">
        <f>Data!I915</f>
        <v/>
      </c>
      <c r="E916" s="4">
        <f>Data!J915</f>
        <v/>
      </c>
      <c r="F916" s="4">
        <f>Data!H915</f>
        <v/>
      </c>
      <c r="G916" s="4">
        <f>SUM(Data!Q915:Data!Y915)</f>
        <v/>
      </c>
      <c r="H916" s="4">
        <f>Data!Z915</f>
        <v/>
      </c>
      <c r="I916" s="4">
        <f>Data!AB915</f>
        <v/>
      </c>
      <c r="J916" s="4">
        <f>Data!AD915</f>
        <v/>
      </c>
      <c r="K916" s="4">
        <f>Data!AE915</f>
        <v/>
      </c>
      <c r="L916" s="4">
        <f>Data!AF915</f>
        <v/>
      </c>
      <c r="M916" s="4">
        <f>Data!AG915</f>
        <v/>
      </c>
      <c r="N916" s="4">
        <f>Data!AH915</f>
        <v/>
      </c>
      <c r="O916" s="4">
        <f>Data!AI915</f>
        <v/>
      </c>
      <c r="P916" s="4">
        <f>Data!AJ915</f>
        <v/>
      </c>
      <c r="Q916" s="4">
        <f>Data!AK915</f>
        <v/>
      </c>
      <c r="R916" s="4">
        <f>Data!AL915</f>
        <v/>
      </c>
    </row>
    <row r="917">
      <c r="A917" s="4">
        <f>Data!A916</f>
        <v/>
      </c>
      <c r="B917" s="4">
        <f>Data!B916</f>
        <v/>
      </c>
      <c r="C917" s="4">
        <f>Data!C916</f>
        <v/>
      </c>
      <c r="D917" s="4">
        <f>Data!I916</f>
        <v/>
      </c>
      <c r="E917" s="4">
        <f>Data!J916</f>
        <v/>
      </c>
      <c r="F917" s="4">
        <f>Data!H916</f>
        <v/>
      </c>
      <c r="G917" s="4">
        <f>SUM(Data!Q916:Data!Y916)</f>
        <v/>
      </c>
      <c r="H917" s="4">
        <f>Data!Z916</f>
        <v/>
      </c>
      <c r="I917" s="4">
        <f>Data!AB916</f>
        <v/>
      </c>
      <c r="J917" s="4">
        <f>Data!AD916</f>
        <v/>
      </c>
      <c r="K917" s="4">
        <f>Data!AE916</f>
        <v/>
      </c>
      <c r="L917" s="4">
        <f>Data!AF916</f>
        <v/>
      </c>
      <c r="M917" s="4">
        <f>Data!AG916</f>
        <v/>
      </c>
      <c r="N917" s="4">
        <f>Data!AH916</f>
        <v/>
      </c>
      <c r="O917" s="4">
        <f>Data!AI916</f>
        <v/>
      </c>
      <c r="P917" s="4">
        <f>Data!AJ916</f>
        <v/>
      </c>
      <c r="Q917" s="4">
        <f>Data!AK916</f>
        <v/>
      </c>
      <c r="R917" s="4">
        <f>Data!AL916</f>
        <v/>
      </c>
    </row>
    <row r="918">
      <c r="A918" s="4">
        <f>Data!A917</f>
        <v/>
      </c>
      <c r="B918" s="4">
        <f>Data!B917</f>
        <v/>
      </c>
      <c r="C918" s="4">
        <f>Data!C917</f>
        <v/>
      </c>
      <c r="D918" s="4">
        <f>Data!I917</f>
        <v/>
      </c>
      <c r="E918" s="4">
        <f>Data!J917</f>
        <v/>
      </c>
      <c r="F918" s="4">
        <f>Data!H917</f>
        <v/>
      </c>
      <c r="G918" s="4">
        <f>SUM(Data!Q917:Data!Y917)</f>
        <v/>
      </c>
      <c r="H918" s="4">
        <f>Data!Z917</f>
        <v/>
      </c>
      <c r="I918" s="4">
        <f>Data!AB917</f>
        <v/>
      </c>
      <c r="J918" s="4">
        <f>Data!AD917</f>
        <v/>
      </c>
      <c r="K918" s="4">
        <f>Data!AE917</f>
        <v/>
      </c>
      <c r="L918" s="4">
        <f>Data!AF917</f>
        <v/>
      </c>
      <c r="M918" s="4">
        <f>Data!AG917</f>
        <v/>
      </c>
      <c r="N918" s="4">
        <f>Data!AH917</f>
        <v/>
      </c>
      <c r="O918" s="4">
        <f>Data!AI917</f>
        <v/>
      </c>
      <c r="P918" s="4">
        <f>Data!AJ917</f>
        <v/>
      </c>
      <c r="Q918" s="4">
        <f>Data!AK917</f>
        <v/>
      </c>
      <c r="R918" s="4">
        <f>Data!AL917</f>
        <v/>
      </c>
    </row>
    <row r="919">
      <c r="A919" s="4">
        <f>Data!A918</f>
        <v/>
      </c>
      <c r="B919" s="4">
        <f>Data!B918</f>
        <v/>
      </c>
      <c r="C919" s="4">
        <f>Data!C918</f>
        <v/>
      </c>
      <c r="D919" s="4">
        <f>Data!I918</f>
        <v/>
      </c>
      <c r="E919" s="4">
        <f>Data!J918</f>
        <v/>
      </c>
      <c r="F919" s="4">
        <f>Data!H918</f>
        <v/>
      </c>
      <c r="G919" s="4">
        <f>SUM(Data!Q918:Data!Y918)</f>
        <v/>
      </c>
      <c r="H919" s="4">
        <f>Data!Z918</f>
        <v/>
      </c>
      <c r="I919" s="4">
        <f>Data!AB918</f>
        <v/>
      </c>
      <c r="J919" s="4">
        <f>Data!AD918</f>
        <v/>
      </c>
      <c r="K919" s="4">
        <f>Data!AE918</f>
        <v/>
      </c>
      <c r="L919" s="4">
        <f>Data!AF918</f>
        <v/>
      </c>
      <c r="M919" s="4">
        <f>Data!AG918</f>
        <v/>
      </c>
      <c r="N919" s="4">
        <f>Data!AH918</f>
        <v/>
      </c>
      <c r="O919" s="4">
        <f>Data!AI918</f>
        <v/>
      </c>
      <c r="P919" s="4">
        <f>Data!AJ918</f>
        <v/>
      </c>
      <c r="Q919" s="4">
        <f>Data!AK918</f>
        <v/>
      </c>
      <c r="R919" s="4">
        <f>Data!AL918</f>
        <v/>
      </c>
    </row>
    <row r="920">
      <c r="A920" s="4">
        <f>Data!A919</f>
        <v/>
      </c>
      <c r="B920" s="4">
        <f>Data!B919</f>
        <v/>
      </c>
      <c r="C920" s="4">
        <f>Data!C919</f>
        <v/>
      </c>
      <c r="D920" s="4">
        <f>Data!I919</f>
        <v/>
      </c>
      <c r="E920" s="4">
        <f>Data!J919</f>
        <v/>
      </c>
      <c r="F920" s="4">
        <f>Data!H919</f>
        <v/>
      </c>
      <c r="G920" s="4">
        <f>SUM(Data!Q919:Data!Y919)</f>
        <v/>
      </c>
      <c r="H920" s="4">
        <f>Data!Z919</f>
        <v/>
      </c>
      <c r="I920" s="4">
        <f>Data!AB919</f>
        <v/>
      </c>
      <c r="J920" s="4">
        <f>Data!AD919</f>
        <v/>
      </c>
      <c r="K920" s="4">
        <f>Data!AE919</f>
        <v/>
      </c>
      <c r="L920" s="4">
        <f>Data!AF919</f>
        <v/>
      </c>
      <c r="M920" s="4">
        <f>Data!AG919</f>
        <v/>
      </c>
      <c r="N920" s="4">
        <f>Data!AH919</f>
        <v/>
      </c>
      <c r="O920" s="4">
        <f>Data!AI919</f>
        <v/>
      </c>
      <c r="P920" s="4">
        <f>Data!AJ919</f>
        <v/>
      </c>
      <c r="Q920" s="4">
        <f>Data!AK919</f>
        <v/>
      </c>
      <c r="R920" s="4">
        <f>Data!AL919</f>
        <v/>
      </c>
    </row>
    <row r="921">
      <c r="A921" s="4">
        <f>Data!A920</f>
        <v/>
      </c>
      <c r="B921" s="4">
        <f>Data!B920</f>
        <v/>
      </c>
      <c r="C921" s="4">
        <f>Data!C920</f>
        <v/>
      </c>
      <c r="D921" s="4">
        <f>Data!I920</f>
        <v/>
      </c>
      <c r="E921" s="4">
        <f>Data!J920</f>
        <v/>
      </c>
      <c r="F921" s="4">
        <f>Data!H920</f>
        <v/>
      </c>
      <c r="G921" s="4">
        <f>SUM(Data!Q920:Data!Y920)</f>
        <v/>
      </c>
      <c r="H921" s="4">
        <f>Data!Z920</f>
        <v/>
      </c>
      <c r="I921" s="4">
        <f>Data!AB920</f>
        <v/>
      </c>
      <c r="J921" s="4">
        <f>Data!AD920</f>
        <v/>
      </c>
      <c r="K921" s="4">
        <f>Data!AE920</f>
        <v/>
      </c>
      <c r="L921" s="4">
        <f>Data!AF920</f>
        <v/>
      </c>
      <c r="M921" s="4">
        <f>Data!AG920</f>
        <v/>
      </c>
      <c r="N921" s="4">
        <f>Data!AH920</f>
        <v/>
      </c>
      <c r="O921" s="4">
        <f>Data!AI920</f>
        <v/>
      </c>
      <c r="P921" s="4">
        <f>Data!AJ920</f>
        <v/>
      </c>
      <c r="Q921" s="4">
        <f>Data!AK920</f>
        <v/>
      </c>
      <c r="R921" s="4">
        <f>Data!AL920</f>
        <v/>
      </c>
    </row>
    <row r="922">
      <c r="A922" s="4">
        <f>Data!A921</f>
        <v/>
      </c>
      <c r="B922" s="4">
        <f>Data!B921</f>
        <v/>
      </c>
      <c r="C922" s="4">
        <f>Data!C921</f>
        <v/>
      </c>
      <c r="D922" s="4">
        <f>Data!I921</f>
        <v/>
      </c>
      <c r="E922" s="4">
        <f>Data!J921</f>
        <v/>
      </c>
      <c r="F922" s="4">
        <f>Data!H921</f>
        <v/>
      </c>
      <c r="G922" s="4">
        <f>SUM(Data!Q921:Data!Y921)</f>
        <v/>
      </c>
      <c r="H922" s="4">
        <f>Data!Z921</f>
        <v/>
      </c>
      <c r="I922" s="4">
        <f>Data!AB921</f>
        <v/>
      </c>
      <c r="J922" s="4">
        <f>Data!AD921</f>
        <v/>
      </c>
      <c r="K922" s="4">
        <f>Data!AE921</f>
        <v/>
      </c>
      <c r="L922" s="4">
        <f>Data!AF921</f>
        <v/>
      </c>
      <c r="M922" s="4">
        <f>Data!AG921</f>
        <v/>
      </c>
      <c r="N922" s="4">
        <f>Data!AH921</f>
        <v/>
      </c>
      <c r="O922" s="4">
        <f>Data!AI921</f>
        <v/>
      </c>
      <c r="P922" s="4">
        <f>Data!AJ921</f>
        <v/>
      </c>
      <c r="Q922" s="4">
        <f>Data!AK921</f>
        <v/>
      </c>
      <c r="R922" s="4">
        <f>Data!AL921</f>
        <v/>
      </c>
    </row>
    <row r="923">
      <c r="A923" s="4">
        <f>Data!A922</f>
        <v/>
      </c>
      <c r="B923" s="4">
        <f>Data!B922</f>
        <v/>
      </c>
      <c r="C923" s="4">
        <f>Data!C922</f>
        <v/>
      </c>
      <c r="D923" s="4">
        <f>Data!I922</f>
        <v/>
      </c>
      <c r="E923" s="4">
        <f>Data!J922</f>
        <v/>
      </c>
      <c r="F923" s="4">
        <f>Data!H922</f>
        <v/>
      </c>
      <c r="G923" s="4">
        <f>SUM(Data!Q922:Data!Y922)</f>
        <v/>
      </c>
      <c r="H923" s="4">
        <f>Data!Z922</f>
        <v/>
      </c>
      <c r="I923" s="4">
        <f>Data!AB922</f>
        <v/>
      </c>
      <c r="J923" s="4">
        <f>Data!AD922</f>
        <v/>
      </c>
      <c r="K923" s="4">
        <f>Data!AE922</f>
        <v/>
      </c>
      <c r="L923" s="4">
        <f>Data!AF922</f>
        <v/>
      </c>
      <c r="M923" s="4">
        <f>Data!AG922</f>
        <v/>
      </c>
      <c r="N923" s="4">
        <f>Data!AH922</f>
        <v/>
      </c>
      <c r="O923" s="4">
        <f>Data!AI922</f>
        <v/>
      </c>
      <c r="P923" s="4">
        <f>Data!AJ922</f>
        <v/>
      </c>
      <c r="Q923" s="4">
        <f>Data!AK922</f>
        <v/>
      </c>
      <c r="R923" s="4">
        <f>Data!AL922</f>
        <v/>
      </c>
    </row>
    <row r="924">
      <c r="A924" s="4">
        <f>Data!A923</f>
        <v/>
      </c>
      <c r="B924" s="4">
        <f>Data!B923</f>
        <v/>
      </c>
      <c r="C924" s="4">
        <f>Data!C923</f>
        <v/>
      </c>
      <c r="D924" s="4">
        <f>Data!I923</f>
        <v/>
      </c>
      <c r="E924" s="4">
        <f>Data!J923</f>
        <v/>
      </c>
      <c r="F924" s="4">
        <f>Data!H923</f>
        <v/>
      </c>
      <c r="G924" s="4">
        <f>SUM(Data!Q923:Data!Y923)</f>
        <v/>
      </c>
      <c r="H924" s="4">
        <f>Data!Z923</f>
        <v/>
      </c>
      <c r="I924" s="4">
        <f>Data!AB923</f>
        <v/>
      </c>
      <c r="J924" s="4">
        <f>Data!AD923</f>
        <v/>
      </c>
      <c r="K924" s="4">
        <f>Data!AE923</f>
        <v/>
      </c>
      <c r="L924" s="4">
        <f>Data!AF923</f>
        <v/>
      </c>
      <c r="M924" s="4">
        <f>Data!AG923</f>
        <v/>
      </c>
      <c r="N924" s="4">
        <f>Data!AH923</f>
        <v/>
      </c>
      <c r="O924" s="4">
        <f>Data!AI923</f>
        <v/>
      </c>
      <c r="P924" s="4">
        <f>Data!AJ923</f>
        <v/>
      </c>
      <c r="Q924" s="4">
        <f>Data!AK923</f>
        <v/>
      </c>
      <c r="R924" s="4">
        <f>Data!AL923</f>
        <v/>
      </c>
    </row>
    <row r="925">
      <c r="A925" s="4">
        <f>Data!A924</f>
        <v/>
      </c>
      <c r="B925" s="4">
        <f>Data!B924</f>
        <v/>
      </c>
      <c r="C925" s="4">
        <f>Data!C924</f>
        <v/>
      </c>
      <c r="D925" s="4">
        <f>Data!I924</f>
        <v/>
      </c>
      <c r="E925" s="4">
        <f>Data!J924</f>
        <v/>
      </c>
      <c r="F925" s="4">
        <f>Data!H924</f>
        <v/>
      </c>
      <c r="G925" s="4">
        <f>SUM(Data!Q924:Data!Y924)</f>
        <v/>
      </c>
      <c r="H925" s="4">
        <f>Data!Z924</f>
        <v/>
      </c>
      <c r="I925" s="4">
        <f>Data!AB924</f>
        <v/>
      </c>
      <c r="J925" s="4">
        <f>Data!AD924</f>
        <v/>
      </c>
      <c r="K925" s="4">
        <f>Data!AE924</f>
        <v/>
      </c>
      <c r="L925" s="4">
        <f>Data!AF924</f>
        <v/>
      </c>
      <c r="M925" s="4">
        <f>Data!AG924</f>
        <v/>
      </c>
      <c r="N925" s="4">
        <f>Data!AH924</f>
        <v/>
      </c>
      <c r="O925" s="4">
        <f>Data!AI924</f>
        <v/>
      </c>
      <c r="P925" s="4">
        <f>Data!AJ924</f>
        <v/>
      </c>
      <c r="Q925" s="4">
        <f>Data!AK924</f>
        <v/>
      </c>
      <c r="R925" s="4">
        <f>Data!AL924</f>
        <v/>
      </c>
    </row>
    <row r="926">
      <c r="A926" s="4">
        <f>Data!A925</f>
        <v/>
      </c>
      <c r="B926" s="4">
        <f>Data!B925</f>
        <v/>
      </c>
      <c r="C926" s="4">
        <f>Data!C925</f>
        <v/>
      </c>
      <c r="D926" s="4">
        <f>Data!I925</f>
        <v/>
      </c>
      <c r="E926" s="4">
        <f>Data!J925</f>
        <v/>
      </c>
      <c r="F926" s="4">
        <f>Data!H925</f>
        <v/>
      </c>
      <c r="G926" s="4">
        <f>SUM(Data!Q925:Data!Y925)</f>
        <v/>
      </c>
      <c r="H926" s="4">
        <f>Data!Z925</f>
        <v/>
      </c>
      <c r="I926" s="4">
        <f>Data!AB925</f>
        <v/>
      </c>
      <c r="J926" s="4">
        <f>Data!AD925</f>
        <v/>
      </c>
      <c r="K926" s="4">
        <f>Data!AE925</f>
        <v/>
      </c>
      <c r="L926" s="4">
        <f>Data!AF925</f>
        <v/>
      </c>
      <c r="M926" s="4">
        <f>Data!AG925</f>
        <v/>
      </c>
      <c r="N926" s="4">
        <f>Data!AH925</f>
        <v/>
      </c>
      <c r="O926" s="4">
        <f>Data!AI925</f>
        <v/>
      </c>
      <c r="P926" s="4">
        <f>Data!AJ925</f>
        <v/>
      </c>
      <c r="Q926" s="4">
        <f>Data!AK925</f>
        <v/>
      </c>
      <c r="R926" s="4">
        <f>Data!AL925</f>
        <v/>
      </c>
    </row>
    <row r="927">
      <c r="A927" s="4">
        <f>Data!A926</f>
        <v/>
      </c>
      <c r="B927" s="4">
        <f>Data!B926</f>
        <v/>
      </c>
      <c r="C927" s="4">
        <f>Data!C926</f>
        <v/>
      </c>
      <c r="D927" s="4">
        <f>Data!I926</f>
        <v/>
      </c>
      <c r="E927" s="4">
        <f>Data!J926</f>
        <v/>
      </c>
      <c r="F927" s="4">
        <f>Data!H926</f>
        <v/>
      </c>
      <c r="G927" s="4">
        <f>SUM(Data!Q926:Data!Y926)</f>
        <v/>
      </c>
      <c r="H927" s="4">
        <f>Data!Z926</f>
        <v/>
      </c>
      <c r="I927" s="4">
        <f>Data!AB926</f>
        <v/>
      </c>
      <c r="J927" s="4">
        <f>Data!AD926</f>
        <v/>
      </c>
      <c r="K927" s="4">
        <f>Data!AE926</f>
        <v/>
      </c>
      <c r="L927" s="4">
        <f>Data!AF926</f>
        <v/>
      </c>
      <c r="M927" s="4">
        <f>Data!AG926</f>
        <v/>
      </c>
      <c r="N927" s="4">
        <f>Data!AH926</f>
        <v/>
      </c>
      <c r="O927" s="4">
        <f>Data!AI926</f>
        <v/>
      </c>
      <c r="P927" s="4">
        <f>Data!AJ926</f>
        <v/>
      </c>
      <c r="Q927" s="4">
        <f>Data!AK926</f>
        <v/>
      </c>
      <c r="R927" s="4">
        <f>Data!AL926</f>
        <v/>
      </c>
    </row>
    <row r="928">
      <c r="A928" s="4">
        <f>Data!A927</f>
        <v/>
      </c>
      <c r="B928" s="4">
        <f>Data!B927</f>
        <v/>
      </c>
      <c r="C928" s="4">
        <f>Data!C927</f>
        <v/>
      </c>
      <c r="D928" s="4">
        <f>Data!I927</f>
        <v/>
      </c>
      <c r="E928" s="4">
        <f>Data!J927</f>
        <v/>
      </c>
      <c r="F928" s="4">
        <f>Data!H927</f>
        <v/>
      </c>
      <c r="G928" s="4">
        <f>SUM(Data!Q927:Data!Y927)</f>
        <v/>
      </c>
      <c r="H928" s="4">
        <f>Data!Z927</f>
        <v/>
      </c>
      <c r="I928" s="4">
        <f>Data!AB927</f>
        <v/>
      </c>
      <c r="J928" s="4">
        <f>Data!AD927</f>
        <v/>
      </c>
      <c r="K928" s="4">
        <f>Data!AE927</f>
        <v/>
      </c>
      <c r="L928" s="4">
        <f>Data!AF927</f>
        <v/>
      </c>
      <c r="M928" s="4">
        <f>Data!AG927</f>
        <v/>
      </c>
      <c r="N928" s="4">
        <f>Data!AH927</f>
        <v/>
      </c>
      <c r="O928" s="4">
        <f>Data!AI927</f>
        <v/>
      </c>
      <c r="P928" s="4">
        <f>Data!AJ927</f>
        <v/>
      </c>
      <c r="Q928" s="4">
        <f>Data!AK927</f>
        <v/>
      </c>
      <c r="R928" s="4">
        <f>Data!AL927</f>
        <v/>
      </c>
    </row>
    <row r="929">
      <c r="A929" s="4">
        <f>Data!A928</f>
        <v/>
      </c>
      <c r="B929" s="4">
        <f>Data!B928</f>
        <v/>
      </c>
      <c r="C929" s="4">
        <f>Data!C928</f>
        <v/>
      </c>
      <c r="D929" s="4">
        <f>Data!I928</f>
        <v/>
      </c>
      <c r="E929" s="4">
        <f>Data!J928</f>
        <v/>
      </c>
      <c r="F929" s="4">
        <f>Data!H928</f>
        <v/>
      </c>
      <c r="G929" s="4">
        <f>SUM(Data!Q928:Data!Y928)</f>
        <v/>
      </c>
      <c r="H929" s="4">
        <f>Data!Z928</f>
        <v/>
      </c>
      <c r="I929" s="4">
        <f>Data!AB928</f>
        <v/>
      </c>
      <c r="J929" s="4">
        <f>Data!AD928</f>
        <v/>
      </c>
      <c r="K929" s="4">
        <f>Data!AE928</f>
        <v/>
      </c>
      <c r="L929" s="4">
        <f>Data!AF928</f>
        <v/>
      </c>
      <c r="M929" s="4">
        <f>Data!AG928</f>
        <v/>
      </c>
      <c r="N929" s="4">
        <f>Data!AH928</f>
        <v/>
      </c>
      <c r="O929" s="4">
        <f>Data!AI928</f>
        <v/>
      </c>
      <c r="P929" s="4">
        <f>Data!AJ928</f>
        <v/>
      </c>
      <c r="Q929" s="4">
        <f>Data!AK928</f>
        <v/>
      </c>
      <c r="R929" s="4">
        <f>Data!AL928</f>
        <v/>
      </c>
    </row>
    <row r="930">
      <c r="A930" s="4">
        <f>Data!A929</f>
        <v/>
      </c>
      <c r="B930" s="4">
        <f>Data!B929</f>
        <v/>
      </c>
      <c r="C930" s="4">
        <f>Data!C929</f>
        <v/>
      </c>
      <c r="D930" s="4">
        <f>Data!I929</f>
        <v/>
      </c>
      <c r="E930" s="4">
        <f>Data!J929</f>
        <v/>
      </c>
      <c r="F930" s="4">
        <f>Data!H929</f>
        <v/>
      </c>
      <c r="G930" s="4">
        <f>SUM(Data!Q929:Data!Y929)</f>
        <v/>
      </c>
      <c r="H930" s="4">
        <f>Data!Z929</f>
        <v/>
      </c>
      <c r="I930" s="4">
        <f>Data!AB929</f>
        <v/>
      </c>
      <c r="J930" s="4">
        <f>Data!AD929</f>
        <v/>
      </c>
      <c r="K930" s="4">
        <f>Data!AE929</f>
        <v/>
      </c>
      <c r="L930" s="4">
        <f>Data!AF929</f>
        <v/>
      </c>
      <c r="M930" s="4">
        <f>Data!AG929</f>
        <v/>
      </c>
      <c r="N930" s="4">
        <f>Data!AH929</f>
        <v/>
      </c>
      <c r="O930" s="4">
        <f>Data!AI929</f>
        <v/>
      </c>
      <c r="P930" s="4">
        <f>Data!AJ929</f>
        <v/>
      </c>
      <c r="Q930" s="4">
        <f>Data!AK929</f>
        <v/>
      </c>
      <c r="R930" s="4">
        <f>Data!AL929</f>
        <v/>
      </c>
    </row>
    <row r="931">
      <c r="A931" s="4">
        <f>Data!A930</f>
        <v/>
      </c>
      <c r="B931" s="4">
        <f>Data!B930</f>
        <v/>
      </c>
      <c r="C931" s="4">
        <f>Data!C930</f>
        <v/>
      </c>
      <c r="D931" s="4">
        <f>Data!I930</f>
        <v/>
      </c>
      <c r="E931" s="4">
        <f>Data!J930</f>
        <v/>
      </c>
      <c r="F931" s="4">
        <f>Data!H930</f>
        <v/>
      </c>
      <c r="G931" s="4">
        <f>SUM(Data!Q930:Data!Y930)</f>
        <v/>
      </c>
      <c r="H931" s="4">
        <f>Data!Z930</f>
        <v/>
      </c>
      <c r="I931" s="4">
        <f>Data!AB930</f>
        <v/>
      </c>
      <c r="J931" s="4">
        <f>Data!AD930</f>
        <v/>
      </c>
      <c r="K931" s="4">
        <f>Data!AE930</f>
        <v/>
      </c>
      <c r="L931" s="4">
        <f>Data!AF930</f>
        <v/>
      </c>
      <c r="M931" s="4">
        <f>Data!AG930</f>
        <v/>
      </c>
      <c r="N931" s="4">
        <f>Data!AH930</f>
        <v/>
      </c>
      <c r="O931" s="4">
        <f>Data!AI930</f>
        <v/>
      </c>
      <c r="P931" s="4">
        <f>Data!AJ930</f>
        <v/>
      </c>
      <c r="Q931" s="4">
        <f>Data!AK930</f>
        <v/>
      </c>
      <c r="R931" s="4">
        <f>Data!AL930</f>
        <v/>
      </c>
    </row>
    <row r="932">
      <c r="A932" s="4">
        <f>Data!A931</f>
        <v/>
      </c>
      <c r="B932" s="4">
        <f>Data!B931</f>
        <v/>
      </c>
      <c r="C932" s="4">
        <f>Data!C931</f>
        <v/>
      </c>
      <c r="D932" s="4">
        <f>Data!I931</f>
        <v/>
      </c>
      <c r="E932" s="4">
        <f>Data!J931</f>
        <v/>
      </c>
      <c r="F932" s="4">
        <f>Data!H931</f>
        <v/>
      </c>
      <c r="G932" s="4">
        <f>SUM(Data!Q931:Data!Y931)</f>
        <v/>
      </c>
      <c r="H932" s="4">
        <f>Data!Z931</f>
        <v/>
      </c>
      <c r="I932" s="4">
        <f>Data!AB931</f>
        <v/>
      </c>
      <c r="J932" s="4">
        <f>Data!AD931</f>
        <v/>
      </c>
      <c r="K932" s="4">
        <f>Data!AE931</f>
        <v/>
      </c>
      <c r="L932" s="4">
        <f>Data!AF931</f>
        <v/>
      </c>
      <c r="M932" s="4">
        <f>Data!AG931</f>
        <v/>
      </c>
      <c r="N932" s="4">
        <f>Data!AH931</f>
        <v/>
      </c>
      <c r="O932" s="4">
        <f>Data!AI931</f>
        <v/>
      </c>
      <c r="P932" s="4">
        <f>Data!AJ931</f>
        <v/>
      </c>
      <c r="Q932" s="4">
        <f>Data!AK931</f>
        <v/>
      </c>
      <c r="R932" s="4">
        <f>Data!AL931</f>
        <v/>
      </c>
    </row>
    <row r="933">
      <c r="A933" s="4">
        <f>Data!A932</f>
        <v/>
      </c>
      <c r="B933" s="4">
        <f>Data!B932</f>
        <v/>
      </c>
      <c r="C933" s="4">
        <f>Data!C932</f>
        <v/>
      </c>
      <c r="D933" s="4">
        <f>Data!I932</f>
        <v/>
      </c>
      <c r="E933" s="4">
        <f>Data!J932</f>
        <v/>
      </c>
      <c r="F933" s="4">
        <f>Data!H932</f>
        <v/>
      </c>
      <c r="G933" s="4">
        <f>SUM(Data!Q932:Data!Y932)</f>
        <v/>
      </c>
      <c r="H933" s="4">
        <f>Data!Z932</f>
        <v/>
      </c>
      <c r="I933" s="4">
        <f>Data!AB932</f>
        <v/>
      </c>
      <c r="J933" s="4">
        <f>Data!AD932</f>
        <v/>
      </c>
      <c r="K933" s="4">
        <f>Data!AE932</f>
        <v/>
      </c>
      <c r="L933" s="4">
        <f>Data!AF932</f>
        <v/>
      </c>
      <c r="M933" s="4">
        <f>Data!AG932</f>
        <v/>
      </c>
      <c r="N933" s="4">
        <f>Data!AH932</f>
        <v/>
      </c>
      <c r="O933" s="4">
        <f>Data!AI932</f>
        <v/>
      </c>
      <c r="P933" s="4">
        <f>Data!AJ932</f>
        <v/>
      </c>
      <c r="Q933" s="4">
        <f>Data!AK932</f>
        <v/>
      </c>
      <c r="R933" s="4">
        <f>Data!AL932</f>
        <v/>
      </c>
    </row>
    <row r="934">
      <c r="A934" s="4">
        <f>Data!A933</f>
        <v/>
      </c>
      <c r="B934" s="4">
        <f>Data!B933</f>
        <v/>
      </c>
      <c r="C934" s="4">
        <f>Data!C933</f>
        <v/>
      </c>
      <c r="D934" s="4">
        <f>Data!I933</f>
        <v/>
      </c>
      <c r="E934" s="4">
        <f>Data!J933</f>
        <v/>
      </c>
      <c r="F934" s="4">
        <f>Data!H933</f>
        <v/>
      </c>
      <c r="G934" s="4">
        <f>SUM(Data!Q933:Data!Y933)</f>
        <v/>
      </c>
      <c r="H934" s="4">
        <f>Data!Z933</f>
        <v/>
      </c>
      <c r="I934" s="4">
        <f>Data!AB933</f>
        <v/>
      </c>
      <c r="J934" s="4">
        <f>Data!AD933</f>
        <v/>
      </c>
      <c r="K934" s="4">
        <f>Data!AE933</f>
        <v/>
      </c>
      <c r="L934" s="4">
        <f>Data!AF933</f>
        <v/>
      </c>
      <c r="M934" s="4">
        <f>Data!AG933</f>
        <v/>
      </c>
      <c r="N934" s="4">
        <f>Data!AH933</f>
        <v/>
      </c>
      <c r="O934" s="4">
        <f>Data!AI933</f>
        <v/>
      </c>
      <c r="P934" s="4">
        <f>Data!AJ933</f>
        <v/>
      </c>
      <c r="Q934" s="4">
        <f>Data!AK933</f>
        <v/>
      </c>
      <c r="R934" s="4">
        <f>Data!AL933</f>
        <v/>
      </c>
    </row>
    <row r="935">
      <c r="A935" s="4">
        <f>Data!A934</f>
        <v/>
      </c>
      <c r="B935" s="4">
        <f>Data!B934</f>
        <v/>
      </c>
      <c r="C935" s="4">
        <f>Data!C934</f>
        <v/>
      </c>
      <c r="D935" s="4">
        <f>Data!I934</f>
        <v/>
      </c>
      <c r="E935" s="4">
        <f>Data!J934</f>
        <v/>
      </c>
      <c r="F935" s="4">
        <f>Data!H934</f>
        <v/>
      </c>
      <c r="G935" s="4">
        <f>SUM(Data!Q934:Data!Y934)</f>
        <v/>
      </c>
      <c r="H935" s="4">
        <f>Data!Z934</f>
        <v/>
      </c>
      <c r="I935" s="4">
        <f>Data!AB934</f>
        <v/>
      </c>
      <c r="J935" s="4">
        <f>Data!AD934</f>
        <v/>
      </c>
      <c r="K935" s="4">
        <f>Data!AE934</f>
        <v/>
      </c>
      <c r="L935" s="4">
        <f>Data!AF934</f>
        <v/>
      </c>
      <c r="M935" s="4">
        <f>Data!AG934</f>
        <v/>
      </c>
      <c r="N935" s="4">
        <f>Data!AH934</f>
        <v/>
      </c>
      <c r="O935" s="4">
        <f>Data!AI934</f>
        <v/>
      </c>
      <c r="P935" s="4">
        <f>Data!AJ934</f>
        <v/>
      </c>
      <c r="Q935" s="4">
        <f>Data!AK934</f>
        <v/>
      </c>
      <c r="R935" s="4">
        <f>Data!AL934</f>
        <v/>
      </c>
    </row>
    <row r="936">
      <c r="A936" s="4">
        <f>Data!A935</f>
        <v/>
      </c>
      <c r="B936" s="4">
        <f>Data!B935</f>
        <v/>
      </c>
      <c r="C936" s="4">
        <f>Data!C935</f>
        <v/>
      </c>
      <c r="D936" s="4">
        <f>Data!I935</f>
        <v/>
      </c>
      <c r="E936" s="4">
        <f>Data!J935</f>
        <v/>
      </c>
      <c r="F936" s="4">
        <f>Data!H935</f>
        <v/>
      </c>
      <c r="G936" s="4">
        <f>SUM(Data!Q935:Data!Y935)</f>
        <v/>
      </c>
      <c r="H936" s="4">
        <f>Data!Z935</f>
        <v/>
      </c>
      <c r="I936" s="4">
        <f>Data!AB935</f>
        <v/>
      </c>
      <c r="J936" s="4">
        <f>Data!AD935</f>
        <v/>
      </c>
      <c r="K936" s="4">
        <f>Data!AE935</f>
        <v/>
      </c>
      <c r="L936" s="4">
        <f>Data!AF935</f>
        <v/>
      </c>
      <c r="M936" s="4">
        <f>Data!AG935</f>
        <v/>
      </c>
      <c r="N936" s="4">
        <f>Data!AH935</f>
        <v/>
      </c>
      <c r="O936" s="4">
        <f>Data!AI935</f>
        <v/>
      </c>
      <c r="P936" s="4">
        <f>Data!AJ935</f>
        <v/>
      </c>
      <c r="Q936" s="4">
        <f>Data!AK935</f>
        <v/>
      </c>
      <c r="R936" s="4">
        <f>Data!AL935</f>
        <v/>
      </c>
    </row>
    <row r="937">
      <c r="A937" s="4">
        <f>Data!A936</f>
        <v/>
      </c>
      <c r="B937" s="4">
        <f>Data!B936</f>
        <v/>
      </c>
      <c r="C937" s="4">
        <f>Data!C936</f>
        <v/>
      </c>
      <c r="D937" s="4">
        <f>Data!I936</f>
        <v/>
      </c>
      <c r="E937" s="4">
        <f>Data!J936</f>
        <v/>
      </c>
      <c r="F937" s="4">
        <f>Data!H936</f>
        <v/>
      </c>
      <c r="G937" s="4">
        <f>SUM(Data!Q936:Data!Y936)</f>
        <v/>
      </c>
      <c r="H937" s="4">
        <f>Data!Z936</f>
        <v/>
      </c>
      <c r="I937" s="4">
        <f>Data!AB936</f>
        <v/>
      </c>
      <c r="J937" s="4">
        <f>Data!AD936</f>
        <v/>
      </c>
      <c r="K937" s="4">
        <f>Data!AE936</f>
        <v/>
      </c>
      <c r="L937" s="4">
        <f>Data!AF936</f>
        <v/>
      </c>
      <c r="M937" s="4">
        <f>Data!AG936</f>
        <v/>
      </c>
      <c r="N937" s="4">
        <f>Data!AH936</f>
        <v/>
      </c>
      <c r="O937" s="4">
        <f>Data!AI936</f>
        <v/>
      </c>
      <c r="P937" s="4">
        <f>Data!AJ936</f>
        <v/>
      </c>
      <c r="Q937" s="4">
        <f>Data!AK936</f>
        <v/>
      </c>
      <c r="R937" s="4">
        <f>Data!AL936</f>
        <v/>
      </c>
    </row>
    <row r="938">
      <c r="A938" s="4">
        <f>Data!A937</f>
        <v/>
      </c>
      <c r="B938" s="4">
        <f>Data!B937</f>
        <v/>
      </c>
      <c r="C938" s="4">
        <f>Data!C937</f>
        <v/>
      </c>
      <c r="D938" s="4">
        <f>Data!I937</f>
        <v/>
      </c>
      <c r="E938" s="4">
        <f>Data!J937</f>
        <v/>
      </c>
      <c r="F938" s="4">
        <f>Data!H937</f>
        <v/>
      </c>
      <c r="G938" s="4">
        <f>SUM(Data!Q937:Data!Y937)</f>
        <v/>
      </c>
      <c r="H938" s="4">
        <f>Data!Z937</f>
        <v/>
      </c>
      <c r="I938" s="4">
        <f>Data!AB937</f>
        <v/>
      </c>
      <c r="J938" s="4">
        <f>Data!AD937</f>
        <v/>
      </c>
      <c r="K938" s="4">
        <f>Data!AE937</f>
        <v/>
      </c>
      <c r="L938" s="4">
        <f>Data!AF937</f>
        <v/>
      </c>
      <c r="M938" s="4">
        <f>Data!AG937</f>
        <v/>
      </c>
      <c r="N938" s="4">
        <f>Data!AH937</f>
        <v/>
      </c>
      <c r="O938" s="4">
        <f>Data!AI937</f>
        <v/>
      </c>
      <c r="P938" s="4">
        <f>Data!AJ937</f>
        <v/>
      </c>
      <c r="Q938" s="4">
        <f>Data!AK937</f>
        <v/>
      </c>
      <c r="R938" s="4">
        <f>Data!AL937</f>
        <v/>
      </c>
    </row>
    <row r="939">
      <c r="A939" s="4">
        <f>Data!A938</f>
        <v/>
      </c>
      <c r="B939" s="4">
        <f>Data!B938</f>
        <v/>
      </c>
      <c r="C939" s="4">
        <f>Data!C938</f>
        <v/>
      </c>
      <c r="D939" s="4">
        <f>Data!I938</f>
        <v/>
      </c>
      <c r="E939" s="4">
        <f>Data!J938</f>
        <v/>
      </c>
      <c r="F939" s="4">
        <f>Data!H938</f>
        <v/>
      </c>
      <c r="G939" s="4">
        <f>SUM(Data!Q938:Data!Y938)</f>
        <v/>
      </c>
      <c r="H939" s="4">
        <f>Data!Z938</f>
        <v/>
      </c>
      <c r="I939" s="4">
        <f>Data!AB938</f>
        <v/>
      </c>
      <c r="J939" s="4">
        <f>Data!AD938</f>
        <v/>
      </c>
      <c r="K939" s="4">
        <f>Data!AE938</f>
        <v/>
      </c>
      <c r="L939" s="4">
        <f>Data!AF938</f>
        <v/>
      </c>
      <c r="M939" s="4">
        <f>Data!AG938</f>
        <v/>
      </c>
      <c r="N939" s="4">
        <f>Data!AH938</f>
        <v/>
      </c>
      <c r="O939" s="4">
        <f>Data!AI938</f>
        <v/>
      </c>
      <c r="P939" s="4">
        <f>Data!AJ938</f>
        <v/>
      </c>
      <c r="Q939" s="4">
        <f>Data!AK938</f>
        <v/>
      </c>
      <c r="R939" s="4">
        <f>Data!AL938</f>
        <v/>
      </c>
    </row>
    <row r="940">
      <c r="A940" s="4">
        <f>Data!A939</f>
        <v/>
      </c>
      <c r="B940" s="4">
        <f>Data!B939</f>
        <v/>
      </c>
      <c r="C940" s="4">
        <f>Data!C939</f>
        <v/>
      </c>
      <c r="D940" s="4">
        <f>Data!I939</f>
        <v/>
      </c>
      <c r="E940" s="4">
        <f>Data!J939</f>
        <v/>
      </c>
      <c r="F940" s="4">
        <f>Data!H939</f>
        <v/>
      </c>
      <c r="G940" s="4">
        <f>SUM(Data!Q939:Data!Y939)</f>
        <v/>
      </c>
      <c r="H940" s="4">
        <f>Data!Z939</f>
        <v/>
      </c>
      <c r="I940" s="4">
        <f>Data!AB939</f>
        <v/>
      </c>
      <c r="J940" s="4">
        <f>Data!AD939</f>
        <v/>
      </c>
      <c r="K940" s="4">
        <f>Data!AE939</f>
        <v/>
      </c>
      <c r="L940" s="4">
        <f>Data!AF939</f>
        <v/>
      </c>
      <c r="M940" s="4">
        <f>Data!AG939</f>
        <v/>
      </c>
      <c r="N940" s="4">
        <f>Data!AH939</f>
        <v/>
      </c>
      <c r="O940" s="4">
        <f>Data!AI939</f>
        <v/>
      </c>
      <c r="P940" s="4">
        <f>Data!AJ939</f>
        <v/>
      </c>
      <c r="Q940" s="4">
        <f>Data!AK939</f>
        <v/>
      </c>
      <c r="R940" s="4">
        <f>Data!AL939</f>
        <v/>
      </c>
    </row>
    <row r="941">
      <c r="A941" s="4">
        <f>Data!A940</f>
        <v/>
      </c>
      <c r="B941" s="4">
        <f>Data!B940</f>
        <v/>
      </c>
      <c r="C941" s="4">
        <f>Data!C940</f>
        <v/>
      </c>
      <c r="D941" s="4">
        <f>Data!I940</f>
        <v/>
      </c>
      <c r="E941" s="4">
        <f>Data!J940</f>
        <v/>
      </c>
      <c r="F941" s="4">
        <f>Data!H940</f>
        <v/>
      </c>
      <c r="G941" s="4">
        <f>SUM(Data!Q940:Data!Y940)</f>
        <v/>
      </c>
      <c r="H941" s="4">
        <f>Data!Z940</f>
        <v/>
      </c>
      <c r="I941" s="4">
        <f>Data!AB940</f>
        <v/>
      </c>
      <c r="J941" s="4">
        <f>Data!AD940</f>
        <v/>
      </c>
      <c r="K941" s="4">
        <f>Data!AE940</f>
        <v/>
      </c>
      <c r="L941" s="4">
        <f>Data!AF940</f>
        <v/>
      </c>
      <c r="M941" s="4">
        <f>Data!AG940</f>
        <v/>
      </c>
      <c r="N941" s="4">
        <f>Data!AH940</f>
        <v/>
      </c>
      <c r="O941" s="4">
        <f>Data!AI940</f>
        <v/>
      </c>
      <c r="P941" s="4">
        <f>Data!AJ940</f>
        <v/>
      </c>
      <c r="Q941" s="4">
        <f>Data!AK940</f>
        <v/>
      </c>
      <c r="R941" s="4">
        <f>Data!AL940</f>
        <v/>
      </c>
    </row>
    <row r="942">
      <c r="A942" s="4">
        <f>Data!A941</f>
        <v/>
      </c>
      <c r="B942" s="4">
        <f>Data!B941</f>
        <v/>
      </c>
      <c r="C942" s="4">
        <f>Data!C941</f>
        <v/>
      </c>
      <c r="D942" s="4">
        <f>Data!I941</f>
        <v/>
      </c>
      <c r="E942" s="4">
        <f>Data!J941</f>
        <v/>
      </c>
      <c r="F942" s="4">
        <f>Data!H941</f>
        <v/>
      </c>
      <c r="G942" s="4">
        <f>SUM(Data!Q941:Data!Y941)</f>
        <v/>
      </c>
      <c r="H942" s="4">
        <f>Data!Z941</f>
        <v/>
      </c>
      <c r="I942" s="4">
        <f>Data!AB941</f>
        <v/>
      </c>
      <c r="J942" s="4">
        <f>Data!AD941</f>
        <v/>
      </c>
      <c r="K942" s="4">
        <f>Data!AE941</f>
        <v/>
      </c>
      <c r="L942" s="4">
        <f>Data!AF941</f>
        <v/>
      </c>
      <c r="M942" s="4">
        <f>Data!AG941</f>
        <v/>
      </c>
      <c r="N942" s="4">
        <f>Data!AH941</f>
        <v/>
      </c>
      <c r="O942" s="4">
        <f>Data!AI941</f>
        <v/>
      </c>
      <c r="P942" s="4">
        <f>Data!AJ941</f>
        <v/>
      </c>
      <c r="Q942" s="4">
        <f>Data!AK941</f>
        <v/>
      </c>
      <c r="R942" s="4">
        <f>Data!AL941</f>
        <v/>
      </c>
    </row>
    <row r="943">
      <c r="A943" s="4">
        <f>Data!A942</f>
        <v/>
      </c>
      <c r="B943" s="4">
        <f>Data!B942</f>
        <v/>
      </c>
      <c r="C943" s="4">
        <f>Data!C942</f>
        <v/>
      </c>
      <c r="D943" s="4">
        <f>Data!I942</f>
        <v/>
      </c>
      <c r="E943" s="4">
        <f>Data!J942</f>
        <v/>
      </c>
      <c r="F943" s="4">
        <f>Data!H942</f>
        <v/>
      </c>
      <c r="G943" s="4">
        <f>SUM(Data!Q942:Data!Y942)</f>
        <v/>
      </c>
      <c r="H943" s="4">
        <f>Data!Z942</f>
        <v/>
      </c>
      <c r="I943" s="4">
        <f>Data!AB942</f>
        <v/>
      </c>
      <c r="J943" s="4">
        <f>Data!AD942</f>
        <v/>
      </c>
      <c r="K943" s="4">
        <f>Data!AE942</f>
        <v/>
      </c>
      <c r="L943" s="4">
        <f>Data!AF942</f>
        <v/>
      </c>
      <c r="M943" s="4">
        <f>Data!AG942</f>
        <v/>
      </c>
      <c r="N943" s="4">
        <f>Data!AH942</f>
        <v/>
      </c>
      <c r="O943" s="4">
        <f>Data!AI942</f>
        <v/>
      </c>
      <c r="P943" s="4">
        <f>Data!AJ942</f>
        <v/>
      </c>
      <c r="Q943" s="4">
        <f>Data!AK942</f>
        <v/>
      </c>
      <c r="R943" s="4">
        <f>Data!AL942</f>
        <v/>
      </c>
    </row>
    <row r="944">
      <c r="A944" s="4">
        <f>Data!A943</f>
        <v/>
      </c>
      <c r="B944" s="4">
        <f>Data!B943</f>
        <v/>
      </c>
      <c r="C944" s="4">
        <f>Data!C943</f>
        <v/>
      </c>
      <c r="D944" s="4">
        <f>Data!I943</f>
        <v/>
      </c>
      <c r="E944" s="4">
        <f>Data!J943</f>
        <v/>
      </c>
      <c r="F944" s="4">
        <f>Data!H943</f>
        <v/>
      </c>
      <c r="G944" s="4">
        <f>SUM(Data!Q943:Data!Y943)</f>
        <v/>
      </c>
      <c r="H944" s="4">
        <f>Data!Z943</f>
        <v/>
      </c>
      <c r="I944" s="4">
        <f>Data!AB943</f>
        <v/>
      </c>
      <c r="J944" s="4">
        <f>Data!AD943</f>
        <v/>
      </c>
      <c r="K944" s="4">
        <f>Data!AE943</f>
        <v/>
      </c>
      <c r="L944" s="4">
        <f>Data!AF943</f>
        <v/>
      </c>
      <c r="M944" s="4">
        <f>Data!AG943</f>
        <v/>
      </c>
      <c r="N944" s="4">
        <f>Data!AH943</f>
        <v/>
      </c>
      <c r="O944" s="4">
        <f>Data!AI943</f>
        <v/>
      </c>
      <c r="P944" s="4">
        <f>Data!AJ943</f>
        <v/>
      </c>
      <c r="Q944" s="4">
        <f>Data!AK943</f>
        <v/>
      </c>
      <c r="R944" s="4">
        <f>Data!AL943</f>
        <v/>
      </c>
    </row>
    <row r="945">
      <c r="A945" s="4">
        <f>Data!A944</f>
        <v/>
      </c>
      <c r="B945" s="4">
        <f>Data!B944</f>
        <v/>
      </c>
      <c r="C945" s="4">
        <f>Data!C944</f>
        <v/>
      </c>
      <c r="D945" s="4">
        <f>Data!I944</f>
        <v/>
      </c>
      <c r="E945" s="4">
        <f>Data!J944</f>
        <v/>
      </c>
      <c r="F945" s="4">
        <f>Data!H944</f>
        <v/>
      </c>
      <c r="G945" s="4">
        <f>SUM(Data!Q944:Data!Y944)</f>
        <v/>
      </c>
      <c r="H945" s="4">
        <f>Data!Z944</f>
        <v/>
      </c>
      <c r="I945" s="4">
        <f>Data!AB944</f>
        <v/>
      </c>
      <c r="J945" s="4">
        <f>Data!AD944</f>
        <v/>
      </c>
      <c r="K945" s="4">
        <f>Data!AE944</f>
        <v/>
      </c>
      <c r="L945" s="4">
        <f>Data!AF944</f>
        <v/>
      </c>
      <c r="M945" s="4">
        <f>Data!AG944</f>
        <v/>
      </c>
      <c r="N945" s="4">
        <f>Data!AH944</f>
        <v/>
      </c>
      <c r="O945" s="4">
        <f>Data!AI944</f>
        <v/>
      </c>
      <c r="P945" s="4">
        <f>Data!AJ944</f>
        <v/>
      </c>
      <c r="Q945" s="4">
        <f>Data!AK944</f>
        <v/>
      </c>
      <c r="R945" s="4">
        <f>Data!AL944</f>
        <v/>
      </c>
    </row>
    <row r="946">
      <c r="A946" s="4">
        <f>Data!A945</f>
        <v/>
      </c>
      <c r="B946" s="4">
        <f>Data!B945</f>
        <v/>
      </c>
      <c r="C946" s="4">
        <f>Data!C945</f>
        <v/>
      </c>
      <c r="D946" s="4">
        <f>Data!I945</f>
        <v/>
      </c>
      <c r="E946" s="4">
        <f>Data!J945</f>
        <v/>
      </c>
      <c r="F946" s="4">
        <f>Data!H945</f>
        <v/>
      </c>
      <c r="G946" s="4">
        <f>SUM(Data!Q945:Data!Y945)</f>
        <v/>
      </c>
      <c r="H946" s="4">
        <f>Data!Z945</f>
        <v/>
      </c>
      <c r="I946" s="4">
        <f>Data!AB945</f>
        <v/>
      </c>
      <c r="J946" s="4">
        <f>Data!AD945</f>
        <v/>
      </c>
      <c r="K946" s="4">
        <f>Data!AE945</f>
        <v/>
      </c>
      <c r="L946" s="4">
        <f>Data!AF945</f>
        <v/>
      </c>
      <c r="M946" s="4">
        <f>Data!AG945</f>
        <v/>
      </c>
      <c r="N946" s="4">
        <f>Data!AH945</f>
        <v/>
      </c>
      <c r="O946" s="4">
        <f>Data!AI945</f>
        <v/>
      </c>
      <c r="P946" s="4">
        <f>Data!AJ945</f>
        <v/>
      </c>
      <c r="Q946" s="4">
        <f>Data!AK945</f>
        <v/>
      </c>
      <c r="R946" s="4">
        <f>Data!AL945</f>
        <v/>
      </c>
    </row>
    <row r="947">
      <c r="A947" s="4">
        <f>Data!A946</f>
        <v/>
      </c>
      <c r="B947" s="4">
        <f>Data!B946</f>
        <v/>
      </c>
      <c r="C947" s="4">
        <f>Data!C946</f>
        <v/>
      </c>
      <c r="D947" s="4">
        <f>Data!I946</f>
        <v/>
      </c>
      <c r="E947" s="4">
        <f>Data!J946</f>
        <v/>
      </c>
      <c r="F947" s="4">
        <f>Data!H946</f>
        <v/>
      </c>
      <c r="G947" s="4">
        <f>SUM(Data!Q946:Data!Y946)</f>
        <v/>
      </c>
      <c r="H947" s="4">
        <f>Data!Z946</f>
        <v/>
      </c>
      <c r="I947" s="4">
        <f>Data!AB946</f>
        <v/>
      </c>
      <c r="J947" s="4">
        <f>Data!AD946</f>
        <v/>
      </c>
      <c r="K947" s="4">
        <f>Data!AE946</f>
        <v/>
      </c>
      <c r="L947" s="4">
        <f>Data!AF946</f>
        <v/>
      </c>
      <c r="M947" s="4">
        <f>Data!AG946</f>
        <v/>
      </c>
      <c r="N947" s="4">
        <f>Data!AH946</f>
        <v/>
      </c>
      <c r="O947" s="4">
        <f>Data!AI946</f>
        <v/>
      </c>
      <c r="P947" s="4">
        <f>Data!AJ946</f>
        <v/>
      </c>
      <c r="Q947" s="4">
        <f>Data!AK946</f>
        <v/>
      </c>
      <c r="R947" s="4">
        <f>Data!AL946</f>
        <v/>
      </c>
    </row>
    <row r="948">
      <c r="A948" s="4">
        <f>Data!A947</f>
        <v/>
      </c>
      <c r="B948" s="4">
        <f>Data!B947</f>
        <v/>
      </c>
      <c r="C948" s="4">
        <f>Data!C947</f>
        <v/>
      </c>
      <c r="D948" s="4">
        <f>Data!I947</f>
        <v/>
      </c>
      <c r="E948" s="4">
        <f>Data!J947</f>
        <v/>
      </c>
      <c r="F948" s="4">
        <f>Data!H947</f>
        <v/>
      </c>
      <c r="G948" s="4">
        <f>SUM(Data!Q947:Data!Y947)</f>
        <v/>
      </c>
      <c r="H948" s="4">
        <f>Data!Z947</f>
        <v/>
      </c>
      <c r="I948" s="4">
        <f>Data!AB947</f>
        <v/>
      </c>
      <c r="J948" s="4">
        <f>Data!AD947</f>
        <v/>
      </c>
      <c r="K948" s="4">
        <f>Data!AE947</f>
        <v/>
      </c>
      <c r="L948" s="4">
        <f>Data!AF947</f>
        <v/>
      </c>
      <c r="M948" s="4">
        <f>Data!AG947</f>
        <v/>
      </c>
      <c r="N948" s="4">
        <f>Data!AH947</f>
        <v/>
      </c>
      <c r="O948" s="4">
        <f>Data!AI947</f>
        <v/>
      </c>
      <c r="P948" s="4">
        <f>Data!AJ947</f>
        <v/>
      </c>
      <c r="Q948" s="4">
        <f>Data!AK947</f>
        <v/>
      </c>
      <c r="R948" s="4">
        <f>Data!AL947</f>
        <v/>
      </c>
    </row>
    <row r="949">
      <c r="A949" s="4">
        <f>Data!A948</f>
        <v/>
      </c>
      <c r="B949" s="4">
        <f>Data!B948</f>
        <v/>
      </c>
      <c r="C949" s="4">
        <f>Data!C948</f>
        <v/>
      </c>
      <c r="D949" s="4">
        <f>Data!I948</f>
        <v/>
      </c>
      <c r="E949" s="4">
        <f>Data!J948</f>
        <v/>
      </c>
      <c r="F949" s="4">
        <f>Data!H948</f>
        <v/>
      </c>
      <c r="G949" s="4">
        <f>SUM(Data!Q948:Data!Y948)</f>
        <v/>
      </c>
      <c r="H949" s="4">
        <f>Data!Z948</f>
        <v/>
      </c>
      <c r="I949" s="4">
        <f>Data!AB948</f>
        <v/>
      </c>
      <c r="J949" s="4">
        <f>Data!AD948</f>
        <v/>
      </c>
      <c r="K949" s="4">
        <f>Data!AE948</f>
        <v/>
      </c>
      <c r="L949" s="4">
        <f>Data!AF948</f>
        <v/>
      </c>
      <c r="M949" s="4">
        <f>Data!AG948</f>
        <v/>
      </c>
      <c r="N949" s="4">
        <f>Data!AH948</f>
        <v/>
      </c>
      <c r="O949" s="4">
        <f>Data!AI948</f>
        <v/>
      </c>
      <c r="P949" s="4">
        <f>Data!AJ948</f>
        <v/>
      </c>
      <c r="Q949" s="4">
        <f>Data!AK948</f>
        <v/>
      </c>
      <c r="R949" s="4">
        <f>Data!AL948</f>
        <v/>
      </c>
    </row>
    <row r="950">
      <c r="A950" s="4">
        <f>Data!A949</f>
        <v/>
      </c>
      <c r="B950" s="4">
        <f>Data!B949</f>
        <v/>
      </c>
      <c r="C950" s="4">
        <f>Data!C949</f>
        <v/>
      </c>
      <c r="D950" s="4">
        <f>Data!I949</f>
        <v/>
      </c>
      <c r="E950" s="4">
        <f>Data!J949</f>
        <v/>
      </c>
      <c r="F950" s="4">
        <f>Data!H949</f>
        <v/>
      </c>
      <c r="G950" s="4">
        <f>SUM(Data!Q949:Data!Y949)</f>
        <v/>
      </c>
      <c r="H950" s="4">
        <f>Data!Z949</f>
        <v/>
      </c>
      <c r="I950" s="4">
        <f>Data!AB949</f>
        <v/>
      </c>
      <c r="J950" s="4">
        <f>Data!AD949</f>
        <v/>
      </c>
      <c r="K950" s="4">
        <f>Data!AE949</f>
        <v/>
      </c>
      <c r="L950" s="4">
        <f>Data!AF949</f>
        <v/>
      </c>
      <c r="M950" s="4">
        <f>Data!AG949</f>
        <v/>
      </c>
      <c r="N950" s="4">
        <f>Data!AH949</f>
        <v/>
      </c>
      <c r="O950" s="4">
        <f>Data!AI949</f>
        <v/>
      </c>
      <c r="P950" s="4">
        <f>Data!AJ949</f>
        <v/>
      </c>
      <c r="Q950" s="4">
        <f>Data!AK949</f>
        <v/>
      </c>
      <c r="R950" s="4">
        <f>Data!AL949</f>
        <v/>
      </c>
    </row>
    <row r="951">
      <c r="A951" s="4">
        <f>Data!A950</f>
        <v/>
      </c>
      <c r="B951" s="4">
        <f>Data!B950</f>
        <v/>
      </c>
      <c r="C951" s="4">
        <f>Data!C950</f>
        <v/>
      </c>
      <c r="D951" s="4">
        <f>Data!I950</f>
        <v/>
      </c>
      <c r="E951" s="4">
        <f>Data!J950</f>
        <v/>
      </c>
      <c r="F951" s="4">
        <f>Data!H950</f>
        <v/>
      </c>
      <c r="G951" s="4">
        <f>SUM(Data!Q950:Data!Y950)</f>
        <v/>
      </c>
      <c r="H951" s="4">
        <f>Data!Z950</f>
        <v/>
      </c>
      <c r="I951" s="4">
        <f>Data!AB950</f>
        <v/>
      </c>
      <c r="J951" s="4">
        <f>Data!AD950</f>
        <v/>
      </c>
      <c r="K951" s="4">
        <f>Data!AE950</f>
        <v/>
      </c>
      <c r="L951" s="4">
        <f>Data!AF950</f>
        <v/>
      </c>
      <c r="M951" s="4">
        <f>Data!AG950</f>
        <v/>
      </c>
      <c r="N951" s="4">
        <f>Data!AH950</f>
        <v/>
      </c>
      <c r="O951" s="4">
        <f>Data!AI950</f>
        <v/>
      </c>
      <c r="P951" s="4">
        <f>Data!AJ950</f>
        <v/>
      </c>
      <c r="Q951" s="4">
        <f>Data!AK950</f>
        <v/>
      </c>
      <c r="R951" s="4">
        <f>Data!AL950</f>
        <v/>
      </c>
    </row>
    <row r="952">
      <c r="A952" s="4">
        <f>Data!A951</f>
        <v/>
      </c>
      <c r="B952" s="4">
        <f>Data!B951</f>
        <v/>
      </c>
      <c r="C952" s="4">
        <f>Data!C951</f>
        <v/>
      </c>
      <c r="D952" s="4">
        <f>Data!I951</f>
        <v/>
      </c>
      <c r="E952" s="4">
        <f>Data!J951</f>
        <v/>
      </c>
      <c r="F952" s="4">
        <f>Data!H951</f>
        <v/>
      </c>
      <c r="G952" s="4">
        <f>SUM(Data!Q951:Data!Y951)</f>
        <v/>
      </c>
      <c r="H952" s="4">
        <f>Data!Z951</f>
        <v/>
      </c>
      <c r="I952" s="4">
        <f>Data!AB951</f>
        <v/>
      </c>
      <c r="J952" s="4">
        <f>Data!AD951</f>
        <v/>
      </c>
      <c r="K952" s="4">
        <f>Data!AE951</f>
        <v/>
      </c>
      <c r="L952" s="4">
        <f>Data!AF951</f>
        <v/>
      </c>
      <c r="M952" s="4">
        <f>Data!AG951</f>
        <v/>
      </c>
      <c r="N952" s="4">
        <f>Data!AH951</f>
        <v/>
      </c>
      <c r="O952" s="4">
        <f>Data!AI951</f>
        <v/>
      </c>
      <c r="P952" s="4">
        <f>Data!AJ951</f>
        <v/>
      </c>
      <c r="Q952" s="4">
        <f>Data!AK951</f>
        <v/>
      </c>
      <c r="R952" s="4">
        <f>Data!AL951</f>
        <v/>
      </c>
    </row>
    <row r="953">
      <c r="A953" s="4">
        <f>Data!A952</f>
        <v/>
      </c>
      <c r="B953" s="4">
        <f>Data!B952</f>
        <v/>
      </c>
      <c r="C953" s="4">
        <f>Data!C952</f>
        <v/>
      </c>
      <c r="D953" s="4">
        <f>Data!I952</f>
        <v/>
      </c>
      <c r="E953" s="4">
        <f>Data!J952</f>
        <v/>
      </c>
      <c r="F953" s="4">
        <f>Data!H952</f>
        <v/>
      </c>
      <c r="G953" s="4">
        <f>SUM(Data!Q952:Data!Y952)</f>
        <v/>
      </c>
      <c r="H953" s="4">
        <f>Data!Z952</f>
        <v/>
      </c>
      <c r="I953" s="4">
        <f>Data!AB952</f>
        <v/>
      </c>
      <c r="J953" s="4">
        <f>Data!AD952</f>
        <v/>
      </c>
      <c r="K953" s="4">
        <f>Data!AE952</f>
        <v/>
      </c>
      <c r="L953" s="4">
        <f>Data!AF952</f>
        <v/>
      </c>
      <c r="M953" s="4">
        <f>Data!AG952</f>
        <v/>
      </c>
      <c r="N953" s="4">
        <f>Data!AH952</f>
        <v/>
      </c>
      <c r="O953" s="4">
        <f>Data!AI952</f>
        <v/>
      </c>
      <c r="P953" s="4">
        <f>Data!AJ952</f>
        <v/>
      </c>
      <c r="Q953" s="4">
        <f>Data!AK952</f>
        <v/>
      </c>
      <c r="R953" s="4">
        <f>Data!AL952</f>
        <v/>
      </c>
    </row>
    <row r="954">
      <c r="A954" s="4">
        <f>Data!A953</f>
        <v/>
      </c>
      <c r="B954" s="4">
        <f>Data!B953</f>
        <v/>
      </c>
      <c r="C954" s="4">
        <f>Data!C953</f>
        <v/>
      </c>
      <c r="D954" s="4">
        <f>Data!I953</f>
        <v/>
      </c>
      <c r="E954" s="4">
        <f>Data!J953</f>
        <v/>
      </c>
      <c r="F954" s="4">
        <f>Data!H953</f>
        <v/>
      </c>
      <c r="G954" s="4">
        <f>SUM(Data!Q953:Data!Y953)</f>
        <v/>
      </c>
      <c r="H954" s="4">
        <f>Data!Z953</f>
        <v/>
      </c>
      <c r="I954" s="4">
        <f>Data!AB953</f>
        <v/>
      </c>
      <c r="J954" s="4">
        <f>Data!AD953</f>
        <v/>
      </c>
      <c r="K954" s="4">
        <f>Data!AE953</f>
        <v/>
      </c>
      <c r="L954" s="4">
        <f>Data!AF953</f>
        <v/>
      </c>
      <c r="M954" s="4">
        <f>Data!AG953</f>
        <v/>
      </c>
      <c r="N954" s="4">
        <f>Data!AH953</f>
        <v/>
      </c>
      <c r="O954" s="4">
        <f>Data!AI953</f>
        <v/>
      </c>
      <c r="P954" s="4">
        <f>Data!AJ953</f>
        <v/>
      </c>
      <c r="Q954" s="4">
        <f>Data!AK953</f>
        <v/>
      </c>
      <c r="R954" s="4">
        <f>Data!AL953</f>
        <v/>
      </c>
    </row>
    <row r="955">
      <c r="A955" s="4">
        <f>Data!A954</f>
        <v/>
      </c>
      <c r="B955" s="4">
        <f>Data!B954</f>
        <v/>
      </c>
      <c r="C955" s="4">
        <f>Data!C954</f>
        <v/>
      </c>
      <c r="D955" s="4">
        <f>Data!I954</f>
        <v/>
      </c>
      <c r="E955" s="4">
        <f>Data!J954</f>
        <v/>
      </c>
      <c r="F955" s="4">
        <f>Data!H954</f>
        <v/>
      </c>
      <c r="G955" s="4">
        <f>SUM(Data!Q954:Data!Y954)</f>
        <v/>
      </c>
      <c r="H955" s="4">
        <f>Data!Z954</f>
        <v/>
      </c>
      <c r="I955" s="4">
        <f>Data!AB954</f>
        <v/>
      </c>
      <c r="J955" s="4">
        <f>Data!AD954</f>
        <v/>
      </c>
      <c r="K955" s="4">
        <f>Data!AE954</f>
        <v/>
      </c>
      <c r="L955" s="4">
        <f>Data!AF954</f>
        <v/>
      </c>
      <c r="M955" s="4">
        <f>Data!AG954</f>
        <v/>
      </c>
      <c r="N955" s="4">
        <f>Data!AH954</f>
        <v/>
      </c>
      <c r="O955" s="4">
        <f>Data!AI954</f>
        <v/>
      </c>
      <c r="P955" s="4">
        <f>Data!AJ954</f>
        <v/>
      </c>
      <c r="Q955" s="4">
        <f>Data!AK954</f>
        <v/>
      </c>
      <c r="R955" s="4">
        <f>Data!AL954</f>
        <v/>
      </c>
    </row>
    <row r="956">
      <c r="A956" s="4">
        <f>Data!A955</f>
        <v/>
      </c>
      <c r="B956" s="4">
        <f>Data!B955</f>
        <v/>
      </c>
      <c r="C956" s="4">
        <f>Data!C955</f>
        <v/>
      </c>
      <c r="D956" s="4">
        <f>Data!I955</f>
        <v/>
      </c>
      <c r="E956" s="4">
        <f>Data!J955</f>
        <v/>
      </c>
      <c r="F956" s="4">
        <f>Data!H955</f>
        <v/>
      </c>
      <c r="G956" s="4">
        <f>SUM(Data!Q955:Data!Y955)</f>
        <v/>
      </c>
      <c r="H956" s="4">
        <f>Data!Z955</f>
        <v/>
      </c>
      <c r="I956" s="4">
        <f>Data!AB955</f>
        <v/>
      </c>
      <c r="J956" s="4">
        <f>Data!AD955</f>
        <v/>
      </c>
      <c r="K956" s="4">
        <f>Data!AE955</f>
        <v/>
      </c>
      <c r="L956" s="4">
        <f>Data!AF955</f>
        <v/>
      </c>
      <c r="M956" s="4">
        <f>Data!AG955</f>
        <v/>
      </c>
      <c r="N956" s="4">
        <f>Data!AH955</f>
        <v/>
      </c>
      <c r="O956" s="4">
        <f>Data!AI955</f>
        <v/>
      </c>
      <c r="P956" s="4">
        <f>Data!AJ955</f>
        <v/>
      </c>
      <c r="Q956" s="4">
        <f>Data!AK955</f>
        <v/>
      </c>
      <c r="R956" s="4">
        <f>Data!AL955</f>
        <v/>
      </c>
    </row>
    <row r="957">
      <c r="A957" s="4">
        <f>Data!A956</f>
        <v/>
      </c>
      <c r="B957" s="4">
        <f>Data!B956</f>
        <v/>
      </c>
      <c r="C957" s="4">
        <f>Data!C956</f>
        <v/>
      </c>
      <c r="D957" s="4">
        <f>Data!I956</f>
        <v/>
      </c>
      <c r="E957" s="4">
        <f>Data!J956</f>
        <v/>
      </c>
      <c r="F957" s="4">
        <f>Data!H956</f>
        <v/>
      </c>
      <c r="G957" s="4">
        <f>SUM(Data!Q956:Data!Y956)</f>
        <v/>
      </c>
      <c r="H957" s="4">
        <f>Data!Z956</f>
        <v/>
      </c>
      <c r="I957" s="4">
        <f>Data!AB956</f>
        <v/>
      </c>
      <c r="J957" s="4">
        <f>Data!AD956</f>
        <v/>
      </c>
      <c r="K957" s="4">
        <f>Data!AE956</f>
        <v/>
      </c>
      <c r="L957" s="4">
        <f>Data!AF956</f>
        <v/>
      </c>
      <c r="M957" s="4">
        <f>Data!AG956</f>
        <v/>
      </c>
      <c r="N957" s="4">
        <f>Data!AH956</f>
        <v/>
      </c>
      <c r="O957" s="4">
        <f>Data!AI956</f>
        <v/>
      </c>
      <c r="P957" s="4">
        <f>Data!AJ956</f>
        <v/>
      </c>
      <c r="Q957" s="4">
        <f>Data!AK956</f>
        <v/>
      </c>
      <c r="R957" s="4">
        <f>Data!AL956</f>
        <v/>
      </c>
    </row>
    <row r="958">
      <c r="A958" s="4">
        <f>Data!A957</f>
        <v/>
      </c>
      <c r="B958" s="4">
        <f>Data!B957</f>
        <v/>
      </c>
      <c r="C958" s="4">
        <f>Data!C957</f>
        <v/>
      </c>
      <c r="D958" s="4">
        <f>Data!I957</f>
        <v/>
      </c>
      <c r="E958" s="4">
        <f>Data!J957</f>
        <v/>
      </c>
      <c r="F958" s="4">
        <f>Data!H957</f>
        <v/>
      </c>
      <c r="G958" s="4">
        <f>SUM(Data!Q957:Data!Y957)</f>
        <v/>
      </c>
      <c r="H958" s="4">
        <f>Data!Z957</f>
        <v/>
      </c>
      <c r="I958" s="4">
        <f>Data!AB957</f>
        <v/>
      </c>
      <c r="J958" s="4">
        <f>Data!AD957</f>
        <v/>
      </c>
      <c r="K958" s="4">
        <f>Data!AE957</f>
        <v/>
      </c>
      <c r="L958" s="4">
        <f>Data!AF957</f>
        <v/>
      </c>
      <c r="M958" s="4">
        <f>Data!AG957</f>
        <v/>
      </c>
      <c r="N958" s="4">
        <f>Data!AH957</f>
        <v/>
      </c>
      <c r="O958" s="4">
        <f>Data!AI957</f>
        <v/>
      </c>
      <c r="P958" s="4">
        <f>Data!AJ957</f>
        <v/>
      </c>
      <c r="Q958" s="4">
        <f>Data!AK957</f>
        <v/>
      </c>
      <c r="R958" s="4">
        <f>Data!AL957</f>
        <v/>
      </c>
    </row>
    <row r="959">
      <c r="A959" s="4">
        <f>Data!A958</f>
        <v/>
      </c>
      <c r="B959" s="4">
        <f>Data!B958</f>
        <v/>
      </c>
      <c r="C959" s="4">
        <f>Data!C958</f>
        <v/>
      </c>
      <c r="D959" s="4">
        <f>Data!I958</f>
        <v/>
      </c>
      <c r="E959" s="4">
        <f>Data!J958</f>
        <v/>
      </c>
      <c r="F959" s="4">
        <f>Data!H958</f>
        <v/>
      </c>
      <c r="G959" s="4">
        <f>SUM(Data!Q958:Data!Y958)</f>
        <v/>
      </c>
      <c r="H959" s="4">
        <f>Data!Z958</f>
        <v/>
      </c>
      <c r="I959" s="4">
        <f>Data!AB958</f>
        <v/>
      </c>
      <c r="J959" s="4">
        <f>Data!AD958</f>
        <v/>
      </c>
      <c r="K959" s="4">
        <f>Data!AE958</f>
        <v/>
      </c>
      <c r="L959" s="4">
        <f>Data!AF958</f>
        <v/>
      </c>
      <c r="M959" s="4">
        <f>Data!AG958</f>
        <v/>
      </c>
      <c r="N959" s="4">
        <f>Data!AH958</f>
        <v/>
      </c>
      <c r="O959" s="4">
        <f>Data!AI958</f>
        <v/>
      </c>
      <c r="P959" s="4">
        <f>Data!AJ958</f>
        <v/>
      </c>
      <c r="Q959" s="4">
        <f>Data!AK958</f>
        <v/>
      </c>
      <c r="R959" s="4">
        <f>Data!AL958</f>
        <v/>
      </c>
    </row>
    <row r="960">
      <c r="A960" s="4">
        <f>Data!A959</f>
        <v/>
      </c>
      <c r="B960" s="4">
        <f>Data!B959</f>
        <v/>
      </c>
      <c r="C960" s="4">
        <f>Data!C959</f>
        <v/>
      </c>
      <c r="D960" s="4">
        <f>Data!I959</f>
        <v/>
      </c>
      <c r="E960" s="4">
        <f>Data!J959</f>
        <v/>
      </c>
      <c r="F960" s="4">
        <f>Data!H959</f>
        <v/>
      </c>
      <c r="G960" s="4">
        <f>SUM(Data!Q959:Data!Y959)</f>
        <v/>
      </c>
      <c r="H960" s="4">
        <f>Data!Z959</f>
        <v/>
      </c>
      <c r="I960" s="4">
        <f>Data!AB959</f>
        <v/>
      </c>
      <c r="J960" s="4">
        <f>Data!AD959</f>
        <v/>
      </c>
      <c r="K960" s="4">
        <f>Data!AE959</f>
        <v/>
      </c>
      <c r="L960" s="4">
        <f>Data!AF959</f>
        <v/>
      </c>
      <c r="M960" s="4">
        <f>Data!AG959</f>
        <v/>
      </c>
      <c r="N960" s="4">
        <f>Data!AH959</f>
        <v/>
      </c>
      <c r="O960" s="4">
        <f>Data!AI959</f>
        <v/>
      </c>
      <c r="P960" s="4">
        <f>Data!AJ959</f>
        <v/>
      </c>
      <c r="Q960" s="4">
        <f>Data!AK959</f>
        <v/>
      </c>
      <c r="R960" s="4">
        <f>Data!AL959</f>
        <v/>
      </c>
    </row>
    <row r="961">
      <c r="A961" s="4">
        <f>Data!A960</f>
        <v/>
      </c>
      <c r="B961" s="4">
        <f>Data!B960</f>
        <v/>
      </c>
      <c r="C961" s="4">
        <f>Data!C960</f>
        <v/>
      </c>
      <c r="D961" s="4">
        <f>Data!I960</f>
        <v/>
      </c>
      <c r="E961" s="4">
        <f>Data!J960</f>
        <v/>
      </c>
      <c r="F961" s="4">
        <f>Data!H960</f>
        <v/>
      </c>
      <c r="G961" s="4">
        <f>SUM(Data!Q960:Data!Y960)</f>
        <v/>
      </c>
      <c r="H961" s="4">
        <f>Data!Z960</f>
        <v/>
      </c>
      <c r="I961" s="4">
        <f>Data!AB960</f>
        <v/>
      </c>
      <c r="J961" s="4">
        <f>Data!AD960</f>
        <v/>
      </c>
      <c r="K961" s="4">
        <f>Data!AE960</f>
        <v/>
      </c>
      <c r="L961" s="4">
        <f>Data!AF960</f>
        <v/>
      </c>
      <c r="M961" s="4">
        <f>Data!AG960</f>
        <v/>
      </c>
      <c r="N961" s="4">
        <f>Data!AH960</f>
        <v/>
      </c>
      <c r="O961" s="4">
        <f>Data!AI960</f>
        <v/>
      </c>
      <c r="P961" s="4">
        <f>Data!AJ960</f>
        <v/>
      </c>
      <c r="Q961" s="4">
        <f>Data!AK960</f>
        <v/>
      </c>
      <c r="R961" s="4">
        <f>Data!AL960</f>
        <v/>
      </c>
    </row>
    <row r="962">
      <c r="A962" s="4">
        <f>Data!A961</f>
        <v/>
      </c>
      <c r="B962" s="4">
        <f>Data!B961</f>
        <v/>
      </c>
      <c r="C962" s="4">
        <f>Data!C961</f>
        <v/>
      </c>
      <c r="D962" s="4">
        <f>Data!I961</f>
        <v/>
      </c>
      <c r="E962" s="4">
        <f>Data!J961</f>
        <v/>
      </c>
      <c r="F962" s="4">
        <f>Data!H961</f>
        <v/>
      </c>
      <c r="G962" s="4">
        <f>SUM(Data!Q961:Data!Y961)</f>
        <v/>
      </c>
      <c r="H962" s="4">
        <f>Data!Z961</f>
        <v/>
      </c>
      <c r="I962" s="4">
        <f>Data!AB961</f>
        <v/>
      </c>
      <c r="J962" s="4">
        <f>Data!AD961</f>
        <v/>
      </c>
      <c r="K962" s="4">
        <f>Data!AE961</f>
        <v/>
      </c>
      <c r="L962" s="4">
        <f>Data!AF961</f>
        <v/>
      </c>
      <c r="M962" s="4">
        <f>Data!AG961</f>
        <v/>
      </c>
      <c r="N962" s="4">
        <f>Data!AH961</f>
        <v/>
      </c>
      <c r="O962" s="4">
        <f>Data!AI961</f>
        <v/>
      </c>
      <c r="P962" s="4">
        <f>Data!AJ961</f>
        <v/>
      </c>
      <c r="Q962" s="4">
        <f>Data!AK961</f>
        <v/>
      </c>
      <c r="R962" s="4">
        <f>Data!AL961</f>
        <v/>
      </c>
    </row>
    <row r="963">
      <c r="A963" s="4">
        <f>Data!A962</f>
        <v/>
      </c>
      <c r="B963" s="4">
        <f>Data!B962</f>
        <v/>
      </c>
      <c r="C963" s="4">
        <f>Data!C962</f>
        <v/>
      </c>
      <c r="D963" s="4">
        <f>Data!I962</f>
        <v/>
      </c>
      <c r="E963" s="4">
        <f>Data!J962</f>
        <v/>
      </c>
      <c r="F963" s="4">
        <f>Data!H962</f>
        <v/>
      </c>
      <c r="G963" s="4">
        <f>SUM(Data!Q962:Data!Y962)</f>
        <v/>
      </c>
      <c r="H963" s="4">
        <f>Data!Z962</f>
        <v/>
      </c>
      <c r="I963" s="4">
        <f>Data!AB962</f>
        <v/>
      </c>
      <c r="J963" s="4">
        <f>Data!AD962</f>
        <v/>
      </c>
      <c r="K963" s="4">
        <f>Data!AE962</f>
        <v/>
      </c>
      <c r="L963" s="4">
        <f>Data!AF962</f>
        <v/>
      </c>
      <c r="M963" s="4">
        <f>Data!AG962</f>
        <v/>
      </c>
      <c r="N963" s="4">
        <f>Data!AH962</f>
        <v/>
      </c>
      <c r="O963" s="4">
        <f>Data!AI962</f>
        <v/>
      </c>
      <c r="P963" s="4">
        <f>Data!AJ962</f>
        <v/>
      </c>
      <c r="Q963" s="4">
        <f>Data!AK962</f>
        <v/>
      </c>
      <c r="R963" s="4">
        <f>Data!AL962</f>
        <v/>
      </c>
    </row>
    <row r="964">
      <c r="A964" s="4">
        <f>Data!A963</f>
        <v/>
      </c>
      <c r="B964" s="4">
        <f>Data!B963</f>
        <v/>
      </c>
      <c r="C964" s="4">
        <f>Data!C963</f>
        <v/>
      </c>
      <c r="D964" s="4">
        <f>Data!I963</f>
        <v/>
      </c>
      <c r="E964" s="4">
        <f>Data!J963</f>
        <v/>
      </c>
      <c r="F964" s="4">
        <f>Data!H963</f>
        <v/>
      </c>
      <c r="G964" s="4">
        <f>SUM(Data!Q963:Data!Y963)</f>
        <v/>
      </c>
      <c r="H964" s="4">
        <f>Data!Z963</f>
        <v/>
      </c>
      <c r="I964" s="4">
        <f>Data!AB963</f>
        <v/>
      </c>
      <c r="J964" s="4">
        <f>Data!AD963</f>
        <v/>
      </c>
      <c r="K964" s="4">
        <f>Data!AE963</f>
        <v/>
      </c>
      <c r="L964" s="4">
        <f>Data!AF963</f>
        <v/>
      </c>
      <c r="M964" s="4">
        <f>Data!AG963</f>
        <v/>
      </c>
      <c r="N964" s="4">
        <f>Data!AH963</f>
        <v/>
      </c>
      <c r="O964" s="4">
        <f>Data!AI963</f>
        <v/>
      </c>
      <c r="P964" s="4">
        <f>Data!AJ963</f>
        <v/>
      </c>
      <c r="Q964" s="4">
        <f>Data!AK963</f>
        <v/>
      </c>
      <c r="R964" s="4">
        <f>Data!AL963</f>
        <v/>
      </c>
    </row>
    <row r="965">
      <c r="A965" s="4">
        <f>Data!A964</f>
        <v/>
      </c>
      <c r="B965" s="4">
        <f>Data!B964</f>
        <v/>
      </c>
      <c r="C965" s="4">
        <f>Data!C964</f>
        <v/>
      </c>
      <c r="D965" s="4">
        <f>Data!I964</f>
        <v/>
      </c>
      <c r="E965" s="4">
        <f>Data!J964</f>
        <v/>
      </c>
      <c r="F965" s="4">
        <f>Data!H964</f>
        <v/>
      </c>
      <c r="G965" s="4">
        <f>SUM(Data!Q964:Data!Y964)</f>
        <v/>
      </c>
      <c r="H965" s="4">
        <f>Data!Z964</f>
        <v/>
      </c>
      <c r="I965" s="4">
        <f>Data!AB964</f>
        <v/>
      </c>
      <c r="J965" s="4">
        <f>Data!AD964</f>
        <v/>
      </c>
      <c r="K965" s="4">
        <f>Data!AE964</f>
        <v/>
      </c>
      <c r="L965" s="4">
        <f>Data!AF964</f>
        <v/>
      </c>
      <c r="M965" s="4">
        <f>Data!AG964</f>
        <v/>
      </c>
      <c r="N965" s="4">
        <f>Data!AH964</f>
        <v/>
      </c>
      <c r="O965" s="4">
        <f>Data!AI964</f>
        <v/>
      </c>
      <c r="P965" s="4">
        <f>Data!AJ964</f>
        <v/>
      </c>
      <c r="Q965" s="4">
        <f>Data!AK964</f>
        <v/>
      </c>
      <c r="R965" s="4">
        <f>Data!AL964</f>
        <v/>
      </c>
    </row>
    <row r="966">
      <c r="A966" s="4">
        <f>Data!A965</f>
        <v/>
      </c>
      <c r="B966" s="4">
        <f>Data!B965</f>
        <v/>
      </c>
      <c r="C966" s="4">
        <f>Data!C965</f>
        <v/>
      </c>
      <c r="D966" s="4">
        <f>Data!I965</f>
        <v/>
      </c>
      <c r="E966" s="4">
        <f>Data!J965</f>
        <v/>
      </c>
      <c r="F966" s="4">
        <f>Data!H965</f>
        <v/>
      </c>
      <c r="G966" s="4">
        <f>SUM(Data!Q965:Data!Y965)</f>
        <v/>
      </c>
      <c r="H966" s="4">
        <f>Data!Z965</f>
        <v/>
      </c>
      <c r="I966" s="4">
        <f>Data!AB965</f>
        <v/>
      </c>
      <c r="J966" s="4">
        <f>Data!AD965</f>
        <v/>
      </c>
      <c r="K966" s="4">
        <f>Data!AE965</f>
        <v/>
      </c>
      <c r="L966" s="4">
        <f>Data!AF965</f>
        <v/>
      </c>
      <c r="M966" s="4">
        <f>Data!AG965</f>
        <v/>
      </c>
      <c r="N966" s="4">
        <f>Data!AH965</f>
        <v/>
      </c>
      <c r="O966" s="4">
        <f>Data!AI965</f>
        <v/>
      </c>
      <c r="P966" s="4">
        <f>Data!AJ965</f>
        <v/>
      </c>
      <c r="Q966" s="4">
        <f>Data!AK965</f>
        <v/>
      </c>
      <c r="R966" s="4">
        <f>Data!AL965</f>
        <v/>
      </c>
    </row>
    <row r="967">
      <c r="A967" s="4">
        <f>Data!A966</f>
        <v/>
      </c>
      <c r="B967" s="4">
        <f>Data!B966</f>
        <v/>
      </c>
      <c r="C967" s="4">
        <f>Data!C966</f>
        <v/>
      </c>
      <c r="D967" s="4">
        <f>Data!I966</f>
        <v/>
      </c>
      <c r="E967" s="4">
        <f>Data!J966</f>
        <v/>
      </c>
      <c r="F967" s="4">
        <f>Data!H966</f>
        <v/>
      </c>
      <c r="G967" s="4">
        <f>SUM(Data!Q966:Data!Y966)</f>
        <v/>
      </c>
      <c r="H967" s="4">
        <f>Data!Z966</f>
        <v/>
      </c>
      <c r="I967" s="4">
        <f>Data!AB966</f>
        <v/>
      </c>
      <c r="J967" s="4">
        <f>Data!AD966</f>
        <v/>
      </c>
      <c r="K967" s="4">
        <f>Data!AE966</f>
        <v/>
      </c>
      <c r="L967" s="4">
        <f>Data!AF966</f>
        <v/>
      </c>
      <c r="M967" s="4">
        <f>Data!AG966</f>
        <v/>
      </c>
      <c r="N967" s="4">
        <f>Data!AH966</f>
        <v/>
      </c>
      <c r="O967" s="4">
        <f>Data!AI966</f>
        <v/>
      </c>
      <c r="P967" s="4">
        <f>Data!AJ966</f>
        <v/>
      </c>
      <c r="Q967" s="4">
        <f>Data!AK966</f>
        <v/>
      </c>
      <c r="R967" s="4">
        <f>Data!AL966</f>
        <v/>
      </c>
    </row>
    <row r="968">
      <c r="A968" s="4">
        <f>Data!A967</f>
        <v/>
      </c>
      <c r="B968" s="4">
        <f>Data!B967</f>
        <v/>
      </c>
      <c r="C968" s="4">
        <f>Data!C967</f>
        <v/>
      </c>
      <c r="D968" s="4">
        <f>Data!I967</f>
        <v/>
      </c>
      <c r="E968" s="4">
        <f>Data!J967</f>
        <v/>
      </c>
      <c r="F968" s="4">
        <f>Data!H967</f>
        <v/>
      </c>
      <c r="G968" s="4">
        <f>SUM(Data!Q967:Data!Y967)</f>
        <v/>
      </c>
      <c r="H968" s="4">
        <f>Data!Z967</f>
        <v/>
      </c>
      <c r="I968" s="4">
        <f>Data!AB967</f>
        <v/>
      </c>
      <c r="J968" s="4">
        <f>Data!AD967</f>
        <v/>
      </c>
      <c r="K968" s="4">
        <f>Data!AE967</f>
        <v/>
      </c>
      <c r="L968" s="4">
        <f>Data!AF967</f>
        <v/>
      </c>
      <c r="M968" s="4">
        <f>Data!AG967</f>
        <v/>
      </c>
      <c r="N968" s="4">
        <f>Data!AH967</f>
        <v/>
      </c>
      <c r="O968" s="4">
        <f>Data!AI967</f>
        <v/>
      </c>
      <c r="P968" s="4">
        <f>Data!AJ967</f>
        <v/>
      </c>
      <c r="Q968" s="4">
        <f>Data!AK967</f>
        <v/>
      </c>
      <c r="R968" s="4">
        <f>Data!AL967</f>
        <v/>
      </c>
    </row>
    <row r="969">
      <c r="A969" s="4">
        <f>Data!A968</f>
        <v/>
      </c>
      <c r="B969" s="4">
        <f>Data!B968</f>
        <v/>
      </c>
      <c r="C969" s="4">
        <f>Data!C968</f>
        <v/>
      </c>
      <c r="D969" s="4">
        <f>Data!I968</f>
        <v/>
      </c>
      <c r="E969" s="4">
        <f>Data!J968</f>
        <v/>
      </c>
      <c r="F969" s="4">
        <f>Data!H968</f>
        <v/>
      </c>
      <c r="G969" s="4">
        <f>SUM(Data!Q968:Data!Y968)</f>
        <v/>
      </c>
      <c r="H969" s="4">
        <f>Data!Z968</f>
        <v/>
      </c>
      <c r="I969" s="4">
        <f>Data!AB968</f>
        <v/>
      </c>
      <c r="J969" s="4">
        <f>Data!AD968</f>
        <v/>
      </c>
      <c r="K969" s="4">
        <f>Data!AE968</f>
        <v/>
      </c>
      <c r="L969" s="4">
        <f>Data!AF968</f>
        <v/>
      </c>
      <c r="M969" s="4">
        <f>Data!AG968</f>
        <v/>
      </c>
      <c r="N969" s="4">
        <f>Data!AH968</f>
        <v/>
      </c>
      <c r="O969" s="4">
        <f>Data!AI968</f>
        <v/>
      </c>
      <c r="P969" s="4">
        <f>Data!AJ968</f>
        <v/>
      </c>
      <c r="Q969" s="4">
        <f>Data!AK968</f>
        <v/>
      </c>
      <c r="R969" s="4">
        <f>Data!AL968</f>
        <v/>
      </c>
    </row>
    <row r="970">
      <c r="A970" s="4">
        <f>Data!A969</f>
        <v/>
      </c>
      <c r="B970" s="4">
        <f>Data!B969</f>
        <v/>
      </c>
      <c r="C970" s="4">
        <f>Data!C969</f>
        <v/>
      </c>
      <c r="D970" s="4">
        <f>Data!I969</f>
        <v/>
      </c>
      <c r="E970" s="4">
        <f>Data!J969</f>
        <v/>
      </c>
      <c r="F970" s="4">
        <f>Data!H969</f>
        <v/>
      </c>
      <c r="G970" s="4">
        <f>SUM(Data!Q969:Data!Y969)</f>
        <v/>
      </c>
      <c r="H970" s="4">
        <f>Data!Z969</f>
        <v/>
      </c>
      <c r="I970" s="4">
        <f>Data!AB969</f>
        <v/>
      </c>
      <c r="J970" s="4">
        <f>Data!AD969</f>
        <v/>
      </c>
      <c r="K970" s="4">
        <f>Data!AE969</f>
        <v/>
      </c>
      <c r="L970" s="4">
        <f>Data!AF969</f>
        <v/>
      </c>
      <c r="M970" s="4">
        <f>Data!AG969</f>
        <v/>
      </c>
      <c r="N970" s="4">
        <f>Data!AH969</f>
        <v/>
      </c>
      <c r="O970" s="4">
        <f>Data!AI969</f>
        <v/>
      </c>
      <c r="P970" s="4">
        <f>Data!AJ969</f>
        <v/>
      </c>
      <c r="Q970" s="4">
        <f>Data!AK969</f>
        <v/>
      </c>
      <c r="R970" s="4">
        <f>Data!AL969</f>
        <v/>
      </c>
    </row>
    <row r="971">
      <c r="A971" s="4">
        <f>Data!A970</f>
        <v/>
      </c>
      <c r="B971" s="4">
        <f>Data!B970</f>
        <v/>
      </c>
      <c r="C971" s="4">
        <f>Data!C970</f>
        <v/>
      </c>
      <c r="D971" s="4">
        <f>Data!I970</f>
        <v/>
      </c>
      <c r="E971" s="4">
        <f>Data!J970</f>
        <v/>
      </c>
      <c r="F971" s="4">
        <f>Data!H970</f>
        <v/>
      </c>
      <c r="G971" s="4">
        <f>SUM(Data!Q970:Data!Y970)</f>
        <v/>
      </c>
      <c r="H971" s="4">
        <f>Data!Z970</f>
        <v/>
      </c>
      <c r="I971" s="4">
        <f>Data!AB970</f>
        <v/>
      </c>
      <c r="J971" s="4">
        <f>Data!AD970</f>
        <v/>
      </c>
      <c r="K971" s="4">
        <f>Data!AE970</f>
        <v/>
      </c>
      <c r="L971" s="4">
        <f>Data!AF970</f>
        <v/>
      </c>
      <c r="M971" s="4">
        <f>Data!AG970</f>
        <v/>
      </c>
      <c r="N971" s="4">
        <f>Data!AH970</f>
        <v/>
      </c>
      <c r="O971" s="4">
        <f>Data!AI970</f>
        <v/>
      </c>
      <c r="P971" s="4">
        <f>Data!AJ970</f>
        <v/>
      </c>
      <c r="Q971" s="4">
        <f>Data!AK970</f>
        <v/>
      </c>
      <c r="R971" s="4">
        <f>Data!AL970</f>
        <v/>
      </c>
    </row>
    <row r="972">
      <c r="A972" s="4">
        <f>Data!A971</f>
        <v/>
      </c>
      <c r="B972" s="4">
        <f>Data!B971</f>
        <v/>
      </c>
      <c r="C972" s="4">
        <f>Data!C971</f>
        <v/>
      </c>
      <c r="D972" s="4">
        <f>Data!I971</f>
        <v/>
      </c>
      <c r="E972" s="4">
        <f>Data!J971</f>
        <v/>
      </c>
      <c r="F972" s="4">
        <f>Data!H971</f>
        <v/>
      </c>
      <c r="G972" s="4">
        <f>SUM(Data!Q971:Data!Y971)</f>
        <v/>
      </c>
      <c r="H972" s="4">
        <f>Data!Z971</f>
        <v/>
      </c>
      <c r="I972" s="4">
        <f>Data!AB971</f>
        <v/>
      </c>
      <c r="J972" s="4">
        <f>Data!AD971</f>
        <v/>
      </c>
      <c r="K972" s="4">
        <f>Data!AE971</f>
        <v/>
      </c>
      <c r="L972" s="4">
        <f>Data!AF971</f>
        <v/>
      </c>
      <c r="M972" s="4">
        <f>Data!AG971</f>
        <v/>
      </c>
      <c r="N972" s="4">
        <f>Data!AH971</f>
        <v/>
      </c>
      <c r="O972" s="4">
        <f>Data!AI971</f>
        <v/>
      </c>
      <c r="P972" s="4">
        <f>Data!AJ971</f>
        <v/>
      </c>
      <c r="Q972" s="4">
        <f>Data!AK971</f>
        <v/>
      </c>
      <c r="R972" s="4">
        <f>Data!AL971</f>
        <v/>
      </c>
    </row>
    <row r="973">
      <c r="A973" s="4">
        <f>Data!A972</f>
        <v/>
      </c>
      <c r="B973" s="4">
        <f>Data!B972</f>
        <v/>
      </c>
      <c r="C973" s="4">
        <f>Data!C972</f>
        <v/>
      </c>
      <c r="D973" s="4">
        <f>Data!I972</f>
        <v/>
      </c>
      <c r="E973" s="4">
        <f>Data!J972</f>
        <v/>
      </c>
      <c r="F973" s="4">
        <f>Data!H972</f>
        <v/>
      </c>
      <c r="G973" s="4">
        <f>SUM(Data!Q972:Data!Y972)</f>
        <v/>
      </c>
      <c r="H973" s="4">
        <f>Data!Z972</f>
        <v/>
      </c>
      <c r="I973" s="4">
        <f>Data!AB972</f>
        <v/>
      </c>
      <c r="J973" s="4">
        <f>Data!AD972</f>
        <v/>
      </c>
      <c r="K973" s="4">
        <f>Data!AE972</f>
        <v/>
      </c>
      <c r="L973" s="4">
        <f>Data!AF972</f>
        <v/>
      </c>
      <c r="M973" s="4">
        <f>Data!AG972</f>
        <v/>
      </c>
      <c r="N973" s="4">
        <f>Data!AH972</f>
        <v/>
      </c>
      <c r="O973" s="4">
        <f>Data!AI972</f>
        <v/>
      </c>
      <c r="P973" s="4">
        <f>Data!AJ972</f>
        <v/>
      </c>
      <c r="Q973" s="4">
        <f>Data!AK972</f>
        <v/>
      </c>
      <c r="R973" s="4">
        <f>Data!AL972</f>
        <v/>
      </c>
    </row>
    <row r="974">
      <c r="A974" s="4">
        <f>Data!A973</f>
        <v/>
      </c>
      <c r="B974" s="4">
        <f>Data!B973</f>
        <v/>
      </c>
      <c r="C974" s="4">
        <f>Data!C973</f>
        <v/>
      </c>
      <c r="D974" s="4">
        <f>Data!I973</f>
        <v/>
      </c>
      <c r="E974" s="4">
        <f>Data!J973</f>
        <v/>
      </c>
      <c r="F974" s="4">
        <f>Data!H973</f>
        <v/>
      </c>
      <c r="G974" s="4">
        <f>SUM(Data!Q973:Data!Y973)</f>
        <v/>
      </c>
      <c r="H974" s="4">
        <f>Data!Z973</f>
        <v/>
      </c>
      <c r="I974" s="4">
        <f>Data!AB973</f>
        <v/>
      </c>
      <c r="J974" s="4">
        <f>Data!AD973</f>
        <v/>
      </c>
      <c r="K974" s="4">
        <f>Data!AE973</f>
        <v/>
      </c>
      <c r="L974" s="4">
        <f>Data!AF973</f>
        <v/>
      </c>
      <c r="M974" s="4">
        <f>Data!AG973</f>
        <v/>
      </c>
      <c r="N974" s="4">
        <f>Data!AH973</f>
        <v/>
      </c>
      <c r="O974" s="4">
        <f>Data!AI973</f>
        <v/>
      </c>
      <c r="P974" s="4">
        <f>Data!AJ973</f>
        <v/>
      </c>
      <c r="Q974" s="4">
        <f>Data!AK973</f>
        <v/>
      </c>
      <c r="R974" s="4">
        <f>Data!AL973</f>
        <v/>
      </c>
    </row>
    <row r="975">
      <c r="A975" s="4">
        <f>Data!A974</f>
        <v/>
      </c>
      <c r="B975" s="4">
        <f>Data!B974</f>
        <v/>
      </c>
      <c r="C975" s="4">
        <f>Data!C974</f>
        <v/>
      </c>
      <c r="D975" s="4">
        <f>Data!I974</f>
        <v/>
      </c>
      <c r="E975" s="4">
        <f>Data!J974</f>
        <v/>
      </c>
      <c r="F975" s="4">
        <f>Data!H974</f>
        <v/>
      </c>
      <c r="G975" s="4">
        <f>SUM(Data!Q974:Data!Y974)</f>
        <v/>
      </c>
      <c r="H975" s="4">
        <f>Data!Z974</f>
        <v/>
      </c>
      <c r="I975" s="4">
        <f>Data!AB974</f>
        <v/>
      </c>
      <c r="J975" s="4">
        <f>Data!AD974</f>
        <v/>
      </c>
      <c r="K975" s="4">
        <f>Data!AE974</f>
        <v/>
      </c>
      <c r="L975" s="4">
        <f>Data!AF974</f>
        <v/>
      </c>
      <c r="M975" s="4">
        <f>Data!AG974</f>
        <v/>
      </c>
      <c r="N975" s="4">
        <f>Data!AH974</f>
        <v/>
      </c>
      <c r="O975" s="4">
        <f>Data!AI974</f>
        <v/>
      </c>
      <c r="P975" s="4">
        <f>Data!AJ974</f>
        <v/>
      </c>
      <c r="Q975" s="4">
        <f>Data!AK974</f>
        <v/>
      </c>
      <c r="R975" s="4">
        <f>Data!AL974</f>
        <v/>
      </c>
    </row>
    <row r="976">
      <c r="A976" s="4">
        <f>Data!A975</f>
        <v/>
      </c>
      <c r="B976" s="4">
        <f>Data!B975</f>
        <v/>
      </c>
      <c r="C976" s="4">
        <f>Data!C975</f>
        <v/>
      </c>
      <c r="D976" s="4">
        <f>Data!I975</f>
        <v/>
      </c>
      <c r="E976" s="4">
        <f>Data!J975</f>
        <v/>
      </c>
      <c r="F976" s="4">
        <f>Data!H975</f>
        <v/>
      </c>
      <c r="G976" s="4">
        <f>SUM(Data!Q975:Data!Y975)</f>
        <v/>
      </c>
      <c r="H976" s="4">
        <f>Data!Z975</f>
        <v/>
      </c>
      <c r="I976" s="4">
        <f>Data!AB975</f>
        <v/>
      </c>
      <c r="J976" s="4">
        <f>Data!AD975</f>
        <v/>
      </c>
      <c r="K976" s="4">
        <f>Data!AE975</f>
        <v/>
      </c>
      <c r="L976" s="4">
        <f>Data!AF975</f>
        <v/>
      </c>
      <c r="M976" s="4">
        <f>Data!AG975</f>
        <v/>
      </c>
      <c r="N976" s="4">
        <f>Data!AH975</f>
        <v/>
      </c>
      <c r="O976" s="4">
        <f>Data!AI975</f>
        <v/>
      </c>
      <c r="P976" s="4">
        <f>Data!AJ975</f>
        <v/>
      </c>
      <c r="Q976" s="4">
        <f>Data!AK975</f>
        <v/>
      </c>
      <c r="R976" s="4">
        <f>Data!AL975</f>
        <v/>
      </c>
    </row>
    <row r="977">
      <c r="A977" s="4">
        <f>Data!A976</f>
        <v/>
      </c>
      <c r="B977" s="4">
        <f>Data!B976</f>
        <v/>
      </c>
      <c r="C977" s="4">
        <f>Data!C976</f>
        <v/>
      </c>
      <c r="D977" s="4">
        <f>Data!I976</f>
        <v/>
      </c>
      <c r="E977" s="4">
        <f>Data!J976</f>
        <v/>
      </c>
      <c r="F977" s="4">
        <f>Data!H976</f>
        <v/>
      </c>
      <c r="G977" s="4">
        <f>SUM(Data!Q976:Data!Y976)</f>
        <v/>
      </c>
      <c r="H977" s="4">
        <f>Data!Z976</f>
        <v/>
      </c>
      <c r="I977" s="4">
        <f>Data!AB976</f>
        <v/>
      </c>
      <c r="J977" s="4">
        <f>Data!AD976</f>
        <v/>
      </c>
      <c r="K977" s="4">
        <f>Data!AE976</f>
        <v/>
      </c>
      <c r="L977" s="4">
        <f>Data!AF976</f>
        <v/>
      </c>
      <c r="M977" s="4">
        <f>Data!AG976</f>
        <v/>
      </c>
      <c r="N977" s="4">
        <f>Data!AH976</f>
        <v/>
      </c>
      <c r="O977" s="4">
        <f>Data!AI976</f>
        <v/>
      </c>
      <c r="P977" s="4">
        <f>Data!AJ976</f>
        <v/>
      </c>
      <c r="Q977" s="4">
        <f>Data!AK976</f>
        <v/>
      </c>
      <c r="R977" s="4">
        <f>Data!AL976</f>
        <v/>
      </c>
    </row>
    <row r="978">
      <c r="A978" s="4">
        <f>Data!A977</f>
        <v/>
      </c>
      <c r="B978" s="4">
        <f>Data!B977</f>
        <v/>
      </c>
      <c r="C978" s="4">
        <f>Data!C977</f>
        <v/>
      </c>
      <c r="D978" s="4">
        <f>Data!I977</f>
        <v/>
      </c>
      <c r="E978" s="4">
        <f>Data!J977</f>
        <v/>
      </c>
      <c r="F978" s="4">
        <f>Data!H977</f>
        <v/>
      </c>
      <c r="G978" s="4">
        <f>SUM(Data!Q977:Data!Y977)</f>
        <v/>
      </c>
      <c r="H978" s="4">
        <f>Data!Z977</f>
        <v/>
      </c>
      <c r="I978" s="4">
        <f>Data!AB977</f>
        <v/>
      </c>
      <c r="J978" s="4">
        <f>Data!AD977</f>
        <v/>
      </c>
      <c r="K978" s="4">
        <f>Data!AE977</f>
        <v/>
      </c>
      <c r="L978" s="4">
        <f>Data!AF977</f>
        <v/>
      </c>
      <c r="M978" s="4">
        <f>Data!AG977</f>
        <v/>
      </c>
      <c r="N978" s="4">
        <f>Data!AH977</f>
        <v/>
      </c>
      <c r="O978" s="4">
        <f>Data!AI977</f>
        <v/>
      </c>
      <c r="P978" s="4">
        <f>Data!AJ977</f>
        <v/>
      </c>
      <c r="Q978" s="4">
        <f>Data!AK977</f>
        <v/>
      </c>
      <c r="R978" s="4">
        <f>Data!AL977</f>
        <v/>
      </c>
    </row>
    <row r="979">
      <c r="A979" s="4">
        <f>Data!A978</f>
        <v/>
      </c>
      <c r="B979" s="4">
        <f>Data!B978</f>
        <v/>
      </c>
      <c r="C979" s="4">
        <f>Data!C978</f>
        <v/>
      </c>
      <c r="D979" s="4">
        <f>Data!I978</f>
        <v/>
      </c>
      <c r="E979" s="4">
        <f>Data!J978</f>
        <v/>
      </c>
      <c r="F979" s="4">
        <f>Data!H978</f>
        <v/>
      </c>
      <c r="G979" s="4">
        <f>SUM(Data!Q978:Data!Y978)</f>
        <v/>
      </c>
      <c r="H979" s="4">
        <f>Data!Z978</f>
        <v/>
      </c>
      <c r="I979" s="4">
        <f>Data!AB978</f>
        <v/>
      </c>
      <c r="J979" s="4">
        <f>Data!AD978</f>
        <v/>
      </c>
      <c r="K979" s="4">
        <f>Data!AE978</f>
        <v/>
      </c>
      <c r="L979" s="4">
        <f>Data!AF978</f>
        <v/>
      </c>
      <c r="M979" s="4">
        <f>Data!AG978</f>
        <v/>
      </c>
      <c r="N979" s="4">
        <f>Data!AH978</f>
        <v/>
      </c>
      <c r="O979" s="4">
        <f>Data!AI978</f>
        <v/>
      </c>
      <c r="P979" s="4">
        <f>Data!AJ978</f>
        <v/>
      </c>
      <c r="Q979" s="4">
        <f>Data!AK978</f>
        <v/>
      </c>
      <c r="R979" s="4">
        <f>Data!AL978</f>
        <v/>
      </c>
    </row>
    <row r="980">
      <c r="A980" s="4">
        <f>Data!A979</f>
        <v/>
      </c>
      <c r="B980" s="4">
        <f>Data!B979</f>
        <v/>
      </c>
      <c r="C980" s="4">
        <f>Data!C979</f>
        <v/>
      </c>
      <c r="D980" s="4">
        <f>Data!I979</f>
        <v/>
      </c>
      <c r="E980" s="4">
        <f>Data!J979</f>
        <v/>
      </c>
      <c r="F980" s="4">
        <f>Data!H979</f>
        <v/>
      </c>
      <c r="G980" s="4">
        <f>SUM(Data!Q979:Data!Y979)</f>
        <v/>
      </c>
      <c r="H980" s="4">
        <f>Data!Z979</f>
        <v/>
      </c>
      <c r="I980" s="4">
        <f>Data!AB979</f>
        <v/>
      </c>
      <c r="J980" s="4">
        <f>Data!AD979</f>
        <v/>
      </c>
      <c r="K980" s="4">
        <f>Data!AE979</f>
        <v/>
      </c>
      <c r="L980" s="4">
        <f>Data!AF979</f>
        <v/>
      </c>
      <c r="M980" s="4">
        <f>Data!AG979</f>
        <v/>
      </c>
      <c r="N980" s="4">
        <f>Data!AH979</f>
        <v/>
      </c>
      <c r="O980" s="4">
        <f>Data!AI979</f>
        <v/>
      </c>
      <c r="P980" s="4">
        <f>Data!AJ979</f>
        <v/>
      </c>
      <c r="Q980" s="4">
        <f>Data!AK979</f>
        <v/>
      </c>
      <c r="R980" s="4">
        <f>Data!AL979</f>
        <v/>
      </c>
    </row>
    <row r="981">
      <c r="A981" s="4">
        <f>Data!A980</f>
        <v/>
      </c>
      <c r="B981" s="4">
        <f>Data!B980</f>
        <v/>
      </c>
      <c r="C981" s="4">
        <f>Data!C980</f>
        <v/>
      </c>
      <c r="D981" s="4">
        <f>Data!I980</f>
        <v/>
      </c>
      <c r="E981" s="4">
        <f>Data!J980</f>
        <v/>
      </c>
      <c r="F981" s="4">
        <f>Data!H980</f>
        <v/>
      </c>
      <c r="G981" s="4">
        <f>SUM(Data!Q980:Data!Y980)</f>
        <v/>
      </c>
      <c r="H981" s="4">
        <f>Data!Z980</f>
        <v/>
      </c>
      <c r="I981" s="4">
        <f>Data!AB980</f>
        <v/>
      </c>
      <c r="J981" s="4">
        <f>Data!AD980</f>
        <v/>
      </c>
      <c r="K981" s="4">
        <f>Data!AE980</f>
        <v/>
      </c>
      <c r="L981" s="4">
        <f>Data!AF980</f>
        <v/>
      </c>
      <c r="M981" s="4">
        <f>Data!AG980</f>
        <v/>
      </c>
      <c r="N981" s="4">
        <f>Data!AH980</f>
        <v/>
      </c>
      <c r="O981" s="4">
        <f>Data!AI980</f>
        <v/>
      </c>
      <c r="P981" s="4">
        <f>Data!AJ980</f>
        <v/>
      </c>
      <c r="Q981" s="4">
        <f>Data!AK980</f>
        <v/>
      </c>
      <c r="R981" s="4">
        <f>Data!AL980</f>
        <v/>
      </c>
    </row>
    <row r="982">
      <c r="A982" s="4">
        <f>Data!A981</f>
        <v/>
      </c>
      <c r="B982" s="4">
        <f>Data!B981</f>
        <v/>
      </c>
      <c r="C982" s="4">
        <f>Data!C981</f>
        <v/>
      </c>
      <c r="D982" s="4">
        <f>Data!I981</f>
        <v/>
      </c>
      <c r="E982" s="4">
        <f>Data!J981</f>
        <v/>
      </c>
      <c r="F982" s="4">
        <f>Data!H981</f>
        <v/>
      </c>
      <c r="G982" s="4">
        <f>SUM(Data!Q981:Data!Y981)</f>
        <v/>
      </c>
      <c r="H982" s="4">
        <f>Data!Z981</f>
        <v/>
      </c>
      <c r="I982" s="4">
        <f>Data!AB981</f>
        <v/>
      </c>
      <c r="J982" s="4">
        <f>Data!AD981</f>
        <v/>
      </c>
      <c r="K982" s="4">
        <f>Data!AE981</f>
        <v/>
      </c>
      <c r="L982" s="4">
        <f>Data!AF981</f>
        <v/>
      </c>
      <c r="M982" s="4">
        <f>Data!AG981</f>
        <v/>
      </c>
      <c r="N982" s="4">
        <f>Data!AH981</f>
        <v/>
      </c>
      <c r="O982" s="4">
        <f>Data!AI981</f>
        <v/>
      </c>
      <c r="P982" s="4">
        <f>Data!AJ981</f>
        <v/>
      </c>
      <c r="Q982" s="4">
        <f>Data!AK981</f>
        <v/>
      </c>
      <c r="R982" s="4">
        <f>Data!AL981</f>
        <v/>
      </c>
    </row>
    <row r="983">
      <c r="A983" s="4">
        <f>Data!A982</f>
        <v/>
      </c>
      <c r="B983" s="4">
        <f>Data!B982</f>
        <v/>
      </c>
      <c r="C983" s="4">
        <f>Data!C982</f>
        <v/>
      </c>
      <c r="D983" s="4">
        <f>Data!I982</f>
        <v/>
      </c>
      <c r="E983" s="4">
        <f>Data!J982</f>
        <v/>
      </c>
      <c r="F983" s="4">
        <f>Data!H982</f>
        <v/>
      </c>
      <c r="G983" s="4">
        <f>SUM(Data!Q982:Data!Y982)</f>
        <v/>
      </c>
      <c r="H983" s="4">
        <f>Data!Z982</f>
        <v/>
      </c>
      <c r="I983" s="4">
        <f>Data!AB982</f>
        <v/>
      </c>
      <c r="J983" s="4">
        <f>Data!AD982</f>
        <v/>
      </c>
      <c r="K983" s="4">
        <f>Data!AE982</f>
        <v/>
      </c>
      <c r="L983" s="4">
        <f>Data!AF982</f>
        <v/>
      </c>
      <c r="M983" s="4">
        <f>Data!AG982</f>
        <v/>
      </c>
      <c r="N983" s="4">
        <f>Data!AH982</f>
        <v/>
      </c>
      <c r="O983" s="4">
        <f>Data!AI982</f>
        <v/>
      </c>
      <c r="P983" s="4">
        <f>Data!AJ982</f>
        <v/>
      </c>
      <c r="Q983" s="4">
        <f>Data!AK982</f>
        <v/>
      </c>
      <c r="R983" s="4">
        <f>Data!AL982</f>
        <v/>
      </c>
    </row>
    <row r="984">
      <c r="A984" s="4">
        <f>Data!A983</f>
        <v/>
      </c>
      <c r="B984" s="4">
        <f>Data!B983</f>
        <v/>
      </c>
      <c r="C984" s="4">
        <f>Data!C983</f>
        <v/>
      </c>
      <c r="D984" s="4">
        <f>Data!I983</f>
        <v/>
      </c>
      <c r="E984" s="4">
        <f>Data!J983</f>
        <v/>
      </c>
      <c r="F984" s="4">
        <f>Data!H983</f>
        <v/>
      </c>
      <c r="G984" s="4">
        <f>SUM(Data!Q983:Data!Y983)</f>
        <v/>
      </c>
      <c r="H984" s="4">
        <f>Data!Z983</f>
        <v/>
      </c>
      <c r="I984" s="4">
        <f>Data!AB983</f>
        <v/>
      </c>
      <c r="J984" s="4">
        <f>Data!AD983</f>
        <v/>
      </c>
      <c r="K984" s="4">
        <f>Data!AE983</f>
        <v/>
      </c>
      <c r="L984" s="4">
        <f>Data!AF983</f>
        <v/>
      </c>
      <c r="M984" s="4">
        <f>Data!AG983</f>
        <v/>
      </c>
      <c r="N984" s="4">
        <f>Data!AH983</f>
        <v/>
      </c>
      <c r="O984" s="4">
        <f>Data!AI983</f>
        <v/>
      </c>
      <c r="P984" s="4">
        <f>Data!AJ983</f>
        <v/>
      </c>
      <c r="Q984" s="4">
        <f>Data!AK983</f>
        <v/>
      </c>
      <c r="R984" s="4">
        <f>Data!AL983</f>
        <v/>
      </c>
    </row>
    <row r="985">
      <c r="A985" s="4">
        <f>Data!A984</f>
        <v/>
      </c>
      <c r="B985" s="4">
        <f>Data!B984</f>
        <v/>
      </c>
      <c r="C985" s="4">
        <f>Data!C984</f>
        <v/>
      </c>
      <c r="D985" s="4">
        <f>Data!I984</f>
        <v/>
      </c>
      <c r="E985" s="4">
        <f>Data!J984</f>
        <v/>
      </c>
      <c r="F985" s="4">
        <f>Data!H984</f>
        <v/>
      </c>
      <c r="G985" s="4">
        <f>SUM(Data!Q984:Data!Y984)</f>
        <v/>
      </c>
      <c r="H985" s="4">
        <f>Data!Z984</f>
        <v/>
      </c>
      <c r="I985" s="4">
        <f>Data!AB984</f>
        <v/>
      </c>
      <c r="J985" s="4">
        <f>Data!AD984</f>
        <v/>
      </c>
      <c r="K985" s="4">
        <f>Data!AE984</f>
        <v/>
      </c>
      <c r="L985" s="4">
        <f>Data!AF984</f>
        <v/>
      </c>
      <c r="M985" s="4">
        <f>Data!AG984</f>
        <v/>
      </c>
      <c r="N985" s="4">
        <f>Data!AH984</f>
        <v/>
      </c>
      <c r="O985" s="4">
        <f>Data!AI984</f>
        <v/>
      </c>
      <c r="P985" s="4">
        <f>Data!AJ984</f>
        <v/>
      </c>
      <c r="Q985" s="4">
        <f>Data!AK984</f>
        <v/>
      </c>
      <c r="R985" s="4">
        <f>Data!AL984</f>
        <v/>
      </c>
    </row>
    <row r="986">
      <c r="A986" s="4">
        <f>Data!A985</f>
        <v/>
      </c>
      <c r="B986" s="4">
        <f>Data!B985</f>
        <v/>
      </c>
      <c r="C986" s="4">
        <f>Data!C985</f>
        <v/>
      </c>
      <c r="D986" s="4">
        <f>Data!I985</f>
        <v/>
      </c>
      <c r="E986" s="4">
        <f>Data!J985</f>
        <v/>
      </c>
      <c r="F986" s="4">
        <f>Data!H985</f>
        <v/>
      </c>
      <c r="G986" s="4">
        <f>SUM(Data!Q985:Data!Y985)</f>
        <v/>
      </c>
      <c r="H986" s="4">
        <f>Data!Z985</f>
        <v/>
      </c>
      <c r="I986" s="4">
        <f>Data!AB985</f>
        <v/>
      </c>
      <c r="J986" s="4">
        <f>Data!AD985</f>
        <v/>
      </c>
      <c r="K986" s="4">
        <f>Data!AE985</f>
        <v/>
      </c>
      <c r="L986" s="4">
        <f>Data!AF985</f>
        <v/>
      </c>
      <c r="M986" s="4">
        <f>Data!AG985</f>
        <v/>
      </c>
      <c r="N986" s="4">
        <f>Data!AH985</f>
        <v/>
      </c>
      <c r="O986" s="4">
        <f>Data!AI985</f>
        <v/>
      </c>
      <c r="P986" s="4">
        <f>Data!AJ985</f>
        <v/>
      </c>
      <c r="Q986" s="4">
        <f>Data!AK985</f>
        <v/>
      </c>
      <c r="R986" s="4">
        <f>Data!AL985</f>
        <v/>
      </c>
    </row>
    <row r="987">
      <c r="A987" s="4">
        <f>Data!A986</f>
        <v/>
      </c>
      <c r="B987" s="4">
        <f>Data!B986</f>
        <v/>
      </c>
      <c r="C987" s="4">
        <f>Data!C986</f>
        <v/>
      </c>
      <c r="D987" s="4">
        <f>Data!I986</f>
        <v/>
      </c>
      <c r="E987" s="4">
        <f>Data!J986</f>
        <v/>
      </c>
      <c r="F987" s="4">
        <f>Data!H986</f>
        <v/>
      </c>
      <c r="G987" s="4">
        <f>SUM(Data!Q986:Data!Y986)</f>
        <v/>
      </c>
      <c r="H987" s="4">
        <f>Data!Z986</f>
        <v/>
      </c>
      <c r="I987" s="4">
        <f>Data!AB986</f>
        <v/>
      </c>
      <c r="J987" s="4">
        <f>Data!AD986</f>
        <v/>
      </c>
      <c r="K987" s="4">
        <f>Data!AE986</f>
        <v/>
      </c>
      <c r="L987" s="4">
        <f>Data!AF986</f>
        <v/>
      </c>
      <c r="M987" s="4">
        <f>Data!AG986</f>
        <v/>
      </c>
      <c r="N987" s="4">
        <f>Data!AH986</f>
        <v/>
      </c>
      <c r="O987" s="4">
        <f>Data!AI986</f>
        <v/>
      </c>
      <c r="P987" s="4">
        <f>Data!AJ986</f>
        <v/>
      </c>
      <c r="Q987" s="4">
        <f>Data!AK986</f>
        <v/>
      </c>
      <c r="R987" s="4">
        <f>Data!AL986</f>
        <v/>
      </c>
    </row>
    <row r="988">
      <c r="A988" s="4">
        <f>Data!A987</f>
        <v/>
      </c>
      <c r="B988" s="4">
        <f>Data!B987</f>
        <v/>
      </c>
      <c r="C988" s="4">
        <f>Data!C987</f>
        <v/>
      </c>
      <c r="D988" s="4">
        <f>Data!I987</f>
        <v/>
      </c>
      <c r="E988" s="4">
        <f>Data!J987</f>
        <v/>
      </c>
      <c r="F988" s="4">
        <f>Data!H987</f>
        <v/>
      </c>
      <c r="G988" s="4">
        <f>SUM(Data!Q987:Data!Y987)</f>
        <v/>
      </c>
      <c r="H988" s="4">
        <f>Data!Z987</f>
        <v/>
      </c>
      <c r="I988" s="4">
        <f>Data!AB987</f>
        <v/>
      </c>
      <c r="J988" s="4">
        <f>Data!AD987</f>
        <v/>
      </c>
      <c r="K988" s="4">
        <f>Data!AE987</f>
        <v/>
      </c>
      <c r="L988" s="4">
        <f>Data!AF987</f>
        <v/>
      </c>
      <c r="M988" s="4">
        <f>Data!AG987</f>
        <v/>
      </c>
      <c r="N988" s="4">
        <f>Data!AH987</f>
        <v/>
      </c>
      <c r="O988" s="4">
        <f>Data!AI987</f>
        <v/>
      </c>
      <c r="P988" s="4">
        <f>Data!AJ987</f>
        <v/>
      </c>
      <c r="Q988" s="4">
        <f>Data!AK987</f>
        <v/>
      </c>
      <c r="R988" s="4">
        <f>Data!AL987</f>
        <v/>
      </c>
    </row>
    <row r="989">
      <c r="A989" s="4">
        <f>Data!A988</f>
        <v/>
      </c>
      <c r="B989" s="4">
        <f>Data!B988</f>
        <v/>
      </c>
      <c r="C989" s="4">
        <f>Data!C988</f>
        <v/>
      </c>
      <c r="D989" s="4">
        <f>Data!I988</f>
        <v/>
      </c>
      <c r="E989" s="4">
        <f>Data!J988</f>
        <v/>
      </c>
      <c r="F989" s="4">
        <f>Data!H988</f>
        <v/>
      </c>
      <c r="G989" s="4">
        <f>SUM(Data!Q988:Data!Y988)</f>
        <v/>
      </c>
      <c r="H989" s="4">
        <f>Data!Z988</f>
        <v/>
      </c>
      <c r="I989" s="4">
        <f>Data!AB988</f>
        <v/>
      </c>
      <c r="J989" s="4">
        <f>Data!AD988</f>
        <v/>
      </c>
      <c r="K989" s="4">
        <f>Data!AE988</f>
        <v/>
      </c>
      <c r="L989" s="4">
        <f>Data!AF988</f>
        <v/>
      </c>
      <c r="M989" s="4">
        <f>Data!AG988</f>
        <v/>
      </c>
      <c r="N989" s="4">
        <f>Data!AH988</f>
        <v/>
      </c>
      <c r="O989" s="4">
        <f>Data!AI988</f>
        <v/>
      </c>
      <c r="P989" s="4">
        <f>Data!AJ988</f>
        <v/>
      </c>
      <c r="Q989" s="4">
        <f>Data!AK988</f>
        <v/>
      </c>
      <c r="R989" s="4">
        <f>Data!AL988</f>
        <v/>
      </c>
    </row>
    <row r="990">
      <c r="A990" s="4">
        <f>Data!A989</f>
        <v/>
      </c>
      <c r="B990" s="4">
        <f>Data!B989</f>
        <v/>
      </c>
      <c r="C990" s="4">
        <f>Data!C989</f>
        <v/>
      </c>
      <c r="D990" s="4">
        <f>Data!I989</f>
        <v/>
      </c>
      <c r="E990" s="4">
        <f>Data!J989</f>
        <v/>
      </c>
      <c r="F990" s="4">
        <f>Data!H989</f>
        <v/>
      </c>
      <c r="G990" s="4">
        <f>SUM(Data!Q989:Data!Y989)</f>
        <v/>
      </c>
      <c r="H990" s="4">
        <f>Data!Z989</f>
        <v/>
      </c>
      <c r="I990" s="4">
        <f>Data!AB989</f>
        <v/>
      </c>
      <c r="J990" s="4">
        <f>Data!AD989</f>
        <v/>
      </c>
      <c r="K990" s="4">
        <f>Data!AE989</f>
        <v/>
      </c>
      <c r="L990" s="4">
        <f>Data!AF989</f>
        <v/>
      </c>
      <c r="M990" s="4">
        <f>Data!AG989</f>
        <v/>
      </c>
      <c r="N990" s="4">
        <f>Data!AH989</f>
        <v/>
      </c>
      <c r="O990" s="4">
        <f>Data!AI989</f>
        <v/>
      </c>
      <c r="P990" s="4">
        <f>Data!AJ989</f>
        <v/>
      </c>
      <c r="Q990" s="4">
        <f>Data!AK989</f>
        <v/>
      </c>
      <c r="R990" s="4">
        <f>Data!AL989</f>
        <v/>
      </c>
    </row>
    <row r="991">
      <c r="A991" s="4">
        <f>Data!A990</f>
        <v/>
      </c>
      <c r="B991" s="4">
        <f>Data!B990</f>
        <v/>
      </c>
      <c r="C991" s="4">
        <f>Data!C990</f>
        <v/>
      </c>
      <c r="D991" s="4">
        <f>Data!I990</f>
        <v/>
      </c>
      <c r="E991" s="4">
        <f>Data!J990</f>
        <v/>
      </c>
      <c r="F991" s="4">
        <f>Data!H990</f>
        <v/>
      </c>
      <c r="G991" s="4">
        <f>SUM(Data!Q990:Data!Y990)</f>
        <v/>
      </c>
      <c r="H991" s="4">
        <f>Data!Z990</f>
        <v/>
      </c>
      <c r="I991" s="4">
        <f>Data!AB990</f>
        <v/>
      </c>
      <c r="J991" s="4">
        <f>Data!AD990</f>
        <v/>
      </c>
      <c r="K991" s="4">
        <f>Data!AE990</f>
        <v/>
      </c>
      <c r="L991" s="4">
        <f>Data!AF990</f>
        <v/>
      </c>
      <c r="M991" s="4">
        <f>Data!AG990</f>
        <v/>
      </c>
      <c r="N991" s="4">
        <f>Data!AH990</f>
        <v/>
      </c>
      <c r="O991" s="4">
        <f>Data!AI990</f>
        <v/>
      </c>
      <c r="P991" s="4">
        <f>Data!AJ990</f>
        <v/>
      </c>
      <c r="Q991" s="4">
        <f>Data!AK990</f>
        <v/>
      </c>
      <c r="R991" s="4">
        <f>Data!AL990</f>
        <v/>
      </c>
    </row>
    <row r="992">
      <c r="A992" s="4">
        <f>Data!A991</f>
        <v/>
      </c>
      <c r="B992" s="4">
        <f>Data!B991</f>
        <v/>
      </c>
      <c r="C992" s="4">
        <f>Data!C991</f>
        <v/>
      </c>
      <c r="D992" s="4">
        <f>Data!I991</f>
        <v/>
      </c>
      <c r="E992" s="4">
        <f>Data!J991</f>
        <v/>
      </c>
      <c r="F992" s="4">
        <f>Data!H991</f>
        <v/>
      </c>
      <c r="G992" s="4">
        <f>SUM(Data!Q991:Data!Y991)</f>
        <v/>
      </c>
      <c r="H992" s="4">
        <f>Data!Z991</f>
        <v/>
      </c>
      <c r="I992" s="4">
        <f>Data!AB991</f>
        <v/>
      </c>
      <c r="J992" s="4">
        <f>Data!AD991</f>
        <v/>
      </c>
      <c r="K992" s="4">
        <f>Data!AE991</f>
        <v/>
      </c>
      <c r="L992" s="4">
        <f>Data!AF991</f>
        <v/>
      </c>
      <c r="M992" s="4">
        <f>Data!AG991</f>
        <v/>
      </c>
      <c r="N992" s="4">
        <f>Data!AH991</f>
        <v/>
      </c>
      <c r="O992" s="4">
        <f>Data!AI991</f>
        <v/>
      </c>
      <c r="P992" s="4">
        <f>Data!AJ991</f>
        <v/>
      </c>
      <c r="Q992" s="4">
        <f>Data!AK991</f>
        <v/>
      </c>
      <c r="R992" s="4">
        <f>Data!AL991</f>
        <v/>
      </c>
    </row>
    <row r="993">
      <c r="A993" s="4">
        <f>Data!A992</f>
        <v/>
      </c>
      <c r="B993" s="4">
        <f>Data!B992</f>
        <v/>
      </c>
      <c r="C993" s="4">
        <f>Data!C992</f>
        <v/>
      </c>
      <c r="D993" s="4">
        <f>Data!I992</f>
        <v/>
      </c>
      <c r="E993" s="4">
        <f>Data!J992</f>
        <v/>
      </c>
      <c r="F993" s="4">
        <f>Data!H992</f>
        <v/>
      </c>
      <c r="G993" s="4">
        <f>SUM(Data!Q992:Data!Y992)</f>
        <v/>
      </c>
      <c r="H993" s="4">
        <f>Data!Z992</f>
        <v/>
      </c>
      <c r="I993" s="4">
        <f>Data!AB992</f>
        <v/>
      </c>
      <c r="J993" s="4">
        <f>Data!AD992</f>
        <v/>
      </c>
      <c r="K993" s="4">
        <f>Data!AE992</f>
        <v/>
      </c>
      <c r="L993" s="4">
        <f>Data!AF992</f>
        <v/>
      </c>
      <c r="M993" s="4">
        <f>Data!AG992</f>
        <v/>
      </c>
      <c r="N993" s="4">
        <f>Data!AH992</f>
        <v/>
      </c>
      <c r="O993" s="4">
        <f>Data!AI992</f>
        <v/>
      </c>
      <c r="P993" s="4">
        <f>Data!AJ992</f>
        <v/>
      </c>
      <c r="Q993" s="4">
        <f>Data!AK992</f>
        <v/>
      </c>
      <c r="R993" s="4">
        <f>Data!AL992</f>
        <v/>
      </c>
    </row>
    <row r="994">
      <c r="A994" s="4">
        <f>Data!A993</f>
        <v/>
      </c>
      <c r="B994" s="4">
        <f>Data!B993</f>
        <v/>
      </c>
      <c r="C994" s="4">
        <f>Data!C993</f>
        <v/>
      </c>
      <c r="D994" s="4">
        <f>Data!I993</f>
        <v/>
      </c>
      <c r="E994" s="4">
        <f>Data!J993</f>
        <v/>
      </c>
      <c r="F994" s="4">
        <f>Data!H993</f>
        <v/>
      </c>
      <c r="G994" s="4">
        <f>SUM(Data!Q993:Data!Y993)</f>
        <v/>
      </c>
      <c r="H994" s="4">
        <f>Data!Z993</f>
        <v/>
      </c>
      <c r="I994" s="4">
        <f>Data!AB993</f>
        <v/>
      </c>
      <c r="J994" s="4">
        <f>Data!AD993</f>
        <v/>
      </c>
      <c r="K994" s="4">
        <f>Data!AE993</f>
        <v/>
      </c>
      <c r="L994" s="4">
        <f>Data!AF993</f>
        <v/>
      </c>
      <c r="M994" s="4">
        <f>Data!AG993</f>
        <v/>
      </c>
      <c r="N994" s="4">
        <f>Data!AH993</f>
        <v/>
      </c>
      <c r="O994" s="4">
        <f>Data!AI993</f>
        <v/>
      </c>
      <c r="P994" s="4">
        <f>Data!AJ993</f>
        <v/>
      </c>
      <c r="Q994" s="4">
        <f>Data!AK993</f>
        <v/>
      </c>
      <c r="R994" s="4">
        <f>Data!AL993</f>
        <v/>
      </c>
    </row>
    <row r="995">
      <c r="A995" s="4">
        <f>Data!A994</f>
        <v/>
      </c>
      <c r="B995" s="4">
        <f>Data!B994</f>
        <v/>
      </c>
      <c r="C995" s="4">
        <f>Data!C994</f>
        <v/>
      </c>
      <c r="D995" s="4">
        <f>Data!I994</f>
        <v/>
      </c>
      <c r="E995" s="4">
        <f>Data!J994</f>
        <v/>
      </c>
      <c r="F995" s="4">
        <f>Data!H994</f>
        <v/>
      </c>
      <c r="G995" s="4">
        <f>SUM(Data!Q994:Data!Y994)</f>
        <v/>
      </c>
      <c r="H995" s="4">
        <f>Data!Z994</f>
        <v/>
      </c>
      <c r="I995" s="4">
        <f>Data!AB994</f>
        <v/>
      </c>
      <c r="J995" s="4">
        <f>Data!AD994</f>
        <v/>
      </c>
      <c r="K995" s="4">
        <f>Data!AE994</f>
        <v/>
      </c>
      <c r="L995" s="4">
        <f>Data!AF994</f>
        <v/>
      </c>
      <c r="M995" s="4">
        <f>Data!AG994</f>
        <v/>
      </c>
      <c r="N995" s="4">
        <f>Data!AH994</f>
        <v/>
      </c>
      <c r="O995" s="4">
        <f>Data!AI994</f>
        <v/>
      </c>
      <c r="P995" s="4">
        <f>Data!AJ994</f>
        <v/>
      </c>
      <c r="Q995" s="4">
        <f>Data!AK994</f>
        <v/>
      </c>
      <c r="R995" s="4">
        <f>Data!AL994</f>
        <v/>
      </c>
    </row>
    <row r="996">
      <c r="A996" s="4">
        <f>Data!A995</f>
        <v/>
      </c>
      <c r="B996" s="4">
        <f>Data!B995</f>
        <v/>
      </c>
      <c r="C996" s="4">
        <f>Data!C995</f>
        <v/>
      </c>
      <c r="D996" s="4">
        <f>Data!I995</f>
        <v/>
      </c>
      <c r="E996" s="4">
        <f>Data!J995</f>
        <v/>
      </c>
      <c r="F996" s="4">
        <f>Data!H995</f>
        <v/>
      </c>
      <c r="G996" s="4">
        <f>SUM(Data!Q995:Data!Y995)</f>
        <v/>
      </c>
      <c r="H996" s="4">
        <f>Data!Z995</f>
        <v/>
      </c>
      <c r="I996" s="4">
        <f>Data!AB995</f>
        <v/>
      </c>
      <c r="J996" s="4">
        <f>Data!AD995</f>
        <v/>
      </c>
      <c r="K996" s="4">
        <f>Data!AE995</f>
        <v/>
      </c>
      <c r="L996" s="4">
        <f>Data!AF995</f>
        <v/>
      </c>
      <c r="M996" s="4">
        <f>Data!AG995</f>
        <v/>
      </c>
      <c r="N996" s="4">
        <f>Data!AH995</f>
        <v/>
      </c>
      <c r="O996" s="4">
        <f>Data!AI995</f>
        <v/>
      </c>
      <c r="P996" s="4">
        <f>Data!AJ995</f>
        <v/>
      </c>
      <c r="Q996" s="4">
        <f>Data!AK995</f>
        <v/>
      </c>
      <c r="R996" s="4">
        <f>Data!AL995</f>
        <v/>
      </c>
    </row>
    <row r="997">
      <c r="A997" s="4">
        <f>Data!A996</f>
        <v/>
      </c>
      <c r="B997" s="4">
        <f>Data!B996</f>
        <v/>
      </c>
      <c r="C997" s="4">
        <f>Data!C996</f>
        <v/>
      </c>
      <c r="D997" s="4">
        <f>Data!I996</f>
        <v/>
      </c>
      <c r="E997" s="4">
        <f>Data!J996</f>
        <v/>
      </c>
      <c r="F997" s="4">
        <f>Data!H996</f>
        <v/>
      </c>
      <c r="G997" s="4">
        <f>SUM(Data!Q996:Data!Y996)</f>
        <v/>
      </c>
      <c r="H997" s="4">
        <f>Data!Z996</f>
        <v/>
      </c>
      <c r="I997" s="4">
        <f>Data!AB996</f>
        <v/>
      </c>
      <c r="J997" s="4">
        <f>Data!AD996</f>
        <v/>
      </c>
      <c r="K997" s="4">
        <f>Data!AE996</f>
        <v/>
      </c>
      <c r="L997" s="4">
        <f>Data!AF996</f>
        <v/>
      </c>
      <c r="M997" s="4">
        <f>Data!AG996</f>
        <v/>
      </c>
      <c r="N997" s="4">
        <f>Data!AH996</f>
        <v/>
      </c>
      <c r="O997" s="4">
        <f>Data!AI996</f>
        <v/>
      </c>
      <c r="P997" s="4">
        <f>Data!AJ996</f>
        <v/>
      </c>
      <c r="Q997" s="4">
        <f>Data!AK996</f>
        <v/>
      </c>
      <c r="R997" s="4">
        <f>Data!AL996</f>
        <v/>
      </c>
    </row>
    <row r="998">
      <c r="A998" s="4">
        <f>Data!A997</f>
        <v/>
      </c>
      <c r="B998" s="4">
        <f>Data!B997</f>
        <v/>
      </c>
      <c r="C998" s="4">
        <f>Data!C997</f>
        <v/>
      </c>
      <c r="D998" s="4">
        <f>Data!I997</f>
        <v/>
      </c>
      <c r="E998" s="4">
        <f>Data!J997</f>
        <v/>
      </c>
      <c r="F998" s="4">
        <f>Data!H997</f>
        <v/>
      </c>
      <c r="G998" s="4">
        <f>SUM(Data!Q997:Data!Y997)</f>
        <v/>
      </c>
      <c r="H998" s="4">
        <f>Data!Z997</f>
        <v/>
      </c>
      <c r="I998" s="4">
        <f>Data!AB997</f>
        <v/>
      </c>
      <c r="J998" s="4">
        <f>Data!AD997</f>
        <v/>
      </c>
      <c r="K998" s="4">
        <f>Data!AE997</f>
        <v/>
      </c>
      <c r="L998" s="4">
        <f>Data!AF997</f>
        <v/>
      </c>
      <c r="M998" s="4">
        <f>Data!AG997</f>
        <v/>
      </c>
      <c r="N998" s="4">
        <f>Data!AH997</f>
        <v/>
      </c>
      <c r="O998" s="4">
        <f>Data!AI997</f>
        <v/>
      </c>
      <c r="P998" s="4">
        <f>Data!AJ997</f>
        <v/>
      </c>
      <c r="Q998" s="4">
        <f>Data!AK997</f>
        <v/>
      </c>
      <c r="R998" s="4">
        <f>Data!AL997</f>
        <v/>
      </c>
    </row>
    <row r="999">
      <c r="A999" s="4">
        <f>Data!A998</f>
        <v/>
      </c>
      <c r="B999" s="4">
        <f>Data!B998</f>
        <v/>
      </c>
      <c r="C999" s="4">
        <f>Data!C998</f>
        <v/>
      </c>
      <c r="D999" s="4">
        <f>Data!I998</f>
        <v/>
      </c>
      <c r="E999" s="4">
        <f>Data!J998</f>
        <v/>
      </c>
      <c r="F999" s="4">
        <f>Data!H998</f>
        <v/>
      </c>
      <c r="G999" s="4">
        <f>SUM(Data!Q998:Data!Y998)</f>
        <v/>
      </c>
      <c r="H999" s="4">
        <f>Data!Z998</f>
        <v/>
      </c>
      <c r="I999" s="4">
        <f>Data!AB998</f>
        <v/>
      </c>
      <c r="J999" s="4">
        <f>Data!AD998</f>
        <v/>
      </c>
      <c r="K999" s="4">
        <f>Data!AE998</f>
        <v/>
      </c>
      <c r="L999" s="4">
        <f>Data!AF998</f>
        <v/>
      </c>
      <c r="M999" s="4">
        <f>Data!AG998</f>
        <v/>
      </c>
      <c r="N999" s="4">
        <f>Data!AH998</f>
        <v/>
      </c>
      <c r="O999" s="4">
        <f>Data!AI998</f>
        <v/>
      </c>
      <c r="P999" s="4">
        <f>Data!AJ998</f>
        <v/>
      </c>
      <c r="Q999" s="4">
        <f>Data!AK998</f>
        <v/>
      </c>
      <c r="R999" s="4">
        <f>Data!AL998</f>
        <v/>
      </c>
    </row>
    <row r="1000">
      <c r="A1000" s="4">
        <f>Data!A999</f>
        <v/>
      </c>
      <c r="B1000" s="4">
        <f>Data!B999</f>
        <v/>
      </c>
      <c r="C1000" s="4">
        <f>Data!C999</f>
        <v/>
      </c>
      <c r="D1000" s="4">
        <f>Data!I999</f>
        <v/>
      </c>
      <c r="E1000" s="4">
        <f>Data!J999</f>
        <v/>
      </c>
      <c r="F1000" s="4">
        <f>Data!H999</f>
        <v/>
      </c>
      <c r="G1000" s="4">
        <f>SUM(Data!Q999:Data!Y999)</f>
        <v/>
      </c>
      <c r="H1000" s="4">
        <f>Data!Z999</f>
        <v/>
      </c>
      <c r="I1000" s="4">
        <f>Data!AB999</f>
        <v/>
      </c>
      <c r="J1000" s="4">
        <f>Data!AD999</f>
        <v/>
      </c>
      <c r="K1000" s="4">
        <f>Data!AE999</f>
        <v/>
      </c>
      <c r="L1000" s="4">
        <f>Data!AF999</f>
        <v/>
      </c>
      <c r="M1000" s="4">
        <f>Data!AG999</f>
        <v/>
      </c>
      <c r="N1000" s="4">
        <f>Data!AH999</f>
        <v/>
      </c>
      <c r="O1000" s="4">
        <f>Data!AI999</f>
        <v/>
      </c>
      <c r="P1000" s="4">
        <f>Data!AJ999</f>
        <v/>
      </c>
      <c r="Q1000" s="4">
        <f>Data!AK999</f>
        <v/>
      </c>
      <c r="R1000" s="4">
        <f>Data!AL999</f>
        <v/>
      </c>
    </row>
    <row r="1001">
      <c r="A1001" s="4">
        <f>Data!A1000</f>
        <v/>
      </c>
      <c r="B1001" s="4">
        <f>Data!B1000</f>
        <v/>
      </c>
      <c r="C1001" s="4">
        <f>Data!C1000</f>
        <v/>
      </c>
      <c r="D1001" s="4">
        <f>Data!I1000</f>
        <v/>
      </c>
      <c r="E1001" s="4">
        <f>Data!J1000</f>
        <v/>
      </c>
      <c r="F1001" s="4">
        <f>Data!H1000</f>
        <v/>
      </c>
      <c r="G1001" s="4">
        <f>SUM(Data!Q1000:Data!Y1000)</f>
        <v/>
      </c>
      <c r="H1001" s="4">
        <f>Data!Z1000</f>
        <v/>
      </c>
      <c r="I1001" s="4">
        <f>Data!AB1000</f>
        <v/>
      </c>
      <c r="J1001" s="4">
        <f>Data!AD1000</f>
        <v/>
      </c>
      <c r="K1001" s="4">
        <f>Data!AE1000</f>
        <v/>
      </c>
      <c r="L1001" s="4">
        <f>Data!AF1000</f>
        <v/>
      </c>
      <c r="M1001" s="4">
        <f>Data!AG1000</f>
        <v/>
      </c>
      <c r="N1001" s="4">
        <f>Data!AH1000</f>
        <v/>
      </c>
      <c r="O1001" s="4">
        <f>Data!AI1000</f>
        <v/>
      </c>
      <c r="P1001" s="4">
        <f>Data!AJ1000</f>
        <v/>
      </c>
      <c r="Q1001" s="4">
        <f>Data!AK1000</f>
        <v/>
      </c>
      <c r="R1001" s="4">
        <f>Data!AL1000</f>
        <v/>
      </c>
    </row>
    <row r="1002">
      <c r="A1002" s="4">
        <f>Data!A1001</f>
        <v/>
      </c>
      <c r="B1002" s="4">
        <f>Data!B1001</f>
        <v/>
      </c>
      <c r="C1002" s="4">
        <f>Data!C1001</f>
        <v/>
      </c>
      <c r="D1002" s="4">
        <f>Data!I1001</f>
        <v/>
      </c>
      <c r="E1002" s="4">
        <f>Data!J1001</f>
        <v/>
      </c>
      <c r="F1002" s="4">
        <f>Data!H1001</f>
        <v/>
      </c>
      <c r="G1002" s="4">
        <f>SUM(Data!Q1001:Data!Y1001)</f>
        <v/>
      </c>
      <c r="H1002" s="4">
        <f>Data!Z1001</f>
        <v/>
      </c>
      <c r="I1002" s="4">
        <f>Data!AB1001</f>
        <v/>
      </c>
      <c r="J1002" s="4">
        <f>Data!AD1001</f>
        <v/>
      </c>
      <c r="K1002" s="4">
        <f>Data!AE1001</f>
        <v/>
      </c>
      <c r="L1002" s="4">
        <f>Data!AF1001</f>
        <v/>
      </c>
      <c r="M1002" s="4">
        <f>Data!AG1001</f>
        <v/>
      </c>
      <c r="N1002" s="4">
        <f>Data!AH1001</f>
        <v/>
      </c>
      <c r="O1002" s="4">
        <f>Data!AI1001</f>
        <v/>
      </c>
      <c r="P1002" s="4">
        <f>Data!AJ1001</f>
        <v/>
      </c>
      <c r="Q1002" s="4">
        <f>Data!AK1001</f>
        <v/>
      </c>
      <c r="R1002" s="4">
        <f>Data!AL1001</f>
        <v/>
      </c>
    </row>
    <row r="1003">
      <c r="A1003" s="4">
        <f>Data!A1002</f>
        <v/>
      </c>
      <c r="B1003" s="4">
        <f>Data!B1002</f>
        <v/>
      </c>
      <c r="C1003" s="4">
        <f>Data!C1002</f>
        <v/>
      </c>
      <c r="D1003" s="4">
        <f>Data!I1002</f>
        <v/>
      </c>
      <c r="E1003" s="4">
        <f>Data!J1002</f>
        <v/>
      </c>
      <c r="F1003" s="4">
        <f>Data!H1002</f>
        <v/>
      </c>
      <c r="G1003" s="4">
        <f>SUM(Data!Q1002:Data!Y1002)</f>
        <v/>
      </c>
      <c r="H1003" s="4">
        <f>Data!Z1002</f>
        <v/>
      </c>
      <c r="I1003" s="4">
        <f>Data!AB1002</f>
        <v/>
      </c>
      <c r="J1003" s="4">
        <f>Data!AD1002</f>
        <v/>
      </c>
      <c r="K1003" s="4">
        <f>Data!AE1002</f>
        <v/>
      </c>
      <c r="L1003" s="4">
        <f>Data!AF1002</f>
        <v/>
      </c>
      <c r="M1003" s="4">
        <f>Data!AG1002</f>
        <v/>
      </c>
      <c r="N1003" s="4">
        <f>Data!AH1002</f>
        <v/>
      </c>
      <c r="O1003" s="4">
        <f>Data!AI1002</f>
        <v/>
      </c>
      <c r="P1003" s="4">
        <f>Data!AJ1002</f>
        <v/>
      </c>
      <c r="Q1003" s="4">
        <f>Data!AK1002</f>
        <v/>
      </c>
      <c r="R1003" s="4">
        <f>Data!AL1002</f>
        <v/>
      </c>
    </row>
    <row r="1004">
      <c r="A1004" s="4">
        <f>Data!A1003</f>
        <v/>
      </c>
      <c r="B1004" s="4">
        <f>Data!B1003</f>
        <v/>
      </c>
      <c r="C1004" s="4">
        <f>Data!C1003</f>
        <v/>
      </c>
      <c r="D1004" s="4">
        <f>Data!I1003</f>
        <v/>
      </c>
      <c r="E1004" s="4">
        <f>Data!J1003</f>
        <v/>
      </c>
      <c r="F1004" s="4">
        <f>Data!H1003</f>
        <v/>
      </c>
      <c r="G1004" s="4">
        <f>SUM(Data!Q1003:Data!Y1003)</f>
        <v/>
      </c>
      <c r="H1004" s="4">
        <f>Data!Z1003</f>
        <v/>
      </c>
      <c r="I1004" s="4">
        <f>Data!AB1003</f>
        <v/>
      </c>
      <c r="J1004" s="4">
        <f>Data!AD1003</f>
        <v/>
      </c>
      <c r="K1004" s="4">
        <f>Data!AE1003</f>
        <v/>
      </c>
      <c r="L1004" s="4">
        <f>Data!AF1003</f>
        <v/>
      </c>
      <c r="M1004" s="4">
        <f>Data!AG1003</f>
        <v/>
      </c>
      <c r="N1004" s="4">
        <f>Data!AH1003</f>
        <v/>
      </c>
      <c r="O1004" s="4">
        <f>Data!AI1003</f>
        <v/>
      </c>
      <c r="P1004" s="4">
        <f>Data!AJ1003</f>
        <v/>
      </c>
      <c r="Q1004" s="4">
        <f>Data!AK1003</f>
        <v/>
      </c>
      <c r="R1004" s="4">
        <f>Data!AL1003</f>
        <v/>
      </c>
    </row>
    <row r="1005">
      <c r="A1005" s="4">
        <f>Data!A1004</f>
        <v/>
      </c>
      <c r="B1005" s="4">
        <f>Data!B1004</f>
        <v/>
      </c>
      <c r="C1005" s="4">
        <f>Data!C1004</f>
        <v/>
      </c>
      <c r="D1005" s="4">
        <f>Data!I1004</f>
        <v/>
      </c>
      <c r="E1005" s="4">
        <f>Data!J1004</f>
        <v/>
      </c>
      <c r="F1005" s="4">
        <f>Data!H1004</f>
        <v/>
      </c>
      <c r="G1005" s="4">
        <f>SUM(Data!Q1004:Data!Y1004)</f>
        <v/>
      </c>
      <c r="H1005" s="4">
        <f>Data!Z1004</f>
        <v/>
      </c>
      <c r="I1005" s="4">
        <f>Data!AB1004</f>
        <v/>
      </c>
      <c r="J1005" s="4">
        <f>Data!AD1004</f>
        <v/>
      </c>
      <c r="K1005" s="4">
        <f>Data!AE1004</f>
        <v/>
      </c>
      <c r="L1005" s="4">
        <f>Data!AF1004</f>
        <v/>
      </c>
      <c r="M1005" s="4">
        <f>Data!AG1004</f>
        <v/>
      </c>
      <c r="N1005" s="4">
        <f>Data!AH1004</f>
        <v/>
      </c>
      <c r="O1005" s="4">
        <f>Data!AI1004</f>
        <v/>
      </c>
      <c r="P1005" s="4">
        <f>Data!AJ1004</f>
        <v/>
      </c>
      <c r="Q1005" s="4">
        <f>Data!AK1004</f>
        <v/>
      </c>
      <c r="R1005" s="4">
        <f>Data!AL1004</f>
        <v/>
      </c>
    </row>
    <row r="1006">
      <c r="A1006" s="4">
        <f>Data!A1005</f>
        <v/>
      </c>
      <c r="B1006" s="4">
        <f>Data!B1005</f>
        <v/>
      </c>
      <c r="C1006" s="4">
        <f>Data!C1005</f>
        <v/>
      </c>
      <c r="D1006" s="4">
        <f>Data!I1005</f>
        <v/>
      </c>
      <c r="E1006" s="4">
        <f>Data!J1005</f>
        <v/>
      </c>
      <c r="F1006" s="4">
        <f>Data!H1005</f>
        <v/>
      </c>
      <c r="G1006" s="4">
        <f>SUM(Data!Q1005:Data!Y1005)</f>
        <v/>
      </c>
      <c r="H1006" s="4">
        <f>Data!Z1005</f>
        <v/>
      </c>
      <c r="I1006" s="4">
        <f>Data!AB1005</f>
        <v/>
      </c>
      <c r="J1006" s="4">
        <f>Data!AD1005</f>
        <v/>
      </c>
      <c r="K1006" s="4">
        <f>Data!AE1005</f>
        <v/>
      </c>
      <c r="L1006" s="4">
        <f>Data!AF1005</f>
        <v/>
      </c>
      <c r="M1006" s="4">
        <f>Data!AG1005</f>
        <v/>
      </c>
      <c r="N1006" s="4">
        <f>Data!AH1005</f>
        <v/>
      </c>
      <c r="O1006" s="4">
        <f>Data!AI1005</f>
        <v/>
      </c>
      <c r="P1006" s="4">
        <f>Data!AJ1005</f>
        <v/>
      </c>
      <c r="Q1006" s="4">
        <f>Data!AK1005</f>
        <v/>
      </c>
      <c r="R1006" s="4">
        <f>Data!AL1005</f>
        <v/>
      </c>
    </row>
    <row r="1007">
      <c r="A1007" s="4">
        <f>Data!A1006</f>
        <v/>
      </c>
      <c r="B1007" s="4">
        <f>Data!B1006</f>
        <v/>
      </c>
      <c r="C1007" s="4">
        <f>Data!C1006</f>
        <v/>
      </c>
      <c r="D1007" s="4">
        <f>Data!I1006</f>
        <v/>
      </c>
      <c r="E1007" s="4">
        <f>Data!J1006</f>
        <v/>
      </c>
      <c r="F1007" s="4">
        <f>Data!H1006</f>
        <v/>
      </c>
      <c r="G1007" s="4">
        <f>SUM(Data!Q1006:Data!Y1006)</f>
        <v/>
      </c>
      <c r="H1007" s="4">
        <f>Data!Z1006</f>
        <v/>
      </c>
      <c r="I1007" s="4">
        <f>Data!AB1006</f>
        <v/>
      </c>
      <c r="J1007" s="4">
        <f>Data!AD1006</f>
        <v/>
      </c>
      <c r="K1007" s="4">
        <f>Data!AE1006</f>
        <v/>
      </c>
      <c r="L1007" s="4">
        <f>Data!AF1006</f>
        <v/>
      </c>
      <c r="M1007" s="4">
        <f>Data!AG1006</f>
        <v/>
      </c>
      <c r="N1007" s="4">
        <f>Data!AH1006</f>
        <v/>
      </c>
      <c r="O1007" s="4">
        <f>Data!AI1006</f>
        <v/>
      </c>
      <c r="P1007" s="4">
        <f>Data!AJ1006</f>
        <v/>
      </c>
      <c r="Q1007" s="4">
        <f>Data!AK1006</f>
        <v/>
      </c>
      <c r="R1007" s="4">
        <f>Data!AL1006</f>
        <v/>
      </c>
    </row>
    <row r="1008">
      <c r="A1008" s="4">
        <f>Data!A1007</f>
        <v/>
      </c>
      <c r="B1008" s="4">
        <f>Data!B1007</f>
        <v/>
      </c>
      <c r="C1008" s="4">
        <f>Data!C1007</f>
        <v/>
      </c>
      <c r="D1008" s="4">
        <f>Data!I1007</f>
        <v/>
      </c>
      <c r="E1008" s="4">
        <f>Data!J1007</f>
        <v/>
      </c>
      <c r="F1008" s="4">
        <f>Data!H1007</f>
        <v/>
      </c>
      <c r="G1008" s="4">
        <f>SUM(Data!Q1007:Data!Y1007)</f>
        <v/>
      </c>
      <c r="H1008" s="4">
        <f>Data!Z1007</f>
        <v/>
      </c>
      <c r="I1008" s="4">
        <f>Data!AB1007</f>
        <v/>
      </c>
      <c r="J1008" s="4">
        <f>Data!AD1007</f>
        <v/>
      </c>
      <c r="K1008" s="4">
        <f>Data!AE1007</f>
        <v/>
      </c>
      <c r="L1008" s="4">
        <f>Data!AF1007</f>
        <v/>
      </c>
      <c r="M1008" s="4">
        <f>Data!AG1007</f>
        <v/>
      </c>
      <c r="N1008" s="4">
        <f>Data!AH1007</f>
        <v/>
      </c>
      <c r="O1008" s="4">
        <f>Data!AI1007</f>
        <v/>
      </c>
      <c r="P1008" s="4">
        <f>Data!AJ1007</f>
        <v/>
      </c>
      <c r="Q1008" s="4">
        <f>Data!AK1007</f>
        <v/>
      </c>
      <c r="R1008" s="4">
        <f>Data!AL1007</f>
        <v/>
      </c>
    </row>
    <row r="1009">
      <c r="A1009" s="4">
        <f>Data!A1008</f>
        <v/>
      </c>
      <c r="B1009" s="4">
        <f>Data!B1008</f>
        <v/>
      </c>
      <c r="C1009" s="4">
        <f>Data!C1008</f>
        <v/>
      </c>
      <c r="D1009" s="4">
        <f>Data!I1008</f>
        <v/>
      </c>
      <c r="E1009" s="4">
        <f>Data!J1008</f>
        <v/>
      </c>
      <c r="F1009" s="4">
        <f>Data!H1008</f>
        <v/>
      </c>
      <c r="G1009" s="4">
        <f>SUM(Data!Q1008:Data!Y1008)</f>
        <v/>
      </c>
      <c r="H1009" s="4">
        <f>Data!Z1008</f>
        <v/>
      </c>
      <c r="I1009" s="4">
        <f>Data!AB1008</f>
        <v/>
      </c>
      <c r="J1009" s="4">
        <f>Data!AD1008</f>
        <v/>
      </c>
      <c r="K1009" s="4">
        <f>Data!AE1008</f>
        <v/>
      </c>
      <c r="L1009" s="4">
        <f>Data!AF1008</f>
        <v/>
      </c>
      <c r="M1009" s="4">
        <f>Data!AG1008</f>
        <v/>
      </c>
      <c r="N1009" s="4">
        <f>Data!AH1008</f>
        <v/>
      </c>
      <c r="O1009" s="4">
        <f>Data!AI1008</f>
        <v/>
      </c>
      <c r="P1009" s="4">
        <f>Data!AJ1008</f>
        <v/>
      </c>
      <c r="Q1009" s="4">
        <f>Data!AK1008</f>
        <v/>
      </c>
      <c r="R1009" s="4">
        <f>Data!AL1008</f>
        <v/>
      </c>
    </row>
    <row r="1010">
      <c r="A1010" s="4">
        <f>Data!A1009</f>
        <v/>
      </c>
      <c r="B1010" s="4">
        <f>Data!B1009</f>
        <v/>
      </c>
      <c r="C1010" s="4">
        <f>Data!C1009</f>
        <v/>
      </c>
      <c r="D1010" s="4">
        <f>Data!I1009</f>
        <v/>
      </c>
      <c r="E1010" s="4">
        <f>Data!J1009</f>
        <v/>
      </c>
      <c r="F1010" s="4">
        <f>Data!H1009</f>
        <v/>
      </c>
      <c r="G1010" s="4">
        <f>SUM(Data!Q1009:Data!Y1009)</f>
        <v/>
      </c>
      <c r="H1010" s="4">
        <f>Data!Z1009</f>
        <v/>
      </c>
      <c r="I1010" s="4">
        <f>Data!AB1009</f>
        <v/>
      </c>
      <c r="J1010" s="4">
        <f>Data!AD1009</f>
        <v/>
      </c>
      <c r="K1010" s="4">
        <f>Data!AE1009</f>
        <v/>
      </c>
      <c r="L1010" s="4">
        <f>Data!AF1009</f>
        <v/>
      </c>
      <c r="M1010" s="4">
        <f>Data!AG1009</f>
        <v/>
      </c>
      <c r="N1010" s="4">
        <f>Data!AH1009</f>
        <v/>
      </c>
      <c r="O1010" s="4">
        <f>Data!AI1009</f>
        <v/>
      </c>
      <c r="P1010" s="4">
        <f>Data!AJ1009</f>
        <v/>
      </c>
      <c r="Q1010" s="4">
        <f>Data!AK1009</f>
        <v/>
      </c>
      <c r="R1010" s="4">
        <f>Data!AL1009</f>
        <v/>
      </c>
    </row>
    <row r="1011">
      <c r="A1011" s="4">
        <f>Data!A1010</f>
        <v/>
      </c>
      <c r="B1011" s="4">
        <f>Data!B1010</f>
        <v/>
      </c>
      <c r="C1011" s="4">
        <f>Data!C1010</f>
        <v/>
      </c>
      <c r="D1011" s="4">
        <f>Data!I1010</f>
        <v/>
      </c>
      <c r="E1011" s="4">
        <f>Data!J1010</f>
        <v/>
      </c>
      <c r="F1011" s="4">
        <f>Data!H1010</f>
        <v/>
      </c>
      <c r="G1011" s="4">
        <f>SUM(Data!Q1010:Data!Y1010)</f>
        <v/>
      </c>
      <c r="H1011" s="4">
        <f>Data!Z1010</f>
        <v/>
      </c>
      <c r="I1011" s="4">
        <f>Data!AB1010</f>
        <v/>
      </c>
      <c r="J1011" s="4">
        <f>Data!AD1010</f>
        <v/>
      </c>
      <c r="K1011" s="4">
        <f>Data!AE1010</f>
        <v/>
      </c>
      <c r="L1011" s="4">
        <f>Data!AF1010</f>
        <v/>
      </c>
      <c r="M1011" s="4">
        <f>Data!AG1010</f>
        <v/>
      </c>
      <c r="N1011" s="4">
        <f>Data!AH1010</f>
        <v/>
      </c>
      <c r="O1011" s="4">
        <f>Data!AI1010</f>
        <v/>
      </c>
      <c r="P1011" s="4">
        <f>Data!AJ1010</f>
        <v/>
      </c>
      <c r="Q1011" s="4">
        <f>Data!AK1010</f>
        <v/>
      </c>
      <c r="R1011" s="4">
        <f>Data!AL1010</f>
        <v/>
      </c>
    </row>
    <row r="1012">
      <c r="A1012" s="4">
        <f>Data!A1011</f>
        <v/>
      </c>
      <c r="B1012" s="4">
        <f>Data!B1011</f>
        <v/>
      </c>
      <c r="C1012" s="4">
        <f>Data!C1011</f>
        <v/>
      </c>
      <c r="D1012" s="4">
        <f>Data!I1011</f>
        <v/>
      </c>
      <c r="E1012" s="4">
        <f>Data!J1011</f>
        <v/>
      </c>
      <c r="F1012" s="4">
        <f>Data!H1011</f>
        <v/>
      </c>
      <c r="G1012" s="4">
        <f>SUM(Data!Q1011:Data!Y1011)</f>
        <v/>
      </c>
      <c r="H1012" s="4">
        <f>Data!Z1011</f>
        <v/>
      </c>
      <c r="I1012" s="4">
        <f>Data!AB1011</f>
        <v/>
      </c>
      <c r="J1012" s="4">
        <f>Data!AD1011</f>
        <v/>
      </c>
      <c r="K1012" s="4">
        <f>Data!AE1011</f>
        <v/>
      </c>
      <c r="L1012" s="4">
        <f>Data!AF1011</f>
        <v/>
      </c>
      <c r="M1012" s="4">
        <f>Data!AG1011</f>
        <v/>
      </c>
      <c r="N1012" s="4">
        <f>Data!AH1011</f>
        <v/>
      </c>
      <c r="O1012" s="4">
        <f>Data!AI1011</f>
        <v/>
      </c>
      <c r="P1012" s="4">
        <f>Data!AJ1011</f>
        <v/>
      </c>
      <c r="Q1012" s="4">
        <f>Data!AK1011</f>
        <v/>
      </c>
      <c r="R1012" s="4">
        <f>Data!AL1011</f>
        <v/>
      </c>
    </row>
    <row r="1013">
      <c r="A1013" s="4">
        <f>Data!A1012</f>
        <v/>
      </c>
      <c r="B1013" s="4">
        <f>Data!B1012</f>
        <v/>
      </c>
      <c r="C1013" s="4">
        <f>Data!C1012</f>
        <v/>
      </c>
      <c r="D1013" s="4">
        <f>Data!I1012</f>
        <v/>
      </c>
      <c r="E1013" s="4">
        <f>Data!J1012</f>
        <v/>
      </c>
      <c r="F1013" s="4">
        <f>Data!H1012</f>
        <v/>
      </c>
      <c r="G1013" s="4">
        <f>SUM(Data!Q1012:Data!Y1012)</f>
        <v/>
      </c>
      <c r="H1013" s="4">
        <f>Data!Z1012</f>
        <v/>
      </c>
      <c r="I1013" s="4">
        <f>Data!AB1012</f>
        <v/>
      </c>
      <c r="J1013" s="4">
        <f>Data!AD1012</f>
        <v/>
      </c>
      <c r="K1013" s="4">
        <f>Data!AE1012</f>
        <v/>
      </c>
      <c r="L1013" s="4">
        <f>Data!AF1012</f>
        <v/>
      </c>
      <c r="M1013" s="4">
        <f>Data!AG1012</f>
        <v/>
      </c>
      <c r="N1013" s="4">
        <f>Data!AH1012</f>
        <v/>
      </c>
      <c r="O1013" s="4">
        <f>Data!AI1012</f>
        <v/>
      </c>
      <c r="P1013" s="4">
        <f>Data!AJ1012</f>
        <v/>
      </c>
      <c r="Q1013" s="4">
        <f>Data!AK1012</f>
        <v/>
      </c>
      <c r="R1013" s="4">
        <f>Data!AL1012</f>
        <v/>
      </c>
    </row>
    <row r="1014">
      <c r="A1014" s="4">
        <f>Data!A1013</f>
        <v/>
      </c>
      <c r="B1014" s="4">
        <f>Data!B1013</f>
        <v/>
      </c>
      <c r="C1014" s="4">
        <f>Data!C1013</f>
        <v/>
      </c>
      <c r="D1014" s="4">
        <f>Data!I1013</f>
        <v/>
      </c>
      <c r="E1014" s="4">
        <f>Data!J1013</f>
        <v/>
      </c>
      <c r="F1014" s="4">
        <f>Data!H1013</f>
        <v/>
      </c>
      <c r="G1014" s="4">
        <f>SUM(Data!Q1013:Data!Y1013)</f>
        <v/>
      </c>
      <c r="H1014" s="4">
        <f>Data!Z1013</f>
        <v/>
      </c>
      <c r="I1014" s="4">
        <f>Data!AB1013</f>
        <v/>
      </c>
      <c r="J1014" s="4">
        <f>Data!AD1013</f>
        <v/>
      </c>
      <c r="K1014" s="4">
        <f>Data!AE1013</f>
        <v/>
      </c>
      <c r="L1014" s="4">
        <f>Data!AF1013</f>
        <v/>
      </c>
      <c r="M1014" s="4">
        <f>Data!AG1013</f>
        <v/>
      </c>
      <c r="N1014" s="4">
        <f>Data!AH1013</f>
        <v/>
      </c>
      <c r="O1014" s="4">
        <f>Data!AI1013</f>
        <v/>
      </c>
      <c r="P1014" s="4">
        <f>Data!AJ1013</f>
        <v/>
      </c>
      <c r="Q1014" s="4">
        <f>Data!AK1013</f>
        <v/>
      </c>
      <c r="R1014" s="4">
        <f>Data!AL1013</f>
        <v/>
      </c>
    </row>
    <row r="1015">
      <c r="A1015" s="4">
        <f>Data!A1014</f>
        <v/>
      </c>
      <c r="B1015" s="4">
        <f>Data!B1014</f>
        <v/>
      </c>
      <c r="C1015" s="4">
        <f>Data!C1014</f>
        <v/>
      </c>
      <c r="D1015" s="4">
        <f>Data!I1014</f>
        <v/>
      </c>
      <c r="E1015" s="4">
        <f>Data!J1014</f>
        <v/>
      </c>
      <c r="F1015" s="4">
        <f>Data!H1014</f>
        <v/>
      </c>
      <c r="G1015" s="4">
        <f>SUM(Data!Q1014:Data!Y1014)</f>
        <v/>
      </c>
      <c r="H1015" s="4">
        <f>Data!Z1014</f>
        <v/>
      </c>
      <c r="I1015" s="4">
        <f>Data!AB1014</f>
        <v/>
      </c>
      <c r="J1015" s="4">
        <f>Data!AD1014</f>
        <v/>
      </c>
      <c r="K1015" s="4">
        <f>Data!AE1014</f>
        <v/>
      </c>
      <c r="L1015" s="4">
        <f>Data!AF1014</f>
        <v/>
      </c>
      <c r="M1015" s="4">
        <f>Data!AG1014</f>
        <v/>
      </c>
      <c r="N1015" s="4">
        <f>Data!AH1014</f>
        <v/>
      </c>
      <c r="O1015" s="4">
        <f>Data!AI1014</f>
        <v/>
      </c>
      <c r="P1015" s="4">
        <f>Data!AJ1014</f>
        <v/>
      </c>
      <c r="Q1015" s="4">
        <f>Data!AK1014</f>
        <v/>
      </c>
      <c r="R1015" s="4">
        <f>Data!AL1014</f>
        <v/>
      </c>
    </row>
    <row r="1016">
      <c r="A1016" s="4">
        <f>Data!A1015</f>
        <v/>
      </c>
      <c r="B1016" s="4">
        <f>Data!B1015</f>
        <v/>
      </c>
      <c r="C1016" s="4">
        <f>Data!C1015</f>
        <v/>
      </c>
      <c r="D1016" s="4">
        <f>Data!I1015</f>
        <v/>
      </c>
      <c r="E1016" s="4">
        <f>Data!J1015</f>
        <v/>
      </c>
      <c r="F1016" s="4">
        <f>Data!H1015</f>
        <v/>
      </c>
      <c r="G1016" s="4">
        <f>SUM(Data!Q1015:Data!Y1015)</f>
        <v/>
      </c>
      <c r="H1016" s="4">
        <f>Data!Z1015</f>
        <v/>
      </c>
      <c r="I1016" s="4">
        <f>Data!AB1015</f>
        <v/>
      </c>
      <c r="J1016" s="4">
        <f>Data!AD1015</f>
        <v/>
      </c>
      <c r="K1016" s="4">
        <f>Data!AE1015</f>
        <v/>
      </c>
      <c r="L1016" s="4">
        <f>Data!AF1015</f>
        <v/>
      </c>
      <c r="M1016" s="4">
        <f>Data!AG1015</f>
        <v/>
      </c>
      <c r="N1016" s="4">
        <f>Data!AH1015</f>
        <v/>
      </c>
      <c r="O1016" s="4">
        <f>Data!AI1015</f>
        <v/>
      </c>
      <c r="P1016" s="4">
        <f>Data!AJ1015</f>
        <v/>
      </c>
      <c r="Q1016" s="4">
        <f>Data!AK1015</f>
        <v/>
      </c>
      <c r="R1016" s="4">
        <f>Data!AL1015</f>
        <v/>
      </c>
    </row>
    <row r="1017">
      <c r="A1017" s="4">
        <f>Data!A1016</f>
        <v/>
      </c>
      <c r="B1017" s="4">
        <f>Data!B1016</f>
        <v/>
      </c>
      <c r="C1017" s="4">
        <f>Data!C1016</f>
        <v/>
      </c>
      <c r="D1017" s="4">
        <f>Data!I1016</f>
        <v/>
      </c>
      <c r="E1017" s="4">
        <f>Data!J1016</f>
        <v/>
      </c>
      <c r="F1017" s="4">
        <f>Data!H1016</f>
        <v/>
      </c>
      <c r="G1017" s="4">
        <f>SUM(Data!Q1016:Data!Y1016)</f>
        <v/>
      </c>
      <c r="H1017" s="4">
        <f>Data!Z1016</f>
        <v/>
      </c>
      <c r="I1017" s="4">
        <f>Data!AB1016</f>
        <v/>
      </c>
      <c r="J1017" s="4">
        <f>Data!AD1016</f>
        <v/>
      </c>
      <c r="K1017" s="4">
        <f>Data!AE1016</f>
        <v/>
      </c>
      <c r="L1017" s="4">
        <f>Data!AF1016</f>
        <v/>
      </c>
      <c r="M1017" s="4">
        <f>Data!AG1016</f>
        <v/>
      </c>
      <c r="N1017" s="4">
        <f>Data!AH1016</f>
        <v/>
      </c>
      <c r="O1017" s="4">
        <f>Data!AI1016</f>
        <v/>
      </c>
      <c r="P1017" s="4">
        <f>Data!AJ1016</f>
        <v/>
      </c>
      <c r="Q1017" s="4">
        <f>Data!AK1016</f>
        <v/>
      </c>
      <c r="R1017" s="4">
        <f>Data!AL1016</f>
        <v/>
      </c>
    </row>
    <row r="1018">
      <c r="A1018" s="4">
        <f>Data!A1017</f>
        <v/>
      </c>
      <c r="B1018" s="4">
        <f>Data!B1017</f>
        <v/>
      </c>
      <c r="C1018" s="4">
        <f>Data!C1017</f>
        <v/>
      </c>
      <c r="D1018" s="4">
        <f>Data!I1017</f>
        <v/>
      </c>
      <c r="E1018" s="4">
        <f>Data!J1017</f>
        <v/>
      </c>
      <c r="F1018" s="4">
        <f>Data!H1017</f>
        <v/>
      </c>
      <c r="G1018" s="4">
        <f>SUM(Data!Q1017:Data!Y1017)</f>
        <v/>
      </c>
      <c r="H1018" s="4">
        <f>Data!Z1017</f>
        <v/>
      </c>
      <c r="I1018" s="4">
        <f>Data!AB1017</f>
        <v/>
      </c>
      <c r="J1018" s="4">
        <f>Data!AD1017</f>
        <v/>
      </c>
      <c r="K1018" s="4">
        <f>Data!AE1017</f>
        <v/>
      </c>
      <c r="L1018" s="4">
        <f>Data!AF1017</f>
        <v/>
      </c>
      <c r="M1018" s="4">
        <f>Data!AG1017</f>
        <v/>
      </c>
      <c r="N1018" s="4">
        <f>Data!AH1017</f>
        <v/>
      </c>
      <c r="O1018" s="4">
        <f>Data!AI1017</f>
        <v/>
      </c>
      <c r="P1018" s="4">
        <f>Data!AJ1017</f>
        <v/>
      </c>
      <c r="Q1018" s="4">
        <f>Data!AK1017</f>
        <v/>
      </c>
      <c r="R1018" s="4">
        <f>Data!AL1017</f>
        <v/>
      </c>
    </row>
    <row r="1019">
      <c r="A1019" s="4">
        <f>Data!A1018</f>
        <v/>
      </c>
      <c r="B1019" s="4">
        <f>Data!B1018</f>
        <v/>
      </c>
      <c r="C1019" s="4">
        <f>Data!C1018</f>
        <v/>
      </c>
      <c r="D1019" s="4">
        <f>Data!I1018</f>
        <v/>
      </c>
      <c r="E1019" s="4">
        <f>Data!J1018</f>
        <v/>
      </c>
      <c r="F1019" s="4">
        <f>Data!H1018</f>
        <v/>
      </c>
      <c r="G1019" s="4">
        <f>SUM(Data!Q1018:Data!Y1018)</f>
        <v/>
      </c>
      <c r="H1019" s="4">
        <f>Data!Z1018</f>
        <v/>
      </c>
      <c r="I1019" s="4">
        <f>Data!AB1018</f>
        <v/>
      </c>
      <c r="J1019" s="4">
        <f>Data!AD1018</f>
        <v/>
      </c>
      <c r="K1019" s="4">
        <f>Data!AE1018</f>
        <v/>
      </c>
      <c r="L1019" s="4">
        <f>Data!AF1018</f>
        <v/>
      </c>
      <c r="M1019" s="4">
        <f>Data!AG1018</f>
        <v/>
      </c>
      <c r="N1019" s="4">
        <f>Data!AH1018</f>
        <v/>
      </c>
      <c r="O1019" s="4">
        <f>Data!AI1018</f>
        <v/>
      </c>
      <c r="P1019" s="4">
        <f>Data!AJ1018</f>
        <v/>
      </c>
      <c r="Q1019" s="4">
        <f>Data!AK1018</f>
        <v/>
      </c>
      <c r="R1019" s="4">
        <f>Data!AL1018</f>
        <v/>
      </c>
    </row>
    <row r="1020">
      <c r="A1020" s="4">
        <f>Data!A1019</f>
        <v/>
      </c>
      <c r="B1020" s="4">
        <f>Data!B1019</f>
        <v/>
      </c>
      <c r="C1020" s="4">
        <f>Data!C1019</f>
        <v/>
      </c>
      <c r="D1020" s="4">
        <f>Data!I1019</f>
        <v/>
      </c>
      <c r="E1020" s="4">
        <f>Data!J1019</f>
        <v/>
      </c>
      <c r="F1020" s="4">
        <f>Data!H1019</f>
        <v/>
      </c>
      <c r="G1020" s="4">
        <f>SUM(Data!Q1019:Data!Y1019)</f>
        <v/>
      </c>
      <c r="H1020" s="4">
        <f>Data!Z1019</f>
        <v/>
      </c>
      <c r="I1020" s="4">
        <f>Data!AB1019</f>
        <v/>
      </c>
      <c r="J1020" s="4">
        <f>Data!AD1019</f>
        <v/>
      </c>
      <c r="K1020" s="4">
        <f>Data!AE1019</f>
        <v/>
      </c>
      <c r="L1020" s="4">
        <f>Data!AF1019</f>
        <v/>
      </c>
      <c r="M1020" s="4">
        <f>Data!AG1019</f>
        <v/>
      </c>
      <c r="N1020" s="4">
        <f>Data!AH1019</f>
        <v/>
      </c>
      <c r="O1020" s="4">
        <f>Data!AI1019</f>
        <v/>
      </c>
      <c r="P1020" s="4">
        <f>Data!AJ1019</f>
        <v/>
      </c>
      <c r="Q1020" s="4">
        <f>Data!AK1019</f>
        <v/>
      </c>
      <c r="R1020" s="4">
        <f>Data!AL1019</f>
        <v/>
      </c>
    </row>
    <row r="1021">
      <c r="A1021" s="4">
        <f>Data!A1020</f>
        <v/>
      </c>
      <c r="B1021" s="4">
        <f>Data!B1020</f>
        <v/>
      </c>
      <c r="C1021" s="4">
        <f>Data!C1020</f>
        <v/>
      </c>
      <c r="D1021" s="4">
        <f>Data!I1020</f>
        <v/>
      </c>
      <c r="E1021" s="4">
        <f>Data!J1020</f>
        <v/>
      </c>
      <c r="F1021" s="4">
        <f>Data!H1020</f>
        <v/>
      </c>
      <c r="G1021" s="4">
        <f>SUM(Data!Q1020:Data!Y1020)</f>
        <v/>
      </c>
      <c r="H1021" s="4">
        <f>Data!Z1020</f>
        <v/>
      </c>
      <c r="I1021" s="4">
        <f>Data!AB1020</f>
        <v/>
      </c>
      <c r="J1021" s="4">
        <f>Data!AD1020</f>
        <v/>
      </c>
      <c r="K1021" s="4">
        <f>Data!AE1020</f>
        <v/>
      </c>
      <c r="L1021" s="4">
        <f>Data!AF1020</f>
        <v/>
      </c>
      <c r="M1021" s="4">
        <f>Data!AG1020</f>
        <v/>
      </c>
      <c r="N1021" s="4">
        <f>Data!AH1020</f>
        <v/>
      </c>
      <c r="O1021" s="4">
        <f>Data!AI1020</f>
        <v/>
      </c>
      <c r="P1021" s="4">
        <f>Data!AJ1020</f>
        <v/>
      </c>
      <c r="Q1021" s="4">
        <f>Data!AK1020</f>
        <v/>
      </c>
      <c r="R1021" s="4">
        <f>Data!AL1020</f>
        <v/>
      </c>
    </row>
    <row r="1022">
      <c r="A1022" s="4">
        <f>Data!A1021</f>
        <v/>
      </c>
      <c r="B1022" s="4">
        <f>Data!B1021</f>
        <v/>
      </c>
      <c r="C1022" s="4">
        <f>Data!C1021</f>
        <v/>
      </c>
      <c r="D1022" s="4">
        <f>Data!I1021</f>
        <v/>
      </c>
      <c r="E1022" s="4">
        <f>Data!J1021</f>
        <v/>
      </c>
      <c r="F1022" s="4">
        <f>Data!H1021</f>
        <v/>
      </c>
      <c r="G1022" s="4">
        <f>SUM(Data!Q1021:Data!Y1021)</f>
        <v/>
      </c>
      <c r="H1022" s="4">
        <f>Data!Z1021</f>
        <v/>
      </c>
      <c r="I1022" s="4">
        <f>Data!AB1021</f>
        <v/>
      </c>
      <c r="J1022" s="4">
        <f>Data!AD1021</f>
        <v/>
      </c>
      <c r="K1022" s="4">
        <f>Data!AE1021</f>
        <v/>
      </c>
      <c r="L1022" s="4">
        <f>Data!AF1021</f>
        <v/>
      </c>
      <c r="M1022" s="4">
        <f>Data!AG1021</f>
        <v/>
      </c>
      <c r="N1022" s="4">
        <f>Data!AH1021</f>
        <v/>
      </c>
      <c r="O1022" s="4">
        <f>Data!AI1021</f>
        <v/>
      </c>
      <c r="P1022" s="4">
        <f>Data!AJ1021</f>
        <v/>
      </c>
      <c r="Q1022" s="4">
        <f>Data!AK1021</f>
        <v/>
      </c>
      <c r="R1022" s="4">
        <f>Data!AL1021</f>
        <v/>
      </c>
    </row>
    <row r="1023">
      <c r="A1023" s="4">
        <f>Data!A1022</f>
        <v/>
      </c>
      <c r="B1023" s="4">
        <f>Data!B1022</f>
        <v/>
      </c>
      <c r="C1023" s="4">
        <f>Data!C1022</f>
        <v/>
      </c>
      <c r="D1023" s="4">
        <f>Data!I1022</f>
        <v/>
      </c>
      <c r="E1023" s="4">
        <f>Data!J1022</f>
        <v/>
      </c>
      <c r="F1023" s="4">
        <f>Data!H1022</f>
        <v/>
      </c>
      <c r="G1023" s="4">
        <f>SUM(Data!Q1022:Data!Y1022)</f>
        <v/>
      </c>
      <c r="H1023" s="4">
        <f>Data!Z1022</f>
        <v/>
      </c>
      <c r="I1023" s="4">
        <f>Data!AB1022</f>
        <v/>
      </c>
      <c r="J1023" s="4">
        <f>Data!AD1022</f>
        <v/>
      </c>
      <c r="K1023" s="4">
        <f>Data!AE1022</f>
        <v/>
      </c>
      <c r="L1023" s="4">
        <f>Data!AF1022</f>
        <v/>
      </c>
      <c r="M1023" s="4">
        <f>Data!AG1022</f>
        <v/>
      </c>
      <c r="N1023" s="4">
        <f>Data!AH1022</f>
        <v/>
      </c>
      <c r="O1023" s="4">
        <f>Data!AI1022</f>
        <v/>
      </c>
      <c r="P1023" s="4">
        <f>Data!AJ1022</f>
        <v/>
      </c>
      <c r="Q1023" s="4">
        <f>Data!AK1022</f>
        <v/>
      </c>
      <c r="R1023" s="4">
        <f>Data!AL1022</f>
        <v/>
      </c>
    </row>
    <row r="1024">
      <c r="A1024" s="4">
        <f>Data!A1023</f>
        <v/>
      </c>
      <c r="B1024" s="4">
        <f>Data!B1023</f>
        <v/>
      </c>
      <c r="C1024" s="4">
        <f>Data!C1023</f>
        <v/>
      </c>
      <c r="D1024" s="4">
        <f>Data!I1023</f>
        <v/>
      </c>
      <c r="E1024" s="4">
        <f>Data!J1023</f>
        <v/>
      </c>
      <c r="F1024" s="4">
        <f>Data!H1023</f>
        <v/>
      </c>
      <c r="G1024" s="4">
        <f>SUM(Data!Q1023:Data!Y1023)</f>
        <v/>
      </c>
      <c r="H1024" s="4">
        <f>Data!Z1023</f>
        <v/>
      </c>
      <c r="I1024" s="4">
        <f>Data!AB1023</f>
        <v/>
      </c>
      <c r="J1024" s="4">
        <f>Data!AD1023</f>
        <v/>
      </c>
      <c r="K1024" s="4">
        <f>Data!AE1023</f>
        <v/>
      </c>
      <c r="L1024" s="4">
        <f>Data!AF1023</f>
        <v/>
      </c>
      <c r="M1024" s="4">
        <f>Data!AG1023</f>
        <v/>
      </c>
      <c r="N1024" s="4">
        <f>Data!AH1023</f>
        <v/>
      </c>
      <c r="O1024" s="4">
        <f>Data!AI1023</f>
        <v/>
      </c>
      <c r="P1024" s="4">
        <f>Data!AJ1023</f>
        <v/>
      </c>
      <c r="Q1024" s="4">
        <f>Data!AK1023</f>
        <v/>
      </c>
      <c r="R1024" s="4">
        <f>Data!AL1023</f>
        <v/>
      </c>
    </row>
    <row r="1025">
      <c r="A1025" s="4">
        <f>Data!A1024</f>
        <v/>
      </c>
      <c r="B1025" s="4">
        <f>Data!B1024</f>
        <v/>
      </c>
      <c r="C1025" s="4">
        <f>Data!C1024</f>
        <v/>
      </c>
      <c r="D1025" s="4">
        <f>Data!I1024</f>
        <v/>
      </c>
      <c r="E1025" s="4">
        <f>Data!J1024</f>
        <v/>
      </c>
      <c r="F1025" s="4">
        <f>Data!H1024</f>
        <v/>
      </c>
      <c r="G1025" s="4">
        <f>SUM(Data!Q1024:Data!Y1024)</f>
        <v/>
      </c>
      <c r="H1025" s="4">
        <f>Data!Z1024</f>
        <v/>
      </c>
      <c r="I1025" s="4">
        <f>Data!AB1024</f>
        <v/>
      </c>
      <c r="J1025" s="4">
        <f>Data!AD1024</f>
        <v/>
      </c>
      <c r="K1025" s="4">
        <f>Data!AE1024</f>
        <v/>
      </c>
      <c r="L1025" s="4">
        <f>Data!AF1024</f>
        <v/>
      </c>
      <c r="M1025" s="4">
        <f>Data!AG1024</f>
        <v/>
      </c>
      <c r="N1025" s="4">
        <f>Data!AH1024</f>
        <v/>
      </c>
      <c r="O1025" s="4">
        <f>Data!AI1024</f>
        <v/>
      </c>
      <c r="P1025" s="4">
        <f>Data!AJ1024</f>
        <v/>
      </c>
      <c r="Q1025" s="4">
        <f>Data!AK1024</f>
        <v/>
      </c>
      <c r="R1025" s="4">
        <f>Data!AL1024</f>
        <v/>
      </c>
    </row>
    <row r="1026">
      <c r="A1026" s="4">
        <f>Data!A1025</f>
        <v/>
      </c>
      <c r="B1026" s="4">
        <f>Data!B1025</f>
        <v/>
      </c>
      <c r="C1026" s="4">
        <f>Data!C1025</f>
        <v/>
      </c>
      <c r="D1026" s="4">
        <f>Data!I1025</f>
        <v/>
      </c>
      <c r="E1026" s="4">
        <f>Data!J1025</f>
        <v/>
      </c>
      <c r="F1026" s="4">
        <f>Data!H1025</f>
        <v/>
      </c>
      <c r="G1026" s="4">
        <f>SUM(Data!Q1025:Data!Y1025)</f>
        <v/>
      </c>
      <c r="H1026" s="4">
        <f>Data!Z1025</f>
        <v/>
      </c>
      <c r="I1026" s="4">
        <f>Data!AB1025</f>
        <v/>
      </c>
      <c r="J1026" s="4">
        <f>Data!AD1025</f>
        <v/>
      </c>
      <c r="K1026" s="4">
        <f>Data!AE1025</f>
        <v/>
      </c>
      <c r="L1026" s="4">
        <f>Data!AF1025</f>
        <v/>
      </c>
      <c r="M1026" s="4">
        <f>Data!AG1025</f>
        <v/>
      </c>
      <c r="N1026" s="4">
        <f>Data!AH1025</f>
        <v/>
      </c>
      <c r="O1026" s="4">
        <f>Data!AI1025</f>
        <v/>
      </c>
      <c r="P1026" s="4">
        <f>Data!AJ1025</f>
        <v/>
      </c>
      <c r="Q1026" s="4">
        <f>Data!AK1025</f>
        <v/>
      </c>
      <c r="R1026" s="4">
        <f>Data!AL1025</f>
        <v/>
      </c>
    </row>
    <row r="1027">
      <c r="A1027" s="4">
        <f>Data!A1026</f>
        <v/>
      </c>
      <c r="B1027" s="4">
        <f>Data!B1026</f>
        <v/>
      </c>
      <c r="C1027" s="4">
        <f>Data!C1026</f>
        <v/>
      </c>
      <c r="D1027" s="4">
        <f>Data!I1026</f>
        <v/>
      </c>
      <c r="E1027" s="4">
        <f>Data!J1026</f>
        <v/>
      </c>
      <c r="F1027" s="4">
        <f>Data!H1026</f>
        <v/>
      </c>
      <c r="G1027" s="4">
        <f>SUM(Data!Q1026:Data!Y1026)</f>
        <v/>
      </c>
      <c r="H1027" s="4">
        <f>Data!Z1026</f>
        <v/>
      </c>
      <c r="I1027" s="4">
        <f>Data!AB1026</f>
        <v/>
      </c>
      <c r="J1027" s="4">
        <f>Data!AD1026</f>
        <v/>
      </c>
      <c r="K1027" s="4">
        <f>Data!AE1026</f>
        <v/>
      </c>
      <c r="L1027" s="4">
        <f>Data!AF1026</f>
        <v/>
      </c>
      <c r="M1027" s="4">
        <f>Data!AG1026</f>
        <v/>
      </c>
      <c r="N1027" s="4">
        <f>Data!AH1026</f>
        <v/>
      </c>
      <c r="O1027" s="4">
        <f>Data!AI1026</f>
        <v/>
      </c>
      <c r="P1027" s="4">
        <f>Data!AJ1026</f>
        <v/>
      </c>
      <c r="Q1027" s="4">
        <f>Data!AK1026</f>
        <v/>
      </c>
      <c r="R1027" s="4">
        <f>Data!AL1026</f>
        <v/>
      </c>
    </row>
    <row r="1028">
      <c r="A1028" s="4">
        <f>Data!A1027</f>
        <v/>
      </c>
      <c r="B1028" s="4">
        <f>Data!B1027</f>
        <v/>
      </c>
      <c r="C1028" s="4">
        <f>Data!C1027</f>
        <v/>
      </c>
      <c r="D1028" s="4">
        <f>Data!I1027</f>
        <v/>
      </c>
      <c r="E1028" s="4">
        <f>Data!J1027</f>
        <v/>
      </c>
      <c r="F1028" s="4">
        <f>Data!H1027</f>
        <v/>
      </c>
      <c r="G1028" s="4">
        <f>SUM(Data!Q1027:Data!Y1027)</f>
        <v/>
      </c>
      <c r="H1028" s="4">
        <f>Data!Z1027</f>
        <v/>
      </c>
      <c r="I1028" s="4">
        <f>Data!AB1027</f>
        <v/>
      </c>
      <c r="J1028" s="4">
        <f>Data!AD1027</f>
        <v/>
      </c>
      <c r="K1028" s="4">
        <f>Data!AE1027</f>
        <v/>
      </c>
      <c r="L1028" s="4">
        <f>Data!AF1027</f>
        <v/>
      </c>
      <c r="M1028" s="4">
        <f>Data!AG1027</f>
        <v/>
      </c>
      <c r="N1028" s="4">
        <f>Data!AH1027</f>
        <v/>
      </c>
      <c r="O1028" s="4">
        <f>Data!AI1027</f>
        <v/>
      </c>
      <c r="P1028" s="4">
        <f>Data!AJ1027</f>
        <v/>
      </c>
      <c r="Q1028" s="4">
        <f>Data!AK1027</f>
        <v/>
      </c>
      <c r="R1028" s="4">
        <f>Data!AL1027</f>
        <v/>
      </c>
    </row>
    <row r="1029">
      <c r="A1029" s="4">
        <f>Data!A1028</f>
        <v/>
      </c>
      <c r="B1029" s="4">
        <f>Data!B1028</f>
        <v/>
      </c>
      <c r="C1029" s="4">
        <f>Data!C1028</f>
        <v/>
      </c>
      <c r="D1029" s="4">
        <f>Data!I1028</f>
        <v/>
      </c>
      <c r="E1029" s="4">
        <f>Data!J1028</f>
        <v/>
      </c>
      <c r="F1029" s="4">
        <f>Data!H1028</f>
        <v/>
      </c>
      <c r="G1029" s="4">
        <f>SUM(Data!Q1028:Data!Y1028)</f>
        <v/>
      </c>
      <c r="H1029" s="4">
        <f>Data!Z1028</f>
        <v/>
      </c>
      <c r="I1029" s="4">
        <f>Data!AB1028</f>
        <v/>
      </c>
      <c r="J1029" s="4">
        <f>Data!AD1028</f>
        <v/>
      </c>
      <c r="K1029" s="4">
        <f>Data!AE1028</f>
        <v/>
      </c>
      <c r="L1029" s="4">
        <f>Data!AF1028</f>
        <v/>
      </c>
      <c r="M1029" s="4">
        <f>Data!AG1028</f>
        <v/>
      </c>
      <c r="N1029" s="4">
        <f>Data!AH1028</f>
        <v/>
      </c>
      <c r="O1029" s="4">
        <f>Data!AI1028</f>
        <v/>
      </c>
      <c r="P1029" s="4">
        <f>Data!AJ1028</f>
        <v/>
      </c>
      <c r="Q1029" s="4">
        <f>Data!AK1028</f>
        <v/>
      </c>
      <c r="R1029" s="4">
        <f>Data!AL1028</f>
        <v/>
      </c>
    </row>
    <row r="1030">
      <c r="A1030" s="4">
        <f>Data!A1029</f>
        <v/>
      </c>
      <c r="B1030" s="4">
        <f>Data!B1029</f>
        <v/>
      </c>
      <c r="C1030" s="4">
        <f>Data!C1029</f>
        <v/>
      </c>
      <c r="D1030" s="4">
        <f>Data!I1029</f>
        <v/>
      </c>
      <c r="E1030" s="4">
        <f>Data!J1029</f>
        <v/>
      </c>
      <c r="F1030" s="4">
        <f>Data!H1029</f>
        <v/>
      </c>
      <c r="G1030" s="4">
        <f>SUM(Data!Q1029:Data!Y1029)</f>
        <v/>
      </c>
      <c r="H1030" s="4">
        <f>Data!Z1029</f>
        <v/>
      </c>
      <c r="I1030" s="4">
        <f>Data!AB1029</f>
        <v/>
      </c>
      <c r="J1030" s="4">
        <f>Data!AD1029</f>
        <v/>
      </c>
      <c r="K1030" s="4">
        <f>Data!AE1029</f>
        <v/>
      </c>
      <c r="L1030" s="4">
        <f>Data!AF1029</f>
        <v/>
      </c>
      <c r="M1030" s="4">
        <f>Data!AG1029</f>
        <v/>
      </c>
      <c r="N1030" s="4">
        <f>Data!AH1029</f>
        <v/>
      </c>
      <c r="O1030" s="4">
        <f>Data!AI1029</f>
        <v/>
      </c>
      <c r="P1030" s="4">
        <f>Data!AJ1029</f>
        <v/>
      </c>
      <c r="Q1030" s="4">
        <f>Data!AK1029</f>
        <v/>
      </c>
      <c r="R1030" s="4">
        <f>Data!AL1029</f>
        <v/>
      </c>
    </row>
    <row r="1031">
      <c r="A1031" s="4">
        <f>Data!A1030</f>
        <v/>
      </c>
      <c r="B1031" s="4">
        <f>Data!B1030</f>
        <v/>
      </c>
      <c r="C1031" s="4">
        <f>Data!C1030</f>
        <v/>
      </c>
      <c r="D1031" s="4">
        <f>Data!I1030</f>
        <v/>
      </c>
      <c r="E1031" s="4">
        <f>Data!J1030</f>
        <v/>
      </c>
      <c r="F1031" s="4">
        <f>Data!H1030</f>
        <v/>
      </c>
      <c r="G1031" s="4">
        <f>SUM(Data!Q1030:Data!Y1030)</f>
        <v/>
      </c>
      <c r="H1031" s="4">
        <f>Data!Z1030</f>
        <v/>
      </c>
      <c r="I1031" s="4">
        <f>Data!AB1030</f>
        <v/>
      </c>
      <c r="J1031" s="4">
        <f>Data!AD1030</f>
        <v/>
      </c>
      <c r="K1031" s="4">
        <f>Data!AE1030</f>
        <v/>
      </c>
      <c r="L1031" s="4">
        <f>Data!AF1030</f>
        <v/>
      </c>
      <c r="M1031" s="4">
        <f>Data!AG1030</f>
        <v/>
      </c>
      <c r="N1031" s="4">
        <f>Data!AH1030</f>
        <v/>
      </c>
      <c r="O1031" s="4">
        <f>Data!AI1030</f>
        <v/>
      </c>
      <c r="P1031" s="4">
        <f>Data!AJ1030</f>
        <v/>
      </c>
      <c r="Q1031" s="4">
        <f>Data!AK1030</f>
        <v/>
      </c>
      <c r="R1031" s="4">
        <f>Data!AL1030</f>
        <v/>
      </c>
    </row>
    <row r="1032">
      <c r="A1032" s="4">
        <f>Data!A1031</f>
        <v/>
      </c>
      <c r="B1032" s="4">
        <f>Data!B1031</f>
        <v/>
      </c>
      <c r="C1032" s="4">
        <f>Data!C1031</f>
        <v/>
      </c>
      <c r="D1032" s="4">
        <f>Data!I1031</f>
        <v/>
      </c>
      <c r="E1032" s="4">
        <f>Data!J1031</f>
        <v/>
      </c>
      <c r="F1032" s="4">
        <f>Data!H1031</f>
        <v/>
      </c>
      <c r="G1032" s="4">
        <f>SUM(Data!Q1031:Data!Y1031)</f>
        <v/>
      </c>
      <c r="H1032" s="4">
        <f>Data!Z1031</f>
        <v/>
      </c>
      <c r="I1032" s="4">
        <f>Data!AB1031</f>
        <v/>
      </c>
      <c r="J1032" s="4">
        <f>Data!AD1031</f>
        <v/>
      </c>
      <c r="K1032" s="4">
        <f>Data!AE1031</f>
        <v/>
      </c>
      <c r="L1032" s="4">
        <f>Data!AF1031</f>
        <v/>
      </c>
      <c r="M1032" s="4">
        <f>Data!AG1031</f>
        <v/>
      </c>
      <c r="N1032" s="4">
        <f>Data!AH1031</f>
        <v/>
      </c>
      <c r="O1032" s="4">
        <f>Data!AI1031</f>
        <v/>
      </c>
      <c r="P1032" s="4">
        <f>Data!AJ1031</f>
        <v/>
      </c>
      <c r="Q1032" s="4">
        <f>Data!AK1031</f>
        <v/>
      </c>
      <c r="R1032" s="4">
        <f>Data!AL1031</f>
        <v/>
      </c>
    </row>
    <row r="1033">
      <c r="A1033" s="4">
        <f>Data!A1032</f>
        <v/>
      </c>
      <c r="B1033" s="4">
        <f>Data!B1032</f>
        <v/>
      </c>
      <c r="C1033" s="4">
        <f>Data!C1032</f>
        <v/>
      </c>
      <c r="D1033" s="4">
        <f>Data!I1032</f>
        <v/>
      </c>
      <c r="E1033" s="4">
        <f>Data!J1032</f>
        <v/>
      </c>
      <c r="F1033" s="4">
        <f>Data!H1032</f>
        <v/>
      </c>
      <c r="G1033" s="4">
        <f>SUM(Data!Q1032:Data!Y1032)</f>
        <v/>
      </c>
      <c r="H1033" s="4">
        <f>Data!Z1032</f>
        <v/>
      </c>
      <c r="I1033" s="4">
        <f>Data!AB1032</f>
        <v/>
      </c>
      <c r="J1033" s="4">
        <f>Data!AD1032</f>
        <v/>
      </c>
      <c r="K1033" s="4">
        <f>Data!AE1032</f>
        <v/>
      </c>
      <c r="L1033" s="4">
        <f>Data!AF1032</f>
        <v/>
      </c>
      <c r="M1033" s="4">
        <f>Data!AG1032</f>
        <v/>
      </c>
      <c r="N1033" s="4">
        <f>Data!AH1032</f>
        <v/>
      </c>
      <c r="O1033" s="4">
        <f>Data!AI1032</f>
        <v/>
      </c>
      <c r="P1033" s="4">
        <f>Data!AJ1032</f>
        <v/>
      </c>
      <c r="Q1033" s="4">
        <f>Data!AK1032</f>
        <v/>
      </c>
      <c r="R1033" s="4">
        <f>Data!AL1032</f>
        <v/>
      </c>
    </row>
    <row r="1034">
      <c r="A1034" s="4">
        <f>Data!A1033</f>
        <v/>
      </c>
      <c r="B1034" s="4">
        <f>Data!B1033</f>
        <v/>
      </c>
      <c r="C1034" s="4">
        <f>Data!C1033</f>
        <v/>
      </c>
      <c r="D1034" s="4">
        <f>Data!I1033</f>
        <v/>
      </c>
      <c r="E1034" s="4">
        <f>Data!J1033</f>
        <v/>
      </c>
      <c r="F1034" s="4">
        <f>Data!H1033</f>
        <v/>
      </c>
      <c r="G1034" s="4">
        <f>SUM(Data!Q1033:Data!Y1033)</f>
        <v/>
      </c>
      <c r="H1034" s="4">
        <f>Data!Z1033</f>
        <v/>
      </c>
      <c r="I1034" s="4">
        <f>Data!AB1033</f>
        <v/>
      </c>
      <c r="J1034" s="4">
        <f>Data!AD1033</f>
        <v/>
      </c>
      <c r="K1034" s="4">
        <f>Data!AE1033</f>
        <v/>
      </c>
      <c r="L1034" s="4">
        <f>Data!AF1033</f>
        <v/>
      </c>
      <c r="M1034" s="4">
        <f>Data!AG1033</f>
        <v/>
      </c>
      <c r="N1034" s="4">
        <f>Data!AH1033</f>
        <v/>
      </c>
      <c r="O1034" s="4">
        <f>Data!AI1033</f>
        <v/>
      </c>
      <c r="P1034" s="4">
        <f>Data!AJ1033</f>
        <v/>
      </c>
      <c r="Q1034" s="4">
        <f>Data!AK1033</f>
        <v/>
      </c>
      <c r="R1034" s="4">
        <f>Data!AL1033</f>
        <v/>
      </c>
    </row>
    <row r="1035">
      <c r="A1035" s="4">
        <f>Data!A1034</f>
        <v/>
      </c>
      <c r="B1035" s="4">
        <f>Data!B1034</f>
        <v/>
      </c>
      <c r="C1035" s="4">
        <f>Data!C1034</f>
        <v/>
      </c>
      <c r="D1035" s="4">
        <f>Data!I1034</f>
        <v/>
      </c>
      <c r="E1035" s="4">
        <f>Data!J1034</f>
        <v/>
      </c>
      <c r="F1035" s="4">
        <f>Data!H1034</f>
        <v/>
      </c>
      <c r="G1035" s="4">
        <f>SUM(Data!Q1034:Data!Y1034)</f>
        <v/>
      </c>
      <c r="H1035" s="4">
        <f>Data!Z1034</f>
        <v/>
      </c>
      <c r="I1035" s="4">
        <f>Data!AB1034</f>
        <v/>
      </c>
      <c r="J1035" s="4">
        <f>Data!AD1034</f>
        <v/>
      </c>
      <c r="K1035" s="4">
        <f>Data!AE1034</f>
        <v/>
      </c>
      <c r="L1035" s="4">
        <f>Data!AF1034</f>
        <v/>
      </c>
      <c r="M1035" s="4">
        <f>Data!AG1034</f>
        <v/>
      </c>
      <c r="N1035" s="4">
        <f>Data!AH1034</f>
        <v/>
      </c>
      <c r="O1035" s="4">
        <f>Data!AI1034</f>
        <v/>
      </c>
      <c r="P1035" s="4">
        <f>Data!AJ1034</f>
        <v/>
      </c>
      <c r="Q1035" s="4">
        <f>Data!AK1034</f>
        <v/>
      </c>
      <c r="R1035" s="4">
        <f>Data!AL1034</f>
        <v/>
      </c>
    </row>
    <row r="1036">
      <c r="A1036" s="4">
        <f>Data!A1035</f>
        <v/>
      </c>
      <c r="B1036" s="4">
        <f>Data!B1035</f>
        <v/>
      </c>
      <c r="C1036" s="4">
        <f>Data!C1035</f>
        <v/>
      </c>
      <c r="D1036" s="4">
        <f>Data!I1035</f>
        <v/>
      </c>
      <c r="E1036" s="4">
        <f>Data!J1035</f>
        <v/>
      </c>
      <c r="F1036" s="4">
        <f>Data!H1035</f>
        <v/>
      </c>
      <c r="G1036" s="4">
        <f>SUM(Data!Q1035:Data!Y1035)</f>
        <v/>
      </c>
      <c r="H1036" s="4">
        <f>Data!Z1035</f>
        <v/>
      </c>
      <c r="I1036" s="4">
        <f>Data!AB1035</f>
        <v/>
      </c>
      <c r="J1036" s="4">
        <f>Data!AD1035</f>
        <v/>
      </c>
      <c r="K1036" s="4">
        <f>Data!AE1035</f>
        <v/>
      </c>
      <c r="L1036" s="4">
        <f>Data!AF1035</f>
        <v/>
      </c>
      <c r="M1036" s="4">
        <f>Data!AG1035</f>
        <v/>
      </c>
      <c r="N1036" s="4">
        <f>Data!AH1035</f>
        <v/>
      </c>
      <c r="O1036" s="4">
        <f>Data!AI1035</f>
        <v/>
      </c>
      <c r="P1036" s="4">
        <f>Data!AJ1035</f>
        <v/>
      </c>
      <c r="Q1036" s="4">
        <f>Data!AK1035</f>
        <v/>
      </c>
      <c r="R1036" s="4">
        <f>Data!AL1035</f>
        <v/>
      </c>
    </row>
    <row r="1037">
      <c r="A1037" s="4">
        <f>Data!A1036</f>
        <v/>
      </c>
      <c r="B1037" s="4">
        <f>Data!B1036</f>
        <v/>
      </c>
      <c r="C1037" s="4">
        <f>Data!C1036</f>
        <v/>
      </c>
      <c r="D1037" s="4">
        <f>Data!I1036</f>
        <v/>
      </c>
      <c r="E1037" s="4">
        <f>Data!J1036</f>
        <v/>
      </c>
      <c r="F1037" s="4">
        <f>Data!H1036</f>
        <v/>
      </c>
      <c r="G1037" s="4">
        <f>SUM(Data!Q1036:Data!Y1036)</f>
        <v/>
      </c>
      <c r="H1037" s="4">
        <f>Data!Z1036</f>
        <v/>
      </c>
      <c r="I1037" s="4">
        <f>Data!AB1036</f>
        <v/>
      </c>
      <c r="J1037" s="4">
        <f>Data!AD1036</f>
        <v/>
      </c>
      <c r="K1037" s="4">
        <f>Data!AE1036</f>
        <v/>
      </c>
      <c r="L1037" s="4">
        <f>Data!AF1036</f>
        <v/>
      </c>
      <c r="M1037" s="4">
        <f>Data!AG1036</f>
        <v/>
      </c>
      <c r="N1037" s="4">
        <f>Data!AH1036</f>
        <v/>
      </c>
      <c r="O1037" s="4">
        <f>Data!AI1036</f>
        <v/>
      </c>
      <c r="P1037" s="4">
        <f>Data!AJ1036</f>
        <v/>
      </c>
      <c r="Q1037" s="4">
        <f>Data!AK1036</f>
        <v/>
      </c>
      <c r="R1037" s="4">
        <f>Data!AL1036</f>
        <v/>
      </c>
    </row>
    <row r="1038">
      <c r="A1038" s="4">
        <f>Data!A1037</f>
        <v/>
      </c>
      <c r="B1038" s="4">
        <f>Data!B1037</f>
        <v/>
      </c>
      <c r="C1038" s="4">
        <f>Data!C1037</f>
        <v/>
      </c>
      <c r="D1038" s="4">
        <f>Data!I1037</f>
        <v/>
      </c>
      <c r="E1038" s="4">
        <f>Data!J1037</f>
        <v/>
      </c>
      <c r="F1038" s="4">
        <f>Data!H1037</f>
        <v/>
      </c>
      <c r="G1038" s="4">
        <f>SUM(Data!Q1037:Data!Y1037)</f>
        <v/>
      </c>
      <c r="H1038" s="4">
        <f>Data!Z1037</f>
        <v/>
      </c>
      <c r="I1038" s="4">
        <f>Data!AB1037</f>
        <v/>
      </c>
      <c r="J1038" s="4">
        <f>Data!AD1037</f>
        <v/>
      </c>
      <c r="K1038" s="4">
        <f>Data!AE1037</f>
        <v/>
      </c>
      <c r="L1038" s="4">
        <f>Data!AF1037</f>
        <v/>
      </c>
      <c r="M1038" s="4">
        <f>Data!AG1037</f>
        <v/>
      </c>
      <c r="N1038" s="4">
        <f>Data!AH1037</f>
        <v/>
      </c>
      <c r="O1038" s="4">
        <f>Data!AI1037</f>
        <v/>
      </c>
      <c r="P1038" s="4">
        <f>Data!AJ1037</f>
        <v/>
      </c>
      <c r="Q1038" s="4">
        <f>Data!AK1037</f>
        <v/>
      </c>
      <c r="R1038" s="4">
        <f>Data!AL1037</f>
        <v/>
      </c>
    </row>
    <row r="1039">
      <c r="A1039" s="4">
        <f>Data!A1038</f>
        <v/>
      </c>
      <c r="B1039" s="4">
        <f>Data!B1038</f>
        <v/>
      </c>
      <c r="C1039" s="4">
        <f>Data!C1038</f>
        <v/>
      </c>
      <c r="D1039" s="4">
        <f>Data!I1038</f>
        <v/>
      </c>
      <c r="E1039" s="4">
        <f>Data!J1038</f>
        <v/>
      </c>
      <c r="F1039" s="4">
        <f>Data!H1038</f>
        <v/>
      </c>
      <c r="G1039" s="4">
        <f>SUM(Data!Q1038:Data!Y1038)</f>
        <v/>
      </c>
      <c r="H1039" s="4">
        <f>Data!Z1038</f>
        <v/>
      </c>
      <c r="I1039" s="4">
        <f>Data!AB1038</f>
        <v/>
      </c>
      <c r="J1039" s="4">
        <f>Data!AD1038</f>
        <v/>
      </c>
      <c r="K1039" s="4">
        <f>Data!AE1038</f>
        <v/>
      </c>
      <c r="L1039" s="4">
        <f>Data!AF1038</f>
        <v/>
      </c>
      <c r="M1039" s="4">
        <f>Data!AG1038</f>
        <v/>
      </c>
      <c r="N1039" s="4">
        <f>Data!AH1038</f>
        <v/>
      </c>
      <c r="O1039" s="4">
        <f>Data!AI1038</f>
        <v/>
      </c>
      <c r="P1039" s="4">
        <f>Data!AJ1038</f>
        <v/>
      </c>
      <c r="Q1039" s="4">
        <f>Data!AK1038</f>
        <v/>
      </c>
      <c r="R1039" s="4">
        <f>Data!AL1038</f>
        <v/>
      </c>
    </row>
    <row r="1040">
      <c r="A1040" s="4">
        <f>Data!A1039</f>
        <v/>
      </c>
      <c r="B1040" s="4">
        <f>Data!B1039</f>
        <v/>
      </c>
      <c r="C1040" s="4">
        <f>Data!C1039</f>
        <v/>
      </c>
      <c r="D1040" s="4">
        <f>Data!I1039</f>
        <v/>
      </c>
      <c r="E1040" s="4">
        <f>Data!J1039</f>
        <v/>
      </c>
      <c r="F1040" s="4">
        <f>Data!H1039</f>
        <v/>
      </c>
      <c r="G1040" s="4">
        <f>SUM(Data!Q1039:Data!Y1039)</f>
        <v/>
      </c>
      <c r="H1040" s="4">
        <f>Data!Z1039</f>
        <v/>
      </c>
      <c r="I1040" s="4">
        <f>Data!AB1039</f>
        <v/>
      </c>
      <c r="J1040" s="4">
        <f>Data!AD1039</f>
        <v/>
      </c>
      <c r="K1040" s="4">
        <f>Data!AE1039</f>
        <v/>
      </c>
      <c r="L1040" s="4">
        <f>Data!AF1039</f>
        <v/>
      </c>
      <c r="M1040" s="4">
        <f>Data!AG1039</f>
        <v/>
      </c>
      <c r="N1040" s="4">
        <f>Data!AH1039</f>
        <v/>
      </c>
      <c r="O1040" s="4">
        <f>Data!AI1039</f>
        <v/>
      </c>
      <c r="P1040" s="4">
        <f>Data!AJ1039</f>
        <v/>
      </c>
      <c r="Q1040" s="4">
        <f>Data!AK1039</f>
        <v/>
      </c>
      <c r="R1040" s="4">
        <f>Data!AL1039</f>
        <v/>
      </c>
    </row>
    <row r="1041">
      <c r="A1041" s="4">
        <f>Data!A1040</f>
        <v/>
      </c>
      <c r="B1041" s="4">
        <f>Data!B1040</f>
        <v/>
      </c>
      <c r="C1041" s="4">
        <f>Data!C1040</f>
        <v/>
      </c>
      <c r="D1041" s="4">
        <f>Data!I1040</f>
        <v/>
      </c>
      <c r="E1041" s="4">
        <f>Data!J1040</f>
        <v/>
      </c>
      <c r="F1041" s="4">
        <f>Data!H1040</f>
        <v/>
      </c>
      <c r="G1041" s="4">
        <f>SUM(Data!Q1040:Data!Y1040)</f>
        <v/>
      </c>
      <c r="H1041" s="4">
        <f>Data!Z1040</f>
        <v/>
      </c>
      <c r="I1041" s="4">
        <f>Data!AB1040</f>
        <v/>
      </c>
      <c r="J1041" s="4">
        <f>Data!AD1040</f>
        <v/>
      </c>
      <c r="K1041" s="4">
        <f>Data!AE1040</f>
        <v/>
      </c>
      <c r="L1041" s="4">
        <f>Data!AF1040</f>
        <v/>
      </c>
      <c r="M1041" s="4">
        <f>Data!AG1040</f>
        <v/>
      </c>
      <c r="N1041" s="4">
        <f>Data!AH1040</f>
        <v/>
      </c>
      <c r="O1041" s="4">
        <f>Data!AI1040</f>
        <v/>
      </c>
      <c r="P1041" s="4">
        <f>Data!AJ1040</f>
        <v/>
      </c>
      <c r="Q1041" s="4">
        <f>Data!AK1040</f>
        <v/>
      </c>
      <c r="R1041" s="4">
        <f>Data!AL1040</f>
        <v/>
      </c>
    </row>
    <row r="1042">
      <c r="A1042" s="6" t="inlineStr">
        <is>
          <t>TOTAL</t>
        </is>
      </c>
      <c r="B1042" s="6" t="n"/>
      <c r="C1042" s="6" t="n"/>
      <c r="D1042" s="6" t="n"/>
      <c r="E1042" s="6" t="n"/>
      <c r="F1042" s="6" t="n"/>
      <c r="G1042" s="6">
        <f>SUM(G4:G1041)</f>
        <v/>
      </c>
      <c r="H1042" s="6">
        <f>SUM(H4:H1041)</f>
        <v/>
      </c>
      <c r="I1042" s="6">
        <f>SUM(I4:I1041)</f>
        <v/>
      </c>
      <c r="J1042" s="6">
        <f>SUM(J4:J1041)</f>
        <v/>
      </c>
      <c r="K1042" s="6">
        <f>SUM(K4:K1041)</f>
        <v/>
      </c>
      <c r="L1042" s="6">
        <f>SUM(L4:L1041)</f>
        <v/>
      </c>
      <c r="M1042" s="6">
        <f>SUM(M4:M1041)</f>
        <v/>
      </c>
      <c r="N1042" s="6">
        <f>SUM(N4:N1041)</f>
        <v/>
      </c>
      <c r="O1042" s="6">
        <f>SUM(O4:O1041)</f>
        <v/>
      </c>
      <c r="P1042" s="6">
        <f>SUM(P4:P1041)</f>
        <v/>
      </c>
      <c r="Q1042" s="6">
        <f>SUM(Q4:Q1041)</f>
        <v/>
      </c>
      <c r="R1042" s="6">
        <f>SUM(R4:R1041)</f>
        <v/>
      </c>
    </row>
  </sheetData>
  <autoFilter ref="A3:R1041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BKK02</t>
        </is>
      </c>
      <c r="C4" s="4" t="inlineStr">
        <is>
          <t>UNITHAI CONTAINER TERMINAL</t>
        </is>
      </c>
      <c r="D4" s="7">
        <f>COUNTIF(Data!$I:$I,"BKK02")</f>
        <v/>
      </c>
      <c r="E4" s="7">
        <f>SUMIF(Data!$I:$I,"BKK02",Data!$AD:$AD)</f>
        <v/>
      </c>
      <c r="F4" s="7">
        <f>SUMIF(Data!$I:$I,"BKK02",Data!$AE:$AE)</f>
        <v/>
      </c>
      <c r="G4" s="7">
        <f>SUMIF(Data!$I:$I,"BKK02",Data!$AF:$AF)</f>
        <v/>
      </c>
      <c r="H4" s="7">
        <f>SUMIF(Data!$I:$I,"BKK02",Data!$AG:$AG)</f>
        <v/>
      </c>
      <c r="I4" s="7">
        <f>SUMIF(Data!$I:$I,"BKK02",Data!$AH:$AH)</f>
        <v/>
      </c>
      <c r="J4" s="7">
        <f>SUMIF(Data!$I:$I,"BKK02",Data!$AI:$AI)</f>
        <v/>
      </c>
      <c r="K4" s="7">
        <f>SUMIF(Data!$I:$I,"BKK02",Data!$AJ:$AJ)</f>
        <v/>
      </c>
      <c r="L4" s="7">
        <f>SUMIF(Data!$I:$I,"BKK02",Data!$AK:$AK)</f>
        <v/>
      </c>
      <c r="M4" s="7">
        <f>SUMIF(Data!$I:$I,"BKK02",Data!$AL:$AL)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BKK25</t>
        </is>
      </c>
      <c r="C5" s="4" t="inlineStr">
        <is>
          <t>Smart Logistics Service (Thailand ) Co.,Ltd.</t>
        </is>
      </c>
      <c r="D5" s="7">
        <f>COUNTIF(Data!$I:$I,"BKK25")</f>
        <v/>
      </c>
      <c r="E5" s="7">
        <f>SUMIF(Data!$I:$I,"BKK25",Data!$AD:$AD)</f>
        <v/>
      </c>
      <c r="F5" s="7">
        <f>SUMIF(Data!$I:$I,"BKK25",Data!$AE:$AE)</f>
        <v/>
      </c>
      <c r="G5" s="7">
        <f>SUMIF(Data!$I:$I,"BKK25",Data!$AF:$AF)</f>
        <v/>
      </c>
      <c r="H5" s="7">
        <f>SUMIF(Data!$I:$I,"BKK25",Data!$AG:$AG)</f>
        <v/>
      </c>
      <c r="I5" s="7">
        <f>SUMIF(Data!$I:$I,"BKK25",Data!$AH:$AH)</f>
        <v/>
      </c>
      <c r="J5" s="7">
        <f>SUMIF(Data!$I:$I,"BKK25",Data!$AI:$AI)</f>
        <v/>
      </c>
      <c r="K5" s="7">
        <f>SUMIF(Data!$I:$I,"BKK25",Data!$AJ:$AJ)</f>
        <v/>
      </c>
      <c r="L5" s="7">
        <f>SUMIF(Data!$I:$I,"BKK25",Data!$AK:$AK)</f>
        <v/>
      </c>
      <c r="M5" s="7">
        <f>SUMIF(Data!$I:$I,"BKK25",Data!$AL:$AL)</f>
        <v/>
      </c>
      <c r="N5" s="7">
        <f>SUM(E5:M5)</f>
        <v/>
      </c>
    </row>
    <row r="6">
      <c r="A6" s="4" t="inlineStr">
        <is>
          <t>BKK</t>
        </is>
      </c>
      <c r="B6" s="4" t="inlineStr">
        <is>
          <t>BKK27</t>
        </is>
      </c>
      <c r="C6" s="4" t="inlineStr">
        <is>
          <t>B.C. DEPOT CO.,LTD. ( Bang-Na KM.18)</t>
        </is>
      </c>
      <c r="D6" s="7">
        <f>COUNTIF(Data!$I:$I,"BKK27")</f>
        <v/>
      </c>
      <c r="E6" s="7">
        <f>SUMIF(Data!$I:$I,"BKK27",Data!$AD:$AD)</f>
        <v/>
      </c>
      <c r="F6" s="7">
        <f>SUMIF(Data!$I:$I,"BKK27",Data!$AE:$AE)</f>
        <v/>
      </c>
      <c r="G6" s="7">
        <f>SUMIF(Data!$I:$I,"BKK27",Data!$AF:$AF)</f>
        <v/>
      </c>
      <c r="H6" s="7">
        <f>SUMIF(Data!$I:$I,"BKK27",Data!$AG:$AG)</f>
        <v/>
      </c>
      <c r="I6" s="7">
        <f>SUMIF(Data!$I:$I,"BKK27",Data!$AH:$AH)</f>
        <v/>
      </c>
      <c r="J6" s="7">
        <f>SUMIF(Data!$I:$I,"BKK27",Data!$AI:$AI)</f>
        <v/>
      </c>
      <c r="K6" s="7">
        <f>SUMIF(Data!$I:$I,"BKK27",Data!$AJ:$AJ)</f>
        <v/>
      </c>
      <c r="L6" s="7">
        <f>SUMIF(Data!$I:$I,"BKK27",Data!$AK:$AK)</f>
        <v/>
      </c>
      <c r="M6" s="7">
        <f>SUMIF(Data!$I:$I,"BKK27",Data!$AL:$AL)</f>
        <v/>
      </c>
      <c r="N6" s="7">
        <f>SUM(E6:M6)</f>
        <v/>
      </c>
    </row>
    <row r="7">
      <c r="A7" s="4" t="inlineStr">
        <is>
          <t>BKK</t>
        </is>
      </c>
      <c r="B7" s="4" t="inlineStr">
        <is>
          <t>LCH55</t>
        </is>
      </c>
      <c r="C7" s="4" t="inlineStr">
        <is>
          <t>ICD LKT - Esco Ladkrabang (GATE 2)</t>
        </is>
      </c>
      <c r="D7" s="7">
        <f>COUNTIF(Data!$I:$I,"LCH55")</f>
        <v/>
      </c>
      <c r="E7" s="7">
        <f>SUMIF(Data!$I:$I,"LCH55",Data!$AD:$AD)</f>
        <v/>
      </c>
      <c r="F7" s="7">
        <f>SUMIF(Data!$I:$I,"LCH55",Data!$AE:$AE)</f>
        <v/>
      </c>
      <c r="G7" s="7">
        <f>SUMIF(Data!$I:$I,"LCH55",Data!$AF:$AF)</f>
        <v/>
      </c>
      <c r="H7" s="7">
        <f>SUMIF(Data!$I:$I,"LCH55",Data!$AG:$AG)</f>
        <v/>
      </c>
      <c r="I7" s="7">
        <f>SUMIF(Data!$I:$I,"LCH55",Data!$AH:$AH)</f>
        <v/>
      </c>
      <c r="J7" s="7">
        <f>SUMIF(Data!$I:$I,"LCH55",Data!$AI:$AI)</f>
        <v/>
      </c>
      <c r="K7" s="7">
        <f>SUMIF(Data!$I:$I,"LCH55",Data!$AJ:$AJ)</f>
        <v/>
      </c>
      <c r="L7" s="7">
        <f>SUMIF(Data!$I:$I,"LCH55",Data!$AK:$AK)</f>
        <v/>
      </c>
      <c r="M7" s="7">
        <f>SUMIF(Data!$I:$I,"LCH55",Data!$AL:$AL)</f>
        <v/>
      </c>
      <c r="N7" s="7">
        <f>SUM(E7:M7)</f>
        <v/>
      </c>
    </row>
    <row r="8">
      <c r="A8" s="4" t="inlineStr">
        <is>
          <t>LCH</t>
        </is>
      </c>
      <c r="B8" s="4" t="inlineStr">
        <is>
          <t>LCH27</t>
        </is>
      </c>
      <c r="C8" s="4" t="inlineStr">
        <is>
          <t>HAST Logistics Co.,Ltd.</t>
        </is>
      </c>
      <c r="D8" s="7">
        <f>COUNTIF(Data!$I:$I,"LCH27")</f>
        <v/>
      </c>
      <c r="E8" s="7">
        <f>SUMIF(Data!$I:$I,"LCH27",Data!$AD:$AD)</f>
        <v/>
      </c>
      <c r="F8" s="7">
        <f>SUMIF(Data!$I:$I,"LCH27",Data!$AE:$AE)</f>
        <v/>
      </c>
      <c r="G8" s="7">
        <f>SUMIF(Data!$I:$I,"LCH27",Data!$AF:$AF)</f>
        <v/>
      </c>
      <c r="H8" s="7">
        <f>SUMIF(Data!$I:$I,"LCH27",Data!$AG:$AG)</f>
        <v/>
      </c>
      <c r="I8" s="7">
        <f>SUMIF(Data!$I:$I,"LCH27",Data!$AH:$AH)</f>
        <v/>
      </c>
      <c r="J8" s="7">
        <f>SUMIF(Data!$I:$I,"LCH27",Data!$AI:$AI)</f>
        <v/>
      </c>
      <c r="K8" s="7">
        <f>SUMIF(Data!$I:$I,"LCH27",Data!$AJ:$AJ)</f>
        <v/>
      </c>
      <c r="L8" s="7">
        <f>SUMIF(Data!$I:$I,"LCH27",Data!$AK:$AK)</f>
        <v/>
      </c>
      <c r="M8" s="7">
        <f>SUMIF(Data!$I:$I,"LCH27",Data!$AL:$AL)</f>
        <v/>
      </c>
      <c r="N8" s="7">
        <f>SUM(E8:M8)</f>
        <v/>
      </c>
    </row>
    <row r="9">
      <c r="A9" s="4" t="inlineStr">
        <is>
          <t>LCH</t>
        </is>
      </c>
      <c r="B9" s="4" t="inlineStr">
        <is>
          <t>LCH28</t>
        </is>
      </c>
      <c r="C9" s="4" t="inlineStr">
        <is>
          <t>CELLO</t>
        </is>
      </c>
      <c r="D9" s="7">
        <f>COUNTIF(Data!$I:$I,"LCH28")</f>
        <v/>
      </c>
      <c r="E9" s="7">
        <f>SUMIF(Data!$I:$I,"LCH28",Data!$AD:$AD)</f>
        <v/>
      </c>
      <c r="F9" s="7">
        <f>SUMIF(Data!$I:$I,"LCH28",Data!$AE:$AE)</f>
        <v/>
      </c>
      <c r="G9" s="7">
        <f>SUMIF(Data!$I:$I,"LCH28",Data!$AF:$AF)</f>
        <v/>
      </c>
      <c r="H9" s="7">
        <f>SUMIF(Data!$I:$I,"LCH28",Data!$AG:$AG)</f>
        <v/>
      </c>
      <c r="I9" s="7">
        <f>SUMIF(Data!$I:$I,"LCH28",Data!$AH:$AH)</f>
        <v/>
      </c>
      <c r="J9" s="7">
        <f>SUMIF(Data!$I:$I,"LCH28",Data!$AI:$AI)</f>
        <v/>
      </c>
      <c r="K9" s="7">
        <f>SUMIF(Data!$I:$I,"LCH28",Data!$AJ:$AJ)</f>
        <v/>
      </c>
      <c r="L9" s="7">
        <f>SUMIF(Data!$I:$I,"LCH28",Data!$AK:$AK)</f>
        <v/>
      </c>
      <c r="M9" s="7">
        <f>SUMIF(Data!$I:$I,"LCH28",Data!$AL:$AL)</f>
        <v/>
      </c>
      <c r="N9" s="7">
        <f>SUM(E9:M9)</f>
        <v/>
      </c>
    </row>
    <row r="10">
      <c r="A10" s="4" t="inlineStr">
        <is>
          <t>LCH</t>
        </is>
      </c>
      <c r="B10" s="4" t="inlineStr">
        <is>
          <t>LCHY5</t>
        </is>
      </c>
      <c r="C10" s="4" t="inlineStr">
        <is>
          <t>PW DEPOT CO., LTD.</t>
        </is>
      </c>
      <c r="D10" s="7">
        <f>COUNTIF(Data!$I:$I,"LCHY5")</f>
        <v/>
      </c>
      <c r="E10" s="7">
        <f>SUMIF(Data!$I:$I,"LCHY5",Data!$AD:$AD)</f>
        <v/>
      </c>
      <c r="F10" s="7">
        <f>SUMIF(Data!$I:$I,"LCHY5",Data!$AE:$AE)</f>
        <v/>
      </c>
      <c r="G10" s="7">
        <f>SUMIF(Data!$I:$I,"LCHY5",Data!$AF:$AF)</f>
        <v/>
      </c>
      <c r="H10" s="7">
        <f>SUMIF(Data!$I:$I,"LCHY5",Data!$AG:$AG)</f>
        <v/>
      </c>
      <c r="I10" s="7">
        <f>SUMIF(Data!$I:$I,"LCHY5",Data!$AH:$AH)</f>
        <v/>
      </c>
      <c r="J10" s="7">
        <f>SUMIF(Data!$I:$I,"LCHY5",Data!$AI:$AI)</f>
        <v/>
      </c>
      <c r="K10" s="7">
        <f>SUMIF(Data!$I:$I,"LCHY5",Data!$AJ:$AJ)</f>
        <v/>
      </c>
      <c r="L10" s="7">
        <f>SUMIF(Data!$I:$I,"LCHY5",Data!$AK:$AK)</f>
        <v/>
      </c>
      <c r="M10" s="7">
        <f>SUMIF(Data!$I:$I,"LCHY5",Data!$AL:$AL)</f>
        <v/>
      </c>
      <c r="N10" s="7">
        <f>SUM(E10:M10)</f>
        <v/>
      </c>
    </row>
    <row r="11">
      <c r="A11" s="6" t="inlineStr">
        <is>
          <t>TOTAL</t>
        </is>
      </c>
      <c r="B11" s="6" t="n"/>
      <c r="C11" s="6" t="n"/>
      <c r="D11" s="8">
        <f>SUM(D3:D10)</f>
        <v/>
      </c>
      <c r="E11" s="8">
        <f>SUM(E3:E10)</f>
        <v/>
      </c>
      <c r="F11" s="8">
        <f>SUM(F3:F10)</f>
        <v/>
      </c>
      <c r="G11" s="8">
        <f>SUM(G3:G10)</f>
        <v/>
      </c>
      <c r="H11" s="8">
        <f>SUM(H3:H10)</f>
        <v/>
      </c>
      <c r="I11" s="8">
        <f>SUM(I3:I10)</f>
        <v/>
      </c>
      <c r="J11" s="8">
        <f>SUM(J3:J10)</f>
        <v/>
      </c>
      <c r="K11" s="8">
        <f>SUM(K3:K10)</f>
        <v/>
      </c>
      <c r="L11" s="8">
        <f>SUM(L3:L10)</f>
        <v/>
      </c>
      <c r="M11" s="8">
        <f>SUM(M3:M10)</f>
        <v/>
      </c>
      <c r="N11" s="8">
        <f>SUM(N3:N10)</f>
        <v/>
      </c>
    </row>
    <row r="14">
      <c r="C14" s="9" t="inlineStr">
        <is>
          <t>Group</t>
        </is>
      </c>
      <c r="D14" s="9" t="inlineStr">
        <is>
          <t>Number of Records</t>
        </is>
      </c>
      <c r="E14" s="9" t="inlineStr">
        <is>
          <t>GP22</t>
        </is>
      </c>
      <c r="F14" s="9" t="inlineStr">
        <is>
          <t>GP42</t>
        </is>
      </c>
      <c r="G14" s="9" t="inlineStr">
        <is>
          <t>GP45</t>
        </is>
      </c>
      <c r="H14" s="9" t="inlineStr">
        <is>
          <t>RE22</t>
        </is>
      </c>
      <c r="I14" s="9" t="inlineStr">
        <is>
          <t>RE45</t>
        </is>
      </c>
      <c r="J14" s="9" t="inlineStr">
        <is>
          <t>UT22</t>
        </is>
      </c>
      <c r="K14" s="9" t="inlineStr">
        <is>
          <t>UT42</t>
        </is>
      </c>
      <c r="L14" s="9" t="inlineStr">
        <is>
          <t>PC22</t>
        </is>
      </c>
      <c r="M14" s="9" t="inlineStr">
        <is>
          <t>PC42</t>
        </is>
      </c>
      <c r="N14" s="9" t="inlineStr">
        <is>
          <t>Total Containers</t>
        </is>
      </c>
    </row>
    <row r="15">
      <c r="C15" s="9" t="inlineStr">
        <is>
          <t>BKK</t>
        </is>
      </c>
      <c r="D15" s="10">
        <f>COUNTIF(Data!$AC:$AC,"BKK")</f>
        <v/>
      </c>
      <c r="E15" s="10">
        <f>SUMIF(Data!$AC:$AC,"BKK",Data!$AD:$AD)</f>
        <v/>
      </c>
      <c r="F15" s="10">
        <f>SUMIF(Data!$AC:$AC,"BKK",Data!$AE:$AE)</f>
        <v/>
      </c>
      <c r="G15" s="10">
        <f>SUMIF(Data!$AC:$AC,"BKK",Data!$AF:$AF)</f>
        <v/>
      </c>
      <c r="H15" s="10">
        <f>SUMIF(Data!$AC:$AC,"BKK",Data!$AG:$AG)</f>
        <v/>
      </c>
      <c r="I15" s="10">
        <f>SUMIF(Data!$AC:$AC,"BKK",Data!$AH:$AH)</f>
        <v/>
      </c>
      <c r="J15" s="10">
        <f>SUMIF(Data!$AC:$AC,"BKK",Data!$AI:$AI)</f>
        <v/>
      </c>
      <c r="K15" s="10">
        <f>SUMIF(Data!$AC:$AC,"BKK",Data!$AJ:$AJ)</f>
        <v/>
      </c>
      <c r="L15" s="10">
        <f>SUMIF(Data!$AC:$AC,"BKK",Data!$AK:$AK)</f>
        <v/>
      </c>
      <c r="M15" s="10">
        <f>SUMIF(Data!$AC:$AC,"BKK",Data!$AL:$AL)</f>
        <v/>
      </c>
      <c r="N15" s="10">
        <f>SUM(E15:M15)</f>
        <v/>
      </c>
    </row>
    <row r="16">
      <c r="C16" s="9" t="inlineStr">
        <is>
          <t>LCH</t>
        </is>
      </c>
      <c r="D16" s="10">
        <f>COUNTIF(Data!$AC:$AC,"LCH")</f>
        <v/>
      </c>
      <c r="E16" s="10">
        <f>SUMIF(Data!$AC:$AC,"LCH",Data!$AD:$AD)</f>
        <v/>
      </c>
      <c r="F16" s="10">
        <f>SUMIF(Data!$AC:$AC,"LCH",Data!$AE:$AE)</f>
        <v/>
      </c>
      <c r="G16" s="10">
        <f>SUMIF(Data!$AC:$AC,"LCH",Data!$AF:$AF)</f>
        <v/>
      </c>
      <c r="H16" s="10">
        <f>SUMIF(Data!$AC:$AC,"LCH",Data!$AG:$AG)</f>
        <v/>
      </c>
      <c r="I16" s="10">
        <f>SUMIF(Data!$AC:$AC,"LCH",Data!$AH:$AH)</f>
        <v/>
      </c>
      <c r="J16" s="10">
        <f>SUMIF(Data!$AC:$AC,"LCH",Data!$AI:$AI)</f>
        <v/>
      </c>
      <c r="K16" s="10">
        <f>SUMIF(Data!$AC:$AC,"LCH",Data!$AJ:$AJ)</f>
        <v/>
      </c>
      <c r="L16" s="10">
        <f>SUMIF(Data!$AC:$AC,"LCH",Data!$AK:$AK)</f>
        <v/>
      </c>
      <c r="M16" s="10">
        <f>SUMIF(Data!$AC:$AC,"LCH",Data!$AL:$AL)</f>
        <v/>
      </c>
      <c r="N16" s="10">
        <f>SUM(E16:M16)</f>
        <v/>
      </c>
    </row>
    <row r="17">
      <c r="C17" s="6" t="inlineStr">
        <is>
          <t>GRAND TOTAL</t>
        </is>
      </c>
      <c r="D17" s="8">
        <f>SUM(D15:D16)</f>
        <v/>
      </c>
      <c r="E17" s="8">
        <f>SUM(E15:E16)</f>
        <v/>
      </c>
      <c r="F17" s="8">
        <f>SUM(F15:F16)</f>
        <v/>
      </c>
      <c r="G17" s="8">
        <f>SUM(G15:G16)</f>
        <v/>
      </c>
      <c r="H17" s="8">
        <f>SUM(H15:H16)</f>
        <v/>
      </c>
      <c r="I17" s="8">
        <f>SUM(I15:I16)</f>
        <v/>
      </c>
      <c r="J17" s="8">
        <f>SUM(J15:J16)</f>
        <v/>
      </c>
      <c r="K17" s="8">
        <f>SUM(K15:K16)</f>
        <v/>
      </c>
      <c r="L17" s="8">
        <f>SUM(L15:L16)</f>
        <v/>
      </c>
      <c r="M17" s="8">
        <f>SUM(M15:M16)</f>
        <v/>
      </c>
      <c r="N17" s="8">
        <f>SUM(N15:N16)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2026-09-29T00:50:47Z</dcterms:created>
  <dcterms:modified xmlns:dcterms="http://purl.org/dc/terms/" xmlns:xsi="http://www.w3.org/2001/XMLSchema-instance" xsi:type="dcterms:W3CDTF">2026-09-29T00:50:48Z</dcterms:modified>
</cp:coreProperties>
</file>