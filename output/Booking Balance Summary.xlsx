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'Data'!$A$2:$AL$127</definedName>
    <definedName name="_xlnm._FilterDatabase" localSheetId="1" hidden="1">'Balance Summary'!$A$3:$R$128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  <font>
      <name val="Calibri"/>
      <i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A8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" fontId="3" fillId="0" borderId="1" pivotButton="0" quotePrefix="0" xfId="0"/>
    <xf numFmtId="1" fontId="4" fillId="5" borderId="1" pivotButton="0" quotePrefix="0" xfId="0"/>
    <xf numFmtId="0" fontId="4" fillId="6" borderId="1" pivotButton="0" quotePrefix="0" xfId="0"/>
    <xf numFmtId="1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9-17-PD.xls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HASLS22260900416</t>
        </is>
      </c>
      <c r="B3" s="4" t="inlineStr">
        <is>
          <t>DJCF</t>
        </is>
      </c>
      <c r="C3" s="4" t="inlineStr">
        <is>
          <t>0151N</t>
        </is>
      </c>
      <c r="D3" s="4" t="inlineStr">
        <is>
          <t>202609210200</t>
        </is>
      </c>
      <c r="E3" s="4" t="inlineStr"/>
      <c r="F3" s="4" t="inlineStr">
        <is>
          <t>THLCH</t>
        </is>
      </c>
      <c r="G3" s="4" t="inlineStr">
        <is>
          <t>VNSGN</t>
        </is>
      </c>
      <c r="H3" s="4" t="inlineStr">
        <is>
          <t xml:space="preserve">40Hx1 </t>
        </is>
      </c>
      <c r="I3" s="4" t="inlineStr"/>
      <c r="J3" s="4" t="inlineStr"/>
      <c r="K3" s="4" t="inlineStr">
        <is>
          <t>20260915</t>
        </is>
      </c>
      <c r="L3" s="4" t="inlineStr">
        <is>
          <t>QUANTERM LOGISTICS (THAILAND) CO., LTD.</t>
        </is>
      </c>
      <c r="M3" s="4" t="inlineStr">
        <is>
          <t>AMPLUSCHEM CO., LTD.</t>
        </is>
      </c>
      <c r="N3" s="4" t="inlineStr">
        <is>
          <t>BLACK PEPPER GRIND</t>
        </is>
      </c>
      <c r="O3" s="4" t="inlineStr">
        <is>
          <t>GOOD AND CLEAN CONTAINER</t>
        </is>
      </c>
      <c r="P3" s="4" t="inlineStr">
        <is>
          <t xml:space="preserve"> Return : 2026-09-15</t>
        </is>
      </c>
      <c r="Q3" s="4" t="n">
        <v>0</v>
      </c>
      <c r="R3" s="4" t="n">
        <v>0</v>
      </c>
      <c r="S3" s="4" t="n">
        <v>1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5" t="inlineStr">
        <is>
          <t>HASLS22260800546</t>
        </is>
      </c>
      <c r="B4" s="5" t="inlineStr">
        <is>
          <t>SWMM</t>
        </is>
      </c>
      <c r="C4" s="5" t="inlineStr">
        <is>
          <t>2609N</t>
        </is>
      </c>
      <c r="D4" s="5" t="inlineStr">
        <is>
          <t>202609221300</t>
        </is>
      </c>
      <c r="E4" s="5" t="inlineStr"/>
      <c r="F4" s="5" t="inlineStr">
        <is>
          <t>THBKK</t>
        </is>
      </c>
      <c r="G4" s="5" t="inlineStr">
        <is>
          <t>VNSGN</t>
        </is>
      </c>
      <c r="H4" s="5" t="inlineStr">
        <is>
          <t xml:space="preserve">40Hx2 </t>
        </is>
      </c>
      <c r="I4" s="5" t="inlineStr">
        <is>
          <t>BKK27</t>
        </is>
      </c>
      <c r="J4" s="5" t="inlineStr">
        <is>
          <t>B.C. DEPOT CO.,LTD. ( Bang-Na KM.18)</t>
        </is>
      </c>
      <c r="K4" s="5" t="inlineStr">
        <is>
          <t>20260917</t>
        </is>
      </c>
      <c r="L4" s="5" t="inlineStr">
        <is>
          <t>LEO GLOBAL LOGISTICS PUBLIC COMPANY LIMITED</t>
        </is>
      </c>
      <c r="M4" s="5" t="inlineStr">
        <is>
          <t>PANASONIC MANUFACTURING AYUTHAYA CO., LTD.</t>
        </is>
      </c>
      <c r="N4" s="5" t="inlineStr">
        <is>
          <t>AMINO FORMALDEHYDE COMPOUNDS (UREA)</t>
        </is>
      </c>
      <c r="O4" s="5" t="inlineStr">
        <is>
          <t>GOOD GRADE CONTAINER with STRONG FLOOR</t>
        </is>
      </c>
      <c r="P4" s="5" t="inlineStr">
        <is>
          <t>Pickup : 2026-09-17, Return : 2026-09-19</t>
        </is>
      </c>
      <c r="Q4" s="5" t="n">
        <v>0</v>
      </c>
      <c r="R4" s="5" t="n">
        <v>0</v>
      </c>
      <c r="S4" s="5" t="n">
        <v>2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1</v>
      </c>
      <c r="AA4" s="5" t="n">
        <v>0</v>
      </c>
      <c r="AB4" s="5">
        <f>SUM(Q4:Y4)-Z4</f>
        <v/>
      </c>
      <c r="AC4" s="5">
        <f>IF(I4="","",IF(OR(LEFT(I4,3)="BKK",I4="LCH55"),"BKK",IF(LEFT(I4,3)="LCH","LCH","OTHER")))</f>
        <v/>
      </c>
      <c r="AD4" s="5">
        <f>MAX(0,Q4-MAX(0,Z4))</f>
        <v/>
      </c>
      <c r="AE4" s="5">
        <f>MAX(0,R4-MAX(0,Z4-SUM(Q4:Q4)))</f>
        <v/>
      </c>
      <c r="AF4" s="5">
        <f>MAX(0,S4-MAX(0,Z4-SUM(Q4:R4)))</f>
        <v/>
      </c>
      <c r="AG4" s="5">
        <f>MAX(0,T4-MAX(0,Z4-SUM(Q4:S4)))</f>
        <v/>
      </c>
      <c r="AH4" s="5">
        <f>MAX(0,U4-MAX(0,Z4-SUM(Q4:T4)))</f>
        <v/>
      </c>
      <c r="AI4" s="5">
        <f>MAX(0,V4-MAX(0,Z4-SUM(Q4:U4)))</f>
        <v/>
      </c>
      <c r="AJ4" s="5">
        <f>MAX(0,W4-MAX(0,Z4-SUM(Q4:V4)))</f>
        <v/>
      </c>
      <c r="AK4" s="5">
        <f>MAX(0,X4-MAX(0,Z4-SUM(Q4:W4)))</f>
        <v/>
      </c>
      <c r="AL4" s="5">
        <f>MAX(0,Y4-MAX(0,Z4-SUM(Q4:X4)))</f>
        <v/>
      </c>
    </row>
    <row r="5">
      <c r="A5" s="5" t="inlineStr">
        <is>
          <t>HASLS22260800749</t>
        </is>
      </c>
      <c r="B5" s="5" t="inlineStr">
        <is>
          <t>SWMM</t>
        </is>
      </c>
      <c r="C5" s="5" t="inlineStr">
        <is>
          <t>2609N</t>
        </is>
      </c>
      <c r="D5" s="5" t="inlineStr">
        <is>
          <t>202609221300</t>
        </is>
      </c>
      <c r="E5" s="5" t="inlineStr"/>
      <c r="F5" s="5" t="inlineStr">
        <is>
          <t>THBKK</t>
        </is>
      </c>
      <c r="G5" s="5" t="inlineStr">
        <is>
          <t>JPMYJ</t>
        </is>
      </c>
      <c r="H5" s="5" t="inlineStr">
        <is>
          <t xml:space="preserve">20'x1 </t>
        </is>
      </c>
      <c r="I5" s="5" t="inlineStr">
        <is>
          <t>BKK27</t>
        </is>
      </c>
      <c r="J5" s="5" t="inlineStr">
        <is>
          <t>B.C. DEPOT CO.,LTD. ( Bang-Na KM.18)</t>
        </is>
      </c>
      <c r="K5" s="5" t="inlineStr">
        <is>
          <t>20260917</t>
        </is>
      </c>
      <c r="L5" s="5" t="inlineStr">
        <is>
          <t>GENERAL FOOD PRODUCTS CO., LTD.</t>
        </is>
      </c>
      <c r="M5" s="5" t="inlineStr">
        <is>
          <t>GENERAL FOOD PRODUCTS CO., LTD.</t>
        </is>
      </c>
      <c r="N5" s="5" t="inlineStr">
        <is>
          <t>FLOURS</t>
        </is>
      </c>
      <c r="O5" s="5" t="inlineStr">
        <is>
          <t>Container Grade A</t>
        </is>
      </c>
      <c r="P5" s="5" t="inlineStr">
        <is>
          <t>Pickup : 2026-09-17, Return : 2026-09-20</t>
        </is>
      </c>
      <c r="Q5" s="5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>
        <f>SUM(Q5:Y5)-Z5</f>
        <v/>
      </c>
      <c r="AC5" s="5">
        <f>IF(I5="","",IF(OR(LEFT(I5,3)="BKK",I5="LCH55"),"BKK",IF(LEFT(I5,3)="LCH","LCH","OTHER")))</f>
        <v/>
      </c>
      <c r="AD5" s="5">
        <f>MAX(0,Q5-MAX(0,Z5))</f>
        <v/>
      </c>
      <c r="AE5" s="5">
        <f>MAX(0,R5-MAX(0,Z5-SUM(Q5:Q5)))</f>
        <v/>
      </c>
      <c r="AF5" s="5">
        <f>MAX(0,S5-MAX(0,Z5-SUM(Q5:R5)))</f>
        <v/>
      </c>
      <c r="AG5" s="5">
        <f>MAX(0,T5-MAX(0,Z5-SUM(Q5:S5)))</f>
        <v/>
      </c>
      <c r="AH5" s="5">
        <f>MAX(0,U5-MAX(0,Z5-SUM(Q5:T5)))</f>
        <v/>
      </c>
      <c r="AI5" s="5">
        <f>MAX(0,V5-MAX(0,Z5-SUM(Q5:U5)))</f>
        <v/>
      </c>
      <c r="AJ5" s="5">
        <f>MAX(0,W5-MAX(0,Z5-SUM(Q5:V5)))</f>
        <v/>
      </c>
      <c r="AK5" s="5">
        <f>MAX(0,X5-MAX(0,Z5-SUM(Q5:W5)))</f>
        <v/>
      </c>
      <c r="AL5" s="5">
        <f>MAX(0,Y5-MAX(0,Z5-SUM(Q5:X5)))</f>
        <v/>
      </c>
    </row>
    <row r="6">
      <c r="A6" s="5" t="inlineStr">
        <is>
          <t>HASLS22260800754</t>
        </is>
      </c>
      <c r="B6" s="5" t="inlineStr">
        <is>
          <t>KUS</t>
        </is>
      </c>
      <c r="C6" s="5" t="inlineStr">
        <is>
          <t>2615N</t>
        </is>
      </c>
      <c r="D6" s="5" t="inlineStr">
        <is>
          <t>202609231100</t>
        </is>
      </c>
      <c r="E6" s="5" t="inlineStr"/>
      <c r="F6" s="5" t="inlineStr">
        <is>
          <t>THBKK</t>
        </is>
      </c>
      <c r="G6" s="5" t="inlineStr">
        <is>
          <t>VNSGN</t>
        </is>
      </c>
      <c r="H6" s="5" t="inlineStr">
        <is>
          <t xml:space="preserve">40Hx1 </t>
        </is>
      </c>
      <c r="I6" s="5" t="inlineStr">
        <is>
          <t>BKK27</t>
        </is>
      </c>
      <c r="J6" s="5" t="inlineStr">
        <is>
          <t>B.C. DEPOT CO.,LTD. ( Bang-Na KM.18)</t>
        </is>
      </c>
      <c r="K6" s="5" t="inlineStr">
        <is>
          <t>20260917</t>
        </is>
      </c>
      <c r="L6" s="5" t="inlineStr">
        <is>
          <t>EAST-LINK CORPORATION CO., LTD.</t>
        </is>
      </c>
      <c r="M6" s="5" t="inlineStr">
        <is>
          <t>SIAM FUKOKU CO.,LTD.</t>
        </is>
      </c>
      <c r="N6" s="5" t="inlineStr">
        <is>
          <t>BLADE RUBBER</t>
        </is>
      </c>
      <c r="O6" s="5" t="inlineStr">
        <is>
          <t>RQS CLEAN &amp; GOOD CONTAINER CONDITION.</t>
        </is>
      </c>
      <c r="P6" s="5" t="inlineStr">
        <is>
          <t>Pickup : 2026-09-17, Return : 2026-09-18</t>
        </is>
      </c>
      <c r="Q6" s="5" t="n">
        <v>0</v>
      </c>
      <c r="R6" s="5" t="n">
        <v>0</v>
      </c>
      <c r="S6" s="5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>
        <f>SUM(Q6:Y6)-Z6</f>
        <v/>
      </c>
      <c r="AC6" s="5">
        <f>IF(I6="","",IF(OR(LEFT(I6,3)="BKK",I6="LCH55"),"BKK",IF(LEFT(I6,3)="LCH","LCH","OTHER")))</f>
        <v/>
      </c>
      <c r="AD6" s="5">
        <f>MAX(0,Q6-MAX(0,Z6))</f>
        <v/>
      </c>
      <c r="AE6" s="5">
        <f>MAX(0,R6-MAX(0,Z6-SUM(Q6:Q6)))</f>
        <v/>
      </c>
      <c r="AF6" s="5">
        <f>MAX(0,S6-MAX(0,Z6-SUM(Q6:R6)))</f>
        <v/>
      </c>
      <c r="AG6" s="5">
        <f>MAX(0,T6-MAX(0,Z6-SUM(Q6:S6)))</f>
        <v/>
      </c>
      <c r="AH6" s="5">
        <f>MAX(0,U6-MAX(0,Z6-SUM(Q6:T6)))</f>
        <v/>
      </c>
      <c r="AI6" s="5">
        <f>MAX(0,V6-MAX(0,Z6-SUM(Q6:U6)))</f>
        <v/>
      </c>
      <c r="AJ6" s="5">
        <f>MAX(0,W6-MAX(0,Z6-SUM(Q6:V6)))</f>
        <v/>
      </c>
      <c r="AK6" s="5">
        <f>MAX(0,X6-MAX(0,Z6-SUM(Q6:W6)))</f>
        <v/>
      </c>
      <c r="AL6" s="5">
        <f>MAX(0,Y6-MAX(0,Z6-SUM(Q6:X6)))</f>
        <v/>
      </c>
    </row>
    <row r="7">
      <c r="A7" s="5" t="inlineStr">
        <is>
          <t>HASLS22260801169</t>
        </is>
      </c>
      <c r="B7" s="5" t="inlineStr">
        <is>
          <t>SWMM</t>
        </is>
      </c>
      <c r="C7" s="5" t="inlineStr">
        <is>
          <t>2609N</t>
        </is>
      </c>
      <c r="D7" s="5" t="inlineStr">
        <is>
          <t>202609221300</t>
        </is>
      </c>
      <c r="E7" s="5" t="inlineStr"/>
      <c r="F7" s="5" t="inlineStr">
        <is>
          <t>THBKK</t>
        </is>
      </c>
      <c r="G7" s="5" t="inlineStr">
        <is>
          <t>KRPUS</t>
        </is>
      </c>
      <c r="H7" s="5" t="inlineStr">
        <is>
          <t xml:space="preserve">40Hx4 </t>
        </is>
      </c>
      <c r="I7" s="5" t="inlineStr">
        <is>
          <t>BKK27</t>
        </is>
      </c>
      <c r="J7" s="5" t="inlineStr">
        <is>
          <t>B.C. DEPOT CO.,LTD. ( Bang-Na KM.18)</t>
        </is>
      </c>
      <c r="K7" s="5" t="inlineStr">
        <is>
          <t>20260917</t>
        </is>
      </c>
      <c r="L7" s="5" t="inlineStr">
        <is>
          <t>HARPERS SEA FREIGHT CO., LTD.</t>
        </is>
      </c>
      <c r="M7" s="5" t="inlineStr">
        <is>
          <t>THAI ASAHI CO., LTD.</t>
        </is>
      </c>
      <c r="N7" s="5" t="inlineStr">
        <is>
          <t xml:space="preserve">POTATO STARCH </t>
        </is>
      </c>
      <c r="O7" s="5" t="inlineStr">
        <is>
          <t>Grade A and food grade container</t>
        </is>
      </c>
      <c r="P7" s="5" t="inlineStr">
        <is>
          <t xml:space="preserve">Pickup : 2026-09-17, Return : 2026-09-18 (1ST RTN 18/09 W/O RENT ) 
 </t>
        </is>
      </c>
      <c r="Q7" s="5" t="n">
        <v>0</v>
      </c>
      <c r="R7" s="5" t="n">
        <v>0</v>
      </c>
      <c r="S7" s="5" t="n">
        <v>4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>
        <f>SUM(Q7:Y7)-Z7</f>
        <v/>
      </c>
      <c r="AC7" s="5">
        <f>IF(I7="","",IF(OR(LEFT(I7,3)="BKK",I7="LCH55"),"BKK",IF(LEFT(I7,3)="LCH","LCH","OTHER")))</f>
        <v/>
      </c>
      <c r="AD7" s="5">
        <f>MAX(0,Q7-MAX(0,Z7))</f>
        <v/>
      </c>
      <c r="AE7" s="5">
        <f>MAX(0,R7-MAX(0,Z7-SUM(Q7:Q7)))</f>
        <v/>
      </c>
      <c r="AF7" s="5">
        <f>MAX(0,S7-MAX(0,Z7-SUM(Q7:R7)))</f>
        <v/>
      </c>
      <c r="AG7" s="5">
        <f>MAX(0,T7-MAX(0,Z7-SUM(Q7:S7)))</f>
        <v/>
      </c>
      <c r="AH7" s="5">
        <f>MAX(0,U7-MAX(0,Z7-SUM(Q7:T7)))</f>
        <v/>
      </c>
      <c r="AI7" s="5">
        <f>MAX(0,V7-MAX(0,Z7-SUM(Q7:U7)))</f>
        <v/>
      </c>
      <c r="AJ7" s="5">
        <f>MAX(0,W7-MAX(0,Z7-SUM(Q7:V7)))</f>
        <v/>
      </c>
      <c r="AK7" s="5">
        <f>MAX(0,X7-MAX(0,Z7-SUM(Q7:W7)))</f>
        <v/>
      </c>
      <c r="AL7" s="5">
        <f>MAX(0,Y7-MAX(0,Z7-SUM(Q7:X7)))</f>
        <v/>
      </c>
    </row>
    <row r="8">
      <c r="A8" s="5" t="inlineStr">
        <is>
          <t>HASLS22260801423</t>
        </is>
      </c>
      <c r="B8" s="5" t="inlineStr">
        <is>
          <t>KMGY</t>
        </is>
      </c>
      <c r="C8" s="5" t="inlineStr">
        <is>
          <t>2610N</t>
        </is>
      </c>
      <c r="D8" s="5" t="inlineStr">
        <is>
          <t>202609290000</t>
        </is>
      </c>
      <c r="E8" s="5" t="inlineStr"/>
      <c r="F8" s="5" t="inlineStr">
        <is>
          <t>THBKK</t>
        </is>
      </c>
      <c r="G8" s="5" t="inlineStr">
        <is>
          <t>CNXMN</t>
        </is>
      </c>
      <c r="H8" s="5" t="inlineStr">
        <is>
          <t xml:space="preserve">20'x2 </t>
        </is>
      </c>
      <c r="I8" s="5" t="inlineStr">
        <is>
          <t>BKK27</t>
        </is>
      </c>
      <c r="J8" s="5" t="inlineStr">
        <is>
          <t>B.C. DEPOT CO.,LTD. ( Bang-Na KM.18)</t>
        </is>
      </c>
      <c r="K8" s="5" t="inlineStr">
        <is>
          <t>20260915</t>
        </is>
      </c>
      <c r="L8" s="5" t="inlineStr">
        <is>
          <t>DMU LOGISTICS (THAILAND) CO.,LTD</t>
        </is>
      </c>
      <c r="M8" s="5" t="inlineStr">
        <is>
          <t>TAKO FOODS INDUSTRY CO., LTD.</t>
        </is>
      </c>
      <c r="N8" s="5" t="inlineStr">
        <is>
          <t>COCONUT WATER</t>
        </is>
      </c>
      <c r="O8" s="5" t="inlineStr">
        <is>
          <t>GOOD AND CLEAN CONTAINER</t>
        </is>
      </c>
      <c r="P8" s="5" t="inlineStr">
        <is>
          <t>Pickup : 2026-09-15, Return : 2026-09-17</t>
        </is>
      </c>
      <c r="Q8" s="5" t="n">
        <v>2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>
        <f>SUM(Q8:Y8)-Z8</f>
        <v/>
      </c>
      <c r="AC8" s="5">
        <f>IF(I8="","",IF(OR(LEFT(I8,3)="BKK",I8="LCH55"),"BKK",IF(LEFT(I8,3)="LCH","LCH","OTHER")))</f>
        <v/>
      </c>
      <c r="AD8" s="5">
        <f>MAX(0,Q8-MAX(0,Z8))</f>
        <v/>
      </c>
      <c r="AE8" s="5">
        <f>MAX(0,R8-MAX(0,Z8-SUM(Q8:Q8)))</f>
        <v/>
      </c>
      <c r="AF8" s="5">
        <f>MAX(0,S8-MAX(0,Z8-SUM(Q8:R8)))</f>
        <v/>
      </c>
      <c r="AG8" s="5">
        <f>MAX(0,T8-MAX(0,Z8-SUM(Q8:S8)))</f>
        <v/>
      </c>
      <c r="AH8" s="5">
        <f>MAX(0,U8-MAX(0,Z8-SUM(Q8:T8)))</f>
        <v/>
      </c>
      <c r="AI8" s="5">
        <f>MAX(0,V8-MAX(0,Z8-SUM(Q8:U8)))</f>
        <v/>
      </c>
      <c r="AJ8" s="5">
        <f>MAX(0,W8-MAX(0,Z8-SUM(Q8:V8)))</f>
        <v/>
      </c>
      <c r="AK8" s="5">
        <f>MAX(0,X8-MAX(0,Z8-SUM(Q8:W8)))</f>
        <v/>
      </c>
      <c r="AL8" s="5">
        <f>MAX(0,Y8-MAX(0,Z8-SUM(Q8:X8)))</f>
        <v/>
      </c>
    </row>
    <row r="9">
      <c r="A9" s="5" t="inlineStr">
        <is>
          <t>HASLS22260801643</t>
        </is>
      </c>
      <c r="B9" s="5" t="inlineStr">
        <is>
          <t>SWMM</t>
        </is>
      </c>
      <c r="C9" s="5" t="inlineStr">
        <is>
          <t>2609N</t>
        </is>
      </c>
      <c r="D9" s="5" t="inlineStr">
        <is>
          <t>202609221300</t>
        </is>
      </c>
      <c r="E9" s="5" t="inlineStr"/>
      <c r="F9" s="5" t="inlineStr">
        <is>
          <t>THBKK</t>
        </is>
      </c>
      <c r="G9" s="5" t="inlineStr">
        <is>
          <t>VNSGN</t>
        </is>
      </c>
      <c r="H9" s="5" t="inlineStr">
        <is>
          <t xml:space="preserve">20'x2 </t>
        </is>
      </c>
      <c r="I9" s="5" t="inlineStr">
        <is>
          <t>BKK27</t>
        </is>
      </c>
      <c r="J9" s="5" t="inlineStr">
        <is>
          <t>B.C. DEPOT CO.,LTD. ( Bang-Na KM.18)</t>
        </is>
      </c>
      <c r="K9" s="5" t="inlineStr">
        <is>
          <t>20260917</t>
        </is>
      </c>
      <c r="L9" s="5" t="inlineStr">
        <is>
          <t>MERCURIAL LOGISTICS  CO.,LTD</t>
        </is>
      </c>
      <c r="M9" s="5" t="inlineStr">
        <is>
          <t>UENO FINE CHEMICALS INDUSTRY (THAILAND) LTD.</t>
        </is>
      </c>
      <c r="N9" s="5" t="inlineStr">
        <is>
          <t>MALTITOL SYRUP</t>
        </is>
      </c>
      <c r="O9" s="5" t="inlineStr">
        <is>
          <t>Req food grade container due to commodity is food stuff.</t>
        </is>
      </c>
      <c r="P9" s="5" t="inlineStr">
        <is>
          <t>Pickup : 2026-09-17, Return : 2026-09-17 [1ST RTN 19/09/2026 W/O RENT]</t>
        </is>
      </c>
      <c r="Q9" s="5" t="n">
        <v>2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>
        <f>SUM(Q9:Y9)-Z9</f>
        <v/>
      </c>
      <c r="AC9" s="5">
        <f>IF(I9="","",IF(OR(LEFT(I9,3)="BKK",I9="LCH55"),"BKK",IF(LEFT(I9,3)="LCH","LCH","OTHER")))</f>
        <v/>
      </c>
      <c r="AD9" s="5">
        <f>MAX(0,Q9-MAX(0,Z9))</f>
        <v/>
      </c>
      <c r="AE9" s="5">
        <f>MAX(0,R9-MAX(0,Z9-SUM(Q9:Q9)))</f>
        <v/>
      </c>
      <c r="AF9" s="5">
        <f>MAX(0,S9-MAX(0,Z9-SUM(Q9:R9)))</f>
        <v/>
      </c>
      <c r="AG9" s="5">
        <f>MAX(0,T9-MAX(0,Z9-SUM(Q9:S9)))</f>
        <v/>
      </c>
      <c r="AH9" s="5">
        <f>MAX(0,U9-MAX(0,Z9-SUM(Q9:T9)))</f>
        <v/>
      </c>
      <c r="AI9" s="5">
        <f>MAX(0,V9-MAX(0,Z9-SUM(Q9:U9)))</f>
        <v/>
      </c>
      <c r="AJ9" s="5">
        <f>MAX(0,W9-MAX(0,Z9-SUM(Q9:V9)))</f>
        <v/>
      </c>
      <c r="AK9" s="5">
        <f>MAX(0,X9-MAX(0,Z9-SUM(Q9:W9)))</f>
        <v/>
      </c>
      <c r="AL9" s="5">
        <f>MAX(0,Y9-MAX(0,Z9-SUM(Q9:X9)))</f>
        <v/>
      </c>
    </row>
    <row r="10">
      <c r="A10" s="5" t="inlineStr">
        <is>
          <t>HASLS22260801914</t>
        </is>
      </c>
      <c r="B10" s="5" t="inlineStr">
        <is>
          <t>SWMM</t>
        </is>
      </c>
      <c r="C10" s="5" t="inlineStr">
        <is>
          <t>2609N</t>
        </is>
      </c>
      <c r="D10" s="5" t="inlineStr">
        <is>
          <t>202609221300</t>
        </is>
      </c>
      <c r="E10" s="5" t="inlineStr"/>
      <c r="F10" s="5" t="inlineStr">
        <is>
          <t>THBKK</t>
        </is>
      </c>
      <c r="G10" s="5" t="inlineStr">
        <is>
          <t>KRPTK</t>
        </is>
      </c>
      <c r="H10" s="5" t="inlineStr">
        <is>
          <t xml:space="preserve">20'x33 </t>
        </is>
      </c>
      <c r="I10" s="5" t="inlineStr">
        <is>
          <t>BKK27</t>
        </is>
      </c>
      <c r="J10" s="5" t="inlineStr">
        <is>
          <t>B.C. DEPOT CO.,LTD. ( Bang-Na KM.18)</t>
        </is>
      </c>
      <c r="K10" s="5" t="inlineStr">
        <is>
          <t>20260917</t>
        </is>
      </c>
      <c r="L10" s="5" t="inlineStr">
        <is>
          <t>DP WORLD LOGISTICS SOLUTIONS (THAILAND) COMPANY LIMITED</t>
        </is>
      </c>
      <c r="M10" s="5" t="inlineStr">
        <is>
          <t>DP WORLD LOGISTICS SOLUTIONS (THAILAND) COMPANY LIMITED</t>
        </is>
      </c>
      <c r="N10" s="5" t="inlineStr">
        <is>
          <t>SOYBEAN OIL</t>
        </is>
      </c>
      <c r="O10" s="5" t="inlineStr">
        <is>
          <t>** APPROVAL MR.KIM GEON WOOK DD.25/08/2026  ** *FLEXIBAG ONDECK*
Servey: 17/09/2026, Pickup : 18/09/2026</t>
        </is>
      </c>
      <c r="P10" s="5" t="inlineStr">
        <is>
          <t xml:space="preserve">** APPROVAL MR.KIM GEON WOOK DD.25/08/2026  ** *FLEXIBAG ONDECK*
Servey : 17/09/2026, Pickup : 18/09/2026, Return : 21/09/2026 *EXTEND CLS TIME : 21/09/2026 @23.59* </t>
        </is>
      </c>
      <c r="Q10" s="5" t="n">
        <v>33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>
        <f>SUM(Q10:Y10)-Z10</f>
        <v/>
      </c>
      <c r="AC10" s="5">
        <f>IF(I10="","",IF(OR(LEFT(I10,3)="BKK",I10="LCH55"),"BKK",IF(LEFT(I10,3)="LCH","LCH","OTHER")))</f>
        <v/>
      </c>
      <c r="AD10" s="5">
        <f>MAX(0,Q10-MAX(0,Z10))</f>
        <v/>
      </c>
      <c r="AE10" s="5">
        <f>MAX(0,R10-MAX(0,Z10-SUM(Q10:Q10)))</f>
        <v/>
      </c>
      <c r="AF10" s="5">
        <f>MAX(0,S10-MAX(0,Z10-SUM(Q10:R10)))</f>
        <v/>
      </c>
      <c r="AG10" s="5">
        <f>MAX(0,T10-MAX(0,Z10-SUM(Q10:S10)))</f>
        <v/>
      </c>
      <c r="AH10" s="5">
        <f>MAX(0,U10-MAX(0,Z10-SUM(Q10:T10)))</f>
        <v/>
      </c>
      <c r="AI10" s="5">
        <f>MAX(0,V10-MAX(0,Z10-SUM(Q10:U10)))</f>
        <v/>
      </c>
      <c r="AJ10" s="5">
        <f>MAX(0,W10-MAX(0,Z10-SUM(Q10:V10)))</f>
        <v/>
      </c>
      <c r="AK10" s="5">
        <f>MAX(0,X10-MAX(0,Z10-SUM(Q10:W10)))</f>
        <v/>
      </c>
      <c r="AL10" s="5">
        <f>MAX(0,Y10-MAX(0,Z10-SUM(Q10:X10)))</f>
        <v/>
      </c>
    </row>
    <row r="11">
      <c r="A11" s="5" t="inlineStr">
        <is>
          <t>HASLS22260801939</t>
        </is>
      </c>
      <c r="B11" s="5" t="inlineStr">
        <is>
          <t>SWSP</t>
        </is>
      </c>
      <c r="C11" s="5" t="inlineStr">
        <is>
          <t>2609N</t>
        </is>
      </c>
      <c r="D11" s="5" t="inlineStr">
        <is>
          <t>202610040200</t>
        </is>
      </c>
      <c r="E11" s="5" t="inlineStr"/>
      <c r="F11" s="5" t="inlineStr">
        <is>
          <t>THBKK</t>
        </is>
      </c>
      <c r="G11" s="5" t="inlineStr">
        <is>
          <t>VNSGN</t>
        </is>
      </c>
      <c r="H11" s="5" t="inlineStr">
        <is>
          <t xml:space="preserve">20'x7 </t>
        </is>
      </c>
      <c r="I11" s="5" t="inlineStr">
        <is>
          <t>BKK27</t>
        </is>
      </c>
      <c r="J11" s="5" t="inlineStr">
        <is>
          <t>B.C. DEPOT CO.,LTD. ( Bang-Na KM.18)</t>
        </is>
      </c>
      <c r="K11" s="5" t="inlineStr">
        <is>
          <t>20260907</t>
        </is>
      </c>
      <c r="L11" s="5" t="inlineStr">
        <is>
          <t>QUANTERM LOGISTICS (THAILAND) CO., LTD.</t>
        </is>
      </c>
      <c r="M11" s="5" t="inlineStr">
        <is>
          <t>THAI GYPSUM PRODUCTS PCL.</t>
        </is>
      </c>
      <c r="N11" s="5" t="inlineStr">
        <is>
          <t>GYPSUM PLASTER - 25202090</t>
        </is>
      </c>
      <c r="O11" s="5" t="inlineStr">
        <is>
          <t>GOOD AND CLEAN CONTAINER</t>
        </is>
      </c>
      <c r="P11" s="5" t="inlineStr">
        <is>
          <t xml:space="preserve">Pickup : 2026-09-07, Return : 2026-10-08 (1ST RTN 28/09 W/O RENT) 
 </t>
        </is>
      </c>
      <c r="Q11" s="5" t="n">
        <v>7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>
        <f>SUM(Q11:Y11)-Z11</f>
        <v/>
      </c>
      <c r="AC11" s="5">
        <f>IF(I11="","",IF(OR(LEFT(I11,3)="BKK",I11="LCH55"),"BKK",IF(LEFT(I11,3)="LCH","LCH","OTHER")))</f>
        <v/>
      </c>
      <c r="AD11" s="5">
        <f>MAX(0,Q11-MAX(0,Z11))</f>
        <v/>
      </c>
      <c r="AE11" s="5">
        <f>MAX(0,R11-MAX(0,Z11-SUM(Q11:Q11)))</f>
        <v/>
      </c>
      <c r="AF11" s="5">
        <f>MAX(0,S11-MAX(0,Z11-SUM(Q11:R11)))</f>
        <v/>
      </c>
      <c r="AG11" s="5">
        <f>MAX(0,T11-MAX(0,Z11-SUM(Q11:S11)))</f>
        <v/>
      </c>
      <c r="AH11" s="5">
        <f>MAX(0,U11-MAX(0,Z11-SUM(Q11:T11)))</f>
        <v/>
      </c>
      <c r="AI11" s="5">
        <f>MAX(0,V11-MAX(0,Z11-SUM(Q11:U11)))</f>
        <v/>
      </c>
      <c r="AJ11" s="5">
        <f>MAX(0,W11-MAX(0,Z11-SUM(Q11:V11)))</f>
        <v/>
      </c>
      <c r="AK11" s="5">
        <f>MAX(0,X11-MAX(0,Z11-SUM(Q11:W11)))</f>
        <v/>
      </c>
      <c r="AL11" s="5">
        <f>MAX(0,Y11-MAX(0,Z11-SUM(Q11:X11)))</f>
        <v/>
      </c>
    </row>
    <row r="12">
      <c r="A12" s="5" t="inlineStr">
        <is>
          <t>HASLS22260802081</t>
        </is>
      </c>
      <c r="B12" s="5" t="inlineStr">
        <is>
          <t>SWIC</t>
        </is>
      </c>
      <c r="C12" s="5" t="inlineStr">
        <is>
          <t>2610N</t>
        </is>
      </c>
      <c r="D12" s="5" t="inlineStr">
        <is>
          <t>202609211300</t>
        </is>
      </c>
      <c r="E12" s="5" t="inlineStr"/>
      <c r="F12" s="5" t="inlineStr">
        <is>
          <t>THBKK</t>
        </is>
      </c>
      <c r="G12" s="5" t="inlineStr">
        <is>
          <t>VNSGN</t>
        </is>
      </c>
      <c r="H12" s="5" t="inlineStr">
        <is>
          <t xml:space="preserve">20'x14 </t>
        </is>
      </c>
      <c r="I12" s="5" t="inlineStr">
        <is>
          <t>BKK27</t>
        </is>
      </c>
      <c r="J12" s="5" t="inlineStr">
        <is>
          <t>B.C. DEPOT CO.,LTD. ( Bang-Na KM.18)</t>
        </is>
      </c>
      <c r="K12" s="5" t="inlineStr">
        <is>
          <t>20260917</t>
        </is>
      </c>
      <c r="L12" s="5" t="inlineStr">
        <is>
          <t>INTEGRA LOGISTICS CORPORATION LTD.</t>
        </is>
      </c>
      <c r="M12" s="5" t="inlineStr">
        <is>
          <t>THAI FERMENTATION INDUSTRY CO., LTD.</t>
        </is>
      </c>
      <c r="N12" s="5" t="inlineStr">
        <is>
          <t>MSG</t>
        </is>
      </c>
      <c r="O12" s="5" t="inlineStr">
        <is>
          <t>REQ food grate ctn</t>
        </is>
      </c>
      <c r="P12" s="5" t="inlineStr">
        <is>
          <t>Pickup : 2026-09-17, Return : 2026-09-18 CLS TIME DD.19/2359HRS</t>
        </is>
      </c>
      <c r="Q12" s="5" t="n">
        <v>14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13</v>
      </c>
      <c r="AA12" s="5" t="n">
        <v>0</v>
      </c>
      <c r="AB12" s="5">
        <f>SUM(Q12:Y12)-Z12</f>
        <v/>
      </c>
      <c r="AC12" s="5">
        <f>IF(I12="","",IF(OR(LEFT(I12,3)="BKK",I12="LCH55"),"BKK",IF(LEFT(I12,3)="LCH","LCH","OTHER")))</f>
        <v/>
      </c>
      <c r="AD12" s="5">
        <f>MAX(0,Q12-MAX(0,Z12))</f>
        <v/>
      </c>
      <c r="AE12" s="5">
        <f>MAX(0,R12-MAX(0,Z12-SUM(Q12:Q12)))</f>
        <v/>
      </c>
      <c r="AF12" s="5">
        <f>MAX(0,S12-MAX(0,Z12-SUM(Q12:R12)))</f>
        <v/>
      </c>
      <c r="AG12" s="5">
        <f>MAX(0,T12-MAX(0,Z12-SUM(Q12:S12)))</f>
        <v/>
      </c>
      <c r="AH12" s="5">
        <f>MAX(0,U12-MAX(0,Z12-SUM(Q12:T12)))</f>
        <v/>
      </c>
      <c r="AI12" s="5">
        <f>MAX(0,V12-MAX(0,Z12-SUM(Q12:U12)))</f>
        <v/>
      </c>
      <c r="AJ12" s="5">
        <f>MAX(0,W12-MAX(0,Z12-SUM(Q12:V12)))</f>
        <v/>
      </c>
      <c r="AK12" s="5">
        <f>MAX(0,X12-MAX(0,Z12-SUM(Q12:W12)))</f>
        <v/>
      </c>
      <c r="AL12" s="5">
        <f>MAX(0,Y12-MAX(0,Z12-SUM(Q12:X12)))</f>
        <v/>
      </c>
    </row>
    <row r="13">
      <c r="A13" s="5" t="inlineStr">
        <is>
          <t>HASLS22260802255</t>
        </is>
      </c>
      <c r="B13" s="5" t="inlineStr">
        <is>
          <t>SWIC</t>
        </is>
      </c>
      <c r="C13" s="5" t="inlineStr">
        <is>
          <t>2610N</t>
        </is>
      </c>
      <c r="D13" s="5" t="inlineStr">
        <is>
          <t>202609211300</t>
        </is>
      </c>
      <c r="E13" s="5" t="inlineStr"/>
      <c r="F13" s="5" t="inlineStr">
        <is>
          <t>THBKK</t>
        </is>
      </c>
      <c r="G13" s="5" t="inlineStr">
        <is>
          <t>VNSGN</t>
        </is>
      </c>
      <c r="H13" s="5" t="inlineStr">
        <is>
          <t xml:space="preserve">40Hx3 </t>
        </is>
      </c>
      <c r="I13" s="5" t="inlineStr">
        <is>
          <t>BKK27</t>
        </is>
      </c>
      <c r="J13" s="5" t="inlineStr">
        <is>
          <t>B.C. DEPOT CO.,LTD. ( Bang-Na KM.18)</t>
        </is>
      </c>
      <c r="K13" s="5" t="inlineStr">
        <is>
          <t>20260917</t>
        </is>
      </c>
      <c r="L13" s="5" t="inlineStr">
        <is>
          <t>LOTUS FREIGHT AND SERVICES CORP.,LTD.</t>
        </is>
      </c>
      <c r="M13" s="5" t="inlineStr">
        <is>
          <t>EXCEL ENTECH CO.,LTD.</t>
        </is>
      </c>
      <c r="N13" s="5" t="inlineStr">
        <is>
          <t>PARTS OF MACHINERY</t>
        </is>
      </c>
      <c r="O13" s="5" t="inlineStr">
        <is>
          <t>GOOD AND CLEAN CONTAINER</t>
        </is>
      </c>
      <c r="P13" s="5" t="inlineStr">
        <is>
          <t xml:space="preserve">Pickup : 2026-09-17, Return : 2026-09-18 
 </t>
        </is>
      </c>
      <c r="Q13" s="5" t="n">
        <v>0</v>
      </c>
      <c r="R13" s="5" t="n">
        <v>0</v>
      </c>
      <c r="S13" s="5" t="n">
        <v>3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1</v>
      </c>
      <c r="AA13" s="5" t="n">
        <v>0</v>
      </c>
      <c r="AB13" s="5">
        <f>SUM(Q13:Y13)-Z13</f>
        <v/>
      </c>
      <c r="AC13" s="5">
        <f>IF(I13="","",IF(OR(LEFT(I13,3)="BKK",I13="LCH55"),"BKK",IF(LEFT(I13,3)="LCH","LCH","OTHER")))</f>
        <v/>
      </c>
      <c r="AD13" s="5">
        <f>MAX(0,Q13-MAX(0,Z13))</f>
        <v/>
      </c>
      <c r="AE13" s="5">
        <f>MAX(0,R13-MAX(0,Z13-SUM(Q13:Q13)))</f>
        <v/>
      </c>
      <c r="AF13" s="5">
        <f>MAX(0,S13-MAX(0,Z13-SUM(Q13:R13)))</f>
        <v/>
      </c>
      <c r="AG13" s="5">
        <f>MAX(0,T13-MAX(0,Z13-SUM(Q13:S13)))</f>
        <v/>
      </c>
      <c r="AH13" s="5">
        <f>MAX(0,U13-MAX(0,Z13-SUM(Q13:T13)))</f>
        <v/>
      </c>
      <c r="AI13" s="5">
        <f>MAX(0,V13-MAX(0,Z13-SUM(Q13:U13)))</f>
        <v/>
      </c>
      <c r="AJ13" s="5">
        <f>MAX(0,W13-MAX(0,Z13-SUM(Q13:V13)))</f>
        <v/>
      </c>
      <c r="AK13" s="5">
        <f>MAX(0,X13-MAX(0,Z13-SUM(Q13:W13)))</f>
        <v/>
      </c>
      <c r="AL13" s="5">
        <f>MAX(0,Y13-MAX(0,Z13-SUM(Q13:X13)))</f>
        <v/>
      </c>
    </row>
    <row r="14">
      <c r="A14" s="5" t="inlineStr">
        <is>
          <t>HASLS22260802265</t>
        </is>
      </c>
      <c r="B14" s="5" t="inlineStr">
        <is>
          <t>CMA</t>
        </is>
      </c>
      <c r="C14" s="5" t="inlineStr">
        <is>
          <t>2614N</t>
        </is>
      </c>
      <c r="D14" s="5" t="inlineStr">
        <is>
          <t>202609240200</t>
        </is>
      </c>
      <c r="E14" s="5" t="inlineStr"/>
      <c r="F14" s="5" t="inlineStr">
        <is>
          <t>THBKK</t>
        </is>
      </c>
      <c r="G14" s="5" t="inlineStr">
        <is>
          <t>HKHKG</t>
        </is>
      </c>
      <c r="H14" s="5" t="inlineStr">
        <is>
          <t xml:space="preserve">R40Hx1 </t>
        </is>
      </c>
      <c r="I14" s="5" t="inlineStr">
        <is>
          <t>BKK27</t>
        </is>
      </c>
      <c r="J14" s="5" t="inlineStr">
        <is>
          <t>B.C. DEPOT CO.,LTD. ( Bang-Na KM.18)</t>
        </is>
      </c>
      <c r="K14" s="5" t="inlineStr">
        <is>
          <t>20260914</t>
        </is>
      </c>
      <c r="L14" s="5" t="inlineStr">
        <is>
          <t>KWE-KINTETSU WORLD EXPRESS (THAILAND) CO., LTD.</t>
        </is>
      </c>
      <c r="M14" s="5" t="inlineStr">
        <is>
          <t>KIBUN (THAILAND) CO., LTD.</t>
        </is>
      </c>
      <c r="N14" s="5" t="inlineStr">
        <is>
          <t>FROZEN IMITATION CRAB MEAT</t>
        </is>
      </c>
      <c r="O14" s="5" t="inlineStr">
        <is>
          <t>(Temp -20.0 / Vent Close)  **REQ GOOD, CLEAN, NO LEAK AND GRADE A CONTAINER</t>
        </is>
      </c>
      <c r="P14" s="5" t="inlineStr">
        <is>
          <t>Pickup : 2026-09-19, Return : 2026-09-21 (Temp -20.0 / Vent Close) 
CLS TIME 22/09/26 @ 17.00 (1ST DATE RTN 21/09/2026 W/O RENT,ELECTRIC)</t>
        </is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>
        <f>SUM(Q14:Y14)-Z14</f>
        <v/>
      </c>
      <c r="AC14" s="5">
        <f>IF(I14="","",IF(OR(LEFT(I14,3)="BKK",I14="LCH55"),"BKK",IF(LEFT(I14,3)="LCH","LCH","OTHER")))</f>
        <v/>
      </c>
      <c r="AD14" s="5">
        <f>MAX(0,Q14-MAX(0,Z14))</f>
        <v/>
      </c>
      <c r="AE14" s="5">
        <f>MAX(0,R14-MAX(0,Z14-SUM(Q14:Q14)))</f>
        <v/>
      </c>
      <c r="AF14" s="5">
        <f>MAX(0,S14-MAX(0,Z14-SUM(Q14:R14)))</f>
        <v/>
      </c>
      <c r="AG14" s="5">
        <f>MAX(0,T14-MAX(0,Z14-SUM(Q14:S14)))</f>
        <v/>
      </c>
      <c r="AH14" s="5">
        <f>MAX(0,U14-MAX(0,Z14-SUM(Q14:T14)))</f>
        <v/>
      </c>
      <c r="AI14" s="5">
        <f>MAX(0,V14-MAX(0,Z14-SUM(Q14:U14)))</f>
        <v/>
      </c>
      <c r="AJ14" s="5">
        <f>MAX(0,W14-MAX(0,Z14-SUM(Q14:V14)))</f>
        <v/>
      </c>
      <c r="AK14" s="5">
        <f>MAX(0,X14-MAX(0,Z14-SUM(Q14:W14)))</f>
        <v/>
      </c>
      <c r="AL14" s="5">
        <f>MAX(0,Y14-MAX(0,Z14-SUM(Q14:X14)))</f>
        <v/>
      </c>
    </row>
    <row r="15">
      <c r="A15" s="5" t="inlineStr">
        <is>
          <t>HASLS22260802436</t>
        </is>
      </c>
      <c r="B15" s="5" t="inlineStr">
        <is>
          <t>KUS</t>
        </is>
      </c>
      <c r="C15" s="5" t="inlineStr">
        <is>
          <t>2615N</t>
        </is>
      </c>
      <c r="D15" s="5" t="inlineStr">
        <is>
          <t>202609231100</t>
        </is>
      </c>
      <c r="E15" s="5" t="inlineStr"/>
      <c r="F15" s="5" t="inlineStr">
        <is>
          <t>THBKK</t>
        </is>
      </c>
      <c r="G15" s="5" t="inlineStr">
        <is>
          <t>JPSEN</t>
        </is>
      </c>
      <c r="H15" s="5" t="inlineStr">
        <is>
          <t xml:space="preserve">20'x1 </t>
        </is>
      </c>
      <c r="I15" s="5" t="inlineStr">
        <is>
          <t>BKK27</t>
        </is>
      </c>
      <c r="J15" s="5" t="inlineStr">
        <is>
          <t>B.C. DEPOT CO.,LTD. ( Bang-Na KM.18)</t>
        </is>
      </c>
      <c r="K15" s="5" t="inlineStr">
        <is>
          <t>20260917</t>
        </is>
      </c>
      <c r="L15" s="5" t="inlineStr">
        <is>
          <t>TANIO THAI CO., LTD.</t>
        </is>
      </c>
      <c r="M15" s="5" t="inlineStr">
        <is>
          <t>TANIO THAI CO., LTD.</t>
        </is>
      </c>
      <c r="N15" s="5" t="inlineStr">
        <is>
          <t>RED BEAN PASTE</t>
        </is>
      </c>
      <c r="O15" s="5" t="inlineStr">
        <is>
          <t>RQST CNTR FOOD GRADE</t>
        </is>
      </c>
      <c r="P15" s="5" t="inlineStr">
        <is>
          <t xml:space="preserve">CY-RTN :17-19/09/2026 CLS TIME DD.21/09/2026 @ 23.59
ORDER : A-9
</t>
        </is>
      </c>
      <c r="Q15" s="5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</v>
      </c>
      <c r="AB15" s="5">
        <f>SUM(Q15:Y15)-Z15</f>
        <v/>
      </c>
      <c r="AC15" s="5">
        <f>IF(I15="","",IF(OR(LEFT(I15,3)="BKK",I15="LCH55"),"BKK",IF(LEFT(I15,3)="LCH","LCH","OTHER")))</f>
        <v/>
      </c>
      <c r="AD15" s="5">
        <f>MAX(0,Q15-MAX(0,Z15))</f>
        <v/>
      </c>
      <c r="AE15" s="5">
        <f>MAX(0,R15-MAX(0,Z15-SUM(Q15:Q15)))</f>
        <v/>
      </c>
      <c r="AF15" s="5">
        <f>MAX(0,S15-MAX(0,Z15-SUM(Q15:R15)))</f>
        <v/>
      </c>
      <c r="AG15" s="5">
        <f>MAX(0,T15-MAX(0,Z15-SUM(Q15:S15)))</f>
        <v/>
      </c>
      <c r="AH15" s="5">
        <f>MAX(0,U15-MAX(0,Z15-SUM(Q15:T15)))</f>
        <v/>
      </c>
      <c r="AI15" s="5">
        <f>MAX(0,V15-MAX(0,Z15-SUM(Q15:U15)))</f>
        <v/>
      </c>
      <c r="AJ15" s="5">
        <f>MAX(0,W15-MAX(0,Z15-SUM(Q15:V15)))</f>
        <v/>
      </c>
      <c r="AK15" s="5">
        <f>MAX(0,X15-MAX(0,Z15-SUM(Q15:W15)))</f>
        <v/>
      </c>
      <c r="AL15" s="5">
        <f>MAX(0,Y15-MAX(0,Z15-SUM(Q15:X15)))</f>
        <v/>
      </c>
    </row>
    <row r="16">
      <c r="A16" s="5" t="inlineStr">
        <is>
          <t>HASLS22260802566</t>
        </is>
      </c>
      <c r="B16" s="5" t="inlineStr">
        <is>
          <t>SWAT</t>
        </is>
      </c>
      <c r="C16" s="5" t="inlineStr">
        <is>
          <t>2611N</t>
        </is>
      </c>
      <c r="D16" s="5" t="inlineStr">
        <is>
          <t>202610251024</t>
        </is>
      </c>
      <c r="E16" s="5" t="inlineStr"/>
      <c r="F16" s="5" t="inlineStr">
        <is>
          <t>THBKK</t>
        </is>
      </c>
      <c r="G16" s="5" t="inlineStr">
        <is>
          <t>KRPUS</t>
        </is>
      </c>
      <c r="H16" s="5" t="inlineStr">
        <is>
          <t xml:space="preserve">R40Hx1 </t>
        </is>
      </c>
      <c r="I16" s="5" t="inlineStr">
        <is>
          <t>BKK27</t>
        </is>
      </c>
      <c r="J16" s="5" t="inlineStr">
        <is>
          <t>B.C. DEPOT CO.,LTD. ( Bang-Na KM.18)</t>
        </is>
      </c>
      <c r="K16" s="5" t="inlineStr">
        <is>
          <t>20260916</t>
        </is>
      </c>
      <c r="L16" s="5" t="inlineStr">
        <is>
          <t>TRUE MARINE CO., LTD.</t>
        </is>
      </c>
      <c r="M16" s="5" t="inlineStr">
        <is>
          <t>N&amp;N FOODS CO., LTD.</t>
        </is>
      </c>
      <c r="N16" s="5" t="inlineStr">
        <is>
          <t>FROZEN FOOD</t>
        </is>
      </c>
      <c r="O16" s="5" t="inlineStr">
        <is>
          <t>(Temp -20.0℃ / Vent Close) Request good and clean container</t>
        </is>
      </c>
      <c r="P16" s="5" t="inlineStr">
        <is>
          <t>Pickup : 2026-09-16, Return : 2026-09-17 (Temp -20.0 / Vent Close) 
CLS TIME 17/10/26 @23.59</t>
        </is>
      </c>
      <c r="Q16" s="5" t="n">
        <v>0</v>
      </c>
      <c r="R16" s="5" t="n">
        <v>0</v>
      </c>
      <c r="S16" s="5" t="n">
        <v>0</v>
      </c>
      <c r="T16" s="5" t="n">
        <v>0</v>
      </c>
      <c r="U16" s="5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</v>
      </c>
      <c r="AB16" s="5">
        <f>SUM(Q16:Y16)-Z16</f>
        <v/>
      </c>
      <c r="AC16" s="5">
        <f>IF(I16="","",IF(OR(LEFT(I16,3)="BKK",I16="LCH55"),"BKK",IF(LEFT(I16,3)="LCH","LCH","OTHER")))</f>
        <v/>
      </c>
      <c r="AD16" s="5">
        <f>MAX(0,Q16-MAX(0,Z16))</f>
        <v/>
      </c>
      <c r="AE16" s="5">
        <f>MAX(0,R16-MAX(0,Z16-SUM(Q16:Q16)))</f>
        <v/>
      </c>
      <c r="AF16" s="5">
        <f>MAX(0,S16-MAX(0,Z16-SUM(Q16:R16)))</f>
        <v/>
      </c>
      <c r="AG16" s="5">
        <f>MAX(0,T16-MAX(0,Z16-SUM(Q16:S16)))</f>
        <v/>
      </c>
      <c r="AH16" s="5">
        <f>MAX(0,U16-MAX(0,Z16-SUM(Q16:T16)))</f>
        <v/>
      </c>
      <c r="AI16" s="5">
        <f>MAX(0,V16-MAX(0,Z16-SUM(Q16:U16)))</f>
        <v/>
      </c>
      <c r="AJ16" s="5">
        <f>MAX(0,W16-MAX(0,Z16-SUM(Q16:V16)))</f>
        <v/>
      </c>
      <c r="AK16" s="5">
        <f>MAX(0,X16-MAX(0,Z16-SUM(Q16:W16)))</f>
        <v/>
      </c>
      <c r="AL16" s="5">
        <f>MAX(0,Y16-MAX(0,Z16-SUM(Q16:X16)))</f>
        <v/>
      </c>
    </row>
    <row r="17">
      <c r="A17" s="5" t="inlineStr">
        <is>
          <t>HASLS22260802575</t>
        </is>
      </c>
      <c r="B17" s="5" t="inlineStr">
        <is>
          <t>SWIC</t>
        </is>
      </c>
      <c r="C17" s="5" t="inlineStr">
        <is>
          <t>2610N</t>
        </is>
      </c>
      <c r="D17" s="5" t="inlineStr">
        <is>
          <t>202609211300</t>
        </is>
      </c>
      <c r="E17" s="5" t="inlineStr"/>
      <c r="F17" s="5" t="inlineStr">
        <is>
          <t>THBKK</t>
        </is>
      </c>
      <c r="G17" s="5" t="inlineStr">
        <is>
          <t>VNSGN</t>
        </is>
      </c>
      <c r="H17" s="5" t="inlineStr">
        <is>
          <t xml:space="preserve">R40Hx6 </t>
        </is>
      </c>
      <c r="I17" s="5" t="inlineStr">
        <is>
          <t>BKK27</t>
        </is>
      </c>
      <c r="J17" s="5" t="inlineStr">
        <is>
          <t>B.C. DEPOT CO.,LTD. ( Bang-Na KM.18)</t>
        </is>
      </c>
      <c r="K17" s="5" t="inlineStr">
        <is>
          <t>20260914</t>
        </is>
      </c>
      <c r="L17" s="5" t="inlineStr">
        <is>
          <t>SIAM I-LOGISTICS LTD.</t>
        </is>
      </c>
      <c r="M17" s="5" t="inlineStr">
        <is>
          <t>GOLDEN PRIZE CANNING CO., LTD.</t>
        </is>
      </c>
      <c r="N17" s="5" t="inlineStr">
        <is>
          <t>FROZEN TUNA</t>
        </is>
      </c>
      <c r="O17" s="5" t="inlineStr">
        <is>
          <t>(Temp -25.0℃ / Vent Close)
REQUEST GOOD AND CLEAN CONTAINER</t>
        </is>
      </c>
      <c r="P17" s="5" t="inlineStr">
        <is>
          <t>Pickup : 2026-09-14, Return : 2026-09-18 RF45REx6 (Temp -25.0 / Vent Close) 
Closing Time 2026-09-19 @ 18.00 ( 1ST RETUN 18/09 W/O RENT)</t>
        </is>
      </c>
      <c r="Q17" s="5" t="n">
        <v>0</v>
      </c>
      <c r="R17" s="5" t="n">
        <v>0</v>
      </c>
      <c r="S17" s="5" t="n">
        <v>0</v>
      </c>
      <c r="T17" s="5" t="n">
        <v>0</v>
      </c>
      <c r="U17" s="5" t="n">
        <v>6</v>
      </c>
      <c r="V17" s="5" t="n">
        <v>0</v>
      </c>
      <c r="W17" s="5" t="n">
        <v>0</v>
      </c>
      <c r="X17" s="5" t="n">
        <v>0</v>
      </c>
      <c r="Y17" s="5" t="n">
        <v>0</v>
      </c>
      <c r="Z17" s="5" t="n">
        <v>5</v>
      </c>
      <c r="AA17" s="5" t="n">
        <v>0</v>
      </c>
      <c r="AB17" s="5">
        <f>SUM(Q17:Y17)-Z17</f>
        <v/>
      </c>
      <c r="AC17" s="5">
        <f>IF(I17="","",IF(OR(LEFT(I17,3)="BKK",I17="LCH55"),"BKK",IF(LEFT(I17,3)="LCH","LCH","OTHER")))</f>
        <v/>
      </c>
      <c r="AD17" s="5">
        <f>MAX(0,Q17-MAX(0,Z17))</f>
        <v/>
      </c>
      <c r="AE17" s="5">
        <f>MAX(0,R17-MAX(0,Z17-SUM(Q17:Q17)))</f>
        <v/>
      </c>
      <c r="AF17" s="5">
        <f>MAX(0,S17-MAX(0,Z17-SUM(Q17:R17)))</f>
        <v/>
      </c>
      <c r="AG17" s="5">
        <f>MAX(0,T17-MAX(0,Z17-SUM(Q17:S17)))</f>
        <v/>
      </c>
      <c r="AH17" s="5">
        <f>MAX(0,U17-MAX(0,Z17-SUM(Q17:T17)))</f>
        <v/>
      </c>
      <c r="AI17" s="5">
        <f>MAX(0,V17-MAX(0,Z17-SUM(Q17:U17)))</f>
        <v/>
      </c>
      <c r="AJ17" s="5">
        <f>MAX(0,W17-MAX(0,Z17-SUM(Q17:V17)))</f>
        <v/>
      </c>
      <c r="AK17" s="5">
        <f>MAX(0,X17-MAX(0,Z17-SUM(Q17:W17)))</f>
        <v/>
      </c>
      <c r="AL17" s="5">
        <f>MAX(0,Y17-MAX(0,Z17-SUM(Q17:X17)))</f>
        <v/>
      </c>
    </row>
    <row r="18">
      <c r="A18" s="5" t="inlineStr">
        <is>
          <t>HASLS22260900121</t>
        </is>
      </c>
      <c r="B18" s="5" t="inlineStr">
        <is>
          <t>KMGY</t>
        </is>
      </c>
      <c r="C18" s="5" t="inlineStr">
        <is>
          <t>2610N</t>
        </is>
      </c>
      <c r="D18" s="5" t="inlineStr">
        <is>
          <t>202609290000</t>
        </is>
      </c>
      <c r="E18" s="5" t="inlineStr"/>
      <c r="F18" s="5" t="inlineStr">
        <is>
          <t>THBKK</t>
        </is>
      </c>
      <c r="G18" s="5" t="inlineStr">
        <is>
          <t>CNXMN</t>
        </is>
      </c>
      <c r="H18" s="5" t="inlineStr">
        <is>
          <t xml:space="preserve">20'x2 </t>
        </is>
      </c>
      <c r="I18" s="5" t="inlineStr">
        <is>
          <t>BKK27</t>
        </is>
      </c>
      <c r="J18" s="5" t="inlineStr">
        <is>
          <t>B.C. DEPOT CO.,LTD. ( Bang-Na KM.18)</t>
        </is>
      </c>
      <c r="K18" s="5" t="inlineStr">
        <is>
          <t>20260917</t>
        </is>
      </c>
      <c r="L18" s="5" t="inlineStr">
        <is>
          <t>KAMIGUMI (THAILAND) CO., LTD.</t>
        </is>
      </c>
      <c r="M18" s="5" t="inlineStr">
        <is>
          <t>NITTO FUJI INTERNATIONAL (THAILAND) CO., LTD.</t>
        </is>
      </c>
      <c r="N18" s="5" t="inlineStr">
        <is>
          <t>MIX FLOUR</t>
        </is>
      </c>
      <c r="O18" s="5" t="inlineStr">
        <is>
          <t>REQUEST GOOD, CLEAN AND NO SMELL CONTAINER / REQUEST FOOD GRADE CONTAINER</t>
        </is>
      </c>
      <c r="P18" s="5" t="inlineStr">
        <is>
          <t>Pickup : 2026-09-17, Return : 2026-09-18</t>
        </is>
      </c>
      <c r="Q18" s="5" t="n">
        <v>2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>
        <f>SUM(Q18:Y18)-Z18</f>
        <v/>
      </c>
      <c r="AC18" s="5">
        <f>IF(I18="","",IF(OR(LEFT(I18,3)="BKK",I18="LCH55"),"BKK",IF(LEFT(I18,3)="LCH","LCH","OTHER")))</f>
        <v/>
      </c>
      <c r="AD18" s="5">
        <f>MAX(0,Q18-MAX(0,Z18))</f>
        <v/>
      </c>
      <c r="AE18" s="5">
        <f>MAX(0,R18-MAX(0,Z18-SUM(Q18:Q18)))</f>
        <v/>
      </c>
      <c r="AF18" s="5">
        <f>MAX(0,S18-MAX(0,Z18-SUM(Q18:R18)))</f>
        <v/>
      </c>
      <c r="AG18" s="5">
        <f>MAX(0,T18-MAX(0,Z18-SUM(Q18:S18)))</f>
        <v/>
      </c>
      <c r="AH18" s="5">
        <f>MAX(0,U18-MAX(0,Z18-SUM(Q18:T18)))</f>
        <v/>
      </c>
      <c r="AI18" s="5">
        <f>MAX(0,V18-MAX(0,Z18-SUM(Q18:U18)))</f>
        <v/>
      </c>
      <c r="AJ18" s="5">
        <f>MAX(0,W18-MAX(0,Z18-SUM(Q18:V18)))</f>
        <v/>
      </c>
      <c r="AK18" s="5">
        <f>MAX(0,X18-MAX(0,Z18-SUM(Q18:W18)))</f>
        <v/>
      </c>
      <c r="AL18" s="5">
        <f>MAX(0,Y18-MAX(0,Z18-SUM(Q18:X18)))</f>
        <v/>
      </c>
    </row>
    <row r="19">
      <c r="A19" s="5" t="inlineStr">
        <is>
          <t>HASLS22260900295</t>
        </is>
      </c>
      <c r="B19" s="5" t="inlineStr">
        <is>
          <t>KJT</t>
        </is>
      </c>
      <c r="C19" s="5" t="inlineStr">
        <is>
          <t>2610N</t>
        </is>
      </c>
      <c r="D19" s="5" t="inlineStr">
        <is>
          <t>202609221900</t>
        </is>
      </c>
      <c r="E19" s="5" t="inlineStr"/>
      <c r="F19" s="5" t="inlineStr">
        <is>
          <t>THBKK</t>
        </is>
      </c>
      <c r="G19" s="5" t="inlineStr">
        <is>
          <t>TWKEL</t>
        </is>
      </c>
      <c r="H19" s="5" t="inlineStr">
        <is>
          <t xml:space="preserve">20'x1 </t>
        </is>
      </c>
      <c r="I19" s="5" t="inlineStr">
        <is>
          <t>BKK27</t>
        </is>
      </c>
      <c r="J19" s="5" t="inlineStr">
        <is>
          <t>B.C. DEPOT CO.,LTD. ( Bang-Na KM.18)</t>
        </is>
      </c>
      <c r="K19" s="5" t="inlineStr">
        <is>
          <t>20260914</t>
        </is>
      </c>
      <c r="L19" s="5" t="inlineStr">
        <is>
          <t>KTC GLOBAL LOGISTICS CO., LTD.</t>
        </is>
      </c>
      <c r="M19" s="5" t="inlineStr">
        <is>
          <t>DZQ CO.,LTD.</t>
        </is>
      </c>
      <c r="N19" s="5" t="inlineStr">
        <is>
          <t>FOODSTUFFS</t>
        </is>
      </c>
      <c r="O19" s="5" t="inlineStr">
        <is>
          <t>CONTAINER GOOD AND CLEAN</t>
        </is>
      </c>
      <c r="P19" s="5" t="inlineStr">
        <is>
          <t>Pickup : 2026-09-14, Return : 2026-09-15</t>
        </is>
      </c>
      <c r="Q19" s="5" t="n">
        <v>1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</v>
      </c>
      <c r="AB19" s="5">
        <f>SUM(Q19:Y19)-Z19</f>
        <v/>
      </c>
      <c r="AC19" s="5">
        <f>IF(I19="","",IF(OR(LEFT(I19,3)="BKK",I19="LCH55"),"BKK",IF(LEFT(I19,3)="LCH","LCH","OTHER")))</f>
        <v/>
      </c>
      <c r="AD19" s="5">
        <f>MAX(0,Q19-MAX(0,Z19))</f>
        <v/>
      </c>
      <c r="AE19" s="5">
        <f>MAX(0,R19-MAX(0,Z19-SUM(Q19:Q19)))</f>
        <v/>
      </c>
      <c r="AF19" s="5">
        <f>MAX(0,S19-MAX(0,Z19-SUM(Q19:R19)))</f>
        <v/>
      </c>
      <c r="AG19" s="5">
        <f>MAX(0,T19-MAX(0,Z19-SUM(Q19:S19)))</f>
        <v/>
      </c>
      <c r="AH19" s="5">
        <f>MAX(0,U19-MAX(0,Z19-SUM(Q19:T19)))</f>
        <v/>
      </c>
      <c r="AI19" s="5">
        <f>MAX(0,V19-MAX(0,Z19-SUM(Q19:U19)))</f>
        <v/>
      </c>
      <c r="AJ19" s="5">
        <f>MAX(0,W19-MAX(0,Z19-SUM(Q19:V19)))</f>
        <v/>
      </c>
      <c r="AK19" s="5">
        <f>MAX(0,X19-MAX(0,Z19-SUM(Q19:W19)))</f>
        <v/>
      </c>
      <c r="AL19" s="5">
        <f>MAX(0,Y19-MAX(0,Z19-SUM(Q19:X19)))</f>
        <v/>
      </c>
    </row>
    <row r="20">
      <c r="A20" s="5" t="inlineStr">
        <is>
          <t>HASLS22260900335</t>
        </is>
      </c>
      <c r="B20" s="5" t="inlineStr">
        <is>
          <t>KMGY</t>
        </is>
      </c>
      <c r="C20" s="5" t="inlineStr">
        <is>
          <t>2610N</t>
        </is>
      </c>
      <c r="D20" s="5" t="inlineStr">
        <is>
          <t>202609290000</t>
        </is>
      </c>
      <c r="E20" s="5" t="inlineStr"/>
      <c r="F20" s="5" t="inlineStr">
        <is>
          <t>THBKK</t>
        </is>
      </c>
      <c r="G20" s="5" t="inlineStr">
        <is>
          <t>HKHKG</t>
        </is>
      </c>
      <c r="H20" s="5" t="inlineStr">
        <is>
          <t xml:space="preserve">20'x5 </t>
        </is>
      </c>
      <c r="I20" s="5" t="inlineStr">
        <is>
          <t>BKK27</t>
        </is>
      </c>
      <c r="J20" s="5" t="inlineStr">
        <is>
          <t>B.C. DEPOT CO.,LTD. ( Bang-Na KM.18)</t>
        </is>
      </c>
      <c r="K20" s="5" t="inlineStr">
        <is>
          <t>20260917</t>
        </is>
      </c>
      <c r="L20" s="5" t="inlineStr">
        <is>
          <t>WARATHEP INTERNATIONAL FREIGHT CO., LTD.</t>
        </is>
      </c>
      <c r="M20" s="5" t="inlineStr">
        <is>
          <t>PERFECT LEATHER CO.,LTD.</t>
        </is>
      </c>
      <c r="N20" s="5" t="inlineStr">
        <is>
          <t>WET BLUE CATTLE HIDES</t>
        </is>
      </c>
      <c r="O20" s="5" t="inlineStr">
        <is>
          <t>GOOD AND CLEAN CONTAINER</t>
        </is>
      </c>
      <c r="P20" s="5" t="inlineStr">
        <is>
          <t xml:space="preserve">Pickup : 2026-09-17, Return : 2026-09-17 (1ST RTN 18/09 W/O RENT) 
 </t>
        </is>
      </c>
      <c r="Q20" s="5" t="n">
        <v>5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</v>
      </c>
      <c r="AB20" s="5">
        <f>SUM(Q20:Y20)-Z20</f>
        <v/>
      </c>
      <c r="AC20" s="5">
        <f>IF(I20="","",IF(OR(LEFT(I20,3)="BKK",I20="LCH55"),"BKK",IF(LEFT(I20,3)="LCH","LCH","OTHER")))</f>
        <v/>
      </c>
      <c r="AD20" s="5">
        <f>MAX(0,Q20-MAX(0,Z20))</f>
        <v/>
      </c>
      <c r="AE20" s="5">
        <f>MAX(0,R20-MAX(0,Z20-SUM(Q20:Q20)))</f>
        <v/>
      </c>
      <c r="AF20" s="5">
        <f>MAX(0,S20-MAX(0,Z20-SUM(Q20:R20)))</f>
        <v/>
      </c>
      <c r="AG20" s="5">
        <f>MAX(0,T20-MAX(0,Z20-SUM(Q20:S20)))</f>
        <v/>
      </c>
      <c r="AH20" s="5">
        <f>MAX(0,U20-MAX(0,Z20-SUM(Q20:T20)))</f>
        <v/>
      </c>
      <c r="AI20" s="5">
        <f>MAX(0,V20-MAX(0,Z20-SUM(Q20:U20)))</f>
        <v/>
      </c>
      <c r="AJ20" s="5">
        <f>MAX(0,W20-MAX(0,Z20-SUM(Q20:V20)))</f>
        <v/>
      </c>
      <c r="AK20" s="5">
        <f>MAX(0,X20-MAX(0,Z20-SUM(Q20:W20)))</f>
        <v/>
      </c>
      <c r="AL20" s="5">
        <f>MAX(0,Y20-MAX(0,Z20-SUM(Q20:X20)))</f>
        <v/>
      </c>
    </row>
    <row r="21">
      <c r="A21" s="5" t="inlineStr">
        <is>
          <t>HASLS22260900775</t>
        </is>
      </c>
      <c r="B21" s="5" t="inlineStr">
        <is>
          <t>SWDN</t>
        </is>
      </c>
      <c r="C21" s="5" t="inlineStr">
        <is>
          <t>2610N</t>
        </is>
      </c>
      <c r="D21" s="5" t="inlineStr">
        <is>
          <t>202609300900</t>
        </is>
      </c>
      <c r="E21" s="5" t="inlineStr"/>
      <c r="F21" s="5" t="inlineStr">
        <is>
          <t>THBKK</t>
        </is>
      </c>
      <c r="G21" s="5" t="inlineStr">
        <is>
          <t>KRINC</t>
        </is>
      </c>
      <c r="H21" s="5" t="inlineStr">
        <is>
          <t xml:space="preserve">20'x1 </t>
        </is>
      </c>
      <c r="I21" s="5" t="inlineStr">
        <is>
          <t>BKK27</t>
        </is>
      </c>
      <c r="J21" s="5" t="inlineStr">
        <is>
          <t>B.C. DEPOT CO.,LTD. ( Bang-Na KM.18)</t>
        </is>
      </c>
      <c r="K21" s="5" t="inlineStr">
        <is>
          <t>20260915</t>
        </is>
      </c>
      <c r="L21" s="5" t="inlineStr">
        <is>
          <t>GATEWAY CONTAINER LINE CO., LTD.</t>
        </is>
      </c>
      <c r="M21" s="5" t="inlineStr">
        <is>
          <t>I-TAIL CORPORATION PUBLIC COMPANY LIMITED</t>
        </is>
      </c>
      <c r="N21" s="5" t="inlineStr">
        <is>
          <t>PET FOOD</t>
        </is>
      </c>
      <c r="O21" s="5" t="inlineStr">
        <is>
          <t>GOOD AND CLEAN CONTAINER</t>
        </is>
      </c>
      <c r="P21" s="5" t="inlineStr">
        <is>
          <t xml:space="preserve">Pickup : 2026-09-15, Return : 2026-09-16 (1ST RTN 25/09 W/O RENT) 
 </t>
        </is>
      </c>
      <c r="Q21" s="5" t="n">
        <v>1</v>
      </c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 t="n">
        <v>0</v>
      </c>
      <c r="AA21" s="5" t="n">
        <v>0</v>
      </c>
      <c r="AB21" s="5">
        <f>SUM(Q21:Y21)-Z21</f>
        <v/>
      </c>
      <c r="AC21" s="5">
        <f>IF(I21="","",IF(OR(LEFT(I21,3)="BKK",I21="LCH55"),"BKK",IF(LEFT(I21,3)="LCH","LCH","OTHER")))</f>
        <v/>
      </c>
      <c r="AD21" s="5">
        <f>MAX(0,Q21-MAX(0,Z21))</f>
        <v/>
      </c>
      <c r="AE21" s="5">
        <f>MAX(0,R21-MAX(0,Z21-SUM(Q21:Q21)))</f>
        <v/>
      </c>
      <c r="AF21" s="5">
        <f>MAX(0,S21-MAX(0,Z21-SUM(Q21:R21)))</f>
        <v/>
      </c>
      <c r="AG21" s="5">
        <f>MAX(0,T21-MAX(0,Z21-SUM(Q21:S21)))</f>
        <v/>
      </c>
      <c r="AH21" s="5">
        <f>MAX(0,U21-MAX(0,Z21-SUM(Q21:T21)))</f>
        <v/>
      </c>
      <c r="AI21" s="5">
        <f>MAX(0,V21-MAX(0,Z21-SUM(Q21:U21)))</f>
        <v/>
      </c>
      <c r="AJ21" s="5">
        <f>MAX(0,W21-MAX(0,Z21-SUM(Q21:V21)))</f>
        <v/>
      </c>
      <c r="AK21" s="5">
        <f>MAX(0,X21-MAX(0,Z21-SUM(Q21:W21)))</f>
        <v/>
      </c>
      <c r="AL21" s="5">
        <f>MAX(0,Y21-MAX(0,Z21-SUM(Q21:X21)))</f>
        <v/>
      </c>
    </row>
    <row r="22">
      <c r="A22" s="5" t="inlineStr">
        <is>
          <t>HASLS22260900832</t>
        </is>
      </c>
      <c r="B22" s="5" t="inlineStr">
        <is>
          <t>SWIC</t>
        </is>
      </c>
      <c r="C22" s="5" t="inlineStr">
        <is>
          <t>2610N</t>
        </is>
      </c>
      <c r="D22" s="5" t="inlineStr">
        <is>
          <t>202609211300</t>
        </is>
      </c>
      <c r="E22" s="5" t="inlineStr"/>
      <c r="F22" s="5" t="inlineStr">
        <is>
          <t>THBKK</t>
        </is>
      </c>
      <c r="G22" s="5" t="inlineStr">
        <is>
          <t>VNSGN</t>
        </is>
      </c>
      <c r="H22" s="5" t="inlineStr">
        <is>
          <t xml:space="preserve">40Hx1 </t>
        </is>
      </c>
      <c r="I22" s="5" t="inlineStr">
        <is>
          <t>BKK27</t>
        </is>
      </c>
      <c r="J22" s="5" t="inlineStr">
        <is>
          <t>B.C. DEPOT CO.,LTD. ( Bang-Na KM.18)</t>
        </is>
      </c>
      <c r="K22" s="5" t="inlineStr">
        <is>
          <t>20260917</t>
        </is>
      </c>
      <c r="L22" s="5" t="inlineStr">
        <is>
          <t>CMS LOGISTICS GROUP (THAILAND) CO., LTD.</t>
        </is>
      </c>
      <c r="M22" s="5" t="inlineStr">
        <is>
          <t>TETRA PAK (THAILAND) LIMITED</t>
        </is>
      </c>
      <c r="N22" s="5" t="inlineStr">
        <is>
          <t>USED PLASTIC PALLET</t>
        </is>
      </c>
      <c r="O22" s="5" t="inlineStr">
        <is>
          <t>REQUEST CONTAINER GOODS &amp; CLEAN</t>
        </is>
      </c>
      <c r="P22" s="5" t="inlineStr">
        <is>
          <t>Pickup : 2026-09-17, Return : 2026-09-18
CLS TIM EDD.19/09/2026 @ 18.00</t>
        </is>
      </c>
      <c r="Q22" s="5" t="n">
        <v>0</v>
      </c>
      <c r="R22" s="5" t="n">
        <v>0</v>
      </c>
      <c r="S22" s="5" t="n">
        <v>1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</v>
      </c>
      <c r="AB22" s="5">
        <f>SUM(Q22:Y22)-Z22</f>
        <v/>
      </c>
      <c r="AC22" s="5">
        <f>IF(I22="","",IF(OR(LEFT(I22,3)="BKK",I22="LCH55"),"BKK",IF(LEFT(I22,3)="LCH","LCH","OTHER")))</f>
        <v/>
      </c>
      <c r="AD22" s="5">
        <f>MAX(0,Q22-MAX(0,Z22))</f>
        <v/>
      </c>
      <c r="AE22" s="5">
        <f>MAX(0,R22-MAX(0,Z22-SUM(Q22:Q22)))</f>
        <v/>
      </c>
      <c r="AF22" s="5">
        <f>MAX(0,S22-MAX(0,Z22-SUM(Q22:R22)))</f>
        <v/>
      </c>
      <c r="AG22" s="5">
        <f>MAX(0,T22-MAX(0,Z22-SUM(Q22:S22)))</f>
        <v/>
      </c>
      <c r="AH22" s="5">
        <f>MAX(0,U22-MAX(0,Z22-SUM(Q22:T22)))</f>
        <v/>
      </c>
      <c r="AI22" s="5">
        <f>MAX(0,V22-MAX(0,Z22-SUM(Q22:U22)))</f>
        <v/>
      </c>
      <c r="AJ22" s="5">
        <f>MAX(0,W22-MAX(0,Z22-SUM(Q22:V22)))</f>
        <v/>
      </c>
      <c r="AK22" s="5">
        <f>MAX(0,X22-MAX(0,Z22-SUM(Q22:W22)))</f>
        <v/>
      </c>
      <c r="AL22" s="5">
        <f>MAX(0,Y22-MAX(0,Z22-SUM(Q22:X22)))</f>
        <v/>
      </c>
    </row>
    <row r="23">
      <c r="A23" s="5" t="inlineStr">
        <is>
          <t>HASLS22260900857</t>
        </is>
      </c>
      <c r="B23" s="5" t="inlineStr">
        <is>
          <t>CMA</t>
        </is>
      </c>
      <c r="C23" s="5" t="inlineStr">
        <is>
          <t>2614N</t>
        </is>
      </c>
      <c r="D23" s="5" t="inlineStr">
        <is>
          <t>202609240200</t>
        </is>
      </c>
      <c r="E23" s="5" t="inlineStr"/>
      <c r="F23" s="5" t="inlineStr">
        <is>
          <t>THBKK</t>
        </is>
      </c>
      <c r="G23" s="5" t="inlineStr">
        <is>
          <t>TWKEL</t>
        </is>
      </c>
      <c r="H23" s="5" t="inlineStr">
        <is>
          <t xml:space="preserve">20'x1 </t>
        </is>
      </c>
      <c r="I23" s="5" t="inlineStr">
        <is>
          <t>BKK27</t>
        </is>
      </c>
      <c r="J23" s="5" t="inlineStr">
        <is>
          <t>B.C. DEPOT CO.,LTD. ( Bang-Na KM.18)</t>
        </is>
      </c>
      <c r="K23" s="5" t="inlineStr">
        <is>
          <t>20260915</t>
        </is>
      </c>
      <c r="L23" s="5" t="inlineStr">
        <is>
          <t>YUSEN LOGISTICS (THAILAND) CO., LTD.</t>
        </is>
      </c>
      <c r="M23" s="5" t="inlineStr">
        <is>
          <t>YUSEN LOGISTICS (THAILAND) CO., LTD.</t>
        </is>
      </c>
      <c r="N23" s="5" t="inlineStr">
        <is>
          <t>PRINTING FOR INDUSTRY</t>
        </is>
      </c>
      <c r="O23" s="5" t="inlineStr">
        <is>
          <t>GOOD AND CLEAN CONTAINER</t>
        </is>
      </c>
      <c r="P23" s="5" t="inlineStr">
        <is>
          <t>Pickup : 2026-09-15, Return : 2026-05-15 (1ST RTN DD: 20/09/23 WO/RENT)</t>
        </is>
      </c>
      <c r="Q23" s="5" t="n">
        <v>1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</v>
      </c>
      <c r="AB23" s="5">
        <f>SUM(Q23:Y23)-Z23</f>
        <v/>
      </c>
      <c r="AC23" s="5">
        <f>IF(I23="","",IF(OR(LEFT(I23,3)="BKK",I23="LCH55"),"BKK",IF(LEFT(I23,3)="LCH","LCH","OTHER")))</f>
        <v/>
      </c>
      <c r="AD23" s="5">
        <f>MAX(0,Q23-MAX(0,Z23))</f>
        <v/>
      </c>
      <c r="AE23" s="5">
        <f>MAX(0,R23-MAX(0,Z23-SUM(Q23:Q23)))</f>
        <v/>
      </c>
      <c r="AF23" s="5">
        <f>MAX(0,S23-MAX(0,Z23-SUM(Q23:R23)))</f>
        <v/>
      </c>
      <c r="AG23" s="5">
        <f>MAX(0,T23-MAX(0,Z23-SUM(Q23:S23)))</f>
        <v/>
      </c>
      <c r="AH23" s="5">
        <f>MAX(0,U23-MAX(0,Z23-SUM(Q23:T23)))</f>
        <v/>
      </c>
      <c r="AI23" s="5">
        <f>MAX(0,V23-MAX(0,Z23-SUM(Q23:U23)))</f>
        <v/>
      </c>
      <c r="AJ23" s="5">
        <f>MAX(0,W23-MAX(0,Z23-SUM(Q23:V23)))</f>
        <v/>
      </c>
      <c r="AK23" s="5">
        <f>MAX(0,X23-MAX(0,Z23-SUM(Q23:W23)))</f>
        <v/>
      </c>
      <c r="AL23" s="5">
        <f>MAX(0,Y23-MAX(0,Z23-SUM(Q23:X23)))</f>
        <v/>
      </c>
    </row>
    <row r="24">
      <c r="A24" s="5" t="inlineStr">
        <is>
          <t>HASLS22260900888</t>
        </is>
      </c>
      <c r="B24" s="5" t="inlineStr">
        <is>
          <t>HAB</t>
        </is>
      </c>
      <c r="C24" s="5" t="inlineStr">
        <is>
          <t>2611N</t>
        </is>
      </c>
      <c r="D24" s="5" t="inlineStr">
        <is>
          <t>202609270600</t>
        </is>
      </c>
      <c r="E24" s="5" t="inlineStr">
        <is>
          <t>THSRP</t>
        </is>
      </c>
      <c r="F24" s="5" t="inlineStr">
        <is>
          <t>THLCH</t>
        </is>
      </c>
      <c r="G24" s="5" t="inlineStr">
        <is>
          <t>CNSHA</t>
        </is>
      </c>
      <c r="H24" s="5" t="inlineStr">
        <is>
          <t xml:space="preserve">40Hx4 </t>
        </is>
      </c>
      <c r="I24" s="5" t="inlineStr">
        <is>
          <t>BKK27</t>
        </is>
      </c>
      <c r="J24" s="5" t="inlineStr">
        <is>
          <t>B.C. DEPOT CO.,LTD. ( Bang-Na KM.18)</t>
        </is>
      </c>
      <c r="K24" s="5" t="inlineStr">
        <is>
          <t>20260916</t>
        </is>
      </c>
      <c r="L24" s="5" t="inlineStr">
        <is>
          <t>MANA GLOBAL LINK CO., LTD.</t>
        </is>
      </c>
      <c r="M24" s="5" t="inlineStr">
        <is>
          <t>FUZIN PLASTIC CO.,LTD.</t>
        </is>
      </c>
      <c r="N24" s="5" t="inlineStr">
        <is>
          <t>PE RECYCLE PELLET</t>
        </is>
      </c>
      <c r="O24" s="5" t="inlineStr">
        <is>
          <t>RQST CNTR 32.5 TONS // 40'HQ
CY 16/09/2026  = 2x40'HC
CY 18/09/2026  = 2x40'HC</t>
        </is>
      </c>
      <c r="P24" s="5" t="inlineStr">
        <is>
          <t xml:space="preserve">Pickup : 2026-09-16, Return : 2026-09-18 [PAPERLESS CODE : 2829] 
 CLS TIME @SRP :  22/09 @23.59  [1ST RTN 19/09 W/O RENT] </t>
        </is>
      </c>
      <c r="Q24" s="5" t="n">
        <v>0</v>
      </c>
      <c r="R24" s="5" t="n">
        <v>0</v>
      </c>
      <c r="S24" s="5" t="n">
        <v>4</v>
      </c>
      <c r="T24" s="5" t="n">
        <v>0</v>
      </c>
      <c r="U24" s="5" t="n">
        <v>0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>
        <f>SUM(Q24:Y24)-Z24</f>
        <v/>
      </c>
      <c r="AC24" s="5">
        <f>IF(I24="","",IF(OR(LEFT(I24,3)="BKK",I24="LCH55"),"BKK",IF(LEFT(I24,3)="LCH","LCH","OTHER")))</f>
        <v/>
      </c>
      <c r="AD24" s="5">
        <f>MAX(0,Q24-MAX(0,Z24))</f>
        <v/>
      </c>
      <c r="AE24" s="5">
        <f>MAX(0,R24-MAX(0,Z24-SUM(Q24:Q24)))</f>
        <v/>
      </c>
      <c r="AF24" s="5">
        <f>MAX(0,S24-MAX(0,Z24-SUM(Q24:R24)))</f>
        <v/>
      </c>
      <c r="AG24" s="5">
        <f>MAX(0,T24-MAX(0,Z24-SUM(Q24:S24)))</f>
        <v/>
      </c>
      <c r="AH24" s="5">
        <f>MAX(0,U24-MAX(0,Z24-SUM(Q24:T24)))</f>
        <v/>
      </c>
      <c r="AI24" s="5">
        <f>MAX(0,V24-MAX(0,Z24-SUM(Q24:U24)))</f>
        <v/>
      </c>
      <c r="AJ24" s="5">
        <f>MAX(0,W24-MAX(0,Z24-SUM(Q24:V24)))</f>
        <v/>
      </c>
      <c r="AK24" s="5">
        <f>MAX(0,X24-MAX(0,Z24-SUM(Q24:W24)))</f>
        <v/>
      </c>
      <c r="AL24" s="5">
        <f>MAX(0,Y24-MAX(0,Z24-SUM(Q24:X24)))</f>
        <v/>
      </c>
    </row>
    <row r="25">
      <c r="A25" s="5" t="inlineStr">
        <is>
          <t>HASLS22260900893</t>
        </is>
      </c>
      <c r="B25" s="5" t="inlineStr">
        <is>
          <t>CMA</t>
        </is>
      </c>
      <c r="C25" s="5" t="inlineStr">
        <is>
          <t>2614N</t>
        </is>
      </c>
      <c r="D25" s="5" t="inlineStr">
        <is>
          <t>202609240200</t>
        </is>
      </c>
      <c r="E25" s="5" t="inlineStr"/>
      <c r="F25" s="5" t="inlineStr">
        <is>
          <t>THBKK</t>
        </is>
      </c>
      <c r="G25" s="5" t="inlineStr">
        <is>
          <t>TWKEL</t>
        </is>
      </c>
      <c r="H25" s="5" t="inlineStr">
        <is>
          <t xml:space="preserve">20'x2 </t>
        </is>
      </c>
      <c r="I25" s="5" t="inlineStr">
        <is>
          <t>BKK27</t>
        </is>
      </c>
      <c r="J25" s="5" t="inlineStr">
        <is>
          <t>B.C. DEPOT CO.,LTD. ( Bang-Na KM.18)</t>
        </is>
      </c>
      <c r="K25" s="5" t="inlineStr">
        <is>
          <t>20260917</t>
        </is>
      </c>
      <c r="L25" s="5" t="inlineStr">
        <is>
          <t>SMS CORPORATION CO., LTD.</t>
        </is>
      </c>
      <c r="M25" s="5" t="inlineStr">
        <is>
          <t>SMS CORPORATION CO., LTD.</t>
        </is>
      </c>
      <c r="N25" s="5" t="inlineStr">
        <is>
          <t xml:space="preserve">MODIFIED TAPIOCA STARCH </t>
        </is>
      </c>
      <c r="O25" s="5" t="inlineStr">
        <is>
          <t>NEED VERY CLEAN CONTAINER</t>
        </is>
      </c>
      <c r="P25" s="5" t="inlineStr">
        <is>
          <t>Pickup : 2026-09-17, Return : 2026-09-20</t>
        </is>
      </c>
      <c r="Q25" s="5" t="n">
        <v>2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>
        <f>SUM(Q25:Y25)-Z25</f>
        <v/>
      </c>
      <c r="AC25" s="5">
        <f>IF(I25="","",IF(OR(LEFT(I25,3)="BKK",I25="LCH55"),"BKK",IF(LEFT(I25,3)="LCH","LCH","OTHER")))</f>
        <v/>
      </c>
      <c r="AD25" s="5">
        <f>MAX(0,Q25-MAX(0,Z25))</f>
        <v/>
      </c>
      <c r="AE25" s="5">
        <f>MAX(0,R25-MAX(0,Z25-SUM(Q25:Q25)))</f>
        <v/>
      </c>
      <c r="AF25" s="5">
        <f>MAX(0,S25-MAX(0,Z25-SUM(Q25:R25)))</f>
        <v/>
      </c>
      <c r="AG25" s="5">
        <f>MAX(0,T25-MAX(0,Z25-SUM(Q25:S25)))</f>
        <v/>
      </c>
      <c r="AH25" s="5">
        <f>MAX(0,U25-MAX(0,Z25-SUM(Q25:T25)))</f>
        <v/>
      </c>
      <c r="AI25" s="5">
        <f>MAX(0,V25-MAX(0,Z25-SUM(Q25:U25)))</f>
        <v/>
      </c>
      <c r="AJ25" s="5">
        <f>MAX(0,W25-MAX(0,Z25-SUM(Q25:V25)))</f>
        <v/>
      </c>
      <c r="AK25" s="5">
        <f>MAX(0,X25-MAX(0,Z25-SUM(Q25:W25)))</f>
        <v/>
      </c>
      <c r="AL25" s="5">
        <f>MAX(0,Y25-MAX(0,Z25-SUM(Q25:X25)))</f>
        <v/>
      </c>
    </row>
    <row r="26">
      <c r="A26" s="5" t="inlineStr">
        <is>
          <t>HASLS22260900894</t>
        </is>
      </c>
      <c r="B26" s="5" t="inlineStr">
        <is>
          <t>KUS</t>
        </is>
      </c>
      <c r="C26" s="5" t="inlineStr">
        <is>
          <t>2615N</t>
        </is>
      </c>
      <c r="D26" s="5" t="inlineStr">
        <is>
          <t>202609231100</t>
        </is>
      </c>
      <c r="E26" s="5" t="inlineStr"/>
      <c r="F26" s="5" t="inlineStr">
        <is>
          <t>THBKK</t>
        </is>
      </c>
      <c r="G26" s="5" t="inlineStr">
        <is>
          <t>RUVVO</t>
        </is>
      </c>
      <c r="H26" s="5" t="inlineStr">
        <is>
          <t xml:space="preserve">40Hx1 </t>
        </is>
      </c>
      <c r="I26" s="5" t="inlineStr">
        <is>
          <t>BKK27</t>
        </is>
      </c>
      <c r="J26" s="5" t="inlineStr">
        <is>
          <t>B.C. DEPOT CO.,LTD. ( Bang-Na KM.18)</t>
        </is>
      </c>
      <c r="K26" s="5" t="inlineStr">
        <is>
          <t>20260917</t>
        </is>
      </c>
      <c r="L26" s="5" t="inlineStr">
        <is>
          <t>FREIGHT MARK ASIA (THAILAND) CO. LTD.</t>
        </is>
      </c>
      <c r="M26" s="5" t="inlineStr">
        <is>
          <t>PENTA IMPEX CO.,LTD.</t>
        </is>
      </c>
      <c r="N26" s="5" t="inlineStr">
        <is>
          <t>GENERAL FOODSTUFFS (SAUCE)</t>
        </is>
      </c>
      <c r="O26" s="5" t="inlineStr">
        <is>
          <t>GOOD AND CLEAN CONTAINER</t>
        </is>
      </c>
      <c r="P26" s="5" t="inlineStr">
        <is>
          <t>Pickup : 2026-09-17, Return : 2026-09-18</t>
        </is>
      </c>
      <c r="Q26" s="5" t="n">
        <v>0</v>
      </c>
      <c r="R26" s="5" t="n">
        <v>0</v>
      </c>
      <c r="S26" s="5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>
        <f>SUM(Q26:Y26)-Z26</f>
        <v/>
      </c>
      <c r="AC26" s="5">
        <f>IF(I26="","",IF(OR(LEFT(I26,3)="BKK",I26="LCH55"),"BKK",IF(LEFT(I26,3)="LCH","LCH","OTHER")))</f>
        <v/>
      </c>
      <c r="AD26" s="5">
        <f>MAX(0,Q26-MAX(0,Z26))</f>
        <v/>
      </c>
      <c r="AE26" s="5">
        <f>MAX(0,R26-MAX(0,Z26-SUM(Q26:Q26)))</f>
        <v/>
      </c>
      <c r="AF26" s="5">
        <f>MAX(0,S26-MAX(0,Z26-SUM(Q26:R26)))</f>
        <v/>
      </c>
      <c r="AG26" s="5">
        <f>MAX(0,T26-MAX(0,Z26-SUM(Q26:S26)))</f>
        <v/>
      </c>
      <c r="AH26" s="5">
        <f>MAX(0,U26-MAX(0,Z26-SUM(Q26:T26)))</f>
        <v/>
      </c>
      <c r="AI26" s="5">
        <f>MAX(0,V26-MAX(0,Z26-SUM(Q26:U26)))</f>
        <v/>
      </c>
      <c r="AJ26" s="5">
        <f>MAX(0,W26-MAX(0,Z26-SUM(Q26:V26)))</f>
        <v/>
      </c>
      <c r="AK26" s="5">
        <f>MAX(0,X26-MAX(0,Z26-SUM(Q26:W26)))</f>
        <v/>
      </c>
      <c r="AL26" s="5">
        <f>MAX(0,Y26-MAX(0,Z26-SUM(Q26:X26)))</f>
        <v/>
      </c>
    </row>
    <row r="27">
      <c r="A27" s="5" t="inlineStr">
        <is>
          <t>HASLS22260900923</t>
        </is>
      </c>
      <c r="B27" s="5" t="inlineStr">
        <is>
          <t>CMA</t>
        </is>
      </c>
      <c r="C27" s="5" t="inlineStr">
        <is>
          <t>2614N</t>
        </is>
      </c>
      <c r="D27" s="5" t="inlineStr">
        <is>
          <t>202609240200</t>
        </is>
      </c>
      <c r="E27" s="5" t="inlineStr"/>
      <c r="F27" s="5" t="inlineStr">
        <is>
          <t>THBKK</t>
        </is>
      </c>
      <c r="G27" s="5" t="inlineStr">
        <is>
          <t>TWKEL</t>
        </is>
      </c>
      <c r="H27" s="5" t="inlineStr">
        <is>
          <t xml:space="preserve">20'x1 </t>
        </is>
      </c>
      <c r="I27" s="5" t="inlineStr">
        <is>
          <t>BKK27</t>
        </is>
      </c>
      <c r="J27" s="5" t="inlineStr">
        <is>
          <t>B.C. DEPOT CO.,LTD. ( Bang-Na KM.18)</t>
        </is>
      </c>
      <c r="K27" s="5" t="inlineStr">
        <is>
          <t>20260917</t>
        </is>
      </c>
      <c r="L27" s="5" t="inlineStr">
        <is>
          <t>MORRISON EXPRESS CORP (THAILAND)LTD.</t>
        </is>
      </c>
      <c r="M27" s="5" t="inlineStr">
        <is>
          <t>YUTO-COSMO (THAILAND) CO.,LTD</t>
        </is>
      </c>
      <c r="N27" s="5" t="inlineStr">
        <is>
          <t>PAPER</t>
        </is>
      </c>
      <c r="O27" s="5" t="inlineStr">
        <is>
          <t>GOOD AND CLEAN CONTAINER</t>
        </is>
      </c>
      <c r="P27" s="5" t="inlineStr">
        <is>
          <t>Pickup : 2026-09-17, Return : 2026-09-18 [1ST RTN 20/09/2026 W/O RENT]</t>
        </is>
      </c>
      <c r="Q27" s="5" t="n">
        <v>1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>
        <f>SUM(Q27:Y27)-Z27</f>
        <v/>
      </c>
      <c r="AC27" s="5">
        <f>IF(I27="","",IF(OR(LEFT(I27,3)="BKK",I27="LCH55"),"BKK",IF(LEFT(I27,3)="LCH","LCH","OTHER")))</f>
        <v/>
      </c>
      <c r="AD27" s="5">
        <f>MAX(0,Q27-MAX(0,Z27))</f>
        <v/>
      </c>
      <c r="AE27" s="5">
        <f>MAX(0,R27-MAX(0,Z27-SUM(Q27:Q27)))</f>
        <v/>
      </c>
      <c r="AF27" s="5">
        <f>MAX(0,S27-MAX(0,Z27-SUM(Q27:R27)))</f>
        <v/>
      </c>
      <c r="AG27" s="5">
        <f>MAX(0,T27-MAX(0,Z27-SUM(Q27:S27)))</f>
        <v/>
      </c>
      <c r="AH27" s="5">
        <f>MAX(0,U27-MAX(0,Z27-SUM(Q27:T27)))</f>
        <v/>
      </c>
      <c r="AI27" s="5">
        <f>MAX(0,V27-MAX(0,Z27-SUM(Q27:U27)))</f>
        <v/>
      </c>
      <c r="AJ27" s="5">
        <f>MAX(0,W27-MAX(0,Z27-SUM(Q27:V27)))</f>
        <v/>
      </c>
      <c r="AK27" s="5">
        <f>MAX(0,X27-MAX(0,Z27-SUM(Q27:W27)))</f>
        <v/>
      </c>
      <c r="AL27" s="5">
        <f>MAX(0,Y27-MAX(0,Z27-SUM(Q27:X27)))</f>
        <v/>
      </c>
    </row>
    <row r="28">
      <c r="A28" s="5" t="inlineStr">
        <is>
          <t>HASLS22260900991</t>
        </is>
      </c>
      <c r="B28" s="5" t="inlineStr">
        <is>
          <t>SWMM</t>
        </is>
      </c>
      <c r="C28" s="5" t="inlineStr">
        <is>
          <t>2609N</t>
        </is>
      </c>
      <c r="D28" s="5" t="inlineStr">
        <is>
          <t>202609221300</t>
        </is>
      </c>
      <c r="E28" s="5" t="inlineStr"/>
      <c r="F28" s="5" t="inlineStr">
        <is>
          <t>THBKK</t>
        </is>
      </c>
      <c r="G28" s="5" t="inlineStr">
        <is>
          <t>RUVVO</t>
        </is>
      </c>
      <c r="H28" s="5" t="inlineStr">
        <is>
          <t xml:space="preserve">20'x5 </t>
        </is>
      </c>
      <c r="I28" s="5" t="inlineStr">
        <is>
          <t>BKK27</t>
        </is>
      </c>
      <c r="J28" s="5" t="inlineStr">
        <is>
          <t>B.C. DEPOT CO.,LTD. ( Bang-Na KM.18)</t>
        </is>
      </c>
      <c r="K28" s="5" t="inlineStr">
        <is>
          <t>20260914</t>
        </is>
      </c>
      <c r="L28" s="5" t="inlineStr">
        <is>
          <t>RICELAND INTERNATIONAL LTD.</t>
        </is>
      </c>
      <c r="M28" s="5" t="inlineStr">
        <is>
          <t>RICELAND INTERNATIONAL LTD.</t>
        </is>
      </c>
      <c r="N28" s="5" t="inlineStr">
        <is>
          <t>Thai Parboiled Rice 100%</t>
        </is>
      </c>
      <c r="O28" s="5" t="inlineStr">
        <is>
          <t>RQST CNTR GRADE A &amp; CLEAN</t>
        </is>
      </c>
      <c r="P28" s="5" t="inlineStr">
        <is>
          <t xml:space="preserve">CY-RTN : 14-15/09/2026 (1ST RETURN CNTR DD.19/09/2026 WTIHOUT RENT**
RQST CNTR GRADE A &amp; CLEAN
</t>
        </is>
      </c>
      <c r="Q28" s="5" t="n">
        <v>5</v>
      </c>
      <c r="R28" s="5" t="n">
        <v>0</v>
      </c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>
        <f>SUM(Q28:Y28)-Z28</f>
        <v/>
      </c>
      <c r="AC28" s="5">
        <f>IF(I28="","",IF(OR(LEFT(I28,3)="BKK",I28="LCH55"),"BKK",IF(LEFT(I28,3)="LCH","LCH","OTHER")))</f>
        <v/>
      </c>
      <c r="AD28" s="5">
        <f>MAX(0,Q28-MAX(0,Z28))</f>
        <v/>
      </c>
      <c r="AE28" s="5">
        <f>MAX(0,R28-MAX(0,Z28-SUM(Q28:Q28)))</f>
        <v/>
      </c>
      <c r="AF28" s="5">
        <f>MAX(0,S28-MAX(0,Z28-SUM(Q28:R28)))</f>
        <v/>
      </c>
      <c r="AG28" s="5">
        <f>MAX(0,T28-MAX(0,Z28-SUM(Q28:S28)))</f>
        <v/>
      </c>
      <c r="AH28" s="5">
        <f>MAX(0,U28-MAX(0,Z28-SUM(Q28:T28)))</f>
        <v/>
      </c>
      <c r="AI28" s="5">
        <f>MAX(0,V28-MAX(0,Z28-SUM(Q28:U28)))</f>
        <v/>
      </c>
      <c r="AJ28" s="5">
        <f>MAX(0,W28-MAX(0,Z28-SUM(Q28:V28)))</f>
        <v/>
      </c>
      <c r="AK28" s="5">
        <f>MAX(0,X28-MAX(0,Z28-SUM(Q28:W28)))</f>
        <v/>
      </c>
      <c r="AL28" s="5">
        <f>MAX(0,Y28-MAX(0,Z28-SUM(Q28:X28)))</f>
        <v/>
      </c>
    </row>
    <row r="29">
      <c r="A29" s="5" t="inlineStr">
        <is>
          <t>HASLS22260900992</t>
        </is>
      </c>
      <c r="B29" s="5" t="inlineStr">
        <is>
          <t>SWMM</t>
        </is>
      </c>
      <c r="C29" s="5" t="inlineStr">
        <is>
          <t>2609N</t>
        </is>
      </c>
      <c r="D29" s="5" t="inlineStr">
        <is>
          <t>202609221300</t>
        </is>
      </c>
      <c r="E29" s="5" t="inlineStr"/>
      <c r="F29" s="5" t="inlineStr">
        <is>
          <t>THBKK</t>
        </is>
      </c>
      <c r="G29" s="5" t="inlineStr">
        <is>
          <t>RUVVO</t>
        </is>
      </c>
      <c r="H29" s="5" t="inlineStr">
        <is>
          <t xml:space="preserve">20'x5 </t>
        </is>
      </c>
      <c r="I29" s="5" t="inlineStr">
        <is>
          <t>BKK27</t>
        </is>
      </c>
      <c r="J29" s="5" t="inlineStr">
        <is>
          <t>B.C. DEPOT CO.,LTD. ( Bang-Na KM.18)</t>
        </is>
      </c>
      <c r="K29" s="5" t="inlineStr">
        <is>
          <t>20260914</t>
        </is>
      </c>
      <c r="L29" s="5" t="inlineStr">
        <is>
          <t>RICELAND INTERNATIONAL LTD.</t>
        </is>
      </c>
      <c r="M29" s="5" t="inlineStr">
        <is>
          <t>RICELAND INTERNATIONAL LTD.</t>
        </is>
      </c>
      <c r="N29" s="5" t="inlineStr">
        <is>
          <t>Thai White Rice 100%</t>
        </is>
      </c>
      <c r="O29" s="5" t="inlineStr">
        <is>
          <t>RQST CNTR GRADE A &amp; CLEAN</t>
        </is>
      </c>
      <c r="P29" s="5" t="inlineStr">
        <is>
          <t xml:space="preserve">CY-RTN : 14-15/09/2026 (1ST RETURN CNTR DD.19/09/2026 WTIHOUT RENT)
RQST CNTR GRADE A &amp; CLEAN
</t>
        </is>
      </c>
      <c r="Q29" s="5" t="n">
        <v>5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>
        <f>SUM(Q29:Y29)-Z29</f>
        <v/>
      </c>
      <c r="AC29" s="5">
        <f>IF(I29="","",IF(OR(LEFT(I29,3)="BKK",I29="LCH55"),"BKK",IF(LEFT(I29,3)="LCH","LCH","OTHER")))</f>
        <v/>
      </c>
      <c r="AD29" s="5">
        <f>MAX(0,Q29-MAX(0,Z29))</f>
        <v/>
      </c>
      <c r="AE29" s="5">
        <f>MAX(0,R29-MAX(0,Z29-SUM(Q29:Q29)))</f>
        <v/>
      </c>
      <c r="AF29" s="5">
        <f>MAX(0,S29-MAX(0,Z29-SUM(Q29:R29)))</f>
        <v/>
      </c>
      <c r="AG29" s="5">
        <f>MAX(0,T29-MAX(0,Z29-SUM(Q29:S29)))</f>
        <v/>
      </c>
      <c r="AH29" s="5">
        <f>MAX(0,U29-MAX(0,Z29-SUM(Q29:T29)))</f>
        <v/>
      </c>
      <c r="AI29" s="5">
        <f>MAX(0,V29-MAX(0,Z29-SUM(Q29:U29)))</f>
        <v/>
      </c>
      <c r="AJ29" s="5">
        <f>MAX(0,W29-MAX(0,Z29-SUM(Q29:V29)))</f>
        <v/>
      </c>
      <c r="AK29" s="5">
        <f>MAX(0,X29-MAX(0,Z29-SUM(Q29:W29)))</f>
        <v/>
      </c>
      <c r="AL29" s="5">
        <f>MAX(0,Y29-MAX(0,Z29-SUM(Q29:X29)))</f>
        <v/>
      </c>
    </row>
    <row r="30">
      <c r="A30" s="5" t="inlineStr">
        <is>
          <t>HASLS22260901067</t>
        </is>
      </c>
      <c r="B30" s="5" t="inlineStr">
        <is>
          <t>HAB</t>
        </is>
      </c>
      <c r="C30" s="5" t="inlineStr">
        <is>
          <t>2611N</t>
        </is>
      </c>
      <c r="D30" s="5" t="inlineStr">
        <is>
          <t>202609270600</t>
        </is>
      </c>
      <c r="E30" s="5" t="inlineStr">
        <is>
          <t>THSRP</t>
        </is>
      </c>
      <c r="F30" s="5" t="inlineStr">
        <is>
          <t>THLCH</t>
        </is>
      </c>
      <c r="G30" s="5" t="inlineStr">
        <is>
          <t>CNSHA</t>
        </is>
      </c>
      <c r="H30" s="5" t="inlineStr">
        <is>
          <t xml:space="preserve">20'x3 </t>
        </is>
      </c>
      <c r="I30" s="5" t="inlineStr">
        <is>
          <t>BKK27</t>
        </is>
      </c>
      <c r="J30" s="5" t="inlineStr">
        <is>
          <t>B.C. DEPOT CO.,LTD. ( Bang-Na KM.18)</t>
        </is>
      </c>
      <c r="K30" s="5" t="inlineStr">
        <is>
          <t>20260917</t>
        </is>
      </c>
      <c r="L30" s="5" t="inlineStr">
        <is>
          <t>SMS CORPORATION CO., LTD.</t>
        </is>
      </c>
      <c r="M30" s="5" t="inlineStr">
        <is>
          <t>SMS CORPORATION CO., LTD.</t>
        </is>
      </c>
      <c r="N30" s="5" t="inlineStr">
        <is>
          <t xml:space="preserve">MODIFIED TAPIOCA STARCH </t>
        </is>
      </c>
      <c r="O30" s="5" t="inlineStr">
        <is>
          <t>NEED VERY CLEAN CONTAINER</t>
        </is>
      </c>
      <c r="P30" s="5" t="inlineStr">
        <is>
          <t>Pickup : 2026-09-17, Return SRP : 2026-09-21 [PAPERLESS CODE 2829]
CLS TIME 22/09/26 @23.00</t>
        </is>
      </c>
      <c r="Q30" s="5" t="n">
        <v>3</v>
      </c>
      <c r="R30" s="5" t="n">
        <v>0</v>
      </c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>
        <f>SUM(Q30:Y30)-Z30</f>
        <v/>
      </c>
      <c r="AC30" s="5">
        <f>IF(I30="","",IF(OR(LEFT(I30,3)="BKK",I30="LCH55"),"BKK",IF(LEFT(I30,3)="LCH","LCH","OTHER")))</f>
        <v/>
      </c>
      <c r="AD30" s="5">
        <f>MAX(0,Q30-MAX(0,Z30))</f>
        <v/>
      </c>
      <c r="AE30" s="5">
        <f>MAX(0,R30-MAX(0,Z30-SUM(Q30:Q30)))</f>
        <v/>
      </c>
      <c r="AF30" s="5">
        <f>MAX(0,S30-MAX(0,Z30-SUM(Q30:R30)))</f>
        <v/>
      </c>
      <c r="AG30" s="5">
        <f>MAX(0,T30-MAX(0,Z30-SUM(Q30:S30)))</f>
        <v/>
      </c>
      <c r="AH30" s="5">
        <f>MAX(0,U30-MAX(0,Z30-SUM(Q30:T30)))</f>
        <v/>
      </c>
      <c r="AI30" s="5">
        <f>MAX(0,V30-MAX(0,Z30-SUM(Q30:U30)))</f>
        <v/>
      </c>
      <c r="AJ30" s="5">
        <f>MAX(0,W30-MAX(0,Z30-SUM(Q30:V30)))</f>
        <v/>
      </c>
      <c r="AK30" s="5">
        <f>MAX(0,X30-MAX(0,Z30-SUM(Q30:W30)))</f>
        <v/>
      </c>
      <c r="AL30" s="5">
        <f>MAX(0,Y30-MAX(0,Z30-SUM(Q30:X30)))</f>
        <v/>
      </c>
    </row>
    <row r="31">
      <c r="A31" s="5" t="inlineStr">
        <is>
          <t>HASLS22260901071</t>
        </is>
      </c>
      <c r="B31" s="5" t="inlineStr">
        <is>
          <t>NSSJ</t>
        </is>
      </c>
      <c r="C31" s="5" t="inlineStr">
        <is>
          <t>2607S</t>
        </is>
      </c>
      <c r="D31" s="5" t="inlineStr">
        <is>
          <t>202609220800</t>
        </is>
      </c>
      <c r="E31" s="5" t="inlineStr">
        <is>
          <t>THLKR</t>
        </is>
      </c>
      <c r="F31" s="5" t="inlineStr">
        <is>
          <t>THLCH</t>
        </is>
      </c>
      <c r="G31" s="5" t="inlineStr">
        <is>
          <t>IDJKT</t>
        </is>
      </c>
      <c r="H31" s="5" t="inlineStr">
        <is>
          <t xml:space="preserve">40Hx3 20'x1 </t>
        </is>
      </c>
      <c r="I31" s="5" t="inlineStr">
        <is>
          <t>BKK27</t>
        </is>
      </c>
      <c r="J31" s="5" t="inlineStr">
        <is>
          <t>B.C. DEPOT CO.,LTD. ( Bang-Na KM.18)</t>
        </is>
      </c>
      <c r="K31" s="5" t="inlineStr">
        <is>
          <t>20260917</t>
        </is>
      </c>
      <c r="L31" s="5" t="inlineStr">
        <is>
          <t>YUSEN LOGISTICS (THAILAND) CO., LTD.</t>
        </is>
      </c>
      <c r="M31" s="5" t="inlineStr">
        <is>
          <t>TE CONNECTIVITY MANUFACTURING (THAILAND) CO., LTD.</t>
        </is>
      </c>
      <c r="N31" s="5" t="inlineStr">
        <is>
          <t>AUTOMOTIVE PART</t>
        </is>
      </c>
      <c r="O31" s="5" t="inlineStr">
        <is>
          <t>GOOD AND CLEAN CONTAINER</t>
        </is>
      </c>
      <c r="P31" s="5" t="inlineStr">
        <is>
          <t>Pickup : 2026-09-17, Return : 2026-09-18 Paperless Code 2835
Closing Time LKB 2026-09-19 @ 23.59</t>
        </is>
      </c>
      <c r="Q31" s="5" t="n">
        <v>1</v>
      </c>
      <c r="R31" s="5" t="n">
        <v>0</v>
      </c>
      <c r="S31" s="5" t="n">
        <v>3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s="5">
        <f>SUM(Q31:Y31)-Z31</f>
        <v/>
      </c>
      <c r="AC31" s="5">
        <f>IF(I31="","",IF(OR(LEFT(I31,3)="BKK",I31="LCH55"),"BKK",IF(LEFT(I31,3)="LCH","LCH","OTHER")))</f>
        <v/>
      </c>
      <c r="AD31" s="5">
        <f>MAX(0,Q31-MAX(0,Z31))</f>
        <v/>
      </c>
      <c r="AE31" s="5">
        <f>MAX(0,R31-MAX(0,Z31-SUM(Q31:Q31)))</f>
        <v/>
      </c>
      <c r="AF31" s="5">
        <f>MAX(0,S31-MAX(0,Z31-SUM(Q31:R31)))</f>
        <v/>
      </c>
      <c r="AG31" s="5">
        <f>MAX(0,T31-MAX(0,Z31-SUM(Q31:S31)))</f>
        <v/>
      </c>
      <c r="AH31" s="5">
        <f>MAX(0,U31-MAX(0,Z31-SUM(Q31:T31)))</f>
        <v/>
      </c>
      <c r="AI31" s="5">
        <f>MAX(0,V31-MAX(0,Z31-SUM(Q31:U31)))</f>
        <v/>
      </c>
      <c r="AJ31" s="5">
        <f>MAX(0,W31-MAX(0,Z31-SUM(Q31:V31)))</f>
        <v/>
      </c>
      <c r="AK31" s="5">
        <f>MAX(0,X31-MAX(0,Z31-SUM(Q31:W31)))</f>
        <v/>
      </c>
      <c r="AL31" s="5">
        <f>MAX(0,Y31-MAX(0,Z31-SUM(Q31:X31)))</f>
        <v/>
      </c>
    </row>
    <row r="32">
      <c r="A32" s="5" t="inlineStr">
        <is>
          <t>HASLS22260901155</t>
        </is>
      </c>
      <c r="B32" s="5" t="inlineStr">
        <is>
          <t>HAB</t>
        </is>
      </c>
      <c r="C32" s="5" t="inlineStr">
        <is>
          <t>2611N</t>
        </is>
      </c>
      <c r="D32" s="5" t="inlineStr">
        <is>
          <t>202609270600</t>
        </is>
      </c>
      <c r="E32" s="5" t="inlineStr">
        <is>
          <t>THSRP</t>
        </is>
      </c>
      <c r="F32" s="5" t="inlineStr">
        <is>
          <t>THLCH</t>
        </is>
      </c>
      <c r="G32" s="5" t="inlineStr">
        <is>
          <t>CNSHA</t>
        </is>
      </c>
      <c r="H32" s="5" t="inlineStr">
        <is>
          <t xml:space="preserve">40Hx4 </t>
        </is>
      </c>
      <c r="I32" s="5" t="inlineStr">
        <is>
          <t>BKK27</t>
        </is>
      </c>
      <c r="J32" s="5" t="inlineStr">
        <is>
          <t>B.C. DEPOT CO.,LTD. ( Bang-Na KM.18)</t>
        </is>
      </c>
      <c r="K32" s="5" t="inlineStr">
        <is>
          <t>20260916</t>
        </is>
      </c>
      <c r="L32" s="5" t="inlineStr">
        <is>
          <t>JINWINS LOGISTICS CO.,LTD</t>
        </is>
      </c>
      <c r="M32" s="5" t="inlineStr">
        <is>
          <t>VAST OCEAN CO., LTD.</t>
        </is>
      </c>
      <c r="N32" s="5" t="inlineStr">
        <is>
          <t>PP RECYCLE PELLET</t>
        </is>
      </c>
      <c r="O32" s="5" t="inlineStr">
        <is>
          <t>RQST CONTAINER 32.5 TONS</t>
        </is>
      </c>
      <c r="P32" s="5" t="inlineStr">
        <is>
          <t xml:space="preserve">Pickup : 2026-09-16 Return : 2026-09-18 [PAPERLESS CODE : 2829] 
 CLS TIME 24/09 @22.00 [1ST RTN 21/09 W/O RENT] 
 </t>
        </is>
      </c>
      <c r="Q32" s="5" t="n">
        <v>0</v>
      </c>
      <c r="R32" s="5" t="n">
        <v>0</v>
      </c>
      <c r="S32" s="5" t="n">
        <v>4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2</v>
      </c>
      <c r="AA32" s="5" t="n">
        <v>0</v>
      </c>
      <c r="AB32" s="5">
        <f>SUM(Q32:Y32)-Z32</f>
        <v/>
      </c>
      <c r="AC32" s="5">
        <f>IF(I32="","",IF(OR(LEFT(I32,3)="BKK",I32="LCH55"),"BKK",IF(LEFT(I32,3)="LCH","LCH","OTHER")))</f>
        <v/>
      </c>
      <c r="AD32" s="5">
        <f>MAX(0,Q32-MAX(0,Z32))</f>
        <v/>
      </c>
      <c r="AE32" s="5">
        <f>MAX(0,R32-MAX(0,Z32-SUM(Q32:Q32)))</f>
        <v/>
      </c>
      <c r="AF32" s="5">
        <f>MAX(0,S32-MAX(0,Z32-SUM(Q32:R32)))</f>
        <v/>
      </c>
      <c r="AG32" s="5">
        <f>MAX(0,T32-MAX(0,Z32-SUM(Q32:S32)))</f>
        <v/>
      </c>
      <c r="AH32" s="5">
        <f>MAX(0,U32-MAX(0,Z32-SUM(Q32:T32)))</f>
        <v/>
      </c>
      <c r="AI32" s="5">
        <f>MAX(0,V32-MAX(0,Z32-SUM(Q32:U32)))</f>
        <v/>
      </c>
      <c r="AJ32" s="5">
        <f>MAX(0,W32-MAX(0,Z32-SUM(Q32:V32)))</f>
        <v/>
      </c>
      <c r="AK32" s="5">
        <f>MAX(0,X32-MAX(0,Z32-SUM(Q32:W32)))</f>
        <v/>
      </c>
      <c r="AL32" s="5">
        <f>MAX(0,Y32-MAX(0,Z32-SUM(Q32:X32)))</f>
        <v/>
      </c>
    </row>
    <row r="33">
      <c r="A33" s="5" t="inlineStr">
        <is>
          <t>HASLS22260901272</t>
        </is>
      </c>
      <c r="B33" s="5" t="inlineStr">
        <is>
          <t>SWMM</t>
        </is>
      </c>
      <c r="C33" s="5" t="inlineStr">
        <is>
          <t>2609N</t>
        </is>
      </c>
      <c r="D33" s="5" t="inlineStr">
        <is>
          <t>202609221300</t>
        </is>
      </c>
      <c r="E33" s="5" t="inlineStr"/>
      <c r="F33" s="5" t="inlineStr">
        <is>
          <t>THBKK</t>
        </is>
      </c>
      <c r="G33" s="5" t="inlineStr">
        <is>
          <t>JPIYM</t>
        </is>
      </c>
      <c r="H33" s="5" t="inlineStr">
        <is>
          <t xml:space="preserve">20'x2 </t>
        </is>
      </c>
      <c r="I33" s="5" t="inlineStr">
        <is>
          <t>BKK27</t>
        </is>
      </c>
      <c r="J33" s="5" t="inlineStr">
        <is>
          <t>B.C. DEPOT CO.,LTD. ( Bang-Na KM.18)</t>
        </is>
      </c>
      <c r="K33" s="5" t="inlineStr">
        <is>
          <t>20260917</t>
        </is>
      </c>
      <c r="L33" s="5" t="inlineStr">
        <is>
          <t>SCGJWD LOGISTICS PUBLIC COMPANY LIMITED</t>
        </is>
      </c>
      <c r="M33" s="5" t="inlineStr">
        <is>
          <t>SCG INTERNATIONAL CORPORATION CO., LTD.</t>
        </is>
      </c>
      <c r="N33" s="5" t="inlineStr">
        <is>
          <t>COPPER SCRAP</t>
        </is>
      </c>
      <c r="O33" s="5" t="inlineStr">
        <is>
          <t>RQST Container clean and strong , Load by Folk lift</t>
        </is>
      </c>
      <c r="P33" s="5" t="inlineStr">
        <is>
          <t>[FIX]CY-RTN : 17-19/09/2026 **HV LOI SCRAP DD.16/09/2026**
RQST Container clean and strong , Load by Folk lift</t>
        </is>
      </c>
      <c r="Q33" s="5" t="n">
        <v>2</v>
      </c>
      <c r="R33" s="5" t="n">
        <v>0</v>
      </c>
      <c r="S33" s="5" t="n">
        <v>0</v>
      </c>
      <c r="T33" s="5" t="n">
        <v>0</v>
      </c>
      <c r="U33" s="5" t="n">
        <v>0</v>
      </c>
      <c r="V33" s="5" t="n">
        <v>0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</v>
      </c>
      <c r="AB33" s="5">
        <f>SUM(Q33:Y33)-Z33</f>
        <v/>
      </c>
      <c r="AC33" s="5">
        <f>IF(I33="","",IF(OR(LEFT(I33,3)="BKK",I33="LCH55"),"BKK",IF(LEFT(I33,3)="LCH","LCH","OTHER")))</f>
        <v/>
      </c>
      <c r="AD33" s="5">
        <f>MAX(0,Q33-MAX(0,Z33))</f>
        <v/>
      </c>
      <c r="AE33" s="5">
        <f>MAX(0,R33-MAX(0,Z33-SUM(Q33:Q33)))</f>
        <v/>
      </c>
      <c r="AF33" s="5">
        <f>MAX(0,S33-MAX(0,Z33-SUM(Q33:R33)))</f>
        <v/>
      </c>
      <c r="AG33" s="5">
        <f>MAX(0,T33-MAX(0,Z33-SUM(Q33:S33)))</f>
        <v/>
      </c>
      <c r="AH33" s="5">
        <f>MAX(0,U33-MAX(0,Z33-SUM(Q33:T33)))</f>
        <v/>
      </c>
      <c r="AI33" s="5">
        <f>MAX(0,V33-MAX(0,Z33-SUM(Q33:U33)))</f>
        <v/>
      </c>
      <c r="AJ33" s="5">
        <f>MAX(0,W33-MAX(0,Z33-SUM(Q33:V33)))</f>
        <v/>
      </c>
      <c r="AK33" s="5">
        <f>MAX(0,X33-MAX(0,Z33-SUM(Q33:W33)))</f>
        <v/>
      </c>
      <c r="AL33" s="5">
        <f>MAX(0,Y33-MAX(0,Z33-SUM(Q33:X33)))</f>
        <v/>
      </c>
    </row>
    <row r="34">
      <c r="A34" s="5" t="inlineStr">
        <is>
          <t>HASLS22260901444</t>
        </is>
      </c>
      <c r="B34" s="5" t="inlineStr">
        <is>
          <t>SWMM</t>
        </is>
      </c>
      <c r="C34" s="5" t="inlineStr">
        <is>
          <t>2609N</t>
        </is>
      </c>
      <c r="D34" s="5" t="inlineStr">
        <is>
          <t>202609221300</t>
        </is>
      </c>
      <c r="E34" s="5" t="inlineStr"/>
      <c r="F34" s="5" t="inlineStr">
        <is>
          <t>THBKK</t>
        </is>
      </c>
      <c r="G34" s="5" t="inlineStr">
        <is>
          <t>VNSGN</t>
        </is>
      </c>
      <c r="H34" s="5" t="inlineStr">
        <is>
          <t xml:space="preserve">40Hx1 </t>
        </is>
      </c>
      <c r="I34" s="5" t="inlineStr">
        <is>
          <t>BKK27</t>
        </is>
      </c>
      <c r="J34" s="5" t="inlineStr">
        <is>
          <t>B.C. DEPOT CO.,LTD. ( Bang-Na KM.18)</t>
        </is>
      </c>
      <c r="K34" s="5" t="inlineStr">
        <is>
          <t>20260917</t>
        </is>
      </c>
      <c r="L34" s="5" t="inlineStr">
        <is>
          <t>SCG PACKAGING PUBLIC COMPANY LIMITED</t>
        </is>
      </c>
      <c r="M34" s="5" t="inlineStr">
        <is>
          <t>SIAM KRAFT INDUSTRY CO., LTD.</t>
        </is>
      </c>
      <c r="N34" s="5" t="inlineStr">
        <is>
          <t>PAPER</t>
        </is>
      </c>
      <c r="O34" s="5" t="inlineStr">
        <is>
          <t>GOOD AND CLEAN CONTAINER</t>
        </is>
      </c>
      <c r="P34" s="5" t="inlineStr">
        <is>
          <t>CY-RTN : 17-19/09/2026
PI NO : 427973485</t>
        </is>
      </c>
      <c r="Q34" s="5" t="n">
        <v>0</v>
      </c>
      <c r="R34" s="5" t="n">
        <v>0</v>
      </c>
      <c r="S34" s="5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</v>
      </c>
      <c r="AB34" s="5">
        <f>SUM(Q34:Y34)-Z34</f>
        <v/>
      </c>
      <c r="AC34" s="5">
        <f>IF(I34="","",IF(OR(LEFT(I34,3)="BKK",I34="LCH55"),"BKK",IF(LEFT(I34,3)="LCH","LCH","OTHER")))</f>
        <v/>
      </c>
      <c r="AD34" s="5">
        <f>MAX(0,Q34-MAX(0,Z34))</f>
        <v/>
      </c>
      <c r="AE34" s="5">
        <f>MAX(0,R34-MAX(0,Z34-SUM(Q34:Q34)))</f>
        <v/>
      </c>
      <c r="AF34" s="5">
        <f>MAX(0,S34-MAX(0,Z34-SUM(Q34:R34)))</f>
        <v/>
      </c>
      <c r="AG34" s="5">
        <f>MAX(0,T34-MAX(0,Z34-SUM(Q34:S34)))</f>
        <v/>
      </c>
      <c r="AH34" s="5">
        <f>MAX(0,U34-MAX(0,Z34-SUM(Q34:T34)))</f>
        <v/>
      </c>
      <c r="AI34" s="5">
        <f>MAX(0,V34-MAX(0,Z34-SUM(Q34:U34)))</f>
        <v/>
      </c>
      <c r="AJ34" s="5">
        <f>MAX(0,W34-MAX(0,Z34-SUM(Q34:V34)))</f>
        <v/>
      </c>
      <c r="AK34" s="5">
        <f>MAX(0,X34-MAX(0,Z34-SUM(Q34:W34)))</f>
        <v/>
      </c>
      <c r="AL34" s="5">
        <f>MAX(0,Y34-MAX(0,Z34-SUM(Q34:X34)))</f>
        <v/>
      </c>
    </row>
    <row r="35">
      <c r="A35" s="5" t="inlineStr">
        <is>
          <t>HASLS22260901445</t>
        </is>
      </c>
      <c r="B35" s="5" t="inlineStr">
        <is>
          <t>SWMM</t>
        </is>
      </c>
      <c r="C35" s="5" t="inlineStr">
        <is>
          <t>2609N</t>
        </is>
      </c>
      <c r="D35" s="5" t="inlineStr">
        <is>
          <t>202609221300</t>
        </is>
      </c>
      <c r="E35" s="5" t="inlineStr"/>
      <c r="F35" s="5" t="inlineStr">
        <is>
          <t>THBKK</t>
        </is>
      </c>
      <c r="G35" s="5" t="inlineStr">
        <is>
          <t>VNSGN</t>
        </is>
      </c>
      <c r="H35" s="5" t="inlineStr">
        <is>
          <t xml:space="preserve">20'x1 </t>
        </is>
      </c>
      <c r="I35" s="5" t="inlineStr">
        <is>
          <t>BKK27</t>
        </is>
      </c>
      <c r="J35" s="5" t="inlineStr">
        <is>
          <t>B.C. DEPOT CO.,LTD. ( Bang-Na KM.18)</t>
        </is>
      </c>
      <c r="K35" s="5" t="inlineStr">
        <is>
          <t>20260917</t>
        </is>
      </c>
      <c r="L35" s="5" t="inlineStr">
        <is>
          <t>SCG PACKAGING PUBLIC COMPANY LIMITED</t>
        </is>
      </c>
      <c r="M35" s="5" t="inlineStr">
        <is>
          <t>SIAM KRAFT INDUSTRY CO., LTD.</t>
        </is>
      </c>
      <c r="N35" s="5" t="inlineStr">
        <is>
          <t>PAPER</t>
        </is>
      </c>
      <c r="O35" s="5" t="inlineStr">
        <is>
          <t>GOOD AND CLEAN CONTAINER</t>
        </is>
      </c>
      <c r="P35" s="5" t="inlineStr">
        <is>
          <t>CY-RTN : 17-19/09/2026
PI NO : 427973650</t>
        </is>
      </c>
      <c r="Q35" s="5" t="n">
        <v>1</v>
      </c>
      <c r="R35" s="5" t="n">
        <v>0</v>
      </c>
      <c r="S35" s="5" t="n">
        <v>0</v>
      </c>
      <c r="T35" s="5" t="n">
        <v>0</v>
      </c>
      <c r="U35" s="5" t="n">
        <v>0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>
        <f>SUM(Q35:Y35)-Z35</f>
        <v/>
      </c>
      <c r="AC35" s="5">
        <f>IF(I35="","",IF(OR(LEFT(I35,3)="BKK",I35="LCH55"),"BKK",IF(LEFT(I35,3)="LCH","LCH","OTHER")))</f>
        <v/>
      </c>
      <c r="AD35" s="5">
        <f>MAX(0,Q35-MAX(0,Z35))</f>
        <v/>
      </c>
      <c r="AE35" s="5">
        <f>MAX(0,R35-MAX(0,Z35-SUM(Q35:Q35)))</f>
        <v/>
      </c>
      <c r="AF35" s="5">
        <f>MAX(0,S35-MAX(0,Z35-SUM(Q35:R35)))</f>
        <v/>
      </c>
      <c r="AG35" s="5">
        <f>MAX(0,T35-MAX(0,Z35-SUM(Q35:S35)))</f>
        <v/>
      </c>
      <c r="AH35" s="5">
        <f>MAX(0,U35-MAX(0,Z35-SUM(Q35:T35)))</f>
        <v/>
      </c>
      <c r="AI35" s="5">
        <f>MAX(0,V35-MAX(0,Z35-SUM(Q35:U35)))</f>
        <v/>
      </c>
      <c r="AJ35" s="5">
        <f>MAX(0,W35-MAX(0,Z35-SUM(Q35:V35)))</f>
        <v/>
      </c>
      <c r="AK35" s="5">
        <f>MAX(0,X35-MAX(0,Z35-SUM(Q35:W35)))</f>
        <v/>
      </c>
      <c r="AL35" s="5">
        <f>MAX(0,Y35-MAX(0,Z35-SUM(Q35:X35)))</f>
        <v/>
      </c>
    </row>
    <row r="36">
      <c r="A36" s="5" t="inlineStr">
        <is>
          <t>HASLS22260802485</t>
        </is>
      </c>
      <c r="B36" s="5" t="inlineStr">
        <is>
          <t>SWVG</t>
        </is>
      </c>
      <c r="C36" s="5" t="inlineStr">
        <is>
          <t>2612N</t>
        </is>
      </c>
      <c r="D36" s="5" t="inlineStr">
        <is>
          <t>202610031800</t>
        </is>
      </c>
      <c r="E36" s="5" t="inlineStr"/>
      <c r="F36" s="5" t="inlineStr">
        <is>
          <t>THLCH</t>
        </is>
      </c>
      <c r="G36" s="5" t="inlineStr">
        <is>
          <t>JPIYM</t>
        </is>
      </c>
      <c r="H36" s="5" t="inlineStr">
        <is>
          <t xml:space="preserve">20'x2 </t>
        </is>
      </c>
      <c r="I36" s="5" t="inlineStr">
        <is>
          <t>LCH28</t>
        </is>
      </c>
      <c r="J36" s="5" t="inlineStr">
        <is>
          <t>CELLO</t>
        </is>
      </c>
      <c r="K36" s="5" t="inlineStr">
        <is>
          <t>20260914</t>
        </is>
      </c>
      <c r="L36" s="5" t="inlineStr">
        <is>
          <t>WHA GC LOGISTICS COMPANY LIMITED</t>
        </is>
      </c>
      <c r="M36" s="5" t="inlineStr">
        <is>
          <t>PTT GLOBAL CHEMICAL PUBLIC COMPANY LIMITED</t>
        </is>
      </c>
      <c r="N36" s="5" t="inlineStr">
        <is>
          <t>RESIN</t>
        </is>
      </c>
      <c r="O36" s="5" t="inlineStr">
        <is>
          <t>GOOD AND CLEAN CTNR</t>
        </is>
      </c>
      <c r="P36" s="5" t="inlineStr">
        <is>
          <t xml:space="preserve">CY-RTN 14-27/09/26 </t>
        </is>
      </c>
      <c r="Q36" s="5" t="n">
        <v>2</v>
      </c>
      <c r="R36" s="5" t="n">
        <v>0</v>
      </c>
      <c r="S36" s="5" t="n">
        <v>0</v>
      </c>
      <c r="T36" s="5" t="n">
        <v>0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>
        <f>SUM(Q36:Y36)-Z36</f>
        <v/>
      </c>
      <c r="AC36" s="5">
        <f>IF(I36="","",IF(OR(LEFT(I36,3)="BKK",I36="LCH55"),"BKK",IF(LEFT(I36,3)="LCH","LCH","OTHER")))</f>
        <v/>
      </c>
      <c r="AD36" s="5">
        <f>MAX(0,Q36-MAX(0,Z36))</f>
        <v/>
      </c>
      <c r="AE36" s="5">
        <f>MAX(0,R36-MAX(0,Z36-SUM(Q36:Q36)))</f>
        <v/>
      </c>
      <c r="AF36" s="5">
        <f>MAX(0,S36-MAX(0,Z36-SUM(Q36:R36)))</f>
        <v/>
      </c>
      <c r="AG36" s="5">
        <f>MAX(0,T36-MAX(0,Z36-SUM(Q36:S36)))</f>
        <v/>
      </c>
      <c r="AH36" s="5">
        <f>MAX(0,U36-MAX(0,Z36-SUM(Q36:T36)))</f>
        <v/>
      </c>
      <c r="AI36" s="5">
        <f>MAX(0,V36-MAX(0,Z36-SUM(Q36:U36)))</f>
        <v/>
      </c>
      <c r="AJ36" s="5">
        <f>MAX(0,W36-MAX(0,Z36-SUM(Q36:V36)))</f>
        <v/>
      </c>
      <c r="AK36" s="5">
        <f>MAX(0,X36-MAX(0,Z36-SUM(Q36:W36)))</f>
        <v/>
      </c>
      <c r="AL36" s="5">
        <f>MAX(0,Y36-MAX(0,Z36-SUM(Q36:X36)))</f>
        <v/>
      </c>
    </row>
    <row r="37">
      <c r="A37" s="5" t="inlineStr">
        <is>
          <t>HASLS22260901089</t>
        </is>
      </c>
      <c r="B37" s="5" t="inlineStr">
        <is>
          <t>SWVG</t>
        </is>
      </c>
      <c r="C37" s="5" t="inlineStr">
        <is>
          <t>2612N</t>
        </is>
      </c>
      <c r="D37" s="5" t="inlineStr">
        <is>
          <t>202610031800</t>
        </is>
      </c>
      <c r="E37" s="5" t="inlineStr"/>
      <c r="F37" s="5" t="inlineStr">
        <is>
          <t>THLCH</t>
        </is>
      </c>
      <c r="G37" s="5" t="inlineStr">
        <is>
          <t>JPIYM</t>
        </is>
      </c>
      <c r="H37" s="5" t="inlineStr">
        <is>
          <t xml:space="preserve">20'x1 </t>
        </is>
      </c>
      <c r="I37" s="5" t="inlineStr">
        <is>
          <t>LCH28</t>
        </is>
      </c>
      <c r="J37" s="5" t="inlineStr">
        <is>
          <t>CELLO</t>
        </is>
      </c>
      <c r="K37" s="5" t="inlineStr">
        <is>
          <t>20260914</t>
        </is>
      </c>
      <c r="L37" s="5" t="inlineStr">
        <is>
          <t>WHA GC LOGISTICS COMPANY LIMITED</t>
        </is>
      </c>
      <c r="M37" s="5" t="inlineStr">
        <is>
          <t>PTT GLOBAL CHEMICAL PUBLIC COMPANY LIMITED</t>
        </is>
      </c>
      <c r="N37" s="5" t="inlineStr">
        <is>
          <t>RESIN</t>
        </is>
      </c>
      <c r="O37" s="5" t="inlineStr">
        <is>
          <t>GOOD AND CLEAN CTNR</t>
        </is>
      </c>
      <c r="P37" s="5" t="inlineStr">
        <is>
          <t xml:space="preserve">CY-RTN 14-27/09/26 </t>
        </is>
      </c>
      <c r="Q37" s="5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5">
        <f>SUM(Q37:Y37)-Z37</f>
        <v/>
      </c>
      <c r="AC37" s="5">
        <f>IF(I37="","",IF(OR(LEFT(I37,3)="BKK",I37="LCH55"),"BKK",IF(LEFT(I37,3)="LCH","LCH","OTHER")))</f>
        <v/>
      </c>
      <c r="AD37" s="5">
        <f>MAX(0,Q37-MAX(0,Z37))</f>
        <v/>
      </c>
      <c r="AE37" s="5">
        <f>MAX(0,R37-MAX(0,Z37-SUM(Q37:Q37)))</f>
        <v/>
      </c>
      <c r="AF37" s="5">
        <f>MAX(0,S37-MAX(0,Z37-SUM(Q37:R37)))</f>
        <v/>
      </c>
      <c r="AG37" s="5">
        <f>MAX(0,T37-MAX(0,Z37-SUM(Q37:S37)))</f>
        <v/>
      </c>
      <c r="AH37" s="5">
        <f>MAX(0,U37-MAX(0,Z37-SUM(Q37:T37)))</f>
        <v/>
      </c>
      <c r="AI37" s="5">
        <f>MAX(0,V37-MAX(0,Z37-SUM(Q37:U37)))</f>
        <v/>
      </c>
      <c r="AJ37" s="5">
        <f>MAX(0,W37-MAX(0,Z37-SUM(Q37:V37)))</f>
        <v/>
      </c>
      <c r="AK37" s="5">
        <f>MAX(0,X37-MAX(0,Z37-SUM(Q37:W37)))</f>
        <v/>
      </c>
      <c r="AL37" s="5">
        <f>MAX(0,Y37-MAX(0,Z37-SUM(Q37:X37)))</f>
        <v/>
      </c>
    </row>
    <row r="38">
      <c r="A38" s="5" t="inlineStr">
        <is>
          <t>HASLS22260801084</t>
        </is>
      </c>
      <c r="B38" s="5" t="inlineStr">
        <is>
          <t>NSSJ</t>
        </is>
      </c>
      <c r="C38" s="5" t="inlineStr">
        <is>
          <t>2607S</t>
        </is>
      </c>
      <c r="D38" s="5" t="inlineStr">
        <is>
          <t>202609220800</t>
        </is>
      </c>
      <c r="E38" s="5" t="inlineStr"/>
      <c r="F38" s="5" t="inlineStr">
        <is>
          <t>THLCH</t>
        </is>
      </c>
      <c r="G38" s="5" t="inlineStr">
        <is>
          <t>IDJKT</t>
        </is>
      </c>
      <c r="H38" s="5" t="inlineStr">
        <is>
          <t xml:space="preserve">40Hx3 </t>
        </is>
      </c>
      <c r="I38" s="5" t="inlineStr">
        <is>
          <t>LCH27</t>
        </is>
      </c>
      <c r="J38" s="5" t="inlineStr">
        <is>
          <t xml:space="preserve">HAST Logistics Co.,Ltd. </t>
        </is>
      </c>
      <c r="K38" s="5" t="inlineStr">
        <is>
          <t>20260917</t>
        </is>
      </c>
      <c r="L38" s="5" t="inlineStr">
        <is>
          <t>CONNEXT LOG (THAILAND) CO.,LTD.</t>
        </is>
      </c>
      <c r="M38" s="5" t="inlineStr">
        <is>
          <t>SATIEN STAINLESS STEEL PUBLIC CO., LTD.</t>
        </is>
      </c>
      <c r="N38" s="5" t="inlineStr">
        <is>
          <t>STAINLESS STEEL KITCHENWARE</t>
        </is>
      </c>
      <c r="O38" s="5" t="inlineStr">
        <is>
          <t>REQ CNTR : GOOD, CLEAN AND NO HOLE</t>
        </is>
      </c>
      <c r="P38" s="5" t="inlineStr">
        <is>
          <t>Pickup : 2026-09-17, Return : 2026-09-18</t>
        </is>
      </c>
      <c r="Q38" s="5" t="n">
        <v>0</v>
      </c>
      <c r="R38" s="5" t="n">
        <v>0</v>
      </c>
      <c r="S38" s="5" t="n">
        <v>3</v>
      </c>
      <c r="T38" s="5" t="n">
        <v>0</v>
      </c>
      <c r="U38" s="5" t="n">
        <v>0</v>
      </c>
      <c r="V38" s="5" t="n">
        <v>0</v>
      </c>
      <c r="W38" s="5" t="n">
        <v>0</v>
      </c>
      <c r="X38" s="5" t="n">
        <v>0</v>
      </c>
      <c r="Y38" s="5" t="n">
        <v>0</v>
      </c>
      <c r="Z38" s="5" t="n">
        <v>2</v>
      </c>
      <c r="AA38" s="5" t="n">
        <v>0</v>
      </c>
      <c r="AB38" s="5">
        <f>SUM(Q38:Y38)-Z38</f>
        <v/>
      </c>
      <c r="AC38" s="5">
        <f>IF(I38="","",IF(OR(LEFT(I38,3)="BKK",I38="LCH55"),"BKK",IF(LEFT(I38,3)="LCH","LCH","OTHER")))</f>
        <v/>
      </c>
      <c r="AD38" s="5">
        <f>MAX(0,Q38-MAX(0,Z38))</f>
        <v/>
      </c>
      <c r="AE38" s="5">
        <f>MAX(0,R38-MAX(0,Z38-SUM(Q38:Q38)))</f>
        <v/>
      </c>
      <c r="AF38" s="5">
        <f>MAX(0,S38-MAX(0,Z38-SUM(Q38:R38)))</f>
        <v/>
      </c>
      <c r="AG38" s="5">
        <f>MAX(0,T38-MAX(0,Z38-SUM(Q38:S38)))</f>
        <v/>
      </c>
      <c r="AH38" s="5">
        <f>MAX(0,U38-MAX(0,Z38-SUM(Q38:T38)))</f>
        <v/>
      </c>
      <c r="AI38" s="5">
        <f>MAX(0,V38-MAX(0,Z38-SUM(Q38:U38)))</f>
        <v/>
      </c>
      <c r="AJ38" s="5">
        <f>MAX(0,W38-MAX(0,Z38-SUM(Q38:V38)))</f>
        <v/>
      </c>
      <c r="AK38" s="5">
        <f>MAX(0,X38-MAX(0,Z38-SUM(Q38:W38)))</f>
        <v/>
      </c>
      <c r="AL38" s="5">
        <f>MAX(0,Y38-MAX(0,Z38-SUM(Q38:X38)))</f>
        <v/>
      </c>
    </row>
    <row r="39">
      <c r="A39" s="5" t="inlineStr">
        <is>
          <t>HASLS22260801481</t>
        </is>
      </c>
      <c r="B39" s="5" t="inlineStr">
        <is>
          <t>ICVY</t>
        </is>
      </c>
      <c r="C39" s="5" t="inlineStr">
        <is>
          <t>2607S</t>
        </is>
      </c>
      <c r="D39" s="5" t="inlineStr">
        <is>
          <t>202609211000</t>
        </is>
      </c>
      <c r="E39" s="5" t="inlineStr"/>
      <c r="F39" s="5" t="inlineStr">
        <is>
          <t>THLCH</t>
        </is>
      </c>
      <c r="G39" s="5" t="inlineStr">
        <is>
          <t>IDJKT</t>
        </is>
      </c>
      <c r="H39" s="5" t="inlineStr">
        <is>
          <t xml:space="preserve">20'x1 </t>
        </is>
      </c>
      <c r="I39" s="5" t="inlineStr">
        <is>
          <t>LCH27</t>
        </is>
      </c>
      <c r="J39" s="5" t="inlineStr">
        <is>
          <t xml:space="preserve">HAST Logistics Co.,Ltd. </t>
        </is>
      </c>
      <c r="K39" s="5" t="inlineStr">
        <is>
          <t>20260917</t>
        </is>
      </c>
      <c r="L39" s="5" t="inlineStr">
        <is>
          <t>UBE CHEMICALS (ASIA) PUBLIC COMPANY LIMITED</t>
        </is>
      </c>
      <c r="M39" s="5" t="inlineStr">
        <is>
          <t>UBE CHEMICALS (ASIA) PUBLIC COMPANY LIMITED</t>
        </is>
      </c>
      <c r="N39" s="5" t="inlineStr">
        <is>
          <t xml:space="preserve">POLYAMIDE RESIN </t>
        </is>
      </c>
      <c r="O39" s="5" t="inlineStr">
        <is>
          <t>GOOD AND CLEAN CONTAINER</t>
        </is>
      </c>
      <c r="P39" s="5" t="inlineStr">
        <is>
          <t xml:space="preserve">CY-RTN :17-18/09/2026
</t>
        </is>
      </c>
      <c r="Q39" s="5" t="n">
        <v>1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5">
        <f>SUM(Q39:Y39)-Z39</f>
        <v/>
      </c>
      <c r="AC39" s="5">
        <f>IF(I39="","",IF(OR(LEFT(I39,3)="BKK",I39="LCH55"),"BKK",IF(LEFT(I39,3)="LCH","LCH","OTHER")))</f>
        <v/>
      </c>
      <c r="AD39" s="5">
        <f>MAX(0,Q39-MAX(0,Z39))</f>
        <v/>
      </c>
      <c r="AE39" s="5">
        <f>MAX(0,R39-MAX(0,Z39-SUM(Q39:Q39)))</f>
        <v/>
      </c>
      <c r="AF39" s="5">
        <f>MAX(0,S39-MAX(0,Z39-SUM(Q39:R39)))</f>
        <v/>
      </c>
      <c r="AG39" s="5">
        <f>MAX(0,T39-MAX(0,Z39-SUM(Q39:S39)))</f>
        <v/>
      </c>
      <c r="AH39" s="5">
        <f>MAX(0,U39-MAX(0,Z39-SUM(Q39:T39)))</f>
        <v/>
      </c>
      <c r="AI39" s="5">
        <f>MAX(0,V39-MAX(0,Z39-SUM(Q39:U39)))</f>
        <v/>
      </c>
      <c r="AJ39" s="5">
        <f>MAX(0,W39-MAX(0,Z39-SUM(Q39:V39)))</f>
        <v/>
      </c>
      <c r="AK39" s="5">
        <f>MAX(0,X39-MAX(0,Z39-SUM(Q39:W39)))</f>
        <v/>
      </c>
      <c r="AL39" s="5">
        <f>MAX(0,Y39-MAX(0,Z39-SUM(Q39:X39)))</f>
        <v/>
      </c>
    </row>
    <row r="40">
      <c r="A40" s="5" t="inlineStr">
        <is>
          <t>HASLS22260801684</t>
        </is>
      </c>
      <c r="B40" s="5" t="inlineStr">
        <is>
          <t>SWAT</t>
        </is>
      </c>
      <c r="C40" s="5" t="inlineStr">
        <is>
          <t>2610N</t>
        </is>
      </c>
      <c r="D40" s="5" t="inlineStr">
        <is>
          <t>202610041300</t>
        </is>
      </c>
      <c r="E40" s="5" t="inlineStr"/>
      <c r="F40" s="5" t="inlineStr">
        <is>
          <t>THLCH</t>
        </is>
      </c>
      <c r="G40" s="5" t="inlineStr">
        <is>
          <t>CNSHK</t>
        </is>
      </c>
      <c r="H40" s="5" t="inlineStr">
        <is>
          <t xml:space="preserve">R40Hx1 </t>
        </is>
      </c>
      <c r="I40" s="5" t="inlineStr">
        <is>
          <t>LCH27</t>
        </is>
      </c>
      <c r="J40" s="5" t="inlineStr">
        <is>
          <t xml:space="preserve">HAST Logistics Co.,Ltd. </t>
        </is>
      </c>
      <c r="K40" s="5" t="inlineStr">
        <is>
          <t>20260914</t>
        </is>
      </c>
      <c r="L40" s="5" t="inlineStr">
        <is>
          <t>POSTMAN (THAILAND) CO.,LTD.</t>
        </is>
      </c>
      <c r="M40" s="5" t="inlineStr">
        <is>
          <t>POSTMAN (THAILAND) CO.,LTD.</t>
        </is>
      </c>
      <c r="N40" s="5" t="inlineStr">
        <is>
          <t>FRESH COCONUT</t>
        </is>
      </c>
      <c r="O40" s="5" t="inlineStr">
        <is>
          <t>RF45REx1 (Temp +2.0℃ / Vent 10% Open)</t>
        </is>
      </c>
      <c r="P40" s="5" t="inlineStr">
        <is>
          <t xml:space="preserve">Pickup : 2026-09-14, Return : 2026-09-23 RF45REx1 (Temp +2.0 / Vent 10% Open) 
CLS TIME : 24/09/2026 @23.59 </t>
        </is>
      </c>
      <c r="Q40" s="5" t="n">
        <v>0</v>
      </c>
      <c r="R40" s="5" t="n">
        <v>0</v>
      </c>
      <c r="S40" s="5" t="n">
        <v>0</v>
      </c>
      <c r="T40" s="5" t="n">
        <v>0</v>
      </c>
      <c r="U40" s="5" t="n">
        <v>1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>
        <f>SUM(Q40:Y40)-Z40</f>
        <v/>
      </c>
      <c r="AC40" s="5">
        <f>IF(I40="","",IF(OR(LEFT(I40,3)="BKK",I40="LCH55"),"BKK",IF(LEFT(I40,3)="LCH","LCH","OTHER")))</f>
        <v/>
      </c>
      <c r="AD40" s="5">
        <f>MAX(0,Q40-MAX(0,Z40))</f>
        <v/>
      </c>
      <c r="AE40" s="5">
        <f>MAX(0,R40-MAX(0,Z40-SUM(Q40:Q40)))</f>
        <v/>
      </c>
      <c r="AF40" s="5">
        <f>MAX(0,S40-MAX(0,Z40-SUM(Q40:R40)))</f>
        <v/>
      </c>
      <c r="AG40" s="5">
        <f>MAX(0,T40-MAX(0,Z40-SUM(Q40:S40)))</f>
        <v/>
      </c>
      <c r="AH40" s="5">
        <f>MAX(0,U40-MAX(0,Z40-SUM(Q40:T40)))</f>
        <v/>
      </c>
      <c r="AI40" s="5">
        <f>MAX(0,V40-MAX(0,Z40-SUM(Q40:U40)))</f>
        <v/>
      </c>
      <c r="AJ40" s="5">
        <f>MAX(0,W40-MAX(0,Z40-SUM(Q40:V40)))</f>
        <v/>
      </c>
      <c r="AK40" s="5">
        <f>MAX(0,X40-MAX(0,Z40-SUM(Q40:W40)))</f>
        <v/>
      </c>
      <c r="AL40" s="5">
        <f>MAX(0,Y40-MAX(0,Z40-SUM(Q40:X40)))</f>
        <v/>
      </c>
    </row>
    <row r="41">
      <c r="A41" s="5" t="inlineStr">
        <is>
          <t>HASLS22260801685</t>
        </is>
      </c>
      <c r="B41" s="5" t="inlineStr">
        <is>
          <t>SWAT</t>
        </is>
      </c>
      <c r="C41" s="5" t="inlineStr">
        <is>
          <t>2610N</t>
        </is>
      </c>
      <c r="D41" s="5" t="inlineStr">
        <is>
          <t>202610041300</t>
        </is>
      </c>
      <c r="E41" s="5" t="inlineStr"/>
      <c r="F41" s="5" t="inlineStr">
        <is>
          <t>THLCH</t>
        </is>
      </c>
      <c r="G41" s="5" t="inlineStr">
        <is>
          <t>CNSHK</t>
        </is>
      </c>
      <c r="H41" s="5" t="inlineStr">
        <is>
          <t xml:space="preserve">R40Hx1 </t>
        </is>
      </c>
      <c r="I41" s="5" t="inlineStr">
        <is>
          <t>LCH27</t>
        </is>
      </c>
      <c r="J41" s="5" t="inlineStr">
        <is>
          <t xml:space="preserve">HAST Logistics Co.,Ltd. </t>
        </is>
      </c>
      <c r="K41" s="5" t="inlineStr">
        <is>
          <t>20260914</t>
        </is>
      </c>
      <c r="L41" s="5" t="inlineStr">
        <is>
          <t>POSTMAN (THAILAND) CO.,LTD.</t>
        </is>
      </c>
      <c r="M41" s="5" t="inlineStr">
        <is>
          <t>POSTMAN (THAILAND) CO.,LTD.</t>
        </is>
      </c>
      <c r="N41" s="5" t="inlineStr">
        <is>
          <t>FRESH COCONUT</t>
        </is>
      </c>
      <c r="O41" s="5" t="inlineStr">
        <is>
          <t>RF45REx1 (Temp +2.0℃ / Vent 10% Open)</t>
        </is>
      </c>
      <c r="P41" s="5" t="inlineStr">
        <is>
          <t xml:space="preserve">Pickup : 2026-09-14, Return : 2026-09-23 RF45REx1 (Temp +2.0 / Vent 10% Open) 
CLS TIME : 24/09/2026 @23.59 </t>
        </is>
      </c>
      <c r="Q41" s="5" t="n">
        <v>0</v>
      </c>
      <c r="R41" s="5" t="n">
        <v>0</v>
      </c>
      <c r="S41" s="5" t="n">
        <v>0</v>
      </c>
      <c r="T41" s="5" t="n">
        <v>0</v>
      </c>
      <c r="U41" s="5" t="n">
        <v>1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>
        <f>SUM(Q41:Y41)-Z41</f>
        <v/>
      </c>
      <c r="AC41" s="5">
        <f>IF(I41="","",IF(OR(LEFT(I41,3)="BKK",I41="LCH55"),"BKK",IF(LEFT(I41,3)="LCH","LCH","OTHER")))</f>
        <v/>
      </c>
      <c r="AD41" s="5">
        <f>MAX(0,Q41-MAX(0,Z41))</f>
        <v/>
      </c>
      <c r="AE41" s="5">
        <f>MAX(0,R41-MAX(0,Z41-SUM(Q41:Q41)))</f>
        <v/>
      </c>
      <c r="AF41" s="5">
        <f>MAX(0,S41-MAX(0,Z41-SUM(Q41:R41)))</f>
        <v/>
      </c>
      <c r="AG41" s="5">
        <f>MAX(0,T41-MAX(0,Z41-SUM(Q41:S41)))</f>
        <v/>
      </c>
      <c r="AH41" s="5">
        <f>MAX(0,U41-MAX(0,Z41-SUM(Q41:T41)))</f>
        <v/>
      </c>
      <c r="AI41" s="5">
        <f>MAX(0,V41-MAX(0,Z41-SUM(Q41:U41)))</f>
        <v/>
      </c>
      <c r="AJ41" s="5">
        <f>MAX(0,W41-MAX(0,Z41-SUM(Q41:V41)))</f>
        <v/>
      </c>
      <c r="AK41" s="5">
        <f>MAX(0,X41-MAX(0,Z41-SUM(Q41:W41)))</f>
        <v/>
      </c>
      <c r="AL41" s="5">
        <f>MAX(0,Y41-MAX(0,Z41-SUM(Q41:X41)))</f>
        <v/>
      </c>
    </row>
    <row r="42">
      <c r="A42" s="5" t="inlineStr">
        <is>
          <t>HASLS22260801769</t>
        </is>
      </c>
      <c r="B42" s="5" t="inlineStr">
        <is>
          <t>SWAL</t>
        </is>
      </c>
      <c r="C42" s="5" t="inlineStr">
        <is>
          <t>2608N</t>
        </is>
      </c>
      <c r="D42" s="5" t="inlineStr">
        <is>
          <t>202609290800</t>
        </is>
      </c>
      <c r="E42" s="5" t="inlineStr"/>
      <c r="F42" s="5" t="inlineStr">
        <is>
          <t>THLCH</t>
        </is>
      </c>
      <c r="G42" s="5" t="inlineStr">
        <is>
          <t>VNSGN</t>
        </is>
      </c>
      <c r="H42" s="5" t="inlineStr">
        <is>
          <t xml:space="preserve">20'x1 </t>
        </is>
      </c>
      <c r="I42" s="5" t="inlineStr">
        <is>
          <t>LCH27</t>
        </is>
      </c>
      <c r="J42" s="5" t="inlineStr">
        <is>
          <t xml:space="preserve">HAST Logistics Co.,Ltd. </t>
        </is>
      </c>
      <c r="K42" s="5" t="inlineStr">
        <is>
          <t>20260917</t>
        </is>
      </c>
      <c r="L42" s="5" t="inlineStr">
        <is>
          <t>WHA GC LOGISTICS COMPANY LIMITED</t>
        </is>
      </c>
      <c r="M42" s="5" t="inlineStr">
        <is>
          <t>PTT GLOBAL CHEMICAL PUBLIC COMPANY LIMITED</t>
        </is>
      </c>
      <c r="N42" s="5" t="inlineStr">
        <is>
          <t>RESIN</t>
        </is>
      </c>
      <c r="O42" s="5" t="inlineStr">
        <is>
          <t>GOOD AND CLEAN CTNR</t>
        </is>
      </c>
      <c r="P42" s="5" t="inlineStr">
        <is>
          <t>CY-RTN : 17-25/09/26 [1ST RTN 25/09/2026 W/O RENT] 
*PLS CHECK OPEN GATE BEFORE RETURN CTNR*</t>
        </is>
      </c>
      <c r="Q42" s="5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>
        <f>SUM(Q42:Y42)-Z42</f>
        <v/>
      </c>
      <c r="AC42" s="5">
        <f>IF(I42="","",IF(OR(LEFT(I42,3)="BKK",I42="LCH55"),"BKK",IF(LEFT(I42,3)="LCH","LCH","OTHER")))</f>
        <v/>
      </c>
      <c r="AD42" s="5">
        <f>MAX(0,Q42-MAX(0,Z42))</f>
        <v/>
      </c>
      <c r="AE42" s="5">
        <f>MAX(0,R42-MAX(0,Z42-SUM(Q42:Q42)))</f>
        <v/>
      </c>
      <c r="AF42" s="5">
        <f>MAX(0,S42-MAX(0,Z42-SUM(Q42:R42)))</f>
        <v/>
      </c>
      <c r="AG42" s="5">
        <f>MAX(0,T42-MAX(0,Z42-SUM(Q42:S42)))</f>
        <v/>
      </c>
      <c r="AH42" s="5">
        <f>MAX(0,U42-MAX(0,Z42-SUM(Q42:T42)))</f>
        <v/>
      </c>
      <c r="AI42" s="5">
        <f>MAX(0,V42-MAX(0,Z42-SUM(Q42:U42)))</f>
        <v/>
      </c>
      <c r="AJ42" s="5">
        <f>MAX(0,W42-MAX(0,Z42-SUM(Q42:V42)))</f>
        <v/>
      </c>
      <c r="AK42" s="5">
        <f>MAX(0,X42-MAX(0,Z42-SUM(Q42:W42)))</f>
        <v/>
      </c>
      <c r="AL42" s="5">
        <f>MAX(0,Y42-MAX(0,Z42-SUM(Q42:X42)))</f>
        <v/>
      </c>
    </row>
    <row r="43">
      <c r="A43" s="5" t="inlineStr">
        <is>
          <t>HASLS22260802568</t>
        </is>
      </c>
      <c r="B43" s="5" t="inlineStr">
        <is>
          <t>SWMM</t>
        </is>
      </c>
      <c r="C43" s="5" t="inlineStr">
        <is>
          <t>2609N</t>
        </is>
      </c>
      <c r="D43" s="5" t="inlineStr">
        <is>
          <t>202609230600</t>
        </is>
      </c>
      <c r="E43" s="5" t="inlineStr"/>
      <c r="F43" s="5" t="inlineStr">
        <is>
          <t>THLCH</t>
        </is>
      </c>
      <c r="G43" s="5" t="inlineStr">
        <is>
          <t>KRPTK</t>
        </is>
      </c>
      <c r="H43" s="5" t="inlineStr">
        <is>
          <t xml:space="preserve">40Hx2 </t>
        </is>
      </c>
      <c r="I43" s="5" t="inlineStr">
        <is>
          <t>LCH27</t>
        </is>
      </c>
      <c r="J43" s="5" t="inlineStr">
        <is>
          <t xml:space="preserve">HAST Logistics Co.,Ltd. </t>
        </is>
      </c>
      <c r="K43" s="5" t="inlineStr">
        <is>
          <t>20260917</t>
        </is>
      </c>
      <c r="L43" s="5" t="inlineStr">
        <is>
          <t>DACHSER (THAILAND) CO., LTD.</t>
        </is>
      </c>
      <c r="M43" s="5" t="inlineStr">
        <is>
          <t>SRF INDUSTRIES (THAILAND) LIMITED (112)</t>
        </is>
      </c>
      <c r="N43" s="5" t="inlineStr">
        <is>
          <t>POLYESTER FILM</t>
        </is>
      </c>
      <c r="O43" s="5" t="inlineStr">
        <is>
          <t>REQ GOOD DRY AND CLEAN CONTAINER ONLY / RQST CNTR 32.5 TONS // 40'HQ</t>
        </is>
      </c>
      <c r="P43" s="5" t="inlineStr">
        <is>
          <t>Pickup : 2026-09-17, Return : 2026-09-18</t>
        </is>
      </c>
      <c r="Q43" s="5" t="n">
        <v>0</v>
      </c>
      <c r="R43" s="5" t="n">
        <v>0</v>
      </c>
      <c r="S43" s="5" t="n">
        <v>2</v>
      </c>
      <c r="T43" s="5" t="n">
        <v>0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>
        <f>SUM(Q43:Y43)-Z43</f>
        <v/>
      </c>
      <c r="AC43" s="5">
        <f>IF(I43="","",IF(OR(LEFT(I43,3)="BKK",I43="LCH55"),"BKK",IF(LEFT(I43,3)="LCH","LCH","OTHER")))</f>
        <v/>
      </c>
      <c r="AD43" s="5">
        <f>MAX(0,Q43-MAX(0,Z43))</f>
        <v/>
      </c>
      <c r="AE43" s="5">
        <f>MAX(0,R43-MAX(0,Z43-SUM(Q43:Q43)))</f>
        <v/>
      </c>
      <c r="AF43" s="5">
        <f>MAX(0,S43-MAX(0,Z43-SUM(Q43:R43)))</f>
        <v/>
      </c>
      <c r="AG43" s="5">
        <f>MAX(0,T43-MAX(0,Z43-SUM(Q43:S43)))</f>
        <v/>
      </c>
      <c r="AH43" s="5">
        <f>MAX(0,U43-MAX(0,Z43-SUM(Q43:T43)))</f>
        <v/>
      </c>
      <c r="AI43" s="5">
        <f>MAX(0,V43-MAX(0,Z43-SUM(Q43:U43)))</f>
        <v/>
      </c>
      <c r="AJ43" s="5">
        <f>MAX(0,W43-MAX(0,Z43-SUM(Q43:V43)))</f>
        <v/>
      </c>
      <c r="AK43" s="5">
        <f>MAX(0,X43-MAX(0,Z43-SUM(Q43:W43)))</f>
        <v/>
      </c>
      <c r="AL43" s="5">
        <f>MAX(0,Y43-MAX(0,Z43-SUM(Q43:X43)))</f>
        <v/>
      </c>
    </row>
    <row r="44">
      <c r="A44" s="5" t="inlineStr">
        <is>
          <t>HASLS22260802571</t>
        </is>
      </c>
      <c r="B44" s="5" t="inlineStr">
        <is>
          <t>SWMM</t>
        </is>
      </c>
      <c r="C44" s="5" t="inlineStr">
        <is>
          <t>2609N</t>
        </is>
      </c>
      <c r="D44" s="5" t="inlineStr">
        <is>
          <t>202609230600</t>
        </is>
      </c>
      <c r="E44" s="5" t="inlineStr"/>
      <c r="F44" s="5" t="inlineStr">
        <is>
          <t>THLCH</t>
        </is>
      </c>
      <c r="G44" s="5" t="inlineStr">
        <is>
          <t>KRPTK</t>
        </is>
      </c>
      <c r="H44" s="5" t="inlineStr">
        <is>
          <t xml:space="preserve">40Hx1 </t>
        </is>
      </c>
      <c r="I44" s="5" t="inlineStr">
        <is>
          <t>LCH27</t>
        </is>
      </c>
      <c r="J44" s="5" t="inlineStr">
        <is>
          <t xml:space="preserve">HAST Logistics Co.,Ltd. </t>
        </is>
      </c>
      <c r="K44" s="5" t="inlineStr">
        <is>
          <t>20260917</t>
        </is>
      </c>
      <c r="L44" s="5" t="inlineStr">
        <is>
          <t>DACHSER (THAILAND) CO., LTD.</t>
        </is>
      </c>
      <c r="M44" s="5" t="inlineStr">
        <is>
          <t>SRF INDUSTRIES (THAILAND) LIMITED (112)</t>
        </is>
      </c>
      <c r="N44" s="5" t="inlineStr">
        <is>
          <t>POLYESTER FILM</t>
        </is>
      </c>
      <c r="O44" s="5" t="inlineStr">
        <is>
          <t>REQ GOOD DRY AND CLEAN CONTAINER ONLY. / RQST CNTR 32.5 TONS // 40'HQ</t>
        </is>
      </c>
      <c r="P44" s="5" t="inlineStr">
        <is>
          <t>Pickup : 2026-09-17, Return : 2026-09-18</t>
        </is>
      </c>
      <c r="Q44" s="5" t="n">
        <v>0</v>
      </c>
      <c r="R44" s="5" t="n">
        <v>0</v>
      </c>
      <c r="S44" s="5" t="n">
        <v>1</v>
      </c>
      <c r="T44" s="5" t="n">
        <v>0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>
        <f>SUM(Q44:Y44)-Z44</f>
        <v/>
      </c>
      <c r="AC44" s="5">
        <f>IF(I44="","",IF(OR(LEFT(I44,3)="BKK",I44="LCH55"),"BKK",IF(LEFT(I44,3)="LCH","LCH","OTHER")))</f>
        <v/>
      </c>
      <c r="AD44" s="5">
        <f>MAX(0,Q44-MAX(0,Z44))</f>
        <v/>
      </c>
      <c r="AE44" s="5">
        <f>MAX(0,R44-MAX(0,Z44-SUM(Q44:Q44)))</f>
        <v/>
      </c>
      <c r="AF44" s="5">
        <f>MAX(0,S44-MAX(0,Z44-SUM(Q44:R44)))</f>
        <v/>
      </c>
      <c r="AG44" s="5">
        <f>MAX(0,T44-MAX(0,Z44-SUM(Q44:S44)))</f>
        <v/>
      </c>
      <c r="AH44" s="5">
        <f>MAX(0,U44-MAX(0,Z44-SUM(Q44:T44)))</f>
        <v/>
      </c>
      <c r="AI44" s="5">
        <f>MAX(0,V44-MAX(0,Z44-SUM(Q44:U44)))</f>
        <v/>
      </c>
      <c r="AJ44" s="5">
        <f>MAX(0,W44-MAX(0,Z44-SUM(Q44:V44)))</f>
        <v/>
      </c>
      <c r="AK44" s="5">
        <f>MAX(0,X44-MAX(0,Z44-SUM(Q44:W44)))</f>
        <v/>
      </c>
      <c r="AL44" s="5">
        <f>MAX(0,Y44-MAX(0,Z44-SUM(Q44:X44)))</f>
        <v/>
      </c>
    </row>
    <row r="45">
      <c r="A45" s="5" t="inlineStr">
        <is>
          <t>HASLS22260802573</t>
        </is>
      </c>
      <c r="B45" s="5" t="inlineStr">
        <is>
          <t>SWMM</t>
        </is>
      </c>
      <c r="C45" s="5" t="inlineStr">
        <is>
          <t>2609N</t>
        </is>
      </c>
      <c r="D45" s="5" t="inlineStr">
        <is>
          <t>202609230600</t>
        </is>
      </c>
      <c r="E45" s="5" t="inlineStr"/>
      <c r="F45" s="5" t="inlineStr">
        <is>
          <t>THLCH</t>
        </is>
      </c>
      <c r="G45" s="5" t="inlineStr">
        <is>
          <t>KRPTK</t>
        </is>
      </c>
      <c r="H45" s="5" t="inlineStr">
        <is>
          <t xml:space="preserve">40Hx2 </t>
        </is>
      </c>
      <c r="I45" s="5" t="inlineStr">
        <is>
          <t>LCH27</t>
        </is>
      </c>
      <c r="J45" s="5" t="inlineStr">
        <is>
          <t xml:space="preserve">HAST Logistics Co.,Ltd. </t>
        </is>
      </c>
      <c r="K45" s="5" t="inlineStr">
        <is>
          <t>20260917</t>
        </is>
      </c>
      <c r="L45" s="5" t="inlineStr">
        <is>
          <t>DACHSER (THAILAND) CO., LTD.</t>
        </is>
      </c>
      <c r="M45" s="5" t="inlineStr">
        <is>
          <t>SRF INDUSTRIES (THAILAND) LIMITED (112)</t>
        </is>
      </c>
      <c r="N45" s="5" t="inlineStr">
        <is>
          <t>POLYESTER FILM</t>
        </is>
      </c>
      <c r="O45" s="5" t="inlineStr">
        <is>
          <t>REQ GOOD DRY AND CLEAN CONTAINER ONLY. / RQST CNTR 32.5 TONS // 40'HQ</t>
        </is>
      </c>
      <c r="P45" s="5" t="inlineStr">
        <is>
          <t>Pickup : 2026-09-17, Return : 2026-09-18</t>
        </is>
      </c>
      <c r="Q45" s="5" t="n">
        <v>0</v>
      </c>
      <c r="R45" s="5" t="n">
        <v>0</v>
      </c>
      <c r="S45" s="5" t="n">
        <v>2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>
        <f>SUM(Q45:Y45)-Z45</f>
        <v/>
      </c>
      <c r="AC45" s="5">
        <f>IF(I45="","",IF(OR(LEFT(I45,3)="BKK",I45="LCH55"),"BKK",IF(LEFT(I45,3)="LCH","LCH","OTHER")))</f>
        <v/>
      </c>
      <c r="AD45" s="5">
        <f>MAX(0,Q45-MAX(0,Z45))</f>
        <v/>
      </c>
      <c r="AE45" s="5">
        <f>MAX(0,R45-MAX(0,Z45-SUM(Q45:Q45)))</f>
        <v/>
      </c>
      <c r="AF45" s="5">
        <f>MAX(0,S45-MAX(0,Z45-SUM(Q45:R45)))</f>
        <v/>
      </c>
      <c r="AG45" s="5">
        <f>MAX(0,T45-MAX(0,Z45-SUM(Q45:S45)))</f>
        <v/>
      </c>
      <c r="AH45" s="5">
        <f>MAX(0,U45-MAX(0,Z45-SUM(Q45:T45)))</f>
        <v/>
      </c>
      <c r="AI45" s="5">
        <f>MAX(0,V45-MAX(0,Z45-SUM(Q45:U45)))</f>
        <v/>
      </c>
      <c r="AJ45" s="5">
        <f>MAX(0,W45-MAX(0,Z45-SUM(Q45:V45)))</f>
        <v/>
      </c>
      <c r="AK45" s="5">
        <f>MAX(0,X45-MAX(0,Z45-SUM(Q45:W45)))</f>
        <v/>
      </c>
      <c r="AL45" s="5">
        <f>MAX(0,Y45-MAX(0,Z45-SUM(Q45:X45)))</f>
        <v/>
      </c>
    </row>
    <row r="46">
      <c r="A46" s="5" t="inlineStr">
        <is>
          <t>HASLS22260900107</t>
        </is>
      </c>
      <c r="B46" s="5" t="inlineStr">
        <is>
          <t>HAB</t>
        </is>
      </c>
      <c r="C46" s="5" t="inlineStr">
        <is>
          <t>2612N</t>
        </is>
      </c>
      <c r="D46" s="5" t="inlineStr">
        <is>
          <t>202610250630</t>
        </is>
      </c>
      <c r="E46" s="5" t="inlineStr"/>
      <c r="F46" s="5" t="inlineStr">
        <is>
          <t>THLCH</t>
        </is>
      </c>
      <c r="G46" s="5" t="inlineStr">
        <is>
          <t>CNSHA</t>
        </is>
      </c>
      <c r="H46" s="5" t="inlineStr">
        <is>
          <t xml:space="preserve">20'x10 </t>
        </is>
      </c>
      <c r="I46" s="5" t="inlineStr">
        <is>
          <t>LCH27</t>
        </is>
      </c>
      <c r="J46" s="5" t="inlineStr">
        <is>
          <t xml:space="preserve">HAST Logistics Co.,Ltd. </t>
        </is>
      </c>
      <c r="K46" s="5" t="inlineStr">
        <is>
          <t>20260914</t>
        </is>
      </c>
      <c r="L46" s="5" t="inlineStr">
        <is>
          <t>INTENTION FREIGHT CO., LTD.</t>
        </is>
      </c>
      <c r="M46" s="5" t="inlineStr">
        <is>
          <t>EIAM THONGCHAI INDUSTRY CO.,LTD.</t>
        </is>
      </c>
      <c r="N46" s="5" t="inlineStr">
        <is>
          <t>STARCH</t>
        </is>
      </c>
      <c r="O46" s="5" t="inlineStr">
        <is>
          <t>REQ : FOOD GRADE CONTAINER CLEAR &amp;DRY NO OIL NO RUSTY</t>
        </is>
      </c>
      <c r="P46" s="5" t="inlineStr">
        <is>
          <t>Pickup : 2026-09-14, Return : 2026-09-16</t>
        </is>
      </c>
      <c r="Q46" s="5" t="n">
        <v>10</v>
      </c>
      <c r="R46" s="5" t="n">
        <v>0</v>
      </c>
      <c r="S46" s="5" t="n">
        <v>0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5" t="n">
        <v>0</v>
      </c>
      <c r="AB46" s="5">
        <f>SUM(Q46:Y46)-Z46</f>
        <v/>
      </c>
      <c r="AC46" s="5">
        <f>IF(I46="","",IF(OR(LEFT(I46,3)="BKK",I46="LCH55"),"BKK",IF(LEFT(I46,3)="LCH","LCH","OTHER")))</f>
        <v/>
      </c>
      <c r="AD46" s="5">
        <f>MAX(0,Q46-MAX(0,Z46))</f>
        <v/>
      </c>
      <c r="AE46" s="5">
        <f>MAX(0,R46-MAX(0,Z46-SUM(Q46:Q46)))</f>
        <v/>
      </c>
      <c r="AF46" s="5">
        <f>MAX(0,S46-MAX(0,Z46-SUM(Q46:R46)))</f>
        <v/>
      </c>
      <c r="AG46" s="5">
        <f>MAX(0,T46-MAX(0,Z46-SUM(Q46:S46)))</f>
        <v/>
      </c>
      <c r="AH46" s="5">
        <f>MAX(0,U46-MAX(0,Z46-SUM(Q46:T46)))</f>
        <v/>
      </c>
      <c r="AI46" s="5">
        <f>MAX(0,V46-MAX(0,Z46-SUM(Q46:U46)))</f>
        <v/>
      </c>
      <c r="AJ46" s="5">
        <f>MAX(0,W46-MAX(0,Z46-SUM(Q46:V46)))</f>
        <v/>
      </c>
      <c r="AK46" s="5">
        <f>MAX(0,X46-MAX(0,Z46-SUM(Q46:W46)))</f>
        <v/>
      </c>
      <c r="AL46" s="5">
        <f>MAX(0,Y46-MAX(0,Z46-SUM(Q46:X46)))</f>
        <v/>
      </c>
    </row>
    <row r="47">
      <c r="A47" s="5" t="inlineStr">
        <is>
          <t>HASLS22260900472</t>
        </is>
      </c>
      <c r="B47" s="5" t="inlineStr">
        <is>
          <t>PGPO</t>
        </is>
      </c>
      <c r="C47" s="5" t="inlineStr">
        <is>
          <t>2611N</t>
        </is>
      </c>
      <c r="D47" s="5" t="inlineStr">
        <is>
          <t>202609230830</t>
        </is>
      </c>
      <c r="E47" s="5" t="inlineStr"/>
      <c r="F47" s="5" t="inlineStr">
        <is>
          <t>THLCH</t>
        </is>
      </c>
      <c r="G47" s="5" t="inlineStr">
        <is>
          <t>VNSGN</t>
        </is>
      </c>
      <c r="H47" s="5" t="inlineStr">
        <is>
          <t xml:space="preserve">40Hx1 </t>
        </is>
      </c>
      <c r="I47" s="5" t="inlineStr">
        <is>
          <t>LCH27</t>
        </is>
      </c>
      <c r="J47" s="5" t="inlineStr">
        <is>
          <t xml:space="preserve">HAST Logistics Co.,Ltd. </t>
        </is>
      </c>
      <c r="K47" s="5" t="inlineStr">
        <is>
          <t>20260917</t>
        </is>
      </c>
      <c r="L47" s="5" t="inlineStr">
        <is>
          <t>ACCORD PILOT LOGISTICS (THAILAND) CO., LTD.</t>
        </is>
      </c>
      <c r="M47" s="5" t="inlineStr">
        <is>
          <t>TOA PERFORMANCE COATING CORPORATION CO., LTD.</t>
        </is>
      </c>
      <c r="N47" s="5" t="inlineStr">
        <is>
          <t>ABRASIVE PAPER / H.S CODE ; 6805.20</t>
        </is>
      </c>
      <c r="O47" s="5" t="inlineStr">
        <is>
          <t>GOOD AND CLEAN</t>
        </is>
      </c>
      <c r="P47" s="5" t="inlineStr">
        <is>
          <t>Pickup : 2026-09-17, Return : 2026-09-18</t>
        </is>
      </c>
      <c r="Q47" s="5" t="n">
        <v>0</v>
      </c>
      <c r="R47" s="5" t="n">
        <v>0</v>
      </c>
      <c r="S47" s="5" t="n">
        <v>1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>
        <f>SUM(Q47:Y47)-Z47</f>
        <v/>
      </c>
      <c r="AC47" s="5">
        <f>IF(I47="","",IF(OR(LEFT(I47,3)="BKK",I47="LCH55"),"BKK",IF(LEFT(I47,3)="LCH","LCH","OTHER")))</f>
        <v/>
      </c>
      <c r="AD47" s="5">
        <f>MAX(0,Q47-MAX(0,Z47))</f>
        <v/>
      </c>
      <c r="AE47" s="5">
        <f>MAX(0,R47-MAX(0,Z47-SUM(Q47:Q47)))</f>
        <v/>
      </c>
      <c r="AF47" s="5">
        <f>MAX(0,S47-MAX(0,Z47-SUM(Q47:R47)))</f>
        <v/>
      </c>
      <c r="AG47" s="5">
        <f>MAX(0,T47-MAX(0,Z47-SUM(Q47:S47)))</f>
        <v/>
      </c>
      <c r="AH47" s="5">
        <f>MAX(0,U47-MAX(0,Z47-SUM(Q47:T47)))</f>
        <v/>
      </c>
      <c r="AI47" s="5">
        <f>MAX(0,V47-MAX(0,Z47-SUM(Q47:U47)))</f>
        <v/>
      </c>
      <c r="AJ47" s="5">
        <f>MAX(0,W47-MAX(0,Z47-SUM(Q47:V47)))</f>
        <v/>
      </c>
      <c r="AK47" s="5">
        <f>MAX(0,X47-MAX(0,Z47-SUM(Q47:W47)))</f>
        <v/>
      </c>
      <c r="AL47" s="5">
        <f>MAX(0,Y47-MAX(0,Z47-SUM(Q47:X47)))</f>
        <v/>
      </c>
    </row>
    <row r="48">
      <c r="A48" s="5" t="inlineStr">
        <is>
          <t>HASLS22260900478</t>
        </is>
      </c>
      <c r="B48" s="5" t="inlineStr">
        <is>
          <t>SWMM</t>
        </is>
      </c>
      <c r="C48" s="5" t="inlineStr">
        <is>
          <t>2609N</t>
        </is>
      </c>
      <c r="D48" s="5" t="inlineStr">
        <is>
          <t>202609230600</t>
        </is>
      </c>
      <c r="E48" s="5" t="inlineStr"/>
      <c r="F48" s="5" t="inlineStr">
        <is>
          <t>THLCH</t>
        </is>
      </c>
      <c r="G48" s="5" t="inlineStr">
        <is>
          <t>VNSGN</t>
        </is>
      </c>
      <c r="H48" s="5" t="inlineStr">
        <is>
          <t xml:space="preserve">40Hx5 </t>
        </is>
      </c>
      <c r="I48" s="5" t="inlineStr">
        <is>
          <t>LCH27</t>
        </is>
      </c>
      <c r="J48" s="5" t="inlineStr">
        <is>
          <t xml:space="preserve">HAST Logistics Co.,Ltd. </t>
        </is>
      </c>
      <c r="K48" s="5" t="inlineStr">
        <is>
          <t>20260917</t>
        </is>
      </c>
      <c r="L48" s="5" t="inlineStr">
        <is>
          <t>LOGMAN INTERNATIONAL CO., LTD.</t>
        </is>
      </c>
      <c r="M48" s="5" t="inlineStr">
        <is>
          <t>MAXXIS INTERNATIONAL (THAILAND) CO., LTD.</t>
        </is>
      </c>
      <c r="N48" s="5" t="inlineStr">
        <is>
          <t>NEW TIRE</t>
        </is>
      </c>
      <c r="O48" s="5" t="inlineStr">
        <is>
          <t>REQUEST GOOD AND CLEAN CONTAINER</t>
        </is>
      </c>
      <c r="P48" s="5" t="inlineStr">
        <is>
          <t xml:space="preserve">Pickup : 2026-09-17, Return : 2026-09-20 
 ** PLEASE CHECK OPEN GATE BEFORE RETURN CNTR **
</t>
        </is>
      </c>
      <c r="Q48" s="5" t="n">
        <v>0</v>
      </c>
      <c r="R48" s="5" t="n">
        <v>0</v>
      </c>
      <c r="S48" s="5" t="n">
        <v>5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 t="n">
        <v>0</v>
      </c>
      <c r="Z48" s="5" t="n">
        <v>1</v>
      </c>
      <c r="AA48" s="5" t="n">
        <v>0</v>
      </c>
      <c r="AB48" s="5">
        <f>SUM(Q48:Y48)-Z48</f>
        <v/>
      </c>
      <c r="AC48" s="5">
        <f>IF(I48="","",IF(OR(LEFT(I48,3)="BKK",I48="LCH55"),"BKK",IF(LEFT(I48,3)="LCH","LCH","OTHER")))</f>
        <v/>
      </c>
      <c r="AD48" s="5">
        <f>MAX(0,Q48-MAX(0,Z48))</f>
        <v/>
      </c>
      <c r="AE48" s="5">
        <f>MAX(0,R48-MAX(0,Z48-SUM(Q48:Q48)))</f>
        <v/>
      </c>
      <c r="AF48" s="5">
        <f>MAX(0,S48-MAX(0,Z48-SUM(Q48:R48)))</f>
        <v/>
      </c>
      <c r="AG48" s="5">
        <f>MAX(0,T48-MAX(0,Z48-SUM(Q48:S48)))</f>
        <v/>
      </c>
      <c r="AH48" s="5">
        <f>MAX(0,U48-MAX(0,Z48-SUM(Q48:T48)))</f>
        <v/>
      </c>
      <c r="AI48" s="5">
        <f>MAX(0,V48-MAX(0,Z48-SUM(Q48:U48)))</f>
        <v/>
      </c>
      <c r="AJ48" s="5">
        <f>MAX(0,W48-MAX(0,Z48-SUM(Q48:V48)))</f>
        <v/>
      </c>
      <c r="AK48" s="5">
        <f>MAX(0,X48-MAX(0,Z48-SUM(Q48:W48)))</f>
        <v/>
      </c>
      <c r="AL48" s="5">
        <f>MAX(0,Y48-MAX(0,Z48-SUM(Q48:X48)))</f>
        <v/>
      </c>
    </row>
    <row r="49">
      <c r="A49" s="5" t="inlineStr">
        <is>
          <t>HASLS22260900529</t>
        </is>
      </c>
      <c r="B49" s="5" t="inlineStr">
        <is>
          <t>HAB</t>
        </is>
      </c>
      <c r="C49" s="5" t="inlineStr">
        <is>
          <t>2611N</t>
        </is>
      </c>
      <c r="D49" s="5" t="inlineStr">
        <is>
          <t>202609270600</t>
        </is>
      </c>
      <c r="E49" s="5" t="inlineStr"/>
      <c r="F49" s="5" t="inlineStr">
        <is>
          <t>THLCH</t>
        </is>
      </c>
      <c r="G49" s="5" t="inlineStr">
        <is>
          <t>CNSHA</t>
        </is>
      </c>
      <c r="H49" s="5" t="inlineStr">
        <is>
          <t xml:space="preserve">40Hx1 </t>
        </is>
      </c>
      <c r="I49" s="5" t="inlineStr">
        <is>
          <t>LCH27</t>
        </is>
      </c>
      <c r="J49" s="5" t="inlineStr">
        <is>
          <t xml:space="preserve">HAST Logistics Co.,Ltd. </t>
        </is>
      </c>
      <c r="K49" s="5" t="inlineStr">
        <is>
          <t>20260917</t>
        </is>
      </c>
      <c r="L49" s="5" t="inlineStr">
        <is>
          <t>PRIME LOGISTICS INTERNATIONAL CO., LTD.</t>
        </is>
      </c>
      <c r="M49" s="5" t="inlineStr">
        <is>
          <t>SIAM TOHCELLO COMPANY LIMITED</t>
        </is>
      </c>
      <c r="N49" s="5" t="inlineStr">
        <is>
          <t>PLASTIC WRAP FOR FOOD</t>
        </is>
      </c>
      <c r="O49" s="5" t="inlineStr">
        <is>
          <t>REQ FOOD GRADE CONTAINER</t>
        </is>
      </c>
      <c r="P49" s="5" t="inlineStr">
        <is>
          <t xml:space="preserve">Pickup : 2026-09-17, Return : 2026-09-18 </t>
        </is>
      </c>
      <c r="Q49" s="5" t="n">
        <v>0</v>
      </c>
      <c r="R49" s="5" t="n">
        <v>0</v>
      </c>
      <c r="S49" s="5" t="n">
        <v>1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>
        <f>SUM(Q49:Y49)-Z49</f>
        <v/>
      </c>
      <c r="AC49" s="5">
        <f>IF(I49="","",IF(OR(LEFT(I49,3)="BKK",I49="LCH55"),"BKK",IF(LEFT(I49,3)="LCH","LCH","OTHER")))</f>
        <v/>
      </c>
      <c r="AD49" s="5">
        <f>MAX(0,Q49-MAX(0,Z49))</f>
        <v/>
      </c>
      <c r="AE49" s="5">
        <f>MAX(0,R49-MAX(0,Z49-SUM(Q49:Q49)))</f>
        <v/>
      </c>
      <c r="AF49" s="5">
        <f>MAX(0,S49-MAX(0,Z49-SUM(Q49:R49)))</f>
        <v/>
      </c>
      <c r="AG49" s="5">
        <f>MAX(0,T49-MAX(0,Z49-SUM(Q49:S49)))</f>
        <v/>
      </c>
      <c r="AH49" s="5">
        <f>MAX(0,U49-MAX(0,Z49-SUM(Q49:T49)))</f>
        <v/>
      </c>
      <c r="AI49" s="5">
        <f>MAX(0,V49-MAX(0,Z49-SUM(Q49:U49)))</f>
        <v/>
      </c>
      <c r="AJ49" s="5">
        <f>MAX(0,W49-MAX(0,Z49-SUM(Q49:V49)))</f>
        <v/>
      </c>
      <c r="AK49" s="5">
        <f>MAX(0,X49-MAX(0,Z49-SUM(Q49:W49)))</f>
        <v/>
      </c>
      <c r="AL49" s="5">
        <f>MAX(0,Y49-MAX(0,Z49-SUM(Q49:X49)))</f>
        <v/>
      </c>
    </row>
    <row r="50">
      <c r="A50" s="5" t="inlineStr">
        <is>
          <t>HASLS22260900750</t>
        </is>
      </c>
      <c r="B50" s="5" t="inlineStr">
        <is>
          <t>SWMM</t>
        </is>
      </c>
      <c r="C50" s="5" t="inlineStr">
        <is>
          <t>2609N</t>
        </is>
      </c>
      <c r="D50" s="5" t="inlineStr">
        <is>
          <t>202609230600</t>
        </is>
      </c>
      <c r="E50" s="5" t="inlineStr"/>
      <c r="F50" s="5" t="inlineStr">
        <is>
          <t>THLCH</t>
        </is>
      </c>
      <c r="G50" s="5" t="inlineStr">
        <is>
          <t>VNSGN</t>
        </is>
      </c>
      <c r="H50" s="5" t="inlineStr">
        <is>
          <t xml:space="preserve">R40Hx1 </t>
        </is>
      </c>
      <c r="I50" s="5" t="inlineStr">
        <is>
          <t>LCH27</t>
        </is>
      </c>
      <c r="J50" s="5" t="inlineStr">
        <is>
          <t xml:space="preserve">HAST Logistics Co.,Ltd. </t>
        </is>
      </c>
      <c r="K50" s="5" t="inlineStr">
        <is>
          <t>20260917</t>
        </is>
      </c>
      <c r="L50" s="5" t="inlineStr">
        <is>
          <t>GOLDEN SEA FROZEN FOODS CO.,LTD</t>
        </is>
      </c>
      <c r="M50" s="5" t="inlineStr">
        <is>
          <t>GOLDEN SEA FROZEN FOODS CO.,LTD</t>
        </is>
      </c>
      <c r="N50" s="5" t="inlineStr">
        <is>
          <t>FROZEN FISH</t>
        </is>
      </c>
      <c r="O50" s="5" t="inlineStr">
        <is>
          <t>RF45REx1 (Temp -18.0℃ / Vent Close)</t>
        </is>
      </c>
      <c r="P50" s="5" t="inlineStr">
        <is>
          <t xml:space="preserve">Pickup : 2026-09-17, Return : 2026-09-22 RF45REx1 (Temp -18.0 / Vent Close) 
CLS TIME : 23/09/2026 @08.00  </t>
        </is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1</v>
      </c>
      <c r="V50" s="5" t="n">
        <v>0</v>
      </c>
      <c r="W50" s="5" t="n">
        <v>0</v>
      </c>
      <c r="X50" s="5" t="n">
        <v>0</v>
      </c>
      <c r="Y50" s="5" t="n">
        <v>0</v>
      </c>
      <c r="Z50" s="5" t="n">
        <v>0</v>
      </c>
      <c r="AA50" s="5" t="n">
        <v>0</v>
      </c>
      <c r="AB50" s="5">
        <f>SUM(Q50:Y50)-Z50</f>
        <v/>
      </c>
      <c r="AC50" s="5">
        <f>IF(I50="","",IF(OR(LEFT(I50,3)="BKK",I50="LCH55"),"BKK",IF(LEFT(I50,3)="LCH","LCH","OTHER")))</f>
        <v/>
      </c>
      <c r="AD50" s="5">
        <f>MAX(0,Q50-MAX(0,Z50))</f>
        <v/>
      </c>
      <c r="AE50" s="5">
        <f>MAX(0,R50-MAX(0,Z50-SUM(Q50:Q50)))</f>
        <v/>
      </c>
      <c r="AF50" s="5">
        <f>MAX(0,S50-MAX(0,Z50-SUM(Q50:R50)))</f>
        <v/>
      </c>
      <c r="AG50" s="5">
        <f>MAX(0,T50-MAX(0,Z50-SUM(Q50:S50)))</f>
        <v/>
      </c>
      <c r="AH50" s="5">
        <f>MAX(0,U50-MAX(0,Z50-SUM(Q50:T50)))</f>
        <v/>
      </c>
      <c r="AI50" s="5">
        <f>MAX(0,V50-MAX(0,Z50-SUM(Q50:U50)))</f>
        <v/>
      </c>
      <c r="AJ50" s="5">
        <f>MAX(0,W50-MAX(0,Z50-SUM(Q50:V50)))</f>
        <v/>
      </c>
      <c r="AK50" s="5">
        <f>MAX(0,X50-MAX(0,Z50-SUM(Q50:W50)))</f>
        <v/>
      </c>
      <c r="AL50" s="5">
        <f>MAX(0,Y50-MAX(0,Z50-SUM(Q50:X50)))</f>
        <v/>
      </c>
    </row>
    <row r="51">
      <c r="A51" s="5" t="inlineStr">
        <is>
          <t>HASLS22260900926</t>
        </is>
      </c>
      <c r="B51" s="5" t="inlineStr">
        <is>
          <t>SWAL</t>
        </is>
      </c>
      <c r="C51" s="5" t="inlineStr">
        <is>
          <t>2608N</t>
        </is>
      </c>
      <c r="D51" s="5" t="inlineStr">
        <is>
          <t>202609290800</t>
        </is>
      </c>
      <c r="E51" s="5" t="inlineStr"/>
      <c r="F51" s="5" t="inlineStr">
        <is>
          <t>THLCH</t>
        </is>
      </c>
      <c r="G51" s="5" t="inlineStr">
        <is>
          <t>VNSGN</t>
        </is>
      </c>
      <c r="H51" s="5" t="inlineStr">
        <is>
          <t xml:space="preserve">20'x1 </t>
        </is>
      </c>
      <c r="I51" s="5" t="inlineStr">
        <is>
          <t>LCH27</t>
        </is>
      </c>
      <c r="J51" s="5" t="inlineStr">
        <is>
          <t xml:space="preserve">HAST Logistics Co.,Ltd. </t>
        </is>
      </c>
      <c r="K51" s="5" t="inlineStr">
        <is>
          <t>20260917</t>
        </is>
      </c>
      <c r="L51" s="5" t="inlineStr">
        <is>
          <t>WHA GC LOGISTICS COMPANY LIMITED</t>
        </is>
      </c>
      <c r="M51" s="5" t="inlineStr">
        <is>
          <t>PTT GLOBAL CHEMICAL PUBLIC COMPANY LIMITED</t>
        </is>
      </c>
      <c r="N51" s="5" t="inlineStr">
        <is>
          <t>RESIN</t>
        </is>
      </c>
      <c r="O51" s="5" t="inlineStr">
        <is>
          <t>GOOD AND CLEAN CTNR</t>
        </is>
      </c>
      <c r="P51" s="5" t="inlineStr">
        <is>
          <t>CY-RTN : 17-25/09/26 [1ST RTN 25/09/2026 W/O RENT] 
*PLS CHECK OPEN GATE BEFORE RETURN CTNR*</t>
        </is>
      </c>
      <c r="Q51" s="5" t="n">
        <v>1</v>
      </c>
      <c r="R51" s="5" t="n">
        <v>0</v>
      </c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5">
        <f>SUM(Q51:Y51)-Z51</f>
        <v/>
      </c>
      <c r="AC51" s="5">
        <f>IF(I51="","",IF(OR(LEFT(I51,3)="BKK",I51="LCH55"),"BKK",IF(LEFT(I51,3)="LCH","LCH","OTHER")))</f>
        <v/>
      </c>
      <c r="AD51" s="5">
        <f>MAX(0,Q51-MAX(0,Z51))</f>
        <v/>
      </c>
      <c r="AE51" s="5">
        <f>MAX(0,R51-MAX(0,Z51-SUM(Q51:Q51)))</f>
        <v/>
      </c>
      <c r="AF51" s="5">
        <f>MAX(0,S51-MAX(0,Z51-SUM(Q51:R51)))</f>
        <v/>
      </c>
      <c r="AG51" s="5">
        <f>MAX(0,T51-MAX(0,Z51-SUM(Q51:S51)))</f>
        <v/>
      </c>
      <c r="AH51" s="5">
        <f>MAX(0,U51-MAX(0,Z51-SUM(Q51:T51)))</f>
        <v/>
      </c>
      <c r="AI51" s="5">
        <f>MAX(0,V51-MAX(0,Z51-SUM(Q51:U51)))</f>
        <v/>
      </c>
      <c r="AJ51" s="5">
        <f>MAX(0,W51-MAX(0,Z51-SUM(Q51:V51)))</f>
        <v/>
      </c>
      <c r="AK51" s="5">
        <f>MAX(0,X51-MAX(0,Z51-SUM(Q51:W51)))</f>
        <v/>
      </c>
      <c r="AL51" s="5">
        <f>MAX(0,Y51-MAX(0,Z51-SUM(Q51:X51)))</f>
        <v/>
      </c>
    </row>
    <row r="52">
      <c r="A52" s="5" t="inlineStr">
        <is>
          <t>HASLS22260900927</t>
        </is>
      </c>
      <c r="B52" s="5" t="inlineStr">
        <is>
          <t>SWAL</t>
        </is>
      </c>
      <c r="C52" s="5" t="inlineStr">
        <is>
          <t>2608N</t>
        </is>
      </c>
      <c r="D52" s="5" t="inlineStr">
        <is>
          <t>202609290800</t>
        </is>
      </c>
      <c r="E52" s="5" t="inlineStr"/>
      <c r="F52" s="5" t="inlineStr">
        <is>
          <t>THLCH</t>
        </is>
      </c>
      <c r="G52" s="5" t="inlineStr">
        <is>
          <t>VNSGN</t>
        </is>
      </c>
      <c r="H52" s="5" t="inlineStr">
        <is>
          <t xml:space="preserve">20'x2 </t>
        </is>
      </c>
      <c r="I52" s="5" t="inlineStr">
        <is>
          <t>LCH27</t>
        </is>
      </c>
      <c r="J52" s="5" t="inlineStr">
        <is>
          <t xml:space="preserve">HAST Logistics Co.,Ltd. </t>
        </is>
      </c>
      <c r="K52" s="5" t="inlineStr">
        <is>
          <t>20260917</t>
        </is>
      </c>
      <c r="L52" s="5" t="inlineStr">
        <is>
          <t>WHA GC LOGISTICS COMPANY LIMITED</t>
        </is>
      </c>
      <c r="M52" s="5" t="inlineStr">
        <is>
          <t>PTT GLOBAL CHEMICAL PUBLIC COMPANY LIMITED</t>
        </is>
      </c>
      <c r="N52" s="5" t="inlineStr">
        <is>
          <t>RESIN</t>
        </is>
      </c>
      <c r="O52" s="5" t="inlineStr">
        <is>
          <t>GOOD AND CLEAN CTNR</t>
        </is>
      </c>
      <c r="P52" s="5" t="inlineStr">
        <is>
          <t>CY-RTN : 17-25/09/26 (PR2610003047)[1ST RTN 25/09/2026 W/O RENT] 
*PLS CHECK OPEN GATE BEFORE RETURN CTNR*</t>
        </is>
      </c>
      <c r="Q52" s="5" t="n">
        <v>2</v>
      </c>
      <c r="R52" s="5" t="n">
        <v>0</v>
      </c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5">
        <f>SUM(Q52:Y52)-Z52</f>
        <v/>
      </c>
      <c r="AC52" s="5">
        <f>IF(I52="","",IF(OR(LEFT(I52,3)="BKK",I52="LCH55"),"BKK",IF(LEFT(I52,3)="LCH","LCH","OTHER")))</f>
        <v/>
      </c>
      <c r="AD52" s="5">
        <f>MAX(0,Q52-MAX(0,Z52))</f>
        <v/>
      </c>
      <c r="AE52" s="5">
        <f>MAX(0,R52-MAX(0,Z52-SUM(Q52:Q52)))</f>
        <v/>
      </c>
      <c r="AF52" s="5">
        <f>MAX(0,S52-MAX(0,Z52-SUM(Q52:R52)))</f>
        <v/>
      </c>
      <c r="AG52" s="5">
        <f>MAX(0,T52-MAX(0,Z52-SUM(Q52:S52)))</f>
        <v/>
      </c>
      <c r="AH52" s="5">
        <f>MAX(0,U52-MAX(0,Z52-SUM(Q52:T52)))</f>
        <v/>
      </c>
      <c r="AI52" s="5">
        <f>MAX(0,V52-MAX(0,Z52-SUM(Q52:U52)))</f>
        <v/>
      </c>
      <c r="AJ52" s="5">
        <f>MAX(0,W52-MAX(0,Z52-SUM(Q52:V52)))</f>
        <v/>
      </c>
      <c r="AK52" s="5">
        <f>MAX(0,X52-MAX(0,Z52-SUM(Q52:W52)))</f>
        <v/>
      </c>
      <c r="AL52" s="5">
        <f>MAX(0,Y52-MAX(0,Z52-SUM(Q52:X52)))</f>
        <v/>
      </c>
    </row>
    <row r="53">
      <c r="A53" s="5" t="inlineStr">
        <is>
          <t>HASLS22260900928</t>
        </is>
      </c>
      <c r="B53" s="5" t="inlineStr">
        <is>
          <t>SWAL</t>
        </is>
      </c>
      <c r="C53" s="5" t="inlineStr">
        <is>
          <t>2608N</t>
        </is>
      </c>
      <c r="D53" s="5" t="inlineStr">
        <is>
          <t>202609290800</t>
        </is>
      </c>
      <c r="E53" s="5" t="inlineStr"/>
      <c r="F53" s="5" t="inlineStr">
        <is>
          <t>THLCH</t>
        </is>
      </c>
      <c r="G53" s="5" t="inlineStr">
        <is>
          <t>VNSGN</t>
        </is>
      </c>
      <c r="H53" s="5" t="inlineStr">
        <is>
          <t xml:space="preserve">20'x7 </t>
        </is>
      </c>
      <c r="I53" s="5" t="inlineStr">
        <is>
          <t>LCH27</t>
        </is>
      </c>
      <c r="J53" s="5" t="inlineStr">
        <is>
          <t xml:space="preserve">HAST Logistics Co.,Ltd. </t>
        </is>
      </c>
      <c r="K53" s="5" t="inlineStr">
        <is>
          <t>20260917</t>
        </is>
      </c>
      <c r="L53" s="5" t="inlineStr">
        <is>
          <t>WHA GC LOGISTICS COMPANY LIMITED</t>
        </is>
      </c>
      <c r="M53" s="5" t="inlineStr">
        <is>
          <t>PTT GLOBAL CHEMICAL PUBLIC COMPANY LIMITED</t>
        </is>
      </c>
      <c r="N53" s="5" t="inlineStr">
        <is>
          <t>RESIN</t>
        </is>
      </c>
      <c r="O53" s="5" t="inlineStr">
        <is>
          <t>GOOD AND CLEAN CTNR</t>
        </is>
      </c>
      <c r="P53" s="5" t="inlineStr">
        <is>
          <t>CY-RTN : 17-25/09/26 (PR2610003312) [1ST RTN 25/09/2026 W/O RENT] 
*PLS CHECK OPEN GATE BEFORE RETURN CTNR*</t>
        </is>
      </c>
      <c r="Q53" s="5" t="n">
        <v>7</v>
      </c>
      <c r="R53" s="5" t="n">
        <v>0</v>
      </c>
      <c r="S53" s="5" t="n">
        <v>0</v>
      </c>
      <c r="T53" s="5" t="n">
        <v>0</v>
      </c>
      <c r="U53" s="5" t="n">
        <v>0</v>
      </c>
      <c r="V53" s="5" t="n">
        <v>0</v>
      </c>
      <c r="W53" s="5" t="n">
        <v>0</v>
      </c>
      <c r="X53" s="5" t="n">
        <v>0</v>
      </c>
      <c r="Y53" s="5" t="n">
        <v>0</v>
      </c>
      <c r="Z53" s="5" t="n">
        <v>0</v>
      </c>
      <c r="AA53" s="5" t="n">
        <v>0</v>
      </c>
      <c r="AB53" s="5">
        <f>SUM(Q53:Y53)-Z53</f>
        <v/>
      </c>
      <c r="AC53" s="5">
        <f>IF(I53="","",IF(OR(LEFT(I53,3)="BKK",I53="LCH55"),"BKK",IF(LEFT(I53,3)="LCH","LCH","OTHER")))</f>
        <v/>
      </c>
      <c r="AD53" s="5">
        <f>MAX(0,Q53-MAX(0,Z53))</f>
        <v/>
      </c>
      <c r="AE53" s="5">
        <f>MAX(0,R53-MAX(0,Z53-SUM(Q53:Q53)))</f>
        <v/>
      </c>
      <c r="AF53" s="5">
        <f>MAX(0,S53-MAX(0,Z53-SUM(Q53:R53)))</f>
        <v/>
      </c>
      <c r="AG53" s="5">
        <f>MAX(0,T53-MAX(0,Z53-SUM(Q53:S53)))</f>
        <v/>
      </c>
      <c r="AH53" s="5">
        <f>MAX(0,U53-MAX(0,Z53-SUM(Q53:T53)))</f>
        <v/>
      </c>
      <c r="AI53" s="5">
        <f>MAX(0,V53-MAX(0,Z53-SUM(Q53:U53)))</f>
        <v/>
      </c>
      <c r="AJ53" s="5">
        <f>MAX(0,W53-MAX(0,Z53-SUM(Q53:V53)))</f>
        <v/>
      </c>
      <c r="AK53" s="5">
        <f>MAX(0,X53-MAX(0,Z53-SUM(Q53:W53)))</f>
        <v/>
      </c>
      <c r="AL53" s="5">
        <f>MAX(0,Y53-MAX(0,Z53-SUM(Q53:X53)))</f>
        <v/>
      </c>
    </row>
    <row r="54">
      <c r="A54" s="5" t="inlineStr">
        <is>
          <t>HASLS22260901091</t>
        </is>
      </c>
      <c r="B54" s="5" t="inlineStr">
        <is>
          <t>HAB</t>
        </is>
      </c>
      <c r="C54" s="5" t="inlineStr">
        <is>
          <t>2611N</t>
        </is>
      </c>
      <c r="D54" s="5" t="inlineStr">
        <is>
          <t>202609270600</t>
        </is>
      </c>
      <c r="E54" s="5" t="inlineStr"/>
      <c r="F54" s="5" t="inlineStr">
        <is>
          <t>THLCH</t>
        </is>
      </c>
      <c r="G54" s="5" t="inlineStr">
        <is>
          <t>CNSHA</t>
        </is>
      </c>
      <c r="H54" s="5" t="inlineStr">
        <is>
          <t xml:space="preserve">40Hx1 </t>
        </is>
      </c>
      <c r="I54" s="5" t="inlineStr">
        <is>
          <t>LCH27</t>
        </is>
      </c>
      <c r="J54" s="5" t="inlineStr">
        <is>
          <t xml:space="preserve">HAST Logistics Co.,Ltd. </t>
        </is>
      </c>
      <c r="K54" s="5" t="inlineStr">
        <is>
          <t>20260917</t>
        </is>
      </c>
      <c r="L54" s="5" t="inlineStr">
        <is>
          <t>RHENUS LOGISTICS CO., LTD.</t>
        </is>
      </c>
      <c r="M54" s="5" t="inlineStr">
        <is>
          <t>DYNAMIC TECHNOLOGY MANUFACTURING (THAILAND) CO.,LTD.</t>
        </is>
      </c>
      <c r="N54" s="5" t="inlineStr">
        <is>
          <t>PRINTED CIRCUIT BOARD</t>
        </is>
      </c>
      <c r="O54" s="5" t="inlineStr">
        <is>
          <t>good and clean container condition (Container grade A)</t>
        </is>
      </c>
      <c r="P54" s="5" t="inlineStr">
        <is>
          <t xml:space="preserve">Pickup : 2026-09-17, Return : 2026-09-18 (1ST RTN 21/09 W/O RENT) 
 ** PLEASE CHECK OPEN GATE BEFORE RETURN CNTR **
</t>
        </is>
      </c>
      <c r="Q54" s="5" t="n">
        <v>0</v>
      </c>
      <c r="R54" s="5" t="n">
        <v>0</v>
      </c>
      <c r="S54" s="5" t="n">
        <v>1</v>
      </c>
      <c r="T54" s="5" t="n">
        <v>0</v>
      </c>
      <c r="U54" s="5" t="n">
        <v>0</v>
      </c>
      <c r="V54" s="5" t="n">
        <v>0</v>
      </c>
      <c r="W54" s="5" t="n">
        <v>0</v>
      </c>
      <c r="X54" s="5" t="n">
        <v>0</v>
      </c>
      <c r="Y54" s="5" t="n">
        <v>0</v>
      </c>
      <c r="Z54" s="5" t="n">
        <v>0</v>
      </c>
      <c r="AA54" s="5" t="n">
        <v>0</v>
      </c>
      <c r="AB54" s="5">
        <f>SUM(Q54:Y54)-Z54</f>
        <v/>
      </c>
      <c r="AC54" s="5">
        <f>IF(I54="","",IF(OR(LEFT(I54,3)="BKK",I54="LCH55"),"BKK",IF(LEFT(I54,3)="LCH","LCH","OTHER")))</f>
        <v/>
      </c>
      <c r="AD54" s="5">
        <f>MAX(0,Q54-MAX(0,Z54))</f>
        <v/>
      </c>
      <c r="AE54" s="5">
        <f>MAX(0,R54-MAX(0,Z54-SUM(Q54:Q54)))</f>
        <v/>
      </c>
      <c r="AF54" s="5">
        <f>MAX(0,S54-MAX(0,Z54-SUM(Q54:R54)))</f>
        <v/>
      </c>
      <c r="AG54" s="5">
        <f>MAX(0,T54-MAX(0,Z54-SUM(Q54:S54)))</f>
        <v/>
      </c>
      <c r="AH54" s="5">
        <f>MAX(0,U54-MAX(0,Z54-SUM(Q54:T54)))</f>
        <v/>
      </c>
      <c r="AI54" s="5">
        <f>MAX(0,V54-MAX(0,Z54-SUM(Q54:U54)))</f>
        <v/>
      </c>
      <c r="AJ54" s="5">
        <f>MAX(0,W54-MAX(0,Z54-SUM(Q54:V54)))</f>
        <v/>
      </c>
      <c r="AK54" s="5">
        <f>MAX(0,X54-MAX(0,Z54-SUM(Q54:W54)))</f>
        <v/>
      </c>
      <c r="AL54" s="5">
        <f>MAX(0,Y54-MAX(0,Z54-SUM(Q54:X54)))</f>
        <v/>
      </c>
    </row>
    <row r="55">
      <c r="A55" s="5" t="inlineStr">
        <is>
          <t>HASLS22260901468</t>
        </is>
      </c>
      <c r="B55" s="5" t="inlineStr">
        <is>
          <t>KMSU</t>
        </is>
      </c>
      <c r="C55" s="5" t="inlineStr">
        <is>
          <t>2607S</t>
        </is>
      </c>
      <c r="D55" s="5" t="inlineStr">
        <is>
          <t>202609271100</t>
        </is>
      </c>
      <c r="E55" s="5" t="inlineStr"/>
      <c r="F55" s="5" t="inlineStr">
        <is>
          <t>THLCH</t>
        </is>
      </c>
      <c r="G55" s="5" t="inlineStr">
        <is>
          <t>IDJKT</t>
        </is>
      </c>
      <c r="H55" s="5" t="inlineStr">
        <is>
          <t xml:space="preserve">R40Hx1 </t>
        </is>
      </c>
      <c r="I55" s="5" t="inlineStr">
        <is>
          <t>LCH27</t>
        </is>
      </c>
      <c r="J55" s="5" t="inlineStr">
        <is>
          <t xml:space="preserve">HAST Logistics Co.,Ltd. </t>
        </is>
      </c>
      <c r="K55" s="5" t="inlineStr">
        <is>
          <t>20260917</t>
        </is>
      </c>
      <c r="L55" s="5" t="inlineStr">
        <is>
          <t>INTER FRESH CO., LTD.</t>
        </is>
      </c>
      <c r="M55" s="5" t="inlineStr">
        <is>
          <t>INTER FRESH CO., LTD.</t>
        </is>
      </c>
      <c r="N55" s="5" t="inlineStr">
        <is>
          <t xml:space="preserve">FRESH LONGAN (TEMP +2.0 / VENT 30%) </t>
        </is>
      </c>
      <c r="O55" s="5" t="inlineStr">
        <is>
          <t>(Temp +2.0℃ / Vent 30% Open)
Request for new container and We don't accept STAR COOL brand reefer containers.</t>
        </is>
      </c>
      <c r="P55" s="5" t="inlineStr">
        <is>
          <t>Pickup : 2026-09-17, Return : 2026-09-25 RF45REx1 (Temp +2.0 / Vent 30% Open) 
Closing Time 2026-09-26 @ 12.00</t>
        </is>
      </c>
      <c r="Q55" s="5" t="n">
        <v>0</v>
      </c>
      <c r="R55" s="5" t="n">
        <v>0</v>
      </c>
      <c r="S55" s="5" t="n">
        <v>0</v>
      </c>
      <c r="T55" s="5" t="n">
        <v>0</v>
      </c>
      <c r="U55" s="5" t="n">
        <v>1</v>
      </c>
      <c r="V55" s="5" t="n">
        <v>0</v>
      </c>
      <c r="W55" s="5" t="n">
        <v>0</v>
      </c>
      <c r="X55" s="5" t="n">
        <v>0</v>
      </c>
      <c r="Y55" s="5" t="n">
        <v>0</v>
      </c>
      <c r="Z55" s="5" t="n">
        <v>0</v>
      </c>
      <c r="AA55" s="5" t="n">
        <v>0</v>
      </c>
      <c r="AB55" s="5">
        <f>SUM(Q55:Y55)-Z55</f>
        <v/>
      </c>
      <c r="AC55" s="5">
        <f>IF(I55="","",IF(OR(LEFT(I55,3)="BKK",I55="LCH55"),"BKK",IF(LEFT(I55,3)="LCH","LCH","OTHER")))</f>
        <v/>
      </c>
      <c r="AD55" s="5">
        <f>MAX(0,Q55-MAX(0,Z55))</f>
        <v/>
      </c>
      <c r="AE55" s="5">
        <f>MAX(0,R55-MAX(0,Z55-SUM(Q55:Q55)))</f>
        <v/>
      </c>
      <c r="AF55" s="5">
        <f>MAX(0,S55-MAX(0,Z55-SUM(Q55:R55)))</f>
        <v/>
      </c>
      <c r="AG55" s="5">
        <f>MAX(0,T55-MAX(0,Z55-SUM(Q55:S55)))</f>
        <v/>
      </c>
      <c r="AH55" s="5">
        <f>MAX(0,U55-MAX(0,Z55-SUM(Q55:T55)))</f>
        <v/>
      </c>
      <c r="AI55" s="5">
        <f>MAX(0,V55-MAX(0,Z55-SUM(Q55:U55)))</f>
        <v/>
      </c>
      <c r="AJ55" s="5">
        <f>MAX(0,W55-MAX(0,Z55-SUM(Q55:V55)))</f>
        <v/>
      </c>
      <c r="AK55" s="5">
        <f>MAX(0,X55-MAX(0,Z55-SUM(Q55:W55)))</f>
        <v/>
      </c>
      <c r="AL55" s="5">
        <f>MAX(0,Y55-MAX(0,Z55-SUM(Q55:X55)))</f>
        <v/>
      </c>
    </row>
    <row r="56">
      <c r="A56" s="5" t="inlineStr">
        <is>
          <t>HASLS22260901566</t>
        </is>
      </c>
      <c r="B56" s="5" t="inlineStr">
        <is>
          <t>SWAL</t>
        </is>
      </c>
      <c r="C56" s="5" t="inlineStr">
        <is>
          <t>2608N</t>
        </is>
      </c>
      <c r="D56" s="5" t="inlineStr">
        <is>
          <t>202609290800</t>
        </is>
      </c>
      <c r="E56" s="5" t="inlineStr"/>
      <c r="F56" s="5" t="inlineStr">
        <is>
          <t>THLCH</t>
        </is>
      </c>
      <c r="G56" s="5" t="inlineStr">
        <is>
          <t>VNSGN</t>
        </is>
      </c>
      <c r="H56" s="5" t="inlineStr">
        <is>
          <t xml:space="preserve">20'x7 </t>
        </is>
      </c>
      <c r="I56" s="5" t="inlineStr">
        <is>
          <t>LCH27</t>
        </is>
      </c>
      <c r="J56" s="5" t="inlineStr">
        <is>
          <t xml:space="preserve">HAST Logistics Co.,Ltd. </t>
        </is>
      </c>
      <c r="K56" s="5" t="inlineStr">
        <is>
          <t>20260917</t>
        </is>
      </c>
      <c r="L56" s="5" t="inlineStr">
        <is>
          <t>WHA GC LOGISTICS COMPANY LIMITED</t>
        </is>
      </c>
      <c r="M56" s="5" t="inlineStr">
        <is>
          <t>PTT GLOBAL CHEMICAL PUBLIC COMPANY LIMITED</t>
        </is>
      </c>
      <c r="N56" s="5" t="inlineStr">
        <is>
          <t>RESIN</t>
        </is>
      </c>
      <c r="O56" s="5" t="inlineStr">
        <is>
          <t>GOOD AND CLEAN CTNR</t>
        </is>
      </c>
      <c r="P56" s="5" t="inlineStr">
        <is>
          <t>CY-RTN : 17-25/09/26 [1ST RTN 25/09/2026 W/O RENT] 
*PLS CHECK OPEN GATE BEFORE RETURN CTNR*</t>
        </is>
      </c>
      <c r="Q56" s="5" t="n">
        <v>7</v>
      </c>
      <c r="R56" s="5" t="n">
        <v>0</v>
      </c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>
        <v>0</v>
      </c>
      <c r="Y56" s="5" t="n">
        <v>0</v>
      </c>
      <c r="Z56" s="5" t="n">
        <v>0</v>
      </c>
      <c r="AA56" s="5" t="n">
        <v>0</v>
      </c>
      <c r="AB56" s="5">
        <f>SUM(Q56:Y56)-Z56</f>
        <v/>
      </c>
      <c r="AC56" s="5">
        <f>IF(I56="","",IF(OR(LEFT(I56,3)="BKK",I56="LCH55"),"BKK",IF(LEFT(I56,3)="LCH","LCH","OTHER")))</f>
        <v/>
      </c>
      <c r="AD56" s="5">
        <f>MAX(0,Q56-MAX(0,Z56))</f>
        <v/>
      </c>
      <c r="AE56" s="5">
        <f>MAX(0,R56-MAX(0,Z56-SUM(Q56:Q56)))</f>
        <v/>
      </c>
      <c r="AF56" s="5">
        <f>MAX(0,S56-MAX(0,Z56-SUM(Q56:R56)))</f>
        <v/>
      </c>
      <c r="AG56" s="5">
        <f>MAX(0,T56-MAX(0,Z56-SUM(Q56:S56)))</f>
        <v/>
      </c>
      <c r="AH56" s="5">
        <f>MAX(0,U56-MAX(0,Z56-SUM(Q56:T56)))</f>
        <v/>
      </c>
      <c r="AI56" s="5">
        <f>MAX(0,V56-MAX(0,Z56-SUM(Q56:U56)))</f>
        <v/>
      </c>
      <c r="AJ56" s="5">
        <f>MAX(0,W56-MAX(0,Z56-SUM(Q56:V56)))</f>
        <v/>
      </c>
      <c r="AK56" s="5">
        <f>MAX(0,X56-MAX(0,Z56-SUM(Q56:W56)))</f>
        <v/>
      </c>
      <c r="AL56" s="5">
        <f>MAX(0,Y56-MAX(0,Z56-SUM(Q56:X56)))</f>
        <v/>
      </c>
    </row>
    <row r="57">
      <c r="A57" s="5" t="inlineStr">
        <is>
          <t>HASLS22260901568</t>
        </is>
      </c>
      <c r="B57" s="5" t="inlineStr">
        <is>
          <t>SWAL</t>
        </is>
      </c>
      <c r="C57" s="5" t="inlineStr">
        <is>
          <t>2608N</t>
        </is>
      </c>
      <c r="D57" s="5" t="inlineStr">
        <is>
          <t>202609290800</t>
        </is>
      </c>
      <c r="E57" s="5" t="inlineStr"/>
      <c r="F57" s="5" t="inlineStr">
        <is>
          <t>THLCH</t>
        </is>
      </c>
      <c r="G57" s="5" t="inlineStr">
        <is>
          <t>VNSGN</t>
        </is>
      </c>
      <c r="H57" s="5" t="inlineStr">
        <is>
          <t xml:space="preserve">20'x3 </t>
        </is>
      </c>
      <c r="I57" s="5" t="inlineStr">
        <is>
          <t>LCH27</t>
        </is>
      </c>
      <c r="J57" s="5" t="inlineStr">
        <is>
          <t xml:space="preserve">HAST Logistics Co.,Ltd. </t>
        </is>
      </c>
      <c r="K57" s="5" t="inlineStr">
        <is>
          <t>20260917</t>
        </is>
      </c>
      <c r="L57" s="5" t="inlineStr">
        <is>
          <t>WHA GC LOGISTICS COMPANY LIMITED</t>
        </is>
      </c>
      <c r="M57" s="5" t="inlineStr">
        <is>
          <t>PTT GLOBAL CHEMICAL PUBLIC COMPANY LIMITED</t>
        </is>
      </c>
      <c r="N57" s="5" t="inlineStr">
        <is>
          <t>RESIN</t>
        </is>
      </c>
      <c r="O57" s="5" t="inlineStr">
        <is>
          <t>GOOD AND CLEAN CTNR</t>
        </is>
      </c>
      <c r="P57" s="5" t="inlineStr">
        <is>
          <t>CY-RTN : 17-25/09/26 [1ST RTN 25/09/2026 W/O RENT] 
*PLS CHECK OPEN GATE BEFORE RETURN CTNR*</t>
        </is>
      </c>
      <c r="Q57" s="5" t="n">
        <v>3</v>
      </c>
      <c r="R57" s="5" t="n">
        <v>0</v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>
        <v>0</v>
      </c>
      <c r="Y57" s="5" t="n">
        <v>0</v>
      </c>
      <c r="Z57" s="5" t="n">
        <v>0</v>
      </c>
      <c r="AA57" s="5" t="n">
        <v>0</v>
      </c>
      <c r="AB57" s="5">
        <f>SUM(Q57:Y57)-Z57</f>
        <v/>
      </c>
      <c r="AC57" s="5">
        <f>IF(I57="","",IF(OR(LEFT(I57,3)="BKK",I57="LCH55"),"BKK",IF(LEFT(I57,3)="LCH","LCH","OTHER")))</f>
        <v/>
      </c>
      <c r="AD57" s="5">
        <f>MAX(0,Q57-MAX(0,Z57))</f>
        <v/>
      </c>
      <c r="AE57" s="5">
        <f>MAX(0,R57-MAX(0,Z57-SUM(Q57:Q57)))</f>
        <v/>
      </c>
      <c r="AF57" s="5">
        <f>MAX(0,S57-MAX(0,Z57-SUM(Q57:R57)))</f>
        <v/>
      </c>
      <c r="AG57" s="5">
        <f>MAX(0,T57-MAX(0,Z57-SUM(Q57:S57)))</f>
        <v/>
      </c>
      <c r="AH57" s="5">
        <f>MAX(0,U57-MAX(0,Z57-SUM(Q57:T57)))</f>
        <v/>
      </c>
      <c r="AI57" s="5">
        <f>MAX(0,V57-MAX(0,Z57-SUM(Q57:U57)))</f>
        <v/>
      </c>
      <c r="AJ57" s="5">
        <f>MAX(0,W57-MAX(0,Z57-SUM(Q57:V57)))</f>
        <v/>
      </c>
      <c r="AK57" s="5">
        <f>MAX(0,X57-MAX(0,Z57-SUM(Q57:W57)))</f>
        <v/>
      </c>
      <c r="AL57" s="5">
        <f>MAX(0,Y57-MAX(0,Z57-SUM(Q57:X57)))</f>
        <v/>
      </c>
    </row>
    <row r="58">
      <c r="A58" s="5" t="inlineStr">
        <is>
          <t>HASLS22260801996</t>
        </is>
      </c>
      <c r="B58" s="5" t="inlineStr">
        <is>
          <t>KMGY</t>
        </is>
      </c>
      <c r="C58" s="5" t="inlineStr">
        <is>
          <t>2610N</t>
        </is>
      </c>
      <c r="D58" s="5" t="inlineStr">
        <is>
          <t>202609290000</t>
        </is>
      </c>
      <c r="E58" s="5" t="inlineStr"/>
      <c r="F58" s="5" t="inlineStr">
        <is>
          <t>THBKK</t>
        </is>
      </c>
      <c r="G58" s="5" t="inlineStr">
        <is>
          <t>HKHKG</t>
        </is>
      </c>
      <c r="H58" s="5" t="inlineStr">
        <is>
          <t xml:space="preserve">40Hx1 </t>
        </is>
      </c>
      <c r="I58" s="5" t="inlineStr">
        <is>
          <t>BKK04</t>
        </is>
      </c>
      <c r="J58" s="5" t="inlineStr">
        <is>
          <t>PAT TERMINAL 1 (PORT AUTHORITY OF THAILAND)</t>
        </is>
      </c>
      <c r="K58" s="5" t="inlineStr">
        <is>
          <t>20260911</t>
        </is>
      </c>
      <c r="L58" s="5" t="inlineStr">
        <is>
          <t>ACCORD PILOT LOGISTICS (THAILAND) CO., LTD.</t>
        </is>
      </c>
      <c r="M58" s="5" t="inlineStr">
        <is>
          <t>ACCORD PILOT LOGISTICS (THAILAND) CO., LTD.</t>
        </is>
      </c>
      <c r="N58" s="5" t="inlineStr">
        <is>
          <t>GENERAL CARGO (CONSOL)</t>
        </is>
      </c>
      <c r="O58" s="5" t="inlineStr">
        <is>
          <t>CONSOL</t>
        </is>
      </c>
      <c r="P58" s="5" t="inlineStr">
        <is>
          <t>Pickup : 2026-09-11, Return : 2026-09-11 CONSOL 
[1ST CY DATE : 17/09/2026 W/O RENT]</t>
        </is>
      </c>
      <c r="Q58" s="5" t="n">
        <v>0</v>
      </c>
      <c r="R58" s="5" t="n">
        <v>0</v>
      </c>
      <c r="S58" s="5" t="n">
        <v>1</v>
      </c>
      <c r="T58" s="5" t="n">
        <v>0</v>
      </c>
      <c r="U58" s="5" t="n">
        <v>0</v>
      </c>
      <c r="V58" s="5" t="n">
        <v>0</v>
      </c>
      <c r="W58" s="5" t="n">
        <v>0</v>
      </c>
      <c r="X58" s="5" t="n">
        <v>0</v>
      </c>
      <c r="Y58" s="5" t="n">
        <v>0</v>
      </c>
      <c r="Z58" s="5" t="n">
        <v>0</v>
      </c>
      <c r="AA58" s="5" t="n">
        <v>0</v>
      </c>
      <c r="AB58" s="5">
        <f>SUM(Q58:Y58)-Z58</f>
        <v/>
      </c>
      <c r="AC58" s="5">
        <f>IF(I58="","",IF(OR(LEFT(I58,3)="BKK",I58="LCH55"),"BKK",IF(LEFT(I58,3)="LCH","LCH","OTHER")))</f>
        <v/>
      </c>
      <c r="AD58" s="5">
        <f>MAX(0,Q58-MAX(0,Z58))</f>
        <v/>
      </c>
      <c r="AE58" s="5">
        <f>MAX(0,R58-MAX(0,Z58-SUM(Q58:Q58)))</f>
        <v/>
      </c>
      <c r="AF58" s="5">
        <f>MAX(0,S58-MAX(0,Z58-SUM(Q58:R58)))</f>
        <v/>
      </c>
      <c r="AG58" s="5">
        <f>MAX(0,T58-MAX(0,Z58-SUM(Q58:S58)))</f>
        <v/>
      </c>
      <c r="AH58" s="5">
        <f>MAX(0,U58-MAX(0,Z58-SUM(Q58:T58)))</f>
        <v/>
      </c>
      <c r="AI58" s="5">
        <f>MAX(0,V58-MAX(0,Z58-SUM(Q58:U58)))</f>
        <v/>
      </c>
      <c r="AJ58" s="5">
        <f>MAX(0,W58-MAX(0,Z58-SUM(Q58:V58)))</f>
        <v/>
      </c>
      <c r="AK58" s="5">
        <f>MAX(0,X58-MAX(0,Z58-SUM(Q58:W58)))</f>
        <v/>
      </c>
      <c r="AL58" s="5">
        <f>MAX(0,Y58-MAX(0,Z58-SUM(Q58:X58)))</f>
        <v/>
      </c>
    </row>
    <row r="59">
      <c r="A59" s="5" t="inlineStr">
        <is>
          <t>HASLS22260802382</t>
        </is>
      </c>
      <c r="B59" s="5" t="inlineStr">
        <is>
          <t>KMGY</t>
        </is>
      </c>
      <c r="C59" s="5" t="inlineStr">
        <is>
          <t>2610N</t>
        </is>
      </c>
      <c r="D59" s="5" t="inlineStr">
        <is>
          <t>202609290000</t>
        </is>
      </c>
      <c r="E59" s="5" t="inlineStr"/>
      <c r="F59" s="5" t="inlineStr">
        <is>
          <t>THBKK</t>
        </is>
      </c>
      <c r="G59" s="5" t="inlineStr">
        <is>
          <t>HKHKG</t>
        </is>
      </c>
      <c r="H59" s="5" t="inlineStr">
        <is>
          <t xml:space="preserve">40Hx3 </t>
        </is>
      </c>
      <c r="I59" s="5" t="inlineStr">
        <is>
          <t>BKK04</t>
        </is>
      </c>
      <c r="J59" s="5" t="inlineStr">
        <is>
          <t>PAT TERMINAL 1 (PORT AUTHORITY OF THAILAND)</t>
        </is>
      </c>
      <c r="K59" s="5" t="inlineStr">
        <is>
          <t>20260917</t>
        </is>
      </c>
      <c r="L59" s="5" t="inlineStr">
        <is>
          <t>PILOT CONSOLIDATOR CO., LTD.</t>
        </is>
      </c>
      <c r="M59" s="5" t="inlineStr">
        <is>
          <t>PILOT CONSOLIDATOR CO., LTD.</t>
        </is>
      </c>
      <c r="N59" s="5" t="inlineStr">
        <is>
          <t>GENERAL CARGO (CONSOL)</t>
        </is>
      </c>
      <c r="O59" s="5" t="inlineStr">
        <is>
          <t>CONSOL</t>
        </is>
      </c>
      <c r="P59" s="5" t="inlineStr">
        <is>
          <t xml:space="preserve">Pickup : 2026-09-17, Return : 2026-09-18  CONSOL </t>
        </is>
      </c>
      <c r="Q59" s="5" t="n">
        <v>0</v>
      </c>
      <c r="R59" s="5" t="n">
        <v>0</v>
      </c>
      <c r="S59" s="5" t="n">
        <v>3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5" t="n">
        <v>0</v>
      </c>
      <c r="AA59" s="5" t="n">
        <v>0</v>
      </c>
      <c r="AB59" s="5">
        <f>SUM(Q59:Y59)-Z59</f>
        <v/>
      </c>
      <c r="AC59" s="5">
        <f>IF(I59="","",IF(OR(LEFT(I59,3)="BKK",I59="LCH55"),"BKK",IF(LEFT(I59,3)="LCH","LCH","OTHER")))</f>
        <v/>
      </c>
      <c r="AD59" s="5">
        <f>MAX(0,Q59-MAX(0,Z59))</f>
        <v/>
      </c>
      <c r="AE59" s="5">
        <f>MAX(0,R59-MAX(0,Z59-SUM(Q59:Q59)))</f>
        <v/>
      </c>
      <c r="AF59" s="5">
        <f>MAX(0,S59-MAX(0,Z59-SUM(Q59:R59)))</f>
        <v/>
      </c>
      <c r="AG59" s="5">
        <f>MAX(0,T59-MAX(0,Z59-SUM(Q59:S59)))</f>
        <v/>
      </c>
      <c r="AH59" s="5">
        <f>MAX(0,U59-MAX(0,Z59-SUM(Q59:T59)))</f>
        <v/>
      </c>
      <c r="AI59" s="5">
        <f>MAX(0,V59-MAX(0,Z59-SUM(Q59:U59)))</f>
        <v/>
      </c>
      <c r="AJ59" s="5">
        <f>MAX(0,W59-MAX(0,Z59-SUM(Q59:V59)))</f>
        <v/>
      </c>
      <c r="AK59" s="5">
        <f>MAX(0,X59-MAX(0,Z59-SUM(Q59:W59)))</f>
        <v/>
      </c>
      <c r="AL59" s="5">
        <f>MAX(0,Y59-MAX(0,Z59-SUM(Q59:X59)))</f>
        <v/>
      </c>
    </row>
    <row r="60">
      <c r="A60" s="5" t="inlineStr">
        <is>
          <t>HASLS22260802179</t>
        </is>
      </c>
      <c r="B60" s="5" t="inlineStr">
        <is>
          <t>SKOR</t>
        </is>
      </c>
      <c r="C60" s="5" t="inlineStr">
        <is>
          <t>2611N</t>
        </is>
      </c>
      <c r="D60" s="5" t="inlineStr">
        <is>
          <t>202609262030</t>
        </is>
      </c>
      <c r="E60" s="5" t="inlineStr"/>
      <c r="F60" s="5" t="inlineStr">
        <is>
          <t>THBKK</t>
        </is>
      </c>
      <c r="G60" s="5" t="inlineStr">
        <is>
          <t>KRPUS</t>
        </is>
      </c>
      <c r="H60" s="5" t="inlineStr">
        <is>
          <t xml:space="preserve">40Hx3 </t>
        </is>
      </c>
      <c r="I60" s="5" t="inlineStr">
        <is>
          <t>BKK01</t>
        </is>
      </c>
      <c r="J60" s="5" t="inlineStr">
        <is>
          <t>PAT TERMINAL 2 (PORT AUTHORITY OF THAILAND)</t>
        </is>
      </c>
      <c r="K60" s="5" t="inlineStr">
        <is>
          <t>20260917</t>
        </is>
      </c>
      <c r="L60" s="5" t="inlineStr">
        <is>
          <t>ECU WORLDWIDE (THAILAND) CO., LTD.</t>
        </is>
      </c>
      <c r="M60" s="5" t="inlineStr">
        <is>
          <t>ECU WORLDWIDE (THAILAND) CO., LTD.</t>
        </is>
      </c>
      <c r="N60" s="5" t="inlineStr">
        <is>
          <t>GENERAL CARGO (CONSOL)</t>
        </is>
      </c>
      <c r="O60" s="5" t="inlineStr">
        <is>
          <t>CONSOL</t>
        </is>
      </c>
      <c r="P60" s="5" t="inlineStr">
        <is>
          <t>Pickup : 2026-09-17, Return : 2026-09-18 CONSOL
(1ST CY 23/09/26 WO/RENT)</t>
        </is>
      </c>
      <c r="Q60" s="5" t="n">
        <v>0</v>
      </c>
      <c r="R60" s="5" t="n">
        <v>0</v>
      </c>
      <c r="S60" s="5" t="n">
        <v>3</v>
      </c>
      <c r="T60" s="5" t="n">
        <v>0</v>
      </c>
      <c r="U60" s="5" t="n">
        <v>0</v>
      </c>
      <c r="V60" s="5" t="n">
        <v>0</v>
      </c>
      <c r="W60" s="5" t="n">
        <v>0</v>
      </c>
      <c r="X60" s="5" t="n">
        <v>0</v>
      </c>
      <c r="Y60" s="5" t="n">
        <v>0</v>
      </c>
      <c r="Z60" s="5" t="n">
        <v>0</v>
      </c>
      <c r="AA60" s="5" t="n">
        <v>0</v>
      </c>
      <c r="AB60" s="5">
        <f>SUM(Q60:Y60)-Z60</f>
        <v/>
      </c>
      <c r="AC60" s="5">
        <f>IF(I60="","",IF(OR(LEFT(I60,3)="BKK",I60="LCH55"),"BKK",IF(LEFT(I60,3)="LCH","LCH","OTHER")))</f>
        <v/>
      </c>
      <c r="AD60" s="5">
        <f>MAX(0,Q60-MAX(0,Z60))</f>
        <v/>
      </c>
      <c r="AE60" s="5">
        <f>MAX(0,R60-MAX(0,Z60-SUM(Q60:Q60)))</f>
        <v/>
      </c>
      <c r="AF60" s="5">
        <f>MAX(0,S60-MAX(0,Z60-SUM(Q60:R60)))</f>
        <v/>
      </c>
      <c r="AG60" s="5">
        <f>MAX(0,T60-MAX(0,Z60-SUM(Q60:S60)))</f>
        <v/>
      </c>
      <c r="AH60" s="5">
        <f>MAX(0,U60-MAX(0,Z60-SUM(Q60:T60)))</f>
        <v/>
      </c>
      <c r="AI60" s="5">
        <f>MAX(0,V60-MAX(0,Z60-SUM(Q60:U60)))</f>
        <v/>
      </c>
      <c r="AJ60" s="5">
        <f>MAX(0,W60-MAX(0,Z60-SUM(Q60:V60)))</f>
        <v/>
      </c>
      <c r="AK60" s="5">
        <f>MAX(0,X60-MAX(0,Z60-SUM(Q60:W60)))</f>
        <v/>
      </c>
      <c r="AL60" s="5">
        <f>MAX(0,Y60-MAX(0,Z60-SUM(Q60:X60)))</f>
        <v/>
      </c>
    </row>
    <row r="61">
      <c r="A61" s="5" t="inlineStr">
        <is>
          <t>HASLS22260900187</t>
        </is>
      </c>
      <c r="B61" s="5" t="inlineStr">
        <is>
          <t>KMGY</t>
        </is>
      </c>
      <c r="C61" s="5" t="inlineStr">
        <is>
          <t>2610N</t>
        </is>
      </c>
      <c r="D61" s="5" t="inlineStr">
        <is>
          <t>202609290000</t>
        </is>
      </c>
      <c r="E61" s="5" t="inlineStr"/>
      <c r="F61" s="5" t="inlineStr">
        <is>
          <t>THBKK</t>
        </is>
      </c>
      <c r="G61" s="5" t="inlineStr">
        <is>
          <t>HKHKG</t>
        </is>
      </c>
      <c r="H61" s="5" t="inlineStr">
        <is>
          <t xml:space="preserve">40Hx1 </t>
        </is>
      </c>
      <c r="I61" s="5" t="inlineStr">
        <is>
          <t>BKK01</t>
        </is>
      </c>
      <c r="J61" s="5" t="inlineStr">
        <is>
          <t>PAT TERMINAL 2 (PORT AUTHORITY OF THAILAND)</t>
        </is>
      </c>
      <c r="K61" s="5" t="inlineStr">
        <is>
          <t>20260917</t>
        </is>
      </c>
      <c r="L61" s="5" t="inlineStr">
        <is>
          <t>ASIA FORWARDING (THAILAND) LTD.</t>
        </is>
      </c>
      <c r="M61" s="5" t="inlineStr">
        <is>
          <t>ASIA FORWARDING (THAILAND) LTD.</t>
        </is>
      </c>
      <c r="N61" s="5" t="inlineStr">
        <is>
          <t>GENERAL CARGO (CONSOL)</t>
        </is>
      </c>
      <c r="O61" s="5" t="inlineStr">
        <is>
          <t>(CONSOL)</t>
        </is>
      </c>
      <c r="P61" s="5" t="inlineStr">
        <is>
          <t>CY-RTN : 17-18/09/2026 (CONSOL)</t>
        </is>
      </c>
      <c r="Q61" s="5" t="n">
        <v>0</v>
      </c>
      <c r="R61" s="5" t="n">
        <v>0</v>
      </c>
      <c r="S61" s="5" t="n">
        <v>1</v>
      </c>
      <c r="T61" s="5" t="n">
        <v>0</v>
      </c>
      <c r="U61" s="5" t="n">
        <v>0</v>
      </c>
      <c r="V61" s="5" t="n">
        <v>0</v>
      </c>
      <c r="W61" s="5" t="n">
        <v>0</v>
      </c>
      <c r="X61" s="5" t="n">
        <v>0</v>
      </c>
      <c r="Y61" s="5" t="n">
        <v>0</v>
      </c>
      <c r="Z61" s="5" t="n">
        <v>0</v>
      </c>
      <c r="AA61" s="5" t="n">
        <v>0</v>
      </c>
      <c r="AB61" s="5">
        <f>SUM(Q61:Y61)-Z61</f>
        <v/>
      </c>
      <c r="AC61" s="5">
        <f>IF(I61="","",IF(OR(LEFT(I61,3)="BKK",I61="LCH55"),"BKK",IF(LEFT(I61,3)="LCH","LCH","OTHER")))</f>
        <v/>
      </c>
      <c r="AD61" s="5">
        <f>MAX(0,Q61-MAX(0,Z61))</f>
        <v/>
      </c>
      <c r="AE61" s="5">
        <f>MAX(0,R61-MAX(0,Z61-SUM(Q61:Q61)))</f>
        <v/>
      </c>
      <c r="AF61" s="5">
        <f>MAX(0,S61-MAX(0,Z61-SUM(Q61:R61)))</f>
        <v/>
      </c>
      <c r="AG61" s="5">
        <f>MAX(0,T61-MAX(0,Z61-SUM(Q61:S61)))</f>
        <v/>
      </c>
      <c r="AH61" s="5">
        <f>MAX(0,U61-MAX(0,Z61-SUM(Q61:T61)))</f>
        <v/>
      </c>
      <c r="AI61" s="5">
        <f>MAX(0,V61-MAX(0,Z61-SUM(Q61:U61)))</f>
        <v/>
      </c>
      <c r="AJ61" s="5">
        <f>MAX(0,W61-MAX(0,Z61-SUM(Q61:V61)))</f>
        <v/>
      </c>
      <c r="AK61" s="5">
        <f>MAX(0,X61-MAX(0,Z61-SUM(Q61:W61)))</f>
        <v/>
      </c>
      <c r="AL61" s="5">
        <f>MAX(0,Y61-MAX(0,Z61-SUM(Q61:X61)))</f>
        <v/>
      </c>
    </row>
    <row r="62">
      <c r="A62" s="5" t="inlineStr">
        <is>
          <t>HASLS22260900803</t>
        </is>
      </c>
      <c r="B62" s="5" t="inlineStr">
        <is>
          <t>SWIC</t>
        </is>
      </c>
      <c r="C62" s="5" t="inlineStr">
        <is>
          <t>2610N</t>
        </is>
      </c>
      <c r="D62" s="5" t="inlineStr">
        <is>
          <t>202609211300</t>
        </is>
      </c>
      <c r="E62" s="5" t="inlineStr"/>
      <c r="F62" s="5" t="inlineStr">
        <is>
          <t>THBKK</t>
        </is>
      </c>
      <c r="G62" s="5" t="inlineStr">
        <is>
          <t>VNSGN</t>
        </is>
      </c>
      <c r="H62" s="5" t="inlineStr">
        <is>
          <t xml:space="preserve">20'x1 </t>
        </is>
      </c>
      <c r="I62" s="5" t="inlineStr">
        <is>
          <t>BKK01</t>
        </is>
      </c>
      <c r="J62" s="5" t="inlineStr">
        <is>
          <t>PAT TERMINAL 2 (PORT AUTHORITY OF THAILAND)</t>
        </is>
      </c>
      <c r="K62" s="5" t="inlineStr">
        <is>
          <t>20260917</t>
        </is>
      </c>
      <c r="L62" s="5" t="inlineStr">
        <is>
          <t>S2S AVIATION CO., LTD.</t>
        </is>
      </c>
      <c r="M62" s="5" t="inlineStr">
        <is>
          <t>BANYAN TREE GALLERY (THAILAND) COMPANY LIMITED</t>
        </is>
      </c>
      <c r="N62" s="5" t="inlineStr">
        <is>
          <t>HOTEL ACCESSORIES</t>
        </is>
      </c>
      <c r="O62" s="5" t="inlineStr">
        <is>
          <t>Requested Good &amp; Clean contr</t>
        </is>
      </c>
      <c r="P62" s="5" t="inlineStr">
        <is>
          <t>STUFFING CARGO @PAT (SPORTLIGHT TOWER NO.2) DD.17/09/26 CLS TIME CFS DD.18/09/26 - 17:00HRS.
(1ST CFS DD: 17/09/26 WO/RENT)</t>
        </is>
      </c>
      <c r="Q62" s="5" t="n">
        <v>1</v>
      </c>
      <c r="R62" s="5" t="n">
        <v>0</v>
      </c>
      <c r="S62" s="5" t="n">
        <v>0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0</v>
      </c>
      <c r="Z62" s="5" t="n">
        <v>0</v>
      </c>
      <c r="AA62" s="5" t="n">
        <v>0</v>
      </c>
      <c r="AB62" s="5">
        <f>SUM(Q62:Y62)-Z62</f>
        <v/>
      </c>
      <c r="AC62" s="5">
        <f>IF(I62="","",IF(OR(LEFT(I62,3)="BKK",I62="LCH55"),"BKK",IF(LEFT(I62,3)="LCH","LCH","OTHER")))</f>
        <v/>
      </c>
      <c r="AD62" s="5">
        <f>MAX(0,Q62-MAX(0,Z62))</f>
        <v/>
      </c>
      <c r="AE62" s="5">
        <f>MAX(0,R62-MAX(0,Z62-SUM(Q62:Q62)))</f>
        <v/>
      </c>
      <c r="AF62" s="5">
        <f>MAX(0,S62-MAX(0,Z62-SUM(Q62:R62)))</f>
        <v/>
      </c>
      <c r="AG62" s="5">
        <f>MAX(0,T62-MAX(0,Z62-SUM(Q62:S62)))</f>
        <v/>
      </c>
      <c r="AH62" s="5">
        <f>MAX(0,U62-MAX(0,Z62-SUM(Q62:T62)))</f>
        <v/>
      </c>
      <c r="AI62" s="5">
        <f>MAX(0,V62-MAX(0,Z62-SUM(Q62:U62)))</f>
        <v/>
      </c>
      <c r="AJ62" s="5">
        <f>MAX(0,W62-MAX(0,Z62-SUM(Q62:V62)))</f>
        <v/>
      </c>
      <c r="AK62" s="5">
        <f>MAX(0,X62-MAX(0,Z62-SUM(Q62:W62)))</f>
        <v/>
      </c>
      <c r="AL62" s="5">
        <f>MAX(0,Y62-MAX(0,Z62-SUM(Q62:X62)))</f>
        <v/>
      </c>
    </row>
    <row r="63">
      <c r="A63" s="5" t="inlineStr">
        <is>
          <t>HASLS22260701768</t>
        </is>
      </c>
      <c r="B63" s="5" t="inlineStr">
        <is>
          <t>TBN</t>
        </is>
      </c>
      <c r="C63" s="5" t="inlineStr">
        <is>
          <t>001</t>
        </is>
      </c>
      <c r="D63" s="5" t="inlineStr"/>
      <c r="E63" s="5" t="inlineStr"/>
      <c r="F63" s="5" t="inlineStr">
        <is>
          <t>THLCH</t>
        </is>
      </c>
      <c r="G63" s="5" t="inlineStr">
        <is>
          <t>JPYKK</t>
        </is>
      </c>
      <c r="H63" s="5" t="inlineStr">
        <is>
          <t xml:space="preserve">20'x2 </t>
        </is>
      </c>
      <c r="I63" s="5" t="inlineStr">
        <is>
          <t>LCHY5</t>
        </is>
      </c>
      <c r="J63" s="5" t="inlineStr">
        <is>
          <t>PW DEPOT CO., LTD.</t>
        </is>
      </c>
      <c r="K63" s="5" t="inlineStr">
        <is>
          <t>20260805</t>
        </is>
      </c>
      <c r="L63" s="5" t="inlineStr">
        <is>
          <t>DOW CHEMICAL THAILAND LTD.</t>
        </is>
      </c>
      <c r="M63" s="5" t="inlineStr">
        <is>
          <t>DOW CHEMICAL THAILAND LTD.</t>
        </is>
      </c>
      <c r="N63" s="5" t="inlineStr">
        <is>
          <t>RESIN</t>
        </is>
      </c>
      <c r="O63" s="5" t="inlineStr">
        <is>
          <t>RQST CNTR SEABULK &amp; GRADE A</t>
        </is>
      </c>
      <c r="P63" s="5" t="inlineStr">
        <is>
          <t>CY CNTR DD.05/08/2026 RQST CNTR SEABULK &amp; GRADE A</t>
        </is>
      </c>
      <c r="Q63" s="5" t="n">
        <v>2</v>
      </c>
      <c r="R63" s="5" t="n">
        <v>0</v>
      </c>
      <c r="S63" s="5" t="n">
        <v>0</v>
      </c>
      <c r="T63" s="5" t="n">
        <v>0</v>
      </c>
      <c r="U63" s="5" t="n">
        <v>0</v>
      </c>
      <c r="V63" s="5" t="n">
        <v>0</v>
      </c>
      <c r="W63" s="5" t="n">
        <v>0</v>
      </c>
      <c r="X63" s="5" t="n">
        <v>0</v>
      </c>
      <c r="Y63" s="5" t="n">
        <v>0</v>
      </c>
      <c r="Z63" s="5" t="n">
        <v>1</v>
      </c>
      <c r="AA63" s="5" t="n">
        <v>0</v>
      </c>
      <c r="AB63" s="5">
        <f>SUM(Q63:Y63)-Z63</f>
        <v/>
      </c>
      <c r="AC63" s="5">
        <f>IF(I63="","",IF(OR(LEFT(I63,3)="BKK",I63="LCH55"),"BKK",IF(LEFT(I63,3)="LCH","LCH","OTHER")))</f>
        <v/>
      </c>
      <c r="AD63" s="5">
        <f>MAX(0,Q63-MAX(0,Z63))</f>
        <v/>
      </c>
      <c r="AE63" s="5">
        <f>MAX(0,R63-MAX(0,Z63-SUM(Q63:Q63)))</f>
        <v/>
      </c>
      <c r="AF63" s="5">
        <f>MAX(0,S63-MAX(0,Z63-SUM(Q63:R63)))</f>
        <v/>
      </c>
      <c r="AG63" s="5">
        <f>MAX(0,T63-MAX(0,Z63-SUM(Q63:S63)))</f>
        <v/>
      </c>
      <c r="AH63" s="5">
        <f>MAX(0,U63-MAX(0,Z63-SUM(Q63:T63)))</f>
        <v/>
      </c>
      <c r="AI63" s="5">
        <f>MAX(0,V63-MAX(0,Z63-SUM(Q63:U63)))</f>
        <v/>
      </c>
      <c r="AJ63" s="5">
        <f>MAX(0,W63-MAX(0,Z63-SUM(Q63:V63)))</f>
        <v/>
      </c>
      <c r="AK63" s="5">
        <f>MAX(0,X63-MAX(0,Z63-SUM(Q63:W63)))</f>
        <v/>
      </c>
      <c r="AL63" s="5">
        <f>MAX(0,Y63-MAX(0,Z63-SUM(Q63:X63)))</f>
        <v/>
      </c>
    </row>
    <row r="64">
      <c r="A64" s="5" t="inlineStr">
        <is>
          <t>HASLS22260701770</t>
        </is>
      </c>
      <c r="B64" s="5" t="inlineStr">
        <is>
          <t>TBN</t>
        </is>
      </c>
      <c r="C64" s="5" t="inlineStr">
        <is>
          <t>001</t>
        </is>
      </c>
      <c r="D64" s="5" t="inlineStr"/>
      <c r="E64" s="5" t="inlineStr"/>
      <c r="F64" s="5" t="inlineStr">
        <is>
          <t>THLCH</t>
        </is>
      </c>
      <c r="G64" s="5" t="inlineStr">
        <is>
          <t>JPYKK</t>
        </is>
      </c>
      <c r="H64" s="5" t="inlineStr">
        <is>
          <t xml:space="preserve">20'x5 </t>
        </is>
      </c>
      <c r="I64" s="5" t="inlineStr">
        <is>
          <t>LCHY5</t>
        </is>
      </c>
      <c r="J64" s="5" t="inlineStr">
        <is>
          <t>PW DEPOT CO., LTD.</t>
        </is>
      </c>
      <c r="K64" s="5" t="inlineStr">
        <is>
          <t>20260806</t>
        </is>
      </c>
      <c r="L64" s="5" t="inlineStr">
        <is>
          <t>DOW CHEMICAL THAILAND LTD.</t>
        </is>
      </c>
      <c r="M64" s="5" t="inlineStr">
        <is>
          <t>DOW CHEMICAL THAILAND LTD.</t>
        </is>
      </c>
      <c r="N64" s="5" t="inlineStr">
        <is>
          <t>RESIN</t>
        </is>
      </c>
      <c r="O64" s="5" t="inlineStr">
        <is>
          <t>RQST CNTR SEABULK &amp; GRADE A</t>
        </is>
      </c>
      <c r="P64" s="5" t="inlineStr">
        <is>
          <t>CY CNTR DD.06/08/2026 RQST CNTR SEABULK &amp; GRADE A</t>
        </is>
      </c>
      <c r="Q64" s="5" t="n">
        <v>5</v>
      </c>
      <c r="R64" s="5" t="n">
        <v>0</v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>
        <v>0</v>
      </c>
      <c r="Y64" s="5" t="n">
        <v>0</v>
      </c>
      <c r="Z64" s="5" t="n">
        <v>4</v>
      </c>
      <c r="AA64" s="5" t="n">
        <v>0</v>
      </c>
      <c r="AB64" s="5">
        <f>SUM(Q64:Y64)-Z64</f>
        <v/>
      </c>
      <c r="AC64" s="5">
        <f>IF(I64="","",IF(OR(LEFT(I64,3)="BKK",I64="LCH55"),"BKK",IF(LEFT(I64,3)="LCH","LCH","OTHER")))</f>
        <v/>
      </c>
      <c r="AD64" s="5">
        <f>MAX(0,Q64-MAX(0,Z64))</f>
        <v/>
      </c>
      <c r="AE64" s="5">
        <f>MAX(0,R64-MAX(0,Z64-SUM(Q64:Q64)))</f>
        <v/>
      </c>
      <c r="AF64" s="5">
        <f>MAX(0,S64-MAX(0,Z64-SUM(Q64:R64)))</f>
        <v/>
      </c>
      <c r="AG64" s="5">
        <f>MAX(0,T64-MAX(0,Z64-SUM(Q64:S64)))</f>
        <v/>
      </c>
      <c r="AH64" s="5">
        <f>MAX(0,U64-MAX(0,Z64-SUM(Q64:T64)))</f>
        <v/>
      </c>
      <c r="AI64" s="5">
        <f>MAX(0,V64-MAX(0,Z64-SUM(Q64:U64)))</f>
        <v/>
      </c>
      <c r="AJ64" s="5">
        <f>MAX(0,W64-MAX(0,Z64-SUM(Q64:V64)))</f>
        <v/>
      </c>
      <c r="AK64" s="5">
        <f>MAX(0,X64-MAX(0,Z64-SUM(Q64:W64)))</f>
        <v/>
      </c>
      <c r="AL64" s="5">
        <f>MAX(0,Y64-MAX(0,Z64-SUM(Q64:X64)))</f>
        <v/>
      </c>
    </row>
    <row r="65">
      <c r="A65" s="5" t="inlineStr">
        <is>
          <t>HASLS22260800165</t>
        </is>
      </c>
      <c r="B65" s="5" t="inlineStr">
        <is>
          <t>TBN</t>
        </is>
      </c>
      <c r="C65" s="5" t="inlineStr">
        <is>
          <t>001</t>
        </is>
      </c>
      <c r="D65" s="5" t="inlineStr"/>
      <c r="E65" s="5" t="inlineStr"/>
      <c r="F65" s="5" t="inlineStr">
        <is>
          <t>THLCH</t>
        </is>
      </c>
      <c r="G65" s="5" t="inlineStr">
        <is>
          <t>JPYKK</t>
        </is>
      </c>
      <c r="H65" s="5" t="inlineStr">
        <is>
          <t xml:space="preserve">20'x4 </t>
        </is>
      </c>
      <c r="I65" s="5" t="inlineStr">
        <is>
          <t>LCHY5</t>
        </is>
      </c>
      <c r="J65" s="5" t="inlineStr">
        <is>
          <t>PW DEPOT CO., LTD.</t>
        </is>
      </c>
      <c r="K65" s="5" t="inlineStr">
        <is>
          <t>20260813</t>
        </is>
      </c>
      <c r="L65" s="5" t="inlineStr">
        <is>
          <t>DOW CHEMICAL THAILAND LTD.</t>
        </is>
      </c>
      <c r="M65" s="5" t="inlineStr">
        <is>
          <t>DOW CHEMICAL THAILAND LTD.</t>
        </is>
      </c>
      <c r="N65" s="5" t="inlineStr">
        <is>
          <t>RESIN</t>
        </is>
      </c>
      <c r="O65" s="5" t="inlineStr">
        <is>
          <t>RQST CNTR SEABULK &amp; GRADE A</t>
        </is>
      </c>
      <c r="P65" s="5" t="inlineStr">
        <is>
          <t>CY CNTR DD.13/08/2026 RQST CNTR SEABULK &amp; GRADE A</t>
        </is>
      </c>
      <c r="Q65" s="5" t="n">
        <v>4</v>
      </c>
      <c r="R65" s="5" t="n">
        <v>0</v>
      </c>
      <c r="S65" s="5" t="n">
        <v>0</v>
      </c>
      <c r="T65" s="5" t="n">
        <v>0</v>
      </c>
      <c r="U65" s="5" t="n">
        <v>0</v>
      </c>
      <c r="V65" s="5" t="n">
        <v>0</v>
      </c>
      <c r="W65" s="5" t="n">
        <v>0</v>
      </c>
      <c r="X65" s="5" t="n">
        <v>0</v>
      </c>
      <c r="Y65" s="5" t="n">
        <v>0</v>
      </c>
      <c r="Z65" s="5" t="n">
        <v>1</v>
      </c>
      <c r="AA65" s="5" t="n">
        <v>0</v>
      </c>
      <c r="AB65" s="5">
        <f>SUM(Q65:Y65)-Z65</f>
        <v/>
      </c>
      <c r="AC65" s="5">
        <f>IF(I65="","",IF(OR(LEFT(I65,3)="BKK",I65="LCH55"),"BKK",IF(LEFT(I65,3)="LCH","LCH","OTHER")))</f>
        <v/>
      </c>
      <c r="AD65" s="5">
        <f>MAX(0,Q65-MAX(0,Z65))</f>
        <v/>
      </c>
      <c r="AE65" s="5">
        <f>MAX(0,R65-MAX(0,Z65-SUM(Q65:Q65)))</f>
        <v/>
      </c>
      <c r="AF65" s="5">
        <f>MAX(0,S65-MAX(0,Z65-SUM(Q65:R65)))</f>
        <v/>
      </c>
      <c r="AG65" s="5">
        <f>MAX(0,T65-MAX(0,Z65-SUM(Q65:S65)))</f>
        <v/>
      </c>
      <c r="AH65" s="5">
        <f>MAX(0,U65-MAX(0,Z65-SUM(Q65:T65)))</f>
        <v/>
      </c>
      <c r="AI65" s="5">
        <f>MAX(0,V65-MAX(0,Z65-SUM(Q65:U65)))</f>
        <v/>
      </c>
      <c r="AJ65" s="5">
        <f>MAX(0,W65-MAX(0,Z65-SUM(Q65:V65)))</f>
        <v/>
      </c>
      <c r="AK65" s="5">
        <f>MAX(0,X65-MAX(0,Z65-SUM(Q65:W65)))</f>
        <v/>
      </c>
      <c r="AL65" s="5">
        <f>MAX(0,Y65-MAX(0,Z65-SUM(Q65:X65)))</f>
        <v/>
      </c>
    </row>
    <row r="66">
      <c r="A66" s="5" t="inlineStr">
        <is>
          <t>HASLS22260800514</t>
        </is>
      </c>
      <c r="B66" s="5" t="inlineStr">
        <is>
          <t>KXM</t>
        </is>
      </c>
      <c r="C66" s="5" t="inlineStr">
        <is>
          <t>2608S</t>
        </is>
      </c>
      <c r="D66" s="5" t="inlineStr">
        <is>
          <t>202610110000</t>
        </is>
      </c>
      <c r="E66" s="5" t="inlineStr"/>
      <c r="F66" s="5" t="inlineStr">
        <is>
          <t>THLCH</t>
        </is>
      </c>
      <c r="G66" s="5" t="inlineStr">
        <is>
          <t>IDJKT</t>
        </is>
      </c>
      <c r="H66" s="5" t="inlineStr">
        <is>
          <t xml:space="preserve">20'x1 </t>
        </is>
      </c>
      <c r="I66" s="5" t="inlineStr">
        <is>
          <t>LCHY5</t>
        </is>
      </c>
      <c r="J66" s="5" t="inlineStr">
        <is>
          <t>PW DEPOT CO., LTD.</t>
        </is>
      </c>
      <c r="K66" s="5" t="inlineStr">
        <is>
          <t>20260915</t>
        </is>
      </c>
      <c r="L66" s="5" t="inlineStr">
        <is>
          <t>THAI POLYCARBONATE CO., LTD.</t>
        </is>
      </c>
      <c r="M66" s="5" t="inlineStr">
        <is>
          <t>THAI POLYCARBONATE CO., LTD.</t>
        </is>
      </c>
      <c r="N66" s="5" t="inlineStr">
        <is>
          <t>POLYCARBONATE RESIN , HS CODEIS 3907.40</t>
        </is>
      </c>
      <c r="O66" s="5" t="inlineStr">
        <is>
          <t>,PLEASE PROVIDE GOOD AND CLEAN CONTAINER, NO RUST, NO HOLE, NO SMELL WITH STRONG FLOORBOARD (LOAD BY FORKLIFT) AND BULLET SEAL TO THIS SHIPMENT</t>
        </is>
      </c>
      <c r="P66" s="5" t="inlineStr">
        <is>
          <t>Pickup : 2026-09-15, Return : 2026-09-17</t>
        </is>
      </c>
      <c r="Q66" s="5" t="n">
        <v>1</v>
      </c>
      <c r="R66" s="5" t="n">
        <v>0</v>
      </c>
      <c r="S66" s="5" t="n">
        <v>0</v>
      </c>
      <c r="T66" s="5" t="n">
        <v>0</v>
      </c>
      <c r="U66" s="5" t="n">
        <v>0</v>
      </c>
      <c r="V66" s="5" t="n">
        <v>0</v>
      </c>
      <c r="W66" s="5" t="n">
        <v>0</v>
      </c>
      <c r="X66" s="5" t="n">
        <v>0</v>
      </c>
      <c r="Y66" s="5" t="n">
        <v>0</v>
      </c>
      <c r="Z66" s="5" t="n">
        <v>0</v>
      </c>
      <c r="AA66" s="5" t="n">
        <v>0</v>
      </c>
      <c r="AB66" s="5">
        <f>SUM(Q66:Y66)-Z66</f>
        <v/>
      </c>
      <c r="AC66" s="5">
        <f>IF(I66="","",IF(OR(LEFT(I66,3)="BKK",I66="LCH55"),"BKK",IF(LEFT(I66,3)="LCH","LCH","OTHER")))</f>
        <v/>
      </c>
      <c r="AD66" s="5">
        <f>MAX(0,Q66-MAX(0,Z66))</f>
        <v/>
      </c>
      <c r="AE66" s="5">
        <f>MAX(0,R66-MAX(0,Z66-SUM(Q66:Q66)))</f>
        <v/>
      </c>
      <c r="AF66" s="5">
        <f>MAX(0,S66-MAX(0,Z66-SUM(Q66:R66)))</f>
        <v/>
      </c>
      <c r="AG66" s="5">
        <f>MAX(0,T66-MAX(0,Z66-SUM(Q66:S66)))</f>
        <v/>
      </c>
      <c r="AH66" s="5">
        <f>MAX(0,U66-MAX(0,Z66-SUM(Q66:T66)))</f>
        <v/>
      </c>
      <c r="AI66" s="5">
        <f>MAX(0,V66-MAX(0,Z66-SUM(Q66:U66)))</f>
        <v/>
      </c>
      <c r="AJ66" s="5">
        <f>MAX(0,W66-MAX(0,Z66-SUM(Q66:V66)))</f>
        <v/>
      </c>
      <c r="AK66" s="5">
        <f>MAX(0,X66-MAX(0,Z66-SUM(Q66:W66)))</f>
        <v/>
      </c>
      <c r="AL66" s="5">
        <f>MAX(0,Y66-MAX(0,Z66-SUM(Q66:X66)))</f>
        <v/>
      </c>
    </row>
    <row r="67">
      <c r="A67" s="5" t="inlineStr">
        <is>
          <t>HASLS22260800578</t>
        </is>
      </c>
      <c r="B67" s="5" t="inlineStr">
        <is>
          <t>PGPO</t>
        </is>
      </c>
      <c r="C67" s="5" t="inlineStr">
        <is>
          <t>2611N</t>
        </is>
      </c>
      <c r="D67" s="5" t="inlineStr">
        <is>
          <t>202609230830</t>
        </is>
      </c>
      <c r="E67" s="5" t="inlineStr"/>
      <c r="F67" s="5" t="inlineStr">
        <is>
          <t>THLCH</t>
        </is>
      </c>
      <c r="G67" s="5" t="inlineStr">
        <is>
          <t>KRPUS</t>
        </is>
      </c>
      <c r="H67" s="5" t="inlineStr">
        <is>
          <t xml:space="preserve">40Hx1 </t>
        </is>
      </c>
      <c r="I67" s="5" t="inlineStr">
        <is>
          <t>LCHY5</t>
        </is>
      </c>
      <c r="J67" s="5" t="inlineStr">
        <is>
          <t>PW DEPOT CO., LTD.</t>
        </is>
      </c>
      <c r="K67" s="5" t="inlineStr">
        <is>
          <t>20260915</t>
        </is>
      </c>
      <c r="L67" s="5" t="inlineStr">
        <is>
          <t>TRUE MARINE CO., LTD.</t>
        </is>
      </c>
      <c r="M67" s="5" t="inlineStr">
        <is>
          <t>INOAC (THAILAND) CO., LTD.</t>
        </is>
      </c>
      <c r="N67" s="5" t="inlineStr">
        <is>
          <t>POLYURETHANE FOAM</t>
        </is>
      </c>
      <c r="O67" s="5" t="inlineStr">
        <is>
          <t>**REQUEST GOOD AND CLEAN CONTAINER</t>
        </is>
      </c>
      <c r="P67" s="5" t="inlineStr">
        <is>
          <t>Pickup : 2026-09-15, Return : 2026-09-16</t>
        </is>
      </c>
      <c r="Q67" s="5" t="n">
        <v>0</v>
      </c>
      <c r="R67" s="5" t="n">
        <v>0</v>
      </c>
      <c r="S67" s="5" t="n">
        <v>1</v>
      </c>
      <c r="T67" s="5" t="n">
        <v>0</v>
      </c>
      <c r="U67" s="5" t="n">
        <v>0</v>
      </c>
      <c r="V67" s="5" t="n">
        <v>0</v>
      </c>
      <c r="W67" s="5" t="n">
        <v>0</v>
      </c>
      <c r="X67" s="5" t="n">
        <v>0</v>
      </c>
      <c r="Y67" s="5" t="n">
        <v>0</v>
      </c>
      <c r="Z67" s="5" t="n">
        <v>0</v>
      </c>
      <c r="AA67" s="5" t="n">
        <v>0</v>
      </c>
      <c r="AB67" s="5">
        <f>SUM(Q67:Y67)-Z67</f>
        <v/>
      </c>
      <c r="AC67" s="5">
        <f>IF(I67="","",IF(OR(LEFT(I67,3)="BKK",I67="LCH55"),"BKK",IF(LEFT(I67,3)="LCH","LCH","OTHER")))</f>
        <v/>
      </c>
      <c r="AD67" s="5">
        <f>MAX(0,Q67-MAX(0,Z67))</f>
        <v/>
      </c>
      <c r="AE67" s="5">
        <f>MAX(0,R67-MAX(0,Z67-SUM(Q67:Q67)))</f>
        <v/>
      </c>
      <c r="AF67" s="5">
        <f>MAX(0,S67-MAX(0,Z67-SUM(Q67:R67)))</f>
        <v/>
      </c>
      <c r="AG67" s="5">
        <f>MAX(0,T67-MAX(0,Z67-SUM(Q67:S67)))</f>
        <v/>
      </c>
      <c r="AH67" s="5">
        <f>MAX(0,U67-MAX(0,Z67-SUM(Q67:T67)))</f>
        <v/>
      </c>
      <c r="AI67" s="5">
        <f>MAX(0,V67-MAX(0,Z67-SUM(Q67:U67)))</f>
        <v/>
      </c>
      <c r="AJ67" s="5">
        <f>MAX(0,W67-MAX(0,Z67-SUM(Q67:V67)))</f>
        <v/>
      </c>
      <c r="AK67" s="5">
        <f>MAX(0,X67-MAX(0,Z67-SUM(Q67:W67)))</f>
        <v/>
      </c>
      <c r="AL67" s="5">
        <f>MAX(0,Y67-MAX(0,Z67-SUM(Q67:X67)))</f>
        <v/>
      </c>
    </row>
    <row r="68">
      <c r="A68" s="5" t="inlineStr">
        <is>
          <t>HASLS22260800736</t>
        </is>
      </c>
      <c r="B68" s="5" t="inlineStr">
        <is>
          <t>SWMM</t>
        </is>
      </c>
      <c r="C68" s="5" t="inlineStr">
        <is>
          <t>2609N</t>
        </is>
      </c>
      <c r="D68" s="5" t="inlineStr">
        <is>
          <t>202609230600</t>
        </is>
      </c>
      <c r="E68" s="5" t="inlineStr"/>
      <c r="F68" s="5" t="inlineStr">
        <is>
          <t>THLCH</t>
        </is>
      </c>
      <c r="G68" s="5" t="inlineStr">
        <is>
          <t>KRPTK</t>
        </is>
      </c>
      <c r="H68" s="5" t="inlineStr">
        <is>
          <t xml:space="preserve">40Hx1 </t>
        </is>
      </c>
      <c r="I68" s="5" t="inlineStr">
        <is>
          <t>LCHY5</t>
        </is>
      </c>
      <c r="J68" s="5" t="inlineStr">
        <is>
          <t>PW DEPOT CO., LTD.</t>
        </is>
      </c>
      <c r="K68" s="5" t="inlineStr">
        <is>
          <t>20260917</t>
        </is>
      </c>
      <c r="L68" s="5" t="inlineStr">
        <is>
          <t>SDS-ACUTECH CO., LTD.</t>
        </is>
      </c>
      <c r="M68" s="5" t="inlineStr">
        <is>
          <t>3AC (THAILAND) CO., LTD.</t>
        </is>
      </c>
      <c r="N68" s="5" t="inlineStr">
        <is>
          <t>AIR PURIFIER</t>
        </is>
      </c>
      <c r="O68" s="5" t="inlineStr">
        <is>
          <t>GOOD AND CLEAN CONTAINER</t>
        </is>
      </c>
      <c r="P68" s="5" t="inlineStr">
        <is>
          <t xml:space="preserve">Pickup : 2026-09-17, Return : 2026-09-17
** PLEASE CHECK OPEN GATE BEFORE RETURN CONTAINER **
</t>
        </is>
      </c>
      <c r="Q68" s="5" t="n">
        <v>0</v>
      </c>
      <c r="R68" s="5" t="n">
        <v>0</v>
      </c>
      <c r="S68" s="5" t="n">
        <v>1</v>
      </c>
      <c r="T68" s="5" t="n">
        <v>0</v>
      </c>
      <c r="U68" s="5" t="n">
        <v>0</v>
      </c>
      <c r="V68" s="5" t="n">
        <v>0</v>
      </c>
      <c r="W68" s="5" t="n">
        <v>0</v>
      </c>
      <c r="X68" s="5" t="n">
        <v>0</v>
      </c>
      <c r="Y68" s="5" t="n">
        <v>0</v>
      </c>
      <c r="Z68" s="5" t="n">
        <v>0</v>
      </c>
      <c r="AA68" s="5" t="n">
        <v>0</v>
      </c>
      <c r="AB68" s="5">
        <f>SUM(Q68:Y68)-Z68</f>
        <v/>
      </c>
      <c r="AC68" s="5">
        <f>IF(I68="","",IF(OR(LEFT(I68,3)="BKK",I68="LCH55"),"BKK",IF(LEFT(I68,3)="LCH","LCH","OTHER")))</f>
        <v/>
      </c>
      <c r="AD68" s="5">
        <f>MAX(0,Q68-MAX(0,Z68))</f>
        <v/>
      </c>
      <c r="AE68" s="5">
        <f>MAX(0,R68-MAX(0,Z68-SUM(Q68:Q68)))</f>
        <v/>
      </c>
      <c r="AF68" s="5">
        <f>MAX(0,S68-MAX(0,Z68-SUM(Q68:R68)))</f>
        <v/>
      </c>
      <c r="AG68" s="5">
        <f>MAX(0,T68-MAX(0,Z68-SUM(Q68:S68)))</f>
        <v/>
      </c>
      <c r="AH68" s="5">
        <f>MAX(0,U68-MAX(0,Z68-SUM(Q68:T68)))</f>
        <v/>
      </c>
      <c r="AI68" s="5">
        <f>MAX(0,V68-MAX(0,Z68-SUM(Q68:U68)))</f>
        <v/>
      </c>
      <c r="AJ68" s="5">
        <f>MAX(0,W68-MAX(0,Z68-SUM(Q68:V68)))</f>
        <v/>
      </c>
      <c r="AK68" s="5">
        <f>MAX(0,X68-MAX(0,Z68-SUM(Q68:W68)))</f>
        <v/>
      </c>
      <c r="AL68" s="5">
        <f>MAX(0,Y68-MAX(0,Z68-SUM(Q68:X68)))</f>
        <v/>
      </c>
    </row>
    <row r="69">
      <c r="A69" s="5" t="inlineStr">
        <is>
          <t>HASLS22260800853</t>
        </is>
      </c>
      <c r="B69" s="5" t="inlineStr">
        <is>
          <t>SWMM</t>
        </is>
      </c>
      <c r="C69" s="5" t="inlineStr">
        <is>
          <t>2609N</t>
        </is>
      </c>
      <c r="D69" s="5" t="inlineStr">
        <is>
          <t>202609230600</t>
        </is>
      </c>
      <c r="E69" s="5" t="inlineStr"/>
      <c r="F69" s="5" t="inlineStr">
        <is>
          <t>THLCH</t>
        </is>
      </c>
      <c r="G69" s="5" t="inlineStr">
        <is>
          <t>KRPTK</t>
        </is>
      </c>
      <c r="H69" s="5" t="inlineStr">
        <is>
          <t xml:space="preserve">40Hx5 </t>
        </is>
      </c>
      <c r="I69" s="5" t="inlineStr">
        <is>
          <t>LCHY5</t>
        </is>
      </c>
      <c r="J69" s="5" t="inlineStr">
        <is>
          <t>PW DEPOT CO., LTD.</t>
        </is>
      </c>
      <c r="K69" s="5" t="inlineStr">
        <is>
          <t>20260916</t>
        </is>
      </c>
      <c r="L69" s="5" t="inlineStr">
        <is>
          <t>SAMSUNG SDS GLOBAL SCL (THAILAND) CO.,LTD.</t>
        </is>
      </c>
      <c r="M69" s="5" t="inlineStr">
        <is>
          <t>THAI SAMSUNG ELECTRONICS CO., LTD.</t>
        </is>
      </c>
      <c r="N69" s="5" t="inlineStr">
        <is>
          <t>REFRIGERATOR</t>
        </is>
      </c>
      <c r="O69" s="5" t="inlineStr">
        <is>
          <t>*No containers with cut and patch marks inside*
GOOD CLEAN CONTIANER NO BLEAM (ELECTRONICS GOODS)</t>
        </is>
      </c>
      <c r="P69" s="5" t="inlineStr">
        <is>
          <t>Pickup : 2026-09-16, Return : 2026-09-19</t>
        </is>
      </c>
      <c r="Q69" s="5" t="n">
        <v>0</v>
      </c>
      <c r="R69" s="5" t="n">
        <v>0</v>
      </c>
      <c r="S69" s="5" t="n">
        <v>5</v>
      </c>
      <c r="T69" s="5" t="n">
        <v>0</v>
      </c>
      <c r="U69" s="5" t="n">
        <v>0</v>
      </c>
      <c r="V69" s="5" t="n">
        <v>0</v>
      </c>
      <c r="W69" s="5" t="n">
        <v>0</v>
      </c>
      <c r="X69" s="5" t="n">
        <v>0</v>
      </c>
      <c r="Y69" s="5" t="n">
        <v>0</v>
      </c>
      <c r="Z69" s="5" t="n">
        <v>2</v>
      </c>
      <c r="AA69" s="5" t="n">
        <v>0</v>
      </c>
      <c r="AB69" s="5">
        <f>SUM(Q69:Y69)-Z69</f>
        <v/>
      </c>
      <c r="AC69" s="5">
        <f>IF(I69="","",IF(OR(LEFT(I69,3)="BKK",I69="LCH55"),"BKK",IF(LEFT(I69,3)="LCH","LCH","OTHER")))</f>
        <v/>
      </c>
      <c r="AD69" s="5">
        <f>MAX(0,Q69-MAX(0,Z69))</f>
        <v/>
      </c>
      <c r="AE69" s="5">
        <f>MAX(0,R69-MAX(0,Z69-SUM(Q69:Q69)))</f>
        <v/>
      </c>
      <c r="AF69" s="5">
        <f>MAX(0,S69-MAX(0,Z69-SUM(Q69:R69)))</f>
        <v/>
      </c>
      <c r="AG69" s="5">
        <f>MAX(0,T69-MAX(0,Z69-SUM(Q69:S69)))</f>
        <v/>
      </c>
      <c r="AH69" s="5">
        <f>MAX(0,U69-MAX(0,Z69-SUM(Q69:T69)))</f>
        <v/>
      </c>
      <c r="AI69" s="5">
        <f>MAX(0,V69-MAX(0,Z69-SUM(Q69:U69)))</f>
        <v/>
      </c>
      <c r="AJ69" s="5">
        <f>MAX(0,W69-MAX(0,Z69-SUM(Q69:V69)))</f>
        <v/>
      </c>
      <c r="AK69" s="5">
        <f>MAX(0,X69-MAX(0,Z69-SUM(Q69:W69)))</f>
        <v/>
      </c>
      <c r="AL69" s="5">
        <f>MAX(0,Y69-MAX(0,Z69-SUM(Q69:X69)))</f>
        <v/>
      </c>
    </row>
    <row r="70">
      <c r="A70" s="5" t="inlineStr">
        <is>
          <t>HASLS22260800854</t>
        </is>
      </c>
      <c r="B70" s="5" t="inlineStr">
        <is>
          <t>SWMM</t>
        </is>
      </c>
      <c r="C70" s="5" t="inlineStr">
        <is>
          <t>2609N</t>
        </is>
      </c>
      <c r="D70" s="5" t="inlineStr">
        <is>
          <t>202609230600</t>
        </is>
      </c>
      <c r="E70" s="5" t="inlineStr"/>
      <c r="F70" s="5" t="inlineStr">
        <is>
          <t>THLCH</t>
        </is>
      </c>
      <c r="G70" s="5" t="inlineStr">
        <is>
          <t>KRPTK</t>
        </is>
      </c>
      <c r="H70" s="5" t="inlineStr">
        <is>
          <t xml:space="preserve">40Hx5 </t>
        </is>
      </c>
      <c r="I70" s="5" t="inlineStr">
        <is>
          <t>LCHY5</t>
        </is>
      </c>
      <c r="J70" s="5" t="inlineStr">
        <is>
          <t>PW DEPOT CO., LTD.</t>
        </is>
      </c>
      <c r="K70" s="5" t="inlineStr">
        <is>
          <t>20260916</t>
        </is>
      </c>
      <c r="L70" s="5" t="inlineStr">
        <is>
          <t>SAMSUNG SDS GLOBAL SCL (THAILAND) CO.,LTD.</t>
        </is>
      </c>
      <c r="M70" s="5" t="inlineStr">
        <is>
          <t>THAI SAMSUNG ELECTRONICS CO., LTD.</t>
        </is>
      </c>
      <c r="N70" s="5" t="inlineStr">
        <is>
          <t>REFRIGERATOR</t>
        </is>
      </c>
      <c r="O70" s="5" t="inlineStr">
        <is>
          <t>*No containers with cut and patch marks inside*
GOOD CLEAN CONTIANER NO BLEAM (ELECTRONICS GOODS)</t>
        </is>
      </c>
      <c r="P70" s="5" t="inlineStr">
        <is>
          <t xml:space="preserve">Pickup : 2026-09-16, Return : 2026-09-19 
** PLEASE CHECK OPEN GATE BEFORE RETURN CONTAINER ** </t>
        </is>
      </c>
      <c r="Q70" s="5" t="n">
        <v>0</v>
      </c>
      <c r="R70" s="5" t="n">
        <v>0</v>
      </c>
      <c r="S70" s="5" t="n">
        <v>5</v>
      </c>
      <c r="T70" s="5" t="n">
        <v>0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4</v>
      </c>
      <c r="AA70" s="5" t="n">
        <v>0</v>
      </c>
      <c r="AB70" s="5">
        <f>SUM(Q70:Y70)-Z70</f>
        <v/>
      </c>
      <c r="AC70" s="5">
        <f>IF(I70="","",IF(OR(LEFT(I70,3)="BKK",I70="LCH55"),"BKK",IF(LEFT(I70,3)="LCH","LCH","OTHER")))</f>
        <v/>
      </c>
      <c r="AD70" s="5">
        <f>MAX(0,Q70-MAX(0,Z70))</f>
        <v/>
      </c>
      <c r="AE70" s="5">
        <f>MAX(0,R70-MAX(0,Z70-SUM(Q70:Q70)))</f>
        <v/>
      </c>
      <c r="AF70" s="5">
        <f>MAX(0,S70-MAX(0,Z70-SUM(Q70:R70)))</f>
        <v/>
      </c>
      <c r="AG70" s="5">
        <f>MAX(0,T70-MAX(0,Z70-SUM(Q70:S70)))</f>
        <v/>
      </c>
      <c r="AH70" s="5">
        <f>MAX(0,U70-MAX(0,Z70-SUM(Q70:T70)))</f>
        <v/>
      </c>
      <c r="AI70" s="5">
        <f>MAX(0,V70-MAX(0,Z70-SUM(Q70:U70)))</f>
        <v/>
      </c>
      <c r="AJ70" s="5">
        <f>MAX(0,W70-MAX(0,Z70-SUM(Q70:V70)))</f>
        <v/>
      </c>
      <c r="AK70" s="5">
        <f>MAX(0,X70-MAX(0,Z70-SUM(Q70:W70)))</f>
        <v/>
      </c>
      <c r="AL70" s="5">
        <f>MAX(0,Y70-MAX(0,Z70-SUM(Q70:X70)))</f>
        <v/>
      </c>
    </row>
    <row r="71">
      <c r="A71" s="5" t="inlineStr">
        <is>
          <t>HASLS22260801535</t>
        </is>
      </c>
      <c r="B71" s="5" t="inlineStr">
        <is>
          <t>KJT</t>
        </is>
      </c>
      <c r="C71" s="5" t="inlineStr">
        <is>
          <t>2610N</t>
        </is>
      </c>
      <c r="D71" s="5" t="inlineStr">
        <is>
          <t>202609231200</t>
        </is>
      </c>
      <c r="E71" s="5" t="inlineStr"/>
      <c r="F71" s="5" t="inlineStr">
        <is>
          <t>THLCH</t>
        </is>
      </c>
      <c r="G71" s="5" t="inlineStr">
        <is>
          <t>HKHKG</t>
        </is>
      </c>
      <c r="H71" s="5" t="inlineStr">
        <is>
          <t xml:space="preserve">20'x1 </t>
        </is>
      </c>
      <c r="I71" s="5" t="inlineStr">
        <is>
          <t>LCHY5</t>
        </is>
      </c>
      <c r="J71" s="5" t="inlineStr">
        <is>
          <t>PW DEPOT CO., LTD.</t>
        </is>
      </c>
      <c r="K71" s="5" t="inlineStr">
        <is>
          <t>20260914</t>
        </is>
      </c>
      <c r="L71" s="5" t="inlineStr">
        <is>
          <t>FAIR AND FAST COMPANY LIMITED</t>
        </is>
      </c>
      <c r="M71" s="5" t="inlineStr">
        <is>
          <t>PACIFIC SUGAR CORPORATION LIMITED</t>
        </is>
      </c>
      <c r="N71" s="5" t="inlineStr">
        <is>
          <t>Sugar</t>
        </is>
      </c>
      <c r="O71" s="5" t="inlineStr">
        <is>
          <t>RQST CONTAINER 30 TONS. // REQUEST GOOD AND CLEAN CONTAINER FOR FOOD</t>
        </is>
      </c>
      <c r="P71" s="5" t="inlineStr">
        <is>
          <t xml:space="preserve">Pickup : 2026-09-14, Return : 2026-09-15 
 ** PLEASE CHECK OPEN GATE BEFORE RETURN CNTR **
</t>
        </is>
      </c>
      <c r="Q71" s="5" t="n">
        <v>1</v>
      </c>
      <c r="R71" s="5" t="n">
        <v>0</v>
      </c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>
        <v>0</v>
      </c>
      <c r="Y71" s="5" t="n">
        <v>0</v>
      </c>
      <c r="Z71" s="5" t="n">
        <v>0</v>
      </c>
      <c r="AA71" s="5" t="n">
        <v>0</v>
      </c>
      <c r="AB71" s="5">
        <f>SUM(Q71:Y71)-Z71</f>
        <v/>
      </c>
      <c r="AC71" s="5">
        <f>IF(I71="","",IF(OR(LEFT(I71,3)="BKK",I71="LCH55"),"BKK",IF(LEFT(I71,3)="LCH","LCH","OTHER")))</f>
        <v/>
      </c>
      <c r="AD71" s="5">
        <f>MAX(0,Q71-MAX(0,Z71))</f>
        <v/>
      </c>
      <c r="AE71" s="5">
        <f>MAX(0,R71-MAX(0,Z71-SUM(Q71:Q71)))</f>
        <v/>
      </c>
      <c r="AF71" s="5">
        <f>MAX(0,S71-MAX(0,Z71-SUM(Q71:R71)))</f>
        <v/>
      </c>
      <c r="AG71" s="5">
        <f>MAX(0,T71-MAX(0,Z71-SUM(Q71:S71)))</f>
        <v/>
      </c>
      <c r="AH71" s="5">
        <f>MAX(0,U71-MAX(0,Z71-SUM(Q71:T71)))</f>
        <v/>
      </c>
      <c r="AI71" s="5">
        <f>MAX(0,V71-MAX(0,Z71-SUM(Q71:U71)))</f>
        <v/>
      </c>
      <c r="AJ71" s="5">
        <f>MAX(0,W71-MAX(0,Z71-SUM(Q71:V71)))</f>
        <v/>
      </c>
      <c r="AK71" s="5">
        <f>MAX(0,X71-MAX(0,Z71-SUM(Q71:W71)))</f>
        <v/>
      </c>
      <c r="AL71" s="5">
        <f>MAX(0,Y71-MAX(0,Z71-SUM(Q71:X71)))</f>
        <v/>
      </c>
    </row>
    <row r="72">
      <c r="A72" s="5" t="inlineStr">
        <is>
          <t>HASLS22260801827</t>
        </is>
      </c>
      <c r="B72" s="5" t="inlineStr">
        <is>
          <t>KUS</t>
        </is>
      </c>
      <c r="C72" s="5" t="inlineStr">
        <is>
          <t>2615N</t>
        </is>
      </c>
      <c r="D72" s="5" t="inlineStr">
        <is>
          <t>202609240500</t>
        </is>
      </c>
      <c r="E72" s="5" t="inlineStr"/>
      <c r="F72" s="5" t="inlineStr">
        <is>
          <t>THLCH</t>
        </is>
      </c>
      <c r="G72" s="5" t="inlineStr">
        <is>
          <t>VNSGN</t>
        </is>
      </c>
      <c r="H72" s="5" t="inlineStr">
        <is>
          <t xml:space="preserve">20'x2 </t>
        </is>
      </c>
      <c r="I72" s="5" t="inlineStr">
        <is>
          <t>LCHY5</t>
        </is>
      </c>
      <c r="J72" s="5" t="inlineStr">
        <is>
          <t>PW DEPOT CO., LTD.</t>
        </is>
      </c>
      <c r="K72" s="5" t="inlineStr">
        <is>
          <t>20260917</t>
        </is>
      </c>
      <c r="L72" s="5" t="inlineStr">
        <is>
          <t>UBE CHEMICALS (ASIA) PUBLIC COMPANY LIMITED</t>
        </is>
      </c>
      <c r="M72" s="5" t="inlineStr">
        <is>
          <t>THAI SYNTHETIC RUBBERS CO., LTD.</t>
        </is>
      </c>
      <c r="N72" s="5" t="inlineStr">
        <is>
          <t xml:space="preserve">Polybutadiene Rubber </t>
        </is>
      </c>
      <c r="O72" s="5" t="inlineStr">
        <is>
          <t>Good condition; Grade B+</t>
        </is>
      </c>
      <c r="P72" s="5" t="inlineStr">
        <is>
          <t xml:space="preserve">CY-RTN 17-18/09/26 (ID-TBA0901 (BMB-26294A)
</t>
        </is>
      </c>
      <c r="Q72" s="5" t="n">
        <v>2</v>
      </c>
      <c r="R72" s="5" t="n">
        <v>0</v>
      </c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>
        <v>0</v>
      </c>
      <c r="Y72" s="5" t="n">
        <v>0</v>
      </c>
      <c r="Z72" s="5" t="n">
        <v>0</v>
      </c>
      <c r="AA72" s="5" t="n">
        <v>0</v>
      </c>
      <c r="AB72" s="5">
        <f>SUM(Q72:Y72)-Z72</f>
        <v/>
      </c>
      <c r="AC72" s="5">
        <f>IF(I72="","",IF(OR(LEFT(I72,3)="BKK",I72="LCH55"),"BKK",IF(LEFT(I72,3)="LCH","LCH","OTHER")))</f>
        <v/>
      </c>
      <c r="AD72" s="5">
        <f>MAX(0,Q72-MAX(0,Z72))</f>
        <v/>
      </c>
      <c r="AE72" s="5">
        <f>MAX(0,R72-MAX(0,Z72-SUM(Q72:Q72)))</f>
        <v/>
      </c>
      <c r="AF72" s="5">
        <f>MAX(0,S72-MAX(0,Z72-SUM(Q72:R72)))</f>
        <v/>
      </c>
      <c r="AG72" s="5">
        <f>MAX(0,T72-MAX(0,Z72-SUM(Q72:S72)))</f>
        <v/>
      </c>
      <c r="AH72" s="5">
        <f>MAX(0,U72-MAX(0,Z72-SUM(Q72:T72)))</f>
        <v/>
      </c>
      <c r="AI72" s="5">
        <f>MAX(0,V72-MAX(0,Z72-SUM(Q72:U72)))</f>
        <v/>
      </c>
      <c r="AJ72" s="5">
        <f>MAX(0,W72-MAX(0,Z72-SUM(Q72:V72)))</f>
        <v/>
      </c>
      <c r="AK72" s="5">
        <f>MAX(0,X72-MAX(0,Z72-SUM(Q72:W72)))</f>
        <v/>
      </c>
      <c r="AL72" s="5">
        <f>MAX(0,Y72-MAX(0,Z72-SUM(Q72:X72)))</f>
        <v/>
      </c>
    </row>
    <row r="73">
      <c r="A73" s="5" t="inlineStr">
        <is>
          <t>HASLS22260801828</t>
        </is>
      </c>
      <c r="B73" s="5" t="inlineStr">
        <is>
          <t>KUS</t>
        </is>
      </c>
      <c r="C73" s="5" t="inlineStr">
        <is>
          <t>2615N</t>
        </is>
      </c>
      <c r="D73" s="5" t="inlineStr">
        <is>
          <t>202609240500</t>
        </is>
      </c>
      <c r="E73" s="5" t="inlineStr"/>
      <c r="F73" s="5" t="inlineStr">
        <is>
          <t>THLCH</t>
        </is>
      </c>
      <c r="G73" s="5" t="inlineStr">
        <is>
          <t>VNSGN</t>
        </is>
      </c>
      <c r="H73" s="5" t="inlineStr">
        <is>
          <t xml:space="preserve">20'x2 </t>
        </is>
      </c>
      <c r="I73" s="5" t="inlineStr">
        <is>
          <t>LCHY5</t>
        </is>
      </c>
      <c r="J73" s="5" t="inlineStr">
        <is>
          <t>PW DEPOT CO., LTD.</t>
        </is>
      </c>
      <c r="K73" s="5" t="inlineStr">
        <is>
          <t>20260917</t>
        </is>
      </c>
      <c r="L73" s="5" t="inlineStr">
        <is>
          <t>UBE CHEMICALS (ASIA) PUBLIC COMPANY LIMITED</t>
        </is>
      </c>
      <c r="M73" s="5" t="inlineStr">
        <is>
          <t>THAI SYNTHETIC RUBBERS CO., LTD.</t>
        </is>
      </c>
      <c r="N73" s="5" t="inlineStr">
        <is>
          <t xml:space="preserve">Polybutadiene Rubber </t>
        </is>
      </c>
      <c r="O73" s="5" t="inlineStr">
        <is>
          <t>Good condition; Grade B+</t>
        </is>
      </c>
      <c r="P73" s="5" t="inlineStr">
        <is>
          <t xml:space="preserve">CY-RTN 17-18/09/26 (ID-TBA0902 (BMB-26294B)
</t>
        </is>
      </c>
      <c r="Q73" s="5" t="n">
        <v>2</v>
      </c>
      <c r="R73" s="5" t="n">
        <v>0</v>
      </c>
      <c r="S73" s="5" t="n">
        <v>0</v>
      </c>
      <c r="T73" s="5" t="n">
        <v>0</v>
      </c>
      <c r="U73" s="5" t="n">
        <v>0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1</v>
      </c>
      <c r="AA73" s="5" t="n">
        <v>0</v>
      </c>
      <c r="AB73" s="5">
        <f>SUM(Q73:Y73)-Z73</f>
        <v/>
      </c>
      <c r="AC73" s="5">
        <f>IF(I73="","",IF(OR(LEFT(I73,3)="BKK",I73="LCH55"),"BKK",IF(LEFT(I73,3)="LCH","LCH","OTHER")))</f>
        <v/>
      </c>
      <c r="AD73" s="5">
        <f>MAX(0,Q73-MAX(0,Z73))</f>
        <v/>
      </c>
      <c r="AE73" s="5">
        <f>MAX(0,R73-MAX(0,Z73-SUM(Q73:Q73)))</f>
        <v/>
      </c>
      <c r="AF73" s="5">
        <f>MAX(0,S73-MAX(0,Z73-SUM(Q73:R73)))</f>
        <v/>
      </c>
      <c r="AG73" s="5">
        <f>MAX(0,T73-MAX(0,Z73-SUM(Q73:S73)))</f>
        <v/>
      </c>
      <c r="AH73" s="5">
        <f>MAX(0,U73-MAX(0,Z73-SUM(Q73:T73)))</f>
        <v/>
      </c>
      <c r="AI73" s="5">
        <f>MAX(0,V73-MAX(0,Z73-SUM(Q73:U73)))</f>
        <v/>
      </c>
      <c r="AJ73" s="5">
        <f>MAX(0,W73-MAX(0,Z73-SUM(Q73:V73)))</f>
        <v/>
      </c>
      <c r="AK73" s="5">
        <f>MAX(0,X73-MAX(0,Z73-SUM(Q73:W73)))</f>
        <v/>
      </c>
      <c r="AL73" s="5">
        <f>MAX(0,Y73-MAX(0,Z73-SUM(Q73:X73)))</f>
        <v/>
      </c>
    </row>
    <row r="74">
      <c r="A74" s="5" t="inlineStr">
        <is>
          <t>HASLS22260801909</t>
        </is>
      </c>
      <c r="B74" s="5" t="inlineStr">
        <is>
          <t>SWMM</t>
        </is>
      </c>
      <c r="C74" s="5" t="inlineStr">
        <is>
          <t>2609N</t>
        </is>
      </c>
      <c r="D74" s="5" t="inlineStr">
        <is>
          <t>202609230600</t>
        </is>
      </c>
      <c r="E74" s="5" t="inlineStr"/>
      <c r="F74" s="5" t="inlineStr">
        <is>
          <t>THLCH</t>
        </is>
      </c>
      <c r="G74" s="5" t="inlineStr">
        <is>
          <t>JPOSA</t>
        </is>
      </c>
      <c r="H74" s="5" t="inlineStr">
        <is>
          <t xml:space="preserve">20'x1 </t>
        </is>
      </c>
      <c r="I74" s="5" t="inlineStr">
        <is>
          <t>LCHY5</t>
        </is>
      </c>
      <c r="J74" s="5" t="inlineStr">
        <is>
          <t>PW DEPOT CO., LTD.</t>
        </is>
      </c>
      <c r="K74" s="5" t="inlineStr">
        <is>
          <t>20260916</t>
        </is>
      </c>
      <c r="L74" s="5" t="inlineStr">
        <is>
          <t>CHEMICAL MATE SDN BHD</t>
        </is>
      </c>
      <c r="M74" s="5" t="inlineStr">
        <is>
          <t>GLOBAL GREEN CHEMICALS PUBLIC COMPANY LIMITED</t>
        </is>
      </c>
      <c r="N74" s="5" t="inlineStr">
        <is>
          <t xml:space="preserve">REFINED GLYCERINE 99.5% USP </t>
        </is>
      </c>
      <c r="O74" s="5" t="inlineStr">
        <is>
          <t>Stowage Under Deck Away from Boiler</t>
        </is>
      </c>
      <c r="P74" s="5" t="inlineStr">
        <is>
          <t xml:space="preserve">Pickup : 2026-09-16, Return : 2026-09-18  
** PLEASE CHECK OPEN GATE BEFORE RETURN CONTAINER ** </t>
        </is>
      </c>
      <c r="Q74" s="5" t="n">
        <v>1</v>
      </c>
      <c r="R74" s="5" t="n">
        <v>0</v>
      </c>
      <c r="S74" s="5" t="n">
        <v>0</v>
      </c>
      <c r="T74" s="5" t="n">
        <v>0</v>
      </c>
      <c r="U74" s="5" t="n">
        <v>0</v>
      </c>
      <c r="V74" s="5" t="n">
        <v>0</v>
      </c>
      <c r="W74" s="5" t="n">
        <v>0</v>
      </c>
      <c r="X74" s="5" t="n">
        <v>0</v>
      </c>
      <c r="Y74" s="5" t="n">
        <v>0</v>
      </c>
      <c r="Z74" s="5" t="n">
        <v>0</v>
      </c>
      <c r="AA74" s="5" t="n">
        <v>0</v>
      </c>
      <c r="AB74" s="5">
        <f>SUM(Q74:Y74)-Z74</f>
        <v/>
      </c>
      <c r="AC74" s="5">
        <f>IF(I74="","",IF(OR(LEFT(I74,3)="BKK",I74="LCH55"),"BKK",IF(LEFT(I74,3)="LCH","LCH","OTHER")))</f>
        <v/>
      </c>
      <c r="AD74" s="5">
        <f>MAX(0,Q74-MAX(0,Z74))</f>
        <v/>
      </c>
      <c r="AE74" s="5">
        <f>MAX(0,R74-MAX(0,Z74-SUM(Q74:Q74)))</f>
        <v/>
      </c>
      <c r="AF74" s="5">
        <f>MAX(0,S74-MAX(0,Z74-SUM(Q74:R74)))</f>
        <v/>
      </c>
      <c r="AG74" s="5">
        <f>MAX(0,T74-MAX(0,Z74-SUM(Q74:S74)))</f>
        <v/>
      </c>
      <c r="AH74" s="5">
        <f>MAX(0,U74-MAX(0,Z74-SUM(Q74:T74)))</f>
        <v/>
      </c>
      <c r="AI74" s="5">
        <f>MAX(0,V74-MAX(0,Z74-SUM(Q74:U74)))</f>
        <v/>
      </c>
      <c r="AJ74" s="5">
        <f>MAX(0,W74-MAX(0,Z74-SUM(Q74:V74)))</f>
        <v/>
      </c>
      <c r="AK74" s="5">
        <f>MAX(0,X74-MAX(0,Z74-SUM(Q74:W74)))</f>
        <v/>
      </c>
      <c r="AL74" s="5">
        <f>MAX(0,Y74-MAX(0,Z74-SUM(Q74:X74)))</f>
        <v/>
      </c>
    </row>
    <row r="75">
      <c r="A75" s="5" t="inlineStr">
        <is>
          <t>HASLS22260801987</t>
        </is>
      </c>
      <c r="B75" s="5" t="inlineStr">
        <is>
          <t>KMSU</t>
        </is>
      </c>
      <c r="C75" s="5" t="inlineStr">
        <is>
          <t>2607S</t>
        </is>
      </c>
      <c r="D75" s="5" t="inlineStr">
        <is>
          <t>202609271100</t>
        </is>
      </c>
      <c r="E75" s="5" t="inlineStr"/>
      <c r="F75" s="5" t="inlineStr">
        <is>
          <t>THLCH</t>
        </is>
      </c>
      <c r="G75" s="5" t="inlineStr">
        <is>
          <t>IDJKT</t>
        </is>
      </c>
      <c r="H75" s="5" t="inlineStr">
        <is>
          <t xml:space="preserve">20'x2 </t>
        </is>
      </c>
      <c r="I75" s="5" t="inlineStr">
        <is>
          <t>LCHY5</t>
        </is>
      </c>
      <c r="J75" s="5" t="inlineStr">
        <is>
          <t>PW DEPOT CO., LTD.</t>
        </is>
      </c>
      <c r="K75" s="5" t="inlineStr">
        <is>
          <t>20260822</t>
        </is>
      </c>
      <c r="L75" s="5" t="inlineStr">
        <is>
          <t>L.A.1 CO.,LTD.</t>
        </is>
      </c>
      <c r="M75" s="5" t="inlineStr">
        <is>
          <t>TANATEX CHEMICALS (THAILAND) CO., LTD.</t>
        </is>
      </c>
      <c r="N75" s="5" t="inlineStr">
        <is>
          <t>CHEMICALS PRODUCT (NON DG)</t>
        </is>
      </c>
      <c r="O75" s="5" t="inlineStr">
        <is>
          <t>GOOD AND CLEAN CONTAINER</t>
        </is>
      </c>
      <c r="P75" s="5" t="inlineStr">
        <is>
          <t>Pickup : 2026-08-22, Return : 2026-08-24</t>
        </is>
      </c>
      <c r="Q75" s="5" t="n">
        <v>2</v>
      </c>
      <c r="R75" s="5" t="n">
        <v>0</v>
      </c>
      <c r="S75" s="5" t="n">
        <v>0</v>
      </c>
      <c r="T75" s="5" t="n">
        <v>0</v>
      </c>
      <c r="U75" s="5" t="n">
        <v>0</v>
      </c>
      <c r="V75" s="5" t="n">
        <v>0</v>
      </c>
      <c r="W75" s="5" t="n">
        <v>0</v>
      </c>
      <c r="X75" s="5" t="n">
        <v>0</v>
      </c>
      <c r="Y75" s="5" t="n">
        <v>0</v>
      </c>
      <c r="Z75" s="5" t="n">
        <v>0</v>
      </c>
      <c r="AA75" s="5" t="n">
        <v>0</v>
      </c>
      <c r="AB75" s="5">
        <f>SUM(Q75:Y75)-Z75</f>
        <v/>
      </c>
      <c r="AC75" s="5">
        <f>IF(I75="","",IF(OR(LEFT(I75,3)="BKK",I75="LCH55"),"BKK",IF(LEFT(I75,3)="LCH","LCH","OTHER")))</f>
        <v/>
      </c>
      <c r="AD75" s="5">
        <f>MAX(0,Q75-MAX(0,Z75))</f>
        <v/>
      </c>
      <c r="AE75" s="5">
        <f>MAX(0,R75-MAX(0,Z75-SUM(Q75:Q75)))</f>
        <v/>
      </c>
      <c r="AF75" s="5">
        <f>MAX(0,S75-MAX(0,Z75-SUM(Q75:R75)))</f>
        <v/>
      </c>
      <c r="AG75" s="5">
        <f>MAX(0,T75-MAX(0,Z75-SUM(Q75:S75)))</f>
        <v/>
      </c>
      <c r="AH75" s="5">
        <f>MAX(0,U75-MAX(0,Z75-SUM(Q75:T75)))</f>
        <v/>
      </c>
      <c r="AI75" s="5">
        <f>MAX(0,V75-MAX(0,Z75-SUM(Q75:U75)))</f>
        <v/>
      </c>
      <c r="AJ75" s="5">
        <f>MAX(0,W75-MAX(0,Z75-SUM(Q75:V75)))</f>
        <v/>
      </c>
      <c r="AK75" s="5">
        <f>MAX(0,X75-MAX(0,Z75-SUM(Q75:W75)))</f>
        <v/>
      </c>
      <c r="AL75" s="5">
        <f>MAX(0,Y75-MAX(0,Z75-SUM(Q75:X75)))</f>
        <v/>
      </c>
    </row>
    <row r="76">
      <c r="A76" s="5" t="inlineStr">
        <is>
          <t>HASLS22260802247</t>
        </is>
      </c>
      <c r="B76" s="5" t="inlineStr">
        <is>
          <t>SWBT</t>
        </is>
      </c>
      <c r="C76" s="5" t="inlineStr">
        <is>
          <t>2615N</t>
        </is>
      </c>
      <c r="D76" s="5" t="inlineStr">
        <is>
          <t>202609220500</t>
        </is>
      </c>
      <c r="E76" s="5" t="inlineStr"/>
      <c r="F76" s="5" t="inlineStr">
        <is>
          <t>THLCH</t>
        </is>
      </c>
      <c r="G76" s="5" t="inlineStr">
        <is>
          <t>VNSGN</t>
        </is>
      </c>
      <c r="H76" s="5" t="inlineStr">
        <is>
          <t xml:space="preserve">40Hx2 </t>
        </is>
      </c>
      <c r="I76" s="5" t="inlineStr">
        <is>
          <t>LCHY5</t>
        </is>
      </c>
      <c r="J76" s="5" t="inlineStr">
        <is>
          <t>PW DEPOT CO., LTD.</t>
        </is>
      </c>
      <c r="K76" s="5" t="inlineStr">
        <is>
          <t>20260917</t>
        </is>
      </c>
      <c r="L76" s="5" t="inlineStr">
        <is>
          <t>EAST-LINK CORPORATION CO., LTD.</t>
        </is>
      </c>
      <c r="M76" s="5" t="inlineStr">
        <is>
          <t>XTRON AIR-CONDITIONING MANUFACTURE (THAILAND) CO.,LTD</t>
        </is>
      </c>
      <c r="N76" s="5" t="inlineStr">
        <is>
          <t>AIR CONDITIONER</t>
        </is>
      </c>
      <c r="O76" s="5" t="inlineStr">
        <is>
          <t>RQS CLEAN &amp; GOOD CONTAINER CONDITION.</t>
        </is>
      </c>
      <c r="P76" s="5" t="inlineStr">
        <is>
          <t>Pickup : 2026-09-17, Return : 2026-09-17</t>
        </is>
      </c>
      <c r="Q76" s="5" t="n">
        <v>0</v>
      </c>
      <c r="R76" s="5" t="n">
        <v>0</v>
      </c>
      <c r="S76" s="5" t="n">
        <v>2</v>
      </c>
      <c r="T76" s="5" t="n">
        <v>0</v>
      </c>
      <c r="U76" s="5" t="n">
        <v>0</v>
      </c>
      <c r="V76" s="5" t="n">
        <v>0</v>
      </c>
      <c r="W76" s="5" t="n">
        <v>0</v>
      </c>
      <c r="X76" s="5" t="n">
        <v>0</v>
      </c>
      <c r="Y76" s="5" t="n">
        <v>0</v>
      </c>
      <c r="Z76" s="5" t="n">
        <v>1</v>
      </c>
      <c r="AA76" s="5" t="n">
        <v>0</v>
      </c>
      <c r="AB76" s="5">
        <f>SUM(Q76:Y76)-Z76</f>
        <v/>
      </c>
      <c r="AC76" s="5">
        <f>IF(I76="","",IF(OR(LEFT(I76,3)="BKK",I76="LCH55"),"BKK",IF(LEFT(I76,3)="LCH","LCH","OTHER")))</f>
        <v/>
      </c>
      <c r="AD76" s="5">
        <f>MAX(0,Q76-MAX(0,Z76))</f>
        <v/>
      </c>
      <c r="AE76" s="5">
        <f>MAX(0,R76-MAX(0,Z76-SUM(Q76:Q76)))</f>
        <v/>
      </c>
      <c r="AF76" s="5">
        <f>MAX(0,S76-MAX(0,Z76-SUM(Q76:R76)))</f>
        <v/>
      </c>
      <c r="AG76" s="5">
        <f>MAX(0,T76-MAX(0,Z76-SUM(Q76:S76)))</f>
        <v/>
      </c>
      <c r="AH76" s="5">
        <f>MAX(0,U76-MAX(0,Z76-SUM(Q76:T76)))</f>
        <v/>
      </c>
      <c r="AI76" s="5">
        <f>MAX(0,V76-MAX(0,Z76-SUM(Q76:U76)))</f>
        <v/>
      </c>
      <c r="AJ76" s="5">
        <f>MAX(0,W76-MAX(0,Z76-SUM(Q76:V76)))</f>
        <v/>
      </c>
      <c r="AK76" s="5">
        <f>MAX(0,X76-MAX(0,Z76-SUM(Q76:W76)))</f>
        <v/>
      </c>
      <c r="AL76" s="5">
        <f>MAX(0,Y76-MAX(0,Z76-SUM(Q76:X76)))</f>
        <v/>
      </c>
    </row>
    <row r="77">
      <c r="A77" s="5" t="inlineStr">
        <is>
          <t>HASLS22260802311</t>
        </is>
      </c>
      <c r="B77" s="5" t="inlineStr">
        <is>
          <t>SWMM</t>
        </is>
      </c>
      <c r="C77" s="5" t="inlineStr">
        <is>
          <t>2609N</t>
        </is>
      </c>
      <c r="D77" s="5" t="inlineStr">
        <is>
          <t>202609230600</t>
        </is>
      </c>
      <c r="E77" s="5" t="inlineStr"/>
      <c r="F77" s="5" t="inlineStr">
        <is>
          <t>THLCH</t>
        </is>
      </c>
      <c r="G77" s="5" t="inlineStr">
        <is>
          <t>JPMIZ</t>
        </is>
      </c>
      <c r="H77" s="5" t="inlineStr">
        <is>
          <t xml:space="preserve">40Hx1 </t>
        </is>
      </c>
      <c r="I77" s="5" t="inlineStr">
        <is>
          <t>LCHY5</t>
        </is>
      </c>
      <c r="J77" s="5" t="inlineStr">
        <is>
          <t>PW DEPOT CO., LTD.</t>
        </is>
      </c>
      <c r="K77" s="5" t="inlineStr">
        <is>
          <t>20260916</t>
        </is>
      </c>
      <c r="L77" s="5" t="inlineStr">
        <is>
          <t>WHA GC LOGISTICS COMPANY LIMITED</t>
        </is>
      </c>
      <c r="M77" s="5" t="inlineStr">
        <is>
          <t>PTT GLOBAL CHEMICAL PUBLIC COMPANY LIMITED</t>
        </is>
      </c>
      <c r="N77" s="5" t="inlineStr">
        <is>
          <t>RESIN</t>
        </is>
      </c>
      <c r="O77" s="5" t="inlineStr">
        <is>
          <t>*** GOOD &amp; CLEAN CONT.</t>
        </is>
      </c>
      <c r="P77" s="5" t="inlineStr">
        <is>
          <t xml:space="preserve">[FIX]CY-RTN : 16-18/09/2026  (PR2610002002)
</t>
        </is>
      </c>
      <c r="Q77" s="5" t="n">
        <v>0</v>
      </c>
      <c r="R77" s="5" t="n">
        <v>0</v>
      </c>
      <c r="S77" s="5" t="n">
        <v>1</v>
      </c>
      <c r="T77" s="5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5" t="n">
        <v>0</v>
      </c>
      <c r="Z77" s="5" t="n">
        <v>0</v>
      </c>
      <c r="AA77" s="5" t="n">
        <v>0</v>
      </c>
      <c r="AB77" s="5">
        <f>SUM(Q77:Y77)-Z77</f>
        <v/>
      </c>
      <c r="AC77" s="5">
        <f>IF(I77="","",IF(OR(LEFT(I77,3)="BKK",I77="LCH55"),"BKK",IF(LEFT(I77,3)="LCH","LCH","OTHER")))</f>
        <v/>
      </c>
      <c r="AD77" s="5">
        <f>MAX(0,Q77-MAX(0,Z77))</f>
        <v/>
      </c>
      <c r="AE77" s="5">
        <f>MAX(0,R77-MAX(0,Z77-SUM(Q77:Q77)))</f>
        <v/>
      </c>
      <c r="AF77" s="5">
        <f>MAX(0,S77-MAX(0,Z77-SUM(Q77:R77)))</f>
        <v/>
      </c>
      <c r="AG77" s="5">
        <f>MAX(0,T77-MAX(0,Z77-SUM(Q77:S77)))</f>
        <v/>
      </c>
      <c r="AH77" s="5">
        <f>MAX(0,U77-MAX(0,Z77-SUM(Q77:T77)))</f>
        <v/>
      </c>
      <c r="AI77" s="5">
        <f>MAX(0,V77-MAX(0,Z77-SUM(Q77:U77)))</f>
        <v/>
      </c>
      <c r="AJ77" s="5">
        <f>MAX(0,W77-MAX(0,Z77-SUM(Q77:V77)))</f>
        <v/>
      </c>
      <c r="AK77" s="5">
        <f>MAX(0,X77-MAX(0,Z77-SUM(Q77:W77)))</f>
        <v/>
      </c>
      <c r="AL77" s="5">
        <f>MAX(0,Y77-MAX(0,Z77-SUM(Q77:X77)))</f>
        <v/>
      </c>
    </row>
    <row r="78">
      <c r="A78" s="5" t="inlineStr">
        <is>
          <t>HASLS22260802314</t>
        </is>
      </c>
      <c r="B78" s="5" t="inlineStr">
        <is>
          <t>SWIC</t>
        </is>
      </c>
      <c r="C78" s="5" t="inlineStr">
        <is>
          <t>2610N</t>
        </is>
      </c>
      <c r="D78" s="5" t="inlineStr">
        <is>
          <t>202609220500</t>
        </is>
      </c>
      <c r="E78" s="5" t="inlineStr"/>
      <c r="F78" s="5" t="inlineStr">
        <is>
          <t>THLCH</t>
        </is>
      </c>
      <c r="G78" s="5" t="inlineStr">
        <is>
          <t>JPYKK</t>
        </is>
      </c>
      <c r="H78" s="5" t="inlineStr">
        <is>
          <t xml:space="preserve">20'x1 </t>
        </is>
      </c>
      <c r="I78" s="5" t="inlineStr">
        <is>
          <t>LCHY5</t>
        </is>
      </c>
      <c r="J78" s="5" t="inlineStr">
        <is>
          <t>PW DEPOT CO., LTD.</t>
        </is>
      </c>
      <c r="K78" s="5" t="inlineStr">
        <is>
          <t>20260909</t>
        </is>
      </c>
      <c r="L78" s="5" t="inlineStr">
        <is>
          <t>DOW CHEMICAL THAILAND LTD.</t>
        </is>
      </c>
      <c r="M78" s="5" t="inlineStr">
        <is>
          <t>SIAM POLYETHYLENE CO., LTD.</t>
        </is>
      </c>
      <c r="N78" s="5" t="inlineStr">
        <is>
          <t>RESIN</t>
        </is>
      </c>
      <c r="O78" s="5" t="inlineStr">
        <is>
          <t>1X20' SEABULK</t>
        </is>
      </c>
      <c r="P78" s="5" t="inlineStr">
        <is>
          <t xml:space="preserve">Pickup : 2026-09-09, Return : 2026-09-15 
** PLEASE CHECK OPEN GATE BEFORE RETURN CONTAINER ** </t>
        </is>
      </c>
      <c r="Q78" s="5" t="n">
        <v>1</v>
      </c>
      <c r="R78" s="5" t="n">
        <v>0</v>
      </c>
      <c r="S78" s="5" t="n">
        <v>0</v>
      </c>
      <c r="T78" s="5" t="n">
        <v>0</v>
      </c>
      <c r="U78" s="5" t="n">
        <v>0</v>
      </c>
      <c r="V78" s="5" t="n">
        <v>0</v>
      </c>
      <c r="W78" s="5" t="n">
        <v>0</v>
      </c>
      <c r="X78" s="5" t="n">
        <v>0</v>
      </c>
      <c r="Y78" s="5" t="n">
        <v>0</v>
      </c>
      <c r="Z78" s="5" t="n">
        <v>0</v>
      </c>
      <c r="AA78" s="5" t="n">
        <v>0</v>
      </c>
      <c r="AB78" s="5">
        <f>SUM(Q78:Y78)-Z78</f>
        <v/>
      </c>
      <c r="AC78" s="5">
        <f>IF(I78="","",IF(OR(LEFT(I78,3)="BKK",I78="LCH55"),"BKK",IF(LEFT(I78,3)="LCH","LCH","OTHER")))</f>
        <v/>
      </c>
      <c r="AD78" s="5">
        <f>MAX(0,Q78-MAX(0,Z78))</f>
        <v/>
      </c>
      <c r="AE78" s="5">
        <f>MAX(0,R78-MAX(0,Z78-SUM(Q78:Q78)))</f>
        <v/>
      </c>
      <c r="AF78" s="5">
        <f>MAX(0,S78-MAX(0,Z78-SUM(Q78:R78)))</f>
        <v/>
      </c>
      <c r="AG78" s="5">
        <f>MAX(0,T78-MAX(0,Z78-SUM(Q78:S78)))</f>
        <v/>
      </c>
      <c r="AH78" s="5">
        <f>MAX(0,U78-MAX(0,Z78-SUM(Q78:T78)))</f>
        <v/>
      </c>
      <c r="AI78" s="5">
        <f>MAX(0,V78-MAX(0,Z78-SUM(Q78:U78)))</f>
        <v/>
      </c>
      <c r="AJ78" s="5">
        <f>MAX(0,W78-MAX(0,Z78-SUM(Q78:V78)))</f>
        <v/>
      </c>
      <c r="AK78" s="5">
        <f>MAX(0,X78-MAX(0,Z78-SUM(Q78:W78)))</f>
        <v/>
      </c>
      <c r="AL78" s="5">
        <f>MAX(0,Y78-MAX(0,Z78-SUM(Q78:X78)))</f>
        <v/>
      </c>
    </row>
    <row r="79">
      <c r="A79" s="5" t="inlineStr">
        <is>
          <t>HASLS22260802316</t>
        </is>
      </c>
      <c r="B79" s="5" t="inlineStr">
        <is>
          <t>SWIC</t>
        </is>
      </c>
      <c r="C79" s="5" t="inlineStr">
        <is>
          <t>2610N</t>
        </is>
      </c>
      <c r="D79" s="5" t="inlineStr">
        <is>
          <t>202609220500</t>
        </is>
      </c>
      <c r="E79" s="5" t="inlineStr"/>
      <c r="F79" s="5" t="inlineStr">
        <is>
          <t>THLCH</t>
        </is>
      </c>
      <c r="G79" s="5" t="inlineStr">
        <is>
          <t>JPYKK</t>
        </is>
      </c>
      <c r="H79" s="5" t="inlineStr">
        <is>
          <t xml:space="preserve">20'x1 </t>
        </is>
      </c>
      <c r="I79" s="5" t="inlineStr">
        <is>
          <t>LCHY5</t>
        </is>
      </c>
      <c r="J79" s="5" t="inlineStr">
        <is>
          <t>PW DEPOT CO., LTD.</t>
        </is>
      </c>
      <c r="K79" s="5" t="inlineStr">
        <is>
          <t>20260909</t>
        </is>
      </c>
      <c r="L79" s="5" t="inlineStr">
        <is>
          <t>DOW CHEMICAL THAILAND LTD.</t>
        </is>
      </c>
      <c r="M79" s="5" t="inlineStr">
        <is>
          <t>SIAM POLYETHYLENE CO., LTD.</t>
        </is>
      </c>
      <c r="N79" s="5" t="inlineStr">
        <is>
          <t>RESIN</t>
        </is>
      </c>
      <c r="O79" s="5" t="inlineStr">
        <is>
          <t>1X20' SEABULK</t>
        </is>
      </c>
      <c r="P79" s="5" t="inlineStr">
        <is>
          <t xml:space="preserve">Pickup : 2026-09-09, Return : 2026-09-15
** PLEASE CHECK OPEN GATE BEFORE RETURN CONTAINER **  </t>
        </is>
      </c>
      <c r="Q79" s="5" t="n">
        <v>1</v>
      </c>
      <c r="R79" s="5" t="n">
        <v>0</v>
      </c>
      <c r="S79" s="5" t="n">
        <v>0</v>
      </c>
      <c r="T79" s="5" t="n">
        <v>0</v>
      </c>
      <c r="U79" s="5" t="n">
        <v>0</v>
      </c>
      <c r="V79" s="5" t="n">
        <v>0</v>
      </c>
      <c r="W79" s="5" t="n">
        <v>0</v>
      </c>
      <c r="X79" s="5" t="n">
        <v>0</v>
      </c>
      <c r="Y79" s="5" t="n">
        <v>0</v>
      </c>
      <c r="Z79" s="5" t="n">
        <v>0</v>
      </c>
      <c r="AA79" s="5" t="n">
        <v>0</v>
      </c>
      <c r="AB79" s="5">
        <f>SUM(Q79:Y79)-Z79</f>
        <v/>
      </c>
      <c r="AC79" s="5">
        <f>IF(I79="","",IF(OR(LEFT(I79,3)="BKK",I79="LCH55"),"BKK",IF(LEFT(I79,3)="LCH","LCH","OTHER")))</f>
        <v/>
      </c>
      <c r="AD79" s="5">
        <f>MAX(0,Q79-MAX(0,Z79))</f>
        <v/>
      </c>
      <c r="AE79" s="5">
        <f>MAX(0,R79-MAX(0,Z79-SUM(Q79:Q79)))</f>
        <v/>
      </c>
      <c r="AF79" s="5">
        <f>MAX(0,S79-MAX(0,Z79-SUM(Q79:R79)))</f>
        <v/>
      </c>
      <c r="AG79" s="5">
        <f>MAX(0,T79-MAX(0,Z79-SUM(Q79:S79)))</f>
        <v/>
      </c>
      <c r="AH79" s="5">
        <f>MAX(0,U79-MAX(0,Z79-SUM(Q79:T79)))</f>
        <v/>
      </c>
      <c r="AI79" s="5">
        <f>MAX(0,V79-MAX(0,Z79-SUM(Q79:U79)))</f>
        <v/>
      </c>
      <c r="AJ79" s="5">
        <f>MAX(0,W79-MAX(0,Z79-SUM(Q79:V79)))</f>
        <v/>
      </c>
      <c r="AK79" s="5">
        <f>MAX(0,X79-MAX(0,Z79-SUM(Q79:W79)))</f>
        <v/>
      </c>
      <c r="AL79" s="5">
        <f>MAX(0,Y79-MAX(0,Z79-SUM(Q79:X79)))</f>
        <v/>
      </c>
    </row>
    <row r="80">
      <c r="A80" s="5" t="inlineStr">
        <is>
          <t>HASLS22260802317</t>
        </is>
      </c>
      <c r="B80" s="5" t="inlineStr">
        <is>
          <t>SWIC</t>
        </is>
      </c>
      <c r="C80" s="5" t="inlineStr">
        <is>
          <t>2610N</t>
        </is>
      </c>
      <c r="D80" s="5" t="inlineStr">
        <is>
          <t>202609220500</t>
        </is>
      </c>
      <c r="E80" s="5" t="inlineStr"/>
      <c r="F80" s="5" t="inlineStr">
        <is>
          <t>THLCH</t>
        </is>
      </c>
      <c r="G80" s="5" t="inlineStr">
        <is>
          <t>JPYKK</t>
        </is>
      </c>
      <c r="H80" s="5" t="inlineStr">
        <is>
          <t xml:space="preserve">20'x1 </t>
        </is>
      </c>
      <c r="I80" s="5" t="inlineStr">
        <is>
          <t>LCHY5</t>
        </is>
      </c>
      <c r="J80" s="5" t="inlineStr">
        <is>
          <t>PW DEPOT CO., LTD.</t>
        </is>
      </c>
      <c r="K80" s="5" t="inlineStr">
        <is>
          <t>20260909</t>
        </is>
      </c>
      <c r="L80" s="5" t="inlineStr">
        <is>
          <t>DOW CHEMICAL THAILAND LTD.</t>
        </is>
      </c>
      <c r="M80" s="5" t="inlineStr">
        <is>
          <t>SIAM POLYETHYLENE CO., LTD.</t>
        </is>
      </c>
      <c r="N80" s="5" t="inlineStr">
        <is>
          <t>RESIN</t>
        </is>
      </c>
      <c r="O80" s="5" t="inlineStr">
        <is>
          <t>1X20' SEABULK</t>
        </is>
      </c>
      <c r="P80" s="5" t="inlineStr">
        <is>
          <t>Pickup : 2026-09-09, Return : 2026-09-15 
** PLEASE CHECK OPEN GATE BEFORE RETURN CONTAINER **</t>
        </is>
      </c>
      <c r="Q80" s="5" t="n">
        <v>1</v>
      </c>
      <c r="R80" s="5" t="n">
        <v>0</v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>
        <v>0</v>
      </c>
      <c r="Y80" s="5" t="n">
        <v>0</v>
      </c>
      <c r="Z80" s="5" t="n">
        <v>0</v>
      </c>
      <c r="AA80" s="5" t="n">
        <v>0</v>
      </c>
      <c r="AB80" s="5">
        <f>SUM(Q80:Y80)-Z80</f>
        <v/>
      </c>
      <c r="AC80" s="5">
        <f>IF(I80="","",IF(OR(LEFT(I80,3)="BKK",I80="LCH55"),"BKK",IF(LEFT(I80,3)="LCH","LCH","OTHER")))</f>
        <v/>
      </c>
      <c r="AD80" s="5">
        <f>MAX(0,Q80-MAX(0,Z80))</f>
        <v/>
      </c>
      <c r="AE80" s="5">
        <f>MAX(0,R80-MAX(0,Z80-SUM(Q80:Q80)))</f>
        <v/>
      </c>
      <c r="AF80" s="5">
        <f>MAX(0,S80-MAX(0,Z80-SUM(Q80:R80)))</f>
        <v/>
      </c>
      <c r="AG80" s="5">
        <f>MAX(0,T80-MAX(0,Z80-SUM(Q80:S80)))</f>
        <v/>
      </c>
      <c r="AH80" s="5">
        <f>MAX(0,U80-MAX(0,Z80-SUM(Q80:T80)))</f>
        <v/>
      </c>
      <c r="AI80" s="5">
        <f>MAX(0,V80-MAX(0,Z80-SUM(Q80:U80)))</f>
        <v/>
      </c>
      <c r="AJ80" s="5">
        <f>MAX(0,W80-MAX(0,Z80-SUM(Q80:V80)))</f>
        <v/>
      </c>
      <c r="AK80" s="5">
        <f>MAX(0,X80-MAX(0,Z80-SUM(Q80:W80)))</f>
        <v/>
      </c>
      <c r="AL80" s="5">
        <f>MAX(0,Y80-MAX(0,Z80-SUM(Q80:X80)))</f>
        <v/>
      </c>
    </row>
    <row r="81">
      <c r="A81" s="5" t="inlineStr">
        <is>
          <t>HASLS22260802319</t>
        </is>
      </c>
      <c r="B81" s="5" t="inlineStr">
        <is>
          <t>SWIC</t>
        </is>
      </c>
      <c r="C81" s="5" t="inlineStr">
        <is>
          <t>2610N</t>
        </is>
      </c>
      <c r="D81" s="5" t="inlineStr">
        <is>
          <t>202609220500</t>
        </is>
      </c>
      <c r="E81" s="5" t="inlineStr"/>
      <c r="F81" s="5" t="inlineStr">
        <is>
          <t>THLCH</t>
        </is>
      </c>
      <c r="G81" s="5" t="inlineStr">
        <is>
          <t>JPYKK</t>
        </is>
      </c>
      <c r="H81" s="5" t="inlineStr">
        <is>
          <t xml:space="preserve">20'x1 </t>
        </is>
      </c>
      <c r="I81" s="5" t="inlineStr">
        <is>
          <t>LCHY5</t>
        </is>
      </c>
      <c r="J81" s="5" t="inlineStr">
        <is>
          <t>PW DEPOT CO., LTD.</t>
        </is>
      </c>
      <c r="K81" s="5" t="inlineStr">
        <is>
          <t>20260909</t>
        </is>
      </c>
      <c r="L81" s="5" t="inlineStr">
        <is>
          <t>DOW CHEMICAL THAILAND LTD.</t>
        </is>
      </c>
      <c r="M81" s="5" t="inlineStr">
        <is>
          <t>SIAM POLYETHYLENE CO., LTD.</t>
        </is>
      </c>
      <c r="N81" s="5" t="inlineStr">
        <is>
          <t>RESIN</t>
        </is>
      </c>
      <c r="O81" s="5" t="inlineStr">
        <is>
          <t>1X20' SEABULK</t>
        </is>
      </c>
      <c r="P81" s="5" t="inlineStr">
        <is>
          <t xml:space="preserve">Pickup : 2026-09-09, Return : 2026-09-15
** PLEASE CHECK OPEN GATE BEFORE RETURN CONTAINER ** </t>
        </is>
      </c>
      <c r="Q81" s="5" t="n">
        <v>1</v>
      </c>
      <c r="R81" s="5" t="n">
        <v>0</v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0</v>
      </c>
      <c r="Z81" s="5" t="n">
        <v>0</v>
      </c>
      <c r="AA81" s="5" t="n">
        <v>0</v>
      </c>
      <c r="AB81" s="5">
        <f>SUM(Q81:Y81)-Z81</f>
        <v/>
      </c>
      <c r="AC81" s="5">
        <f>IF(I81="","",IF(OR(LEFT(I81,3)="BKK",I81="LCH55"),"BKK",IF(LEFT(I81,3)="LCH","LCH","OTHER")))</f>
        <v/>
      </c>
      <c r="AD81" s="5">
        <f>MAX(0,Q81-MAX(0,Z81))</f>
        <v/>
      </c>
      <c r="AE81" s="5">
        <f>MAX(0,R81-MAX(0,Z81-SUM(Q81:Q81)))</f>
        <v/>
      </c>
      <c r="AF81" s="5">
        <f>MAX(0,S81-MAX(0,Z81-SUM(Q81:R81)))</f>
        <v/>
      </c>
      <c r="AG81" s="5">
        <f>MAX(0,T81-MAX(0,Z81-SUM(Q81:S81)))</f>
        <v/>
      </c>
      <c r="AH81" s="5">
        <f>MAX(0,U81-MAX(0,Z81-SUM(Q81:T81)))</f>
        <v/>
      </c>
      <c r="AI81" s="5">
        <f>MAX(0,V81-MAX(0,Z81-SUM(Q81:U81)))</f>
        <v/>
      </c>
      <c r="AJ81" s="5">
        <f>MAX(0,W81-MAX(0,Z81-SUM(Q81:V81)))</f>
        <v/>
      </c>
      <c r="AK81" s="5">
        <f>MAX(0,X81-MAX(0,Z81-SUM(Q81:W81)))</f>
        <v/>
      </c>
      <c r="AL81" s="5">
        <f>MAX(0,Y81-MAX(0,Z81-SUM(Q81:X81)))</f>
        <v/>
      </c>
    </row>
    <row r="82">
      <c r="A82" s="5" t="inlineStr">
        <is>
          <t>HASLS22260802321</t>
        </is>
      </c>
      <c r="B82" s="5" t="inlineStr">
        <is>
          <t>SWIC</t>
        </is>
      </c>
      <c r="C82" s="5" t="inlineStr">
        <is>
          <t>2610N</t>
        </is>
      </c>
      <c r="D82" s="5" t="inlineStr">
        <is>
          <t>202609220500</t>
        </is>
      </c>
      <c r="E82" s="5" t="inlineStr"/>
      <c r="F82" s="5" t="inlineStr">
        <is>
          <t>THLCH</t>
        </is>
      </c>
      <c r="G82" s="5" t="inlineStr">
        <is>
          <t>JPYKK</t>
        </is>
      </c>
      <c r="H82" s="5" t="inlineStr">
        <is>
          <t xml:space="preserve">20'x1 </t>
        </is>
      </c>
      <c r="I82" s="5" t="inlineStr">
        <is>
          <t>LCHY5</t>
        </is>
      </c>
      <c r="J82" s="5" t="inlineStr">
        <is>
          <t>PW DEPOT CO., LTD.</t>
        </is>
      </c>
      <c r="K82" s="5" t="inlineStr">
        <is>
          <t>20260909</t>
        </is>
      </c>
      <c r="L82" s="5" t="inlineStr">
        <is>
          <t>DOW CHEMICAL THAILAND LTD.</t>
        </is>
      </c>
      <c r="M82" s="5" t="inlineStr">
        <is>
          <t>SIAM POLYETHYLENE CO., LTD.</t>
        </is>
      </c>
      <c r="N82" s="5" t="inlineStr">
        <is>
          <t>RESIN</t>
        </is>
      </c>
      <c r="O82" s="5" t="inlineStr">
        <is>
          <t>1X20' SEABULK</t>
        </is>
      </c>
      <c r="P82" s="5" t="inlineStr">
        <is>
          <t xml:space="preserve">Pickup : 2026-09-09, Return : 2026-09-15 
** PLEASE CHECK OPEN GATE BEFORE RETURN CONTAINER ** </t>
        </is>
      </c>
      <c r="Q82" s="5" t="n">
        <v>1</v>
      </c>
      <c r="R82" s="5" t="n">
        <v>0</v>
      </c>
      <c r="S82" s="5" t="n">
        <v>0</v>
      </c>
      <c r="T82" s="5" t="n">
        <v>0</v>
      </c>
      <c r="U82" s="5" t="n">
        <v>0</v>
      </c>
      <c r="V82" s="5" t="n">
        <v>0</v>
      </c>
      <c r="W82" s="5" t="n">
        <v>0</v>
      </c>
      <c r="X82" s="5" t="n">
        <v>0</v>
      </c>
      <c r="Y82" s="5" t="n">
        <v>0</v>
      </c>
      <c r="Z82" s="5" t="n">
        <v>0</v>
      </c>
      <c r="AA82" s="5" t="n">
        <v>0</v>
      </c>
      <c r="AB82" s="5">
        <f>SUM(Q82:Y82)-Z82</f>
        <v/>
      </c>
      <c r="AC82" s="5">
        <f>IF(I82="","",IF(OR(LEFT(I82,3)="BKK",I82="LCH55"),"BKK",IF(LEFT(I82,3)="LCH","LCH","OTHER")))</f>
        <v/>
      </c>
      <c r="AD82" s="5">
        <f>MAX(0,Q82-MAX(0,Z82))</f>
        <v/>
      </c>
      <c r="AE82" s="5">
        <f>MAX(0,R82-MAX(0,Z82-SUM(Q82:Q82)))</f>
        <v/>
      </c>
      <c r="AF82" s="5">
        <f>MAX(0,S82-MAX(0,Z82-SUM(Q82:R82)))</f>
        <v/>
      </c>
      <c r="AG82" s="5">
        <f>MAX(0,T82-MAX(0,Z82-SUM(Q82:S82)))</f>
        <v/>
      </c>
      <c r="AH82" s="5">
        <f>MAX(0,U82-MAX(0,Z82-SUM(Q82:T82)))</f>
        <v/>
      </c>
      <c r="AI82" s="5">
        <f>MAX(0,V82-MAX(0,Z82-SUM(Q82:U82)))</f>
        <v/>
      </c>
      <c r="AJ82" s="5">
        <f>MAX(0,W82-MAX(0,Z82-SUM(Q82:V82)))</f>
        <v/>
      </c>
      <c r="AK82" s="5">
        <f>MAX(0,X82-MAX(0,Z82-SUM(Q82:W82)))</f>
        <v/>
      </c>
      <c r="AL82" s="5">
        <f>MAX(0,Y82-MAX(0,Z82-SUM(Q82:X82)))</f>
        <v/>
      </c>
    </row>
    <row r="83">
      <c r="A83" s="5" t="inlineStr">
        <is>
          <t>HASLS22260802322</t>
        </is>
      </c>
      <c r="B83" s="5" t="inlineStr">
        <is>
          <t>SWIC</t>
        </is>
      </c>
      <c r="C83" s="5" t="inlineStr">
        <is>
          <t>2610N</t>
        </is>
      </c>
      <c r="D83" s="5" t="inlineStr">
        <is>
          <t>202609220500</t>
        </is>
      </c>
      <c r="E83" s="5" t="inlineStr"/>
      <c r="F83" s="5" t="inlineStr">
        <is>
          <t>THLCH</t>
        </is>
      </c>
      <c r="G83" s="5" t="inlineStr">
        <is>
          <t>JPYKK</t>
        </is>
      </c>
      <c r="H83" s="5" t="inlineStr">
        <is>
          <t xml:space="preserve">20'x1 </t>
        </is>
      </c>
      <c r="I83" s="5" t="inlineStr">
        <is>
          <t>LCHY5</t>
        </is>
      </c>
      <c r="J83" s="5" t="inlineStr">
        <is>
          <t>PW DEPOT CO., LTD.</t>
        </is>
      </c>
      <c r="K83" s="5" t="inlineStr">
        <is>
          <t>20260909</t>
        </is>
      </c>
      <c r="L83" s="5" t="inlineStr">
        <is>
          <t>DOW CHEMICAL THAILAND LTD.</t>
        </is>
      </c>
      <c r="M83" s="5" t="inlineStr">
        <is>
          <t>SIAM POLYETHYLENE CO., LTD.</t>
        </is>
      </c>
      <c r="N83" s="5" t="inlineStr">
        <is>
          <t>RESIN</t>
        </is>
      </c>
      <c r="O83" s="5" t="inlineStr">
        <is>
          <t>1X20' SEABULK</t>
        </is>
      </c>
      <c r="P83" s="5" t="inlineStr">
        <is>
          <t xml:space="preserve">Pickup : 2026-09-09, Return : 2026-09-15 
** PLEASE CHECK OPEN GATE BEFORE RETURN CONTAINER ** </t>
        </is>
      </c>
      <c r="Q83" s="5" t="n">
        <v>1</v>
      </c>
      <c r="R83" s="5" t="n">
        <v>0</v>
      </c>
      <c r="S83" s="5" t="n">
        <v>0</v>
      </c>
      <c r="T83" s="5" t="n">
        <v>0</v>
      </c>
      <c r="U83" s="5" t="n">
        <v>0</v>
      </c>
      <c r="V83" s="5" t="n">
        <v>0</v>
      </c>
      <c r="W83" s="5" t="n">
        <v>0</v>
      </c>
      <c r="X83" s="5" t="n">
        <v>0</v>
      </c>
      <c r="Y83" s="5" t="n">
        <v>0</v>
      </c>
      <c r="Z83" s="5" t="n">
        <v>0</v>
      </c>
      <c r="AA83" s="5" t="n">
        <v>0</v>
      </c>
      <c r="AB83" s="5">
        <f>SUM(Q83:Y83)-Z83</f>
        <v/>
      </c>
      <c r="AC83" s="5">
        <f>IF(I83="","",IF(OR(LEFT(I83,3)="BKK",I83="LCH55"),"BKK",IF(LEFT(I83,3)="LCH","LCH","OTHER")))</f>
        <v/>
      </c>
      <c r="AD83" s="5">
        <f>MAX(0,Q83-MAX(0,Z83))</f>
        <v/>
      </c>
      <c r="AE83" s="5">
        <f>MAX(0,R83-MAX(0,Z83-SUM(Q83:Q83)))</f>
        <v/>
      </c>
      <c r="AF83" s="5">
        <f>MAX(0,S83-MAX(0,Z83-SUM(Q83:R83)))</f>
        <v/>
      </c>
      <c r="AG83" s="5">
        <f>MAX(0,T83-MAX(0,Z83-SUM(Q83:S83)))</f>
        <v/>
      </c>
      <c r="AH83" s="5">
        <f>MAX(0,U83-MAX(0,Z83-SUM(Q83:T83)))</f>
        <v/>
      </c>
      <c r="AI83" s="5">
        <f>MAX(0,V83-MAX(0,Z83-SUM(Q83:U83)))</f>
        <v/>
      </c>
      <c r="AJ83" s="5">
        <f>MAX(0,W83-MAX(0,Z83-SUM(Q83:V83)))</f>
        <v/>
      </c>
      <c r="AK83" s="5">
        <f>MAX(0,X83-MAX(0,Z83-SUM(Q83:W83)))</f>
        <v/>
      </c>
      <c r="AL83" s="5">
        <f>MAX(0,Y83-MAX(0,Z83-SUM(Q83:X83)))</f>
        <v/>
      </c>
    </row>
    <row r="84">
      <c r="A84" s="5" t="inlineStr">
        <is>
          <t>HASLS22260802387</t>
        </is>
      </c>
      <c r="B84" s="5" t="inlineStr">
        <is>
          <t>HAB</t>
        </is>
      </c>
      <c r="C84" s="5" t="inlineStr">
        <is>
          <t>2611N</t>
        </is>
      </c>
      <c r="D84" s="5" t="inlineStr">
        <is>
          <t>202609270600</t>
        </is>
      </c>
      <c r="E84" s="5" t="inlineStr"/>
      <c r="F84" s="5" t="inlineStr">
        <is>
          <t>THLCH</t>
        </is>
      </c>
      <c r="G84" s="5" t="inlineStr">
        <is>
          <t>CNSHA</t>
        </is>
      </c>
      <c r="H84" s="5" t="inlineStr">
        <is>
          <t xml:space="preserve">40Hx8 </t>
        </is>
      </c>
      <c r="I84" s="5" t="inlineStr">
        <is>
          <t>LCHY5</t>
        </is>
      </c>
      <c r="J84" s="5" t="inlineStr">
        <is>
          <t>PW DEPOT CO., LTD.</t>
        </is>
      </c>
      <c r="K84" s="5" t="inlineStr">
        <is>
          <t>20260911</t>
        </is>
      </c>
      <c r="L84" s="5" t="inlineStr">
        <is>
          <t>SCGJWD LOGISTICS PUBLIC COMPANY LIMITED</t>
        </is>
      </c>
      <c r="M84" s="5" t="inlineStr">
        <is>
          <t>THAI POLYETHYLENE CO., LTD.</t>
        </is>
      </c>
      <c r="N84" s="5" t="inlineStr">
        <is>
          <t>RESIN</t>
        </is>
      </c>
      <c r="O84" s="5" t="inlineStr">
        <is>
          <t>REQ GOOD AND CLEAN CONT., NO OIL, NO RUSTY</t>
        </is>
      </c>
      <c r="P84" s="5" t="inlineStr">
        <is>
          <t xml:space="preserve">CY-RTN :11-15/09/2026 *INV : 3031061381*
REQ GOOD AND CLEAN CONT., NO OIL, NO RUSTY
</t>
        </is>
      </c>
      <c r="Q84" s="5" t="n">
        <v>0</v>
      </c>
      <c r="R84" s="5" t="n">
        <v>0</v>
      </c>
      <c r="S84" s="5" t="n">
        <v>8</v>
      </c>
      <c r="T84" s="5" t="n">
        <v>0</v>
      </c>
      <c r="U84" s="5" t="n">
        <v>0</v>
      </c>
      <c r="V84" s="5" t="n">
        <v>0</v>
      </c>
      <c r="W84" s="5" t="n">
        <v>0</v>
      </c>
      <c r="X84" s="5" t="n">
        <v>0</v>
      </c>
      <c r="Y84" s="5" t="n">
        <v>0</v>
      </c>
      <c r="Z84" s="5" t="n">
        <v>0</v>
      </c>
      <c r="AA84" s="5" t="n">
        <v>0</v>
      </c>
      <c r="AB84" s="5">
        <f>SUM(Q84:Y84)-Z84</f>
        <v/>
      </c>
      <c r="AC84" s="5">
        <f>IF(I84="","",IF(OR(LEFT(I84,3)="BKK",I84="LCH55"),"BKK",IF(LEFT(I84,3)="LCH","LCH","OTHER")))</f>
        <v/>
      </c>
      <c r="AD84" s="5">
        <f>MAX(0,Q84-MAX(0,Z84))</f>
        <v/>
      </c>
      <c r="AE84" s="5">
        <f>MAX(0,R84-MAX(0,Z84-SUM(Q84:Q84)))</f>
        <v/>
      </c>
      <c r="AF84" s="5">
        <f>MAX(0,S84-MAX(0,Z84-SUM(Q84:R84)))</f>
        <v/>
      </c>
      <c r="AG84" s="5">
        <f>MAX(0,T84-MAX(0,Z84-SUM(Q84:S84)))</f>
        <v/>
      </c>
      <c r="AH84" s="5">
        <f>MAX(0,U84-MAX(0,Z84-SUM(Q84:T84)))</f>
        <v/>
      </c>
      <c r="AI84" s="5">
        <f>MAX(0,V84-MAX(0,Z84-SUM(Q84:U84)))</f>
        <v/>
      </c>
      <c r="AJ84" s="5">
        <f>MAX(0,W84-MAX(0,Z84-SUM(Q84:V84)))</f>
        <v/>
      </c>
      <c r="AK84" s="5">
        <f>MAX(0,X84-MAX(0,Z84-SUM(Q84:W84)))</f>
        <v/>
      </c>
      <c r="AL84" s="5">
        <f>MAX(0,Y84-MAX(0,Z84-SUM(Q84:X84)))</f>
        <v/>
      </c>
    </row>
    <row r="85">
      <c r="A85" s="5" t="inlineStr">
        <is>
          <t>HASLS22260802415</t>
        </is>
      </c>
      <c r="B85" s="5" t="inlineStr">
        <is>
          <t>PGPO</t>
        </is>
      </c>
      <c r="C85" s="5" t="inlineStr">
        <is>
          <t>2611N</t>
        </is>
      </c>
      <c r="D85" s="5" t="inlineStr">
        <is>
          <t>202609230830</t>
        </is>
      </c>
      <c r="E85" s="5" t="inlineStr"/>
      <c r="F85" s="5" t="inlineStr">
        <is>
          <t>THLCH</t>
        </is>
      </c>
      <c r="G85" s="5" t="inlineStr">
        <is>
          <t>RUVVO</t>
        </is>
      </c>
      <c r="H85" s="5" t="inlineStr">
        <is>
          <t xml:space="preserve">40Hx2 </t>
        </is>
      </c>
      <c r="I85" s="5" t="inlineStr">
        <is>
          <t>LCHY5</t>
        </is>
      </c>
      <c r="J85" s="5" t="inlineStr">
        <is>
          <t>PW DEPOT CO., LTD.</t>
        </is>
      </c>
      <c r="K85" s="5" t="inlineStr">
        <is>
          <t>20260917</t>
        </is>
      </c>
      <c r="L85" s="5" t="inlineStr">
        <is>
          <t>SRITHAI TOYO LOGISTICS CO., LTD.</t>
        </is>
      </c>
      <c r="M85" s="5" t="inlineStr">
        <is>
          <t>YOKOHAMA TIRE MANUFACTURING (THAILAND) CO., LTD.</t>
        </is>
      </c>
      <c r="N85" s="5" t="inlineStr">
        <is>
          <t>NEW TIRE</t>
        </is>
      </c>
      <c r="O85" s="5" t="inlineStr">
        <is>
          <t>RQST CNTR GRADE A</t>
        </is>
      </c>
      <c r="P85" s="5" t="inlineStr">
        <is>
          <t xml:space="preserve">Pickup : 2026-09-17, Return : 2026-09-19 // FM SWIC 2610N BY HAL DD.12/09 
 ** PLEASE CHECK OPEN GATE BEFORE RETURN CNTR **
</t>
        </is>
      </c>
      <c r="Q85" s="5" t="n">
        <v>0</v>
      </c>
      <c r="R85" s="5" t="n">
        <v>0</v>
      </c>
      <c r="S85" s="5" t="n">
        <v>2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0</v>
      </c>
      <c r="AA85" s="5" t="n">
        <v>0</v>
      </c>
      <c r="AB85" s="5">
        <f>SUM(Q85:Y85)-Z85</f>
        <v/>
      </c>
      <c r="AC85" s="5">
        <f>IF(I85="","",IF(OR(LEFT(I85,3)="BKK",I85="LCH55"),"BKK",IF(LEFT(I85,3)="LCH","LCH","OTHER")))</f>
        <v/>
      </c>
      <c r="AD85" s="5">
        <f>MAX(0,Q85-MAX(0,Z85))</f>
        <v/>
      </c>
      <c r="AE85" s="5">
        <f>MAX(0,R85-MAX(0,Z85-SUM(Q85:Q85)))</f>
        <v/>
      </c>
      <c r="AF85" s="5">
        <f>MAX(0,S85-MAX(0,Z85-SUM(Q85:R85)))</f>
        <v/>
      </c>
      <c r="AG85" s="5">
        <f>MAX(0,T85-MAX(0,Z85-SUM(Q85:S85)))</f>
        <v/>
      </c>
      <c r="AH85" s="5">
        <f>MAX(0,U85-MAX(0,Z85-SUM(Q85:T85)))</f>
        <v/>
      </c>
      <c r="AI85" s="5">
        <f>MAX(0,V85-MAX(0,Z85-SUM(Q85:U85)))</f>
        <v/>
      </c>
      <c r="AJ85" s="5">
        <f>MAX(0,W85-MAX(0,Z85-SUM(Q85:V85)))</f>
        <v/>
      </c>
      <c r="AK85" s="5">
        <f>MAX(0,X85-MAX(0,Z85-SUM(Q85:W85)))</f>
        <v/>
      </c>
      <c r="AL85" s="5">
        <f>MAX(0,Y85-MAX(0,Z85-SUM(Q85:X85)))</f>
        <v/>
      </c>
    </row>
    <row r="86">
      <c r="A86" s="5" t="inlineStr">
        <is>
          <t>HASLS22260802608</t>
        </is>
      </c>
      <c r="B86" s="5" t="inlineStr">
        <is>
          <t>KUS</t>
        </is>
      </c>
      <c r="C86" s="5" t="inlineStr">
        <is>
          <t>2615N</t>
        </is>
      </c>
      <c r="D86" s="5" t="inlineStr">
        <is>
          <t>202609240500</t>
        </is>
      </c>
      <c r="E86" s="5" t="inlineStr"/>
      <c r="F86" s="5" t="inlineStr">
        <is>
          <t>THLCH</t>
        </is>
      </c>
      <c r="G86" s="5" t="inlineStr">
        <is>
          <t>VNSGN</t>
        </is>
      </c>
      <c r="H86" s="5" t="inlineStr">
        <is>
          <t xml:space="preserve">20'x8 </t>
        </is>
      </c>
      <c r="I86" s="5" t="inlineStr">
        <is>
          <t>LCHY5</t>
        </is>
      </c>
      <c r="J86" s="5" t="inlineStr">
        <is>
          <t>PW DEPOT CO., LTD.</t>
        </is>
      </c>
      <c r="K86" s="5" t="inlineStr">
        <is>
          <t>20260916</t>
        </is>
      </c>
      <c r="L86" s="5" t="inlineStr">
        <is>
          <t>DOUBLE A (1991) PUBLIC COMPANY LIMITED</t>
        </is>
      </c>
      <c r="M86" s="5" t="inlineStr">
        <is>
          <t>DOUBLE A (1991) PUBLIC COMPANY LIMITED</t>
        </is>
      </c>
      <c r="N86" s="5" t="inlineStr">
        <is>
          <t>PAPER</t>
        </is>
      </c>
      <c r="O86" s="5" t="inlineStr">
        <is>
          <t>GOOD AND CLEAN CONTAINER</t>
        </is>
      </c>
      <c r="P86" s="5" t="inlineStr">
        <is>
          <t>CY-RTN : 16-18/09/2026
REF : PI-VN-TH-DA-26090009B
FRT $ 31, FREE TIME 21/14</t>
        </is>
      </c>
      <c r="Q86" s="5" t="n">
        <v>8</v>
      </c>
      <c r="R86" s="5" t="n">
        <v>0</v>
      </c>
      <c r="S86" s="5" t="n">
        <v>0</v>
      </c>
      <c r="T86" s="5" t="n">
        <v>0</v>
      </c>
      <c r="U86" s="5" t="n">
        <v>0</v>
      </c>
      <c r="V86" s="5" t="n">
        <v>0</v>
      </c>
      <c r="W86" s="5" t="n">
        <v>0</v>
      </c>
      <c r="X86" s="5" t="n">
        <v>0</v>
      </c>
      <c r="Y86" s="5" t="n">
        <v>0</v>
      </c>
      <c r="Z86" s="5" t="n">
        <v>0</v>
      </c>
      <c r="AA86" s="5" t="n">
        <v>0</v>
      </c>
      <c r="AB86" s="5">
        <f>SUM(Q86:Y86)-Z86</f>
        <v/>
      </c>
      <c r="AC86" s="5">
        <f>IF(I86="","",IF(OR(LEFT(I86,3)="BKK",I86="LCH55"),"BKK",IF(LEFT(I86,3)="LCH","LCH","OTHER")))</f>
        <v/>
      </c>
      <c r="AD86" s="5">
        <f>MAX(0,Q86-MAX(0,Z86))</f>
        <v/>
      </c>
      <c r="AE86" s="5">
        <f>MAX(0,R86-MAX(0,Z86-SUM(Q86:Q86)))</f>
        <v/>
      </c>
      <c r="AF86" s="5">
        <f>MAX(0,S86-MAX(0,Z86-SUM(Q86:R86)))</f>
        <v/>
      </c>
      <c r="AG86" s="5">
        <f>MAX(0,T86-MAX(0,Z86-SUM(Q86:S86)))</f>
        <v/>
      </c>
      <c r="AH86" s="5">
        <f>MAX(0,U86-MAX(0,Z86-SUM(Q86:T86)))</f>
        <v/>
      </c>
      <c r="AI86" s="5">
        <f>MAX(0,V86-MAX(0,Z86-SUM(Q86:U86)))</f>
        <v/>
      </c>
      <c r="AJ86" s="5">
        <f>MAX(0,W86-MAX(0,Z86-SUM(Q86:V86)))</f>
        <v/>
      </c>
      <c r="AK86" s="5">
        <f>MAX(0,X86-MAX(0,Z86-SUM(Q86:W86)))</f>
        <v/>
      </c>
      <c r="AL86" s="5">
        <f>MAX(0,Y86-MAX(0,Z86-SUM(Q86:X86)))</f>
        <v/>
      </c>
    </row>
    <row r="87">
      <c r="A87" s="5" t="inlineStr">
        <is>
          <t>HASLS22260900097</t>
        </is>
      </c>
      <c r="B87" s="5" t="inlineStr">
        <is>
          <t>CMA</t>
        </is>
      </c>
      <c r="C87" s="5" t="inlineStr">
        <is>
          <t>2614N</t>
        </is>
      </c>
      <c r="D87" s="5" t="inlineStr">
        <is>
          <t>202609241900</t>
        </is>
      </c>
      <c r="E87" s="5" t="inlineStr"/>
      <c r="F87" s="5" t="inlineStr">
        <is>
          <t>THLCH</t>
        </is>
      </c>
      <c r="G87" s="5" t="inlineStr">
        <is>
          <t>HKHKG</t>
        </is>
      </c>
      <c r="H87" s="5" t="inlineStr">
        <is>
          <t xml:space="preserve">20'x2 </t>
        </is>
      </c>
      <c r="I87" s="5" t="inlineStr">
        <is>
          <t>LCHY5</t>
        </is>
      </c>
      <c r="J87" s="5" t="inlineStr">
        <is>
          <t>PW DEPOT CO., LTD.</t>
        </is>
      </c>
      <c r="K87" s="5" t="inlineStr">
        <is>
          <t>20260916</t>
        </is>
      </c>
      <c r="L87" s="5" t="inlineStr">
        <is>
          <t>DOUBLE A (1991) PUBLIC COMPANY LIMITED</t>
        </is>
      </c>
      <c r="M87" s="5" t="inlineStr">
        <is>
          <t>DOUBLE A (1991) PUBLIC COMPANY LIMITED</t>
        </is>
      </c>
      <c r="N87" s="5" t="inlineStr">
        <is>
          <t>PAPER</t>
        </is>
      </c>
      <c r="O87" s="5" t="inlineStr">
        <is>
          <t>GOOD AND CLEAN CONTAINER</t>
        </is>
      </c>
      <c r="P87" s="5" t="inlineStr">
        <is>
          <t>CY-RTN : 16-18/09/2026
REF : AA-HK-PHO09-0192-26
FRT $35 , FREE TIME 14/14, DTHB (HKD) 2000</t>
        </is>
      </c>
      <c r="Q87" s="5" t="n">
        <v>2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>
        <f>SUM(Q87:Y87)-Z87</f>
        <v/>
      </c>
      <c r="AC87" s="5">
        <f>IF(I87="","",IF(OR(LEFT(I87,3)="BKK",I87="LCH55"),"BKK",IF(LEFT(I87,3)="LCH","LCH","OTHER")))</f>
        <v/>
      </c>
      <c r="AD87" s="5">
        <f>MAX(0,Q87-MAX(0,Z87))</f>
        <v/>
      </c>
      <c r="AE87" s="5">
        <f>MAX(0,R87-MAX(0,Z87-SUM(Q87:Q87)))</f>
        <v/>
      </c>
      <c r="AF87" s="5">
        <f>MAX(0,S87-MAX(0,Z87-SUM(Q87:R87)))</f>
        <v/>
      </c>
      <c r="AG87" s="5">
        <f>MAX(0,T87-MAX(0,Z87-SUM(Q87:S87)))</f>
        <v/>
      </c>
      <c r="AH87" s="5">
        <f>MAX(0,U87-MAX(0,Z87-SUM(Q87:T87)))</f>
        <v/>
      </c>
      <c r="AI87" s="5">
        <f>MAX(0,V87-MAX(0,Z87-SUM(Q87:U87)))</f>
        <v/>
      </c>
      <c r="AJ87" s="5">
        <f>MAX(0,W87-MAX(0,Z87-SUM(Q87:V87)))</f>
        <v/>
      </c>
      <c r="AK87" s="5">
        <f>MAX(0,X87-MAX(0,Z87-SUM(Q87:W87)))</f>
        <v/>
      </c>
      <c r="AL87" s="5">
        <f>MAX(0,Y87-MAX(0,Z87-SUM(Q87:X87)))</f>
        <v/>
      </c>
    </row>
    <row r="88">
      <c r="A88" s="5" t="inlineStr">
        <is>
          <t>HASLS22260900129</t>
        </is>
      </c>
      <c r="B88" s="5" t="inlineStr">
        <is>
          <t>SKOR</t>
        </is>
      </c>
      <c r="C88" s="5" t="inlineStr">
        <is>
          <t>2611N</t>
        </is>
      </c>
      <c r="D88" s="5" t="inlineStr">
        <is>
          <t>202609271030</t>
        </is>
      </c>
      <c r="E88" s="5" t="inlineStr"/>
      <c r="F88" s="5" t="inlineStr">
        <is>
          <t>THLCH</t>
        </is>
      </c>
      <c r="G88" s="5" t="inlineStr">
        <is>
          <t>JPTYO</t>
        </is>
      </c>
      <c r="H88" s="5" t="inlineStr">
        <is>
          <t xml:space="preserve">20'x1 </t>
        </is>
      </c>
      <c r="I88" s="5" t="inlineStr">
        <is>
          <t>LCHY5</t>
        </is>
      </c>
      <c r="J88" s="5" t="inlineStr">
        <is>
          <t>PW DEPOT CO., LTD.</t>
        </is>
      </c>
      <c r="K88" s="5" t="inlineStr">
        <is>
          <t>20260917</t>
        </is>
      </c>
      <c r="L88" s="5" t="inlineStr">
        <is>
          <t>WHA GC LOGISTICS COMPANY LIMITED</t>
        </is>
      </c>
      <c r="M88" s="5" t="inlineStr">
        <is>
          <t>PTT GLOBAL CHEMICAL PUBLIC COMPANY LIMITED</t>
        </is>
      </c>
      <c r="N88" s="5" t="inlineStr">
        <is>
          <t>RESIN</t>
        </is>
      </c>
      <c r="O88" s="5" t="inlineStr">
        <is>
          <t>REQUEST GRADE A CONTAIER + SURVEY EMPTY BEFORE PICK UP DD.19/09/26</t>
        </is>
      </c>
      <c r="P88" s="5" t="inlineStr">
        <is>
          <t>SURVEY DD.17/09/2026  CY-RTN 18-21/09/26 (PR2610002354 )</t>
        </is>
      </c>
      <c r="Q88" s="5" t="n">
        <v>1</v>
      </c>
      <c r="R88" s="5" t="n">
        <v>0</v>
      </c>
      <c r="S88" s="5" t="n">
        <v>0</v>
      </c>
      <c r="T88" s="5" t="n">
        <v>0</v>
      </c>
      <c r="U88" s="5" t="n">
        <v>0</v>
      </c>
      <c r="V88" s="5" t="n">
        <v>0</v>
      </c>
      <c r="W88" s="5" t="n">
        <v>0</v>
      </c>
      <c r="X88" s="5" t="n">
        <v>0</v>
      </c>
      <c r="Y88" s="5" t="n">
        <v>0</v>
      </c>
      <c r="Z88" s="5" t="n">
        <v>0</v>
      </c>
      <c r="AA88" s="5" t="n">
        <v>0</v>
      </c>
      <c r="AB88" s="5">
        <f>SUM(Q88:Y88)-Z88</f>
        <v/>
      </c>
      <c r="AC88" s="5">
        <f>IF(I88="","",IF(OR(LEFT(I88,3)="BKK",I88="LCH55"),"BKK",IF(LEFT(I88,3)="LCH","LCH","OTHER")))</f>
        <v/>
      </c>
      <c r="AD88" s="5">
        <f>MAX(0,Q88-MAX(0,Z88))</f>
        <v/>
      </c>
      <c r="AE88" s="5">
        <f>MAX(0,R88-MAX(0,Z88-SUM(Q88:Q88)))</f>
        <v/>
      </c>
      <c r="AF88" s="5">
        <f>MAX(0,S88-MAX(0,Z88-SUM(Q88:R88)))</f>
        <v/>
      </c>
      <c r="AG88" s="5">
        <f>MAX(0,T88-MAX(0,Z88-SUM(Q88:S88)))</f>
        <v/>
      </c>
      <c r="AH88" s="5">
        <f>MAX(0,U88-MAX(0,Z88-SUM(Q88:T88)))</f>
        <v/>
      </c>
      <c r="AI88" s="5">
        <f>MAX(0,V88-MAX(0,Z88-SUM(Q88:U88)))</f>
        <v/>
      </c>
      <c r="AJ88" s="5">
        <f>MAX(0,W88-MAX(0,Z88-SUM(Q88:V88)))</f>
        <v/>
      </c>
      <c r="AK88" s="5">
        <f>MAX(0,X88-MAX(0,Z88-SUM(Q88:W88)))</f>
        <v/>
      </c>
      <c r="AL88" s="5">
        <f>MAX(0,Y88-MAX(0,Z88-SUM(Q88:X88)))</f>
        <v/>
      </c>
    </row>
    <row r="89">
      <c r="A89" s="5" t="inlineStr">
        <is>
          <t>HASLS22260900246</t>
        </is>
      </c>
      <c r="B89" s="5" t="inlineStr">
        <is>
          <t>SWIC</t>
        </is>
      </c>
      <c r="C89" s="5" t="inlineStr">
        <is>
          <t>2610N</t>
        </is>
      </c>
      <c r="D89" s="5" t="inlineStr">
        <is>
          <t>202609220500</t>
        </is>
      </c>
      <c r="E89" s="5" t="inlineStr"/>
      <c r="F89" s="5" t="inlineStr">
        <is>
          <t>THLCH</t>
        </is>
      </c>
      <c r="G89" s="5" t="inlineStr">
        <is>
          <t>VNSGN</t>
        </is>
      </c>
      <c r="H89" s="5" t="inlineStr">
        <is>
          <t xml:space="preserve">20'x5 </t>
        </is>
      </c>
      <c r="I89" s="5" t="inlineStr">
        <is>
          <t>LCHY5</t>
        </is>
      </c>
      <c r="J89" s="5" t="inlineStr">
        <is>
          <t>PW DEPOT CO., LTD.</t>
        </is>
      </c>
      <c r="K89" s="5" t="inlineStr">
        <is>
          <t>20260916</t>
        </is>
      </c>
      <c r="L89" s="5" t="inlineStr">
        <is>
          <t>THAI MFC CO., LTD.</t>
        </is>
      </c>
      <c r="M89" s="5" t="inlineStr">
        <is>
          <t>THAI MFC CO., LTD.</t>
        </is>
      </c>
      <c r="N89" s="5" t="inlineStr">
        <is>
          <t>MELAMINE MOULDING COMPOUND</t>
        </is>
      </c>
      <c r="O89" s="5" t="inlineStr">
        <is>
          <t>No damaged and clean container</t>
        </is>
      </c>
      <c r="P89" s="5" t="inlineStr">
        <is>
          <t xml:space="preserve">Pickup : 2026-09-16, Return : 2026-09-20
 ** PLEASE CHECK OPEN GATE BEFORE RETURN CNTR **
</t>
        </is>
      </c>
      <c r="Q89" s="5" t="n">
        <v>5</v>
      </c>
      <c r="R89" s="5" t="n">
        <v>0</v>
      </c>
      <c r="S89" s="5" t="n">
        <v>0</v>
      </c>
      <c r="T89" s="5" t="n">
        <v>0</v>
      </c>
      <c r="U89" s="5" t="n">
        <v>0</v>
      </c>
      <c r="V89" s="5" t="n">
        <v>0</v>
      </c>
      <c r="W89" s="5" t="n">
        <v>0</v>
      </c>
      <c r="X89" s="5" t="n">
        <v>0</v>
      </c>
      <c r="Y89" s="5" t="n">
        <v>0</v>
      </c>
      <c r="Z89" s="5" t="n">
        <v>3</v>
      </c>
      <c r="AA89" s="5" t="n">
        <v>0</v>
      </c>
      <c r="AB89" s="5">
        <f>SUM(Q89:Y89)-Z89</f>
        <v/>
      </c>
      <c r="AC89" s="5">
        <f>IF(I89="","",IF(OR(LEFT(I89,3)="BKK",I89="LCH55"),"BKK",IF(LEFT(I89,3)="LCH","LCH","OTHER")))</f>
        <v/>
      </c>
      <c r="AD89" s="5">
        <f>MAX(0,Q89-MAX(0,Z89))</f>
        <v/>
      </c>
      <c r="AE89" s="5">
        <f>MAX(0,R89-MAX(0,Z89-SUM(Q89:Q89)))</f>
        <v/>
      </c>
      <c r="AF89" s="5">
        <f>MAX(0,S89-MAX(0,Z89-SUM(Q89:R89)))</f>
        <v/>
      </c>
      <c r="AG89" s="5">
        <f>MAX(0,T89-MAX(0,Z89-SUM(Q89:S89)))</f>
        <v/>
      </c>
      <c r="AH89" s="5">
        <f>MAX(0,U89-MAX(0,Z89-SUM(Q89:T89)))</f>
        <v/>
      </c>
      <c r="AI89" s="5">
        <f>MAX(0,V89-MAX(0,Z89-SUM(Q89:U89)))</f>
        <v/>
      </c>
      <c r="AJ89" s="5">
        <f>MAX(0,W89-MAX(0,Z89-SUM(Q89:V89)))</f>
        <v/>
      </c>
      <c r="AK89" s="5">
        <f>MAX(0,X89-MAX(0,Z89-SUM(Q89:W89)))</f>
        <v/>
      </c>
      <c r="AL89" s="5">
        <f>MAX(0,Y89-MAX(0,Z89-SUM(Q89:X89)))</f>
        <v/>
      </c>
    </row>
    <row r="90">
      <c r="A90" s="5" t="inlineStr">
        <is>
          <t>HASLS22260900436</t>
        </is>
      </c>
      <c r="B90" s="5" t="inlineStr">
        <is>
          <t>SWMM</t>
        </is>
      </c>
      <c r="C90" s="5" t="inlineStr">
        <is>
          <t>2609N</t>
        </is>
      </c>
      <c r="D90" s="5" t="inlineStr">
        <is>
          <t>202609230600</t>
        </is>
      </c>
      <c r="E90" s="5" t="inlineStr"/>
      <c r="F90" s="5" t="inlineStr">
        <is>
          <t>THLCH</t>
        </is>
      </c>
      <c r="G90" s="5" t="inlineStr">
        <is>
          <t>JPNGO</t>
        </is>
      </c>
      <c r="H90" s="5" t="inlineStr">
        <is>
          <t xml:space="preserve">20'x1 </t>
        </is>
      </c>
      <c r="I90" s="5" t="inlineStr">
        <is>
          <t>LCHY5</t>
        </is>
      </c>
      <c r="J90" s="5" t="inlineStr">
        <is>
          <t>PW DEPOT CO., LTD.</t>
        </is>
      </c>
      <c r="K90" s="5" t="inlineStr">
        <is>
          <t>20260914</t>
        </is>
      </c>
      <c r="L90" s="5" t="inlineStr">
        <is>
          <t>DOW CHEMICAL THAILAND LTD.</t>
        </is>
      </c>
      <c r="M90" s="5" t="inlineStr">
        <is>
          <t>SIAM POLYETHYLENE CO., LTD.</t>
        </is>
      </c>
      <c r="N90" s="5" t="inlineStr">
        <is>
          <t>RESIN</t>
        </is>
      </c>
      <c r="O90" s="5" t="inlineStr">
        <is>
          <t>1X20' SEABULK</t>
        </is>
      </c>
      <c r="P90" s="5" t="inlineStr">
        <is>
          <t>Pickup : 2026-09-14, Return : 2026-09-18</t>
        </is>
      </c>
      <c r="Q90" s="5" t="n">
        <v>1</v>
      </c>
      <c r="R90" s="5" t="n">
        <v>0</v>
      </c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0</v>
      </c>
      <c r="AB90" s="5">
        <f>SUM(Q90:Y90)-Z90</f>
        <v/>
      </c>
      <c r="AC90" s="5">
        <f>IF(I90="","",IF(OR(LEFT(I90,3)="BKK",I90="LCH55"),"BKK",IF(LEFT(I90,3)="LCH","LCH","OTHER")))</f>
        <v/>
      </c>
      <c r="AD90" s="5">
        <f>MAX(0,Q90-MAX(0,Z90))</f>
        <v/>
      </c>
      <c r="AE90" s="5">
        <f>MAX(0,R90-MAX(0,Z90-SUM(Q90:Q90)))</f>
        <v/>
      </c>
      <c r="AF90" s="5">
        <f>MAX(0,S90-MAX(0,Z90-SUM(Q90:R90)))</f>
        <v/>
      </c>
      <c r="AG90" s="5">
        <f>MAX(0,T90-MAX(0,Z90-SUM(Q90:S90)))</f>
        <v/>
      </c>
      <c r="AH90" s="5">
        <f>MAX(0,U90-MAX(0,Z90-SUM(Q90:T90)))</f>
        <v/>
      </c>
      <c r="AI90" s="5">
        <f>MAX(0,V90-MAX(0,Z90-SUM(Q90:U90)))</f>
        <v/>
      </c>
      <c r="AJ90" s="5">
        <f>MAX(0,W90-MAX(0,Z90-SUM(Q90:V90)))</f>
        <v/>
      </c>
      <c r="AK90" s="5">
        <f>MAX(0,X90-MAX(0,Z90-SUM(Q90:W90)))</f>
        <v/>
      </c>
      <c r="AL90" s="5">
        <f>MAX(0,Y90-MAX(0,Z90-SUM(Q90:X90)))</f>
        <v/>
      </c>
    </row>
    <row r="91">
      <c r="A91" s="5" t="inlineStr">
        <is>
          <t>HASLS22260900452</t>
        </is>
      </c>
      <c r="B91" s="5" t="inlineStr">
        <is>
          <t>SWMM</t>
        </is>
      </c>
      <c r="C91" s="5" t="inlineStr">
        <is>
          <t>2609N</t>
        </is>
      </c>
      <c r="D91" s="5" t="inlineStr">
        <is>
          <t>202609230600</t>
        </is>
      </c>
      <c r="E91" s="5" t="inlineStr"/>
      <c r="F91" s="5" t="inlineStr">
        <is>
          <t>THLCH</t>
        </is>
      </c>
      <c r="G91" s="5" t="inlineStr">
        <is>
          <t>JPYKK</t>
        </is>
      </c>
      <c r="H91" s="5" t="inlineStr">
        <is>
          <t xml:space="preserve">20'x1 </t>
        </is>
      </c>
      <c r="I91" s="5" t="inlineStr">
        <is>
          <t>LCHY5</t>
        </is>
      </c>
      <c r="J91" s="5" t="inlineStr">
        <is>
          <t>PW DEPOT CO., LTD.</t>
        </is>
      </c>
      <c r="K91" s="5" t="inlineStr">
        <is>
          <t>20260915</t>
        </is>
      </c>
      <c r="L91" s="5" t="inlineStr">
        <is>
          <t>DOW CHEMICAL THAILAND LTD.</t>
        </is>
      </c>
      <c r="M91" s="5" t="inlineStr">
        <is>
          <t>SIAM POLYETHYLENE CO., LTD.</t>
        </is>
      </c>
      <c r="N91" s="5" t="inlineStr">
        <is>
          <t>RESIN</t>
        </is>
      </c>
      <c r="O91" s="5" t="inlineStr">
        <is>
          <t>1X20' SEABULK</t>
        </is>
      </c>
      <c r="P91" s="5" t="inlineStr">
        <is>
          <t>Pickup : 2026-09-15, Return : 2026-09-19</t>
        </is>
      </c>
      <c r="Q91" s="5" t="n">
        <v>1</v>
      </c>
      <c r="R91" s="5" t="n">
        <v>0</v>
      </c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>
        <v>0</v>
      </c>
      <c r="Y91" s="5" t="n">
        <v>0</v>
      </c>
      <c r="Z91" s="5" t="n">
        <v>0</v>
      </c>
      <c r="AA91" s="5" t="n">
        <v>0</v>
      </c>
      <c r="AB91" s="5">
        <f>SUM(Q91:Y91)-Z91</f>
        <v/>
      </c>
      <c r="AC91" s="5">
        <f>IF(I91="","",IF(OR(LEFT(I91,3)="BKK",I91="LCH55"),"BKK",IF(LEFT(I91,3)="LCH","LCH","OTHER")))</f>
        <v/>
      </c>
      <c r="AD91" s="5">
        <f>MAX(0,Q91-MAX(0,Z91))</f>
        <v/>
      </c>
      <c r="AE91" s="5">
        <f>MAX(0,R91-MAX(0,Z91-SUM(Q91:Q91)))</f>
        <v/>
      </c>
      <c r="AF91" s="5">
        <f>MAX(0,S91-MAX(0,Z91-SUM(Q91:R91)))</f>
        <v/>
      </c>
      <c r="AG91" s="5">
        <f>MAX(0,T91-MAX(0,Z91-SUM(Q91:S91)))</f>
        <v/>
      </c>
      <c r="AH91" s="5">
        <f>MAX(0,U91-MAX(0,Z91-SUM(Q91:T91)))</f>
        <v/>
      </c>
      <c r="AI91" s="5">
        <f>MAX(0,V91-MAX(0,Z91-SUM(Q91:U91)))</f>
        <v/>
      </c>
      <c r="AJ91" s="5">
        <f>MAX(0,W91-MAX(0,Z91-SUM(Q91:V91)))</f>
        <v/>
      </c>
      <c r="AK91" s="5">
        <f>MAX(0,X91-MAX(0,Z91-SUM(Q91:W91)))</f>
        <v/>
      </c>
      <c r="AL91" s="5">
        <f>MAX(0,Y91-MAX(0,Z91-SUM(Q91:X91)))</f>
        <v/>
      </c>
    </row>
    <row r="92">
      <c r="A92" s="5" t="inlineStr">
        <is>
          <t>HASLS22260900453</t>
        </is>
      </c>
      <c r="B92" s="5" t="inlineStr">
        <is>
          <t>SWMM</t>
        </is>
      </c>
      <c r="C92" s="5" t="inlineStr">
        <is>
          <t>2609N</t>
        </is>
      </c>
      <c r="D92" s="5" t="inlineStr">
        <is>
          <t>202609230600</t>
        </is>
      </c>
      <c r="E92" s="5" t="inlineStr"/>
      <c r="F92" s="5" t="inlineStr">
        <is>
          <t>THLCH</t>
        </is>
      </c>
      <c r="G92" s="5" t="inlineStr">
        <is>
          <t>JPYKK</t>
        </is>
      </c>
      <c r="H92" s="5" t="inlineStr">
        <is>
          <t xml:space="preserve">20'x1 </t>
        </is>
      </c>
      <c r="I92" s="5" t="inlineStr">
        <is>
          <t>LCHY5</t>
        </is>
      </c>
      <c r="J92" s="5" t="inlineStr">
        <is>
          <t>PW DEPOT CO., LTD.</t>
        </is>
      </c>
      <c r="K92" s="5" t="inlineStr">
        <is>
          <t>20260915</t>
        </is>
      </c>
      <c r="L92" s="5" t="inlineStr">
        <is>
          <t>DOW CHEMICAL THAILAND LTD.</t>
        </is>
      </c>
      <c r="M92" s="5" t="inlineStr">
        <is>
          <t>SIAM POLYETHYLENE CO., LTD.</t>
        </is>
      </c>
      <c r="N92" s="5" t="inlineStr">
        <is>
          <t>RESIN</t>
        </is>
      </c>
      <c r="O92" s="5" t="inlineStr">
        <is>
          <t>1X20' SEABULK</t>
        </is>
      </c>
      <c r="P92" s="5" t="inlineStr">
        <is>
          <t>Pickup : 2026-09-15, Return : 2026-09-19</t>
        </is>
      </c>
      <c r="Q92" s="5" t="n">
        <v>1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0</v>
      </c>
      <c r="AA92" s="5" t="n">
        <v>0</v>
      </c>
      <c r="AB92" s="5">
        <f>SUM(Q92:Y92)-Z92</f>
        <v/>
      </c>
      <c r="AC92" s="5">
        <f>IF(I92="","",IF(OR(LEFT(I92,3)="BKK",I92="LCH55"),"BKK",IF(LEFT(I92,3)="LCH","LCH","OTHER")))</f>
        <v/>
      </c>
      <c r="AD92" s="5">
        <f>MAX(0,Q92-MAX(0,Z92))</f>
        <v/>
      </c>
      <c r="AE92" s="5">
        <f>MAX(0,R92-MAX(0,Z92-SUM(Q92:Q92)))</f>
        <v/>
      </c>
      <c r="AF92" s="5">
        <f>MAX(0,S92-MAX(0,Z92-SUM(Q92:R92)))</f>
        <v/>
      </c>
      <c r="AG92" s="5">
        <f>MAX(0,T92-MAX(0,Z92-SUM(Q92:S92)))</f>
        <v/>
      </c>
      <c r="AH92" s="5">
        <f>MAX(0,U92-MAX(0,Z92-SUM(Q92:T92)))</f>
        <v/>
      </c>
      <c r="AI92" s="5">
        <f>MAX(0,V92-MAX(0,Z92-SUM(Q92:U92)))</f>
        <v/>
      </c>
      <c r="AJ92" s="5">
        <f>MAX(0,W92-MAX(0,Z92-SUM(Q92:V92)))</f>
        <v/>
      </c>
      <c r="AK92" s="5">
        <f>MAX(0,X92-MAX(0,Z92-SUM(Q92:W92)))</f>
        <v/>
      </c>
      <c r="AL92" s="5">
        <f>MAX(0,Y92-MAX(0,Z92-SUM(Q92:X92)))</f>
        <v/>
      </c>
    </row>
    <row r="93">
      <c r="A93" s="5" t="inlineStr">
        <is>
          <t>HASLS22260900454</t>
        </is>
      </c>
      <c r="B93" s="5" t="inlineStr">
        <is>
          <t>SWMM</t>
        </is>
      </c>
      <c r="C93" s="5" t="inlineStr">
        <is>
          <t>2609N</t>
        </is>
      </c>
      <c r="D93" s="5" t="inlineStr">
        <is>
          <t>202609230600</t>
        </is>
      </c>
      <c r="E93" s="5" t="inlineStr"/>
      <c r="F93" s="5" t="inlineStr">
        <is>
          <t>THLCH</t>
        </is>
      </c>
      <c r="G93" s="5" t="inlineStr">
        <is>
          <t>JPYKK</t>
        </is>
      </c>
      <c r="H93" s="5" t="inlineStr">
        <is>
          <t xml:space="preserve">20'x1 </t>
        </is>
      </c>
      <c r="I93" s="5" t="inlineStr">
        <is>
          <t>LCHY5</t>
        </is>
      </c>
      <c r="J93" s="5" t="inlineStr">
        <is>
          <t>PW DEPOT CO., LTD.</t>
        </is>
      </c>
      <c r="K93" s="5" t="inlineStr">
        <is>
          <t>20260915</t>
        </is>
      </c>
      <c r="L93" s="5" t="inlineStr">
        <is>
          <t>DOW CHEMICAL THAILAND LTD.</t>
        </is>
      </c>
      <c r="M93" s="5" t="inlineStr">
        <is>
          <t>SIAM POLYETHYLENE CO., LTD.</t>
        </is>
      </c>
      <c r="N93" s="5" t="inlineStr">
        <is>
          <t>RESIN</t>
        </is>
      </c>
      <c r="O93" s="5" t="inlineStr">
        <is>
          <t>1X20' SEABULK1X20' SEABULK</t>
        </is>
      </c>
      <c r="P93" s="5" t="inlineStr">
        <is>
          <t>Pickup : 2026-09-15, Return : 2026-09-19</t>
        </is>
      </c>
      <c r="Q93" s="5" t="n">
        <v>1</v>
      </c>
      <c r="R93" s="5" t="n">
        <v>0</v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>
        <v>0</v>
      </c>
      <c r="Y93" s="5" t="n">
        <v>0</v>
      </c>
      <c r="Z93" s="5" t="n">
        <v>0</v>
      </c>
      <c r="AA93" s="5" t="n">
        <v>0</v>
      </c>
      <c r="AB93" s="5">
        <f>SUM(Q93:Y93)-Z93</f>
        <v/>
      </c>
      <c r="AC93" s="5">
        <f>IF(I93="","",IF(OR(LEFT(I93,3)="BKK",I93="LCH55"),"BKK",IF(LEFT(I93,3)="LCH","LCH","OTHER")))</f>
        <v/>
      </c>
      <c r="AD93" s="5">
        <f>MAX(0,Q93-MAX(0,Z93))</f>
        <v/>
      </c>
      <c r="AE93" s="5">
        <f>MAX(0,R93-MAX(0,Z93-SUM(Q93:Q93)))</f>
        <v/>
      </c>
      <c r="AF93" s="5">
        <f>MAX(0,S93-MAX(0,Z93-SUM(Q93:R93)))</f>
        <v/>
      </c>
      <c r="AG93" s="5">
        <f>MAX(0,T93-MAX(0,Z93-SUM(Q93:S93)))</f>
        <v/>
      </c>
      <c r="AH93" s="5">
        <f>MAX(0,U93-MAX(0,Z93-SUM(Q93:T93)))</f>
        <v/>
      </c>
      <c r="AI93" s="5">
        <f>MAX(0,V93-MAX(0,Z93-SUM(Q93:U93)))</f>
        <v/>
      </c>
      <c r="AJ93" s="5">
        <f>MAX(0,W93-MAX(0,Z93-SUM(Q93:V93)))</f>
        <v/>
      </c>
      <c r="AK93" s="5">
        <f>MAX(0,X93-MAX(0,Z93-SUM(Q93:W93)))</f>
        <v/>
      </c>
      <c r="AL93" s="5">
        <f>MAX(0,Y93-MAX(0,Z93-SUM(Q93:X93)))</f>
        <v/>
      </c>
    </row>
    <row r="94">
      <c r="A94" s="5" t="inlineStr">
        <is>
          <t>HASLS22260900455</t>
        </is>
      </c>
      <c r="B94" s="5" t="inlineStr">
        <is>
          <t>SWMM</t>
        </is>
      </c>
      <c r="C94" s="5" t="inlineStr">
        <is>
          <t>2609N</t>
        </is>
      </c>
      <c r="D94" s="5" t="inlineStr">
        <is>
          <t>202609230600</t>
        </is>
      </c>
      <c r="E94" s="5" t="inlineStr"/>
      <c r="F94" s="5" t="inlineStr">
        <is>
          <t>THLCH</t>
        </is>
      </c>
      <c r="G94" s="5" t="inlineStr">
        <is>
          <t>JPYKK</t>
        </is>
      </c>
      <c r="H94" s="5" t="inlineStr">
        <is>
          <t xml:space="preserve">20'x1 </t>
        </is>
      </c>
      <c r="I94" s="5" t="inlineStr">
        <is>
          <t>LCHY5</t>
        </is>
      </c>
      <c r="J94" s="5" t="inlineStr">
        <is>
          <t>PW DEPOT CO., LTD.</t>
        </is>
      </c>
      <c r="K94" s="5" t="inlineStr">
        <is>
          <t>20260915</t>
        </is>
      </c>
      <c r="L94" s="5" t="inlineStr">
        <is>
          <t>DOW CHEMICAL THAILAND LTD.</t>
        </is>
      </c>
      <c r="M94" s="5" t="inlineStr">
        <is>
          <t>SIAM POLYETHYLENE CO., LTD.</t>
        </is>
      </c>
      <c r="N94" s="5" t="inlineStr">
        <is>
          <t>RESIN</t>
        </is>
      </c>
      <c r="O94" s="5" t="inlineStr">
        <is>
          <t>1X20' SEABULK</t>
        </is>
      </c>
      <c r="P94" s="5" t="inlineStr">
        <is>
          <t>Pickup : 2026-09-15, Return : 2026-09-19</t>
        </is>
      </c>
      <c r="Q94" s="5" t="n">
        <v>1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>
        <f>SUM(Q94:Y94)-Z94</f>
        <v/>
      </c>
      <c r="AC94" s="5">
        <f>IF(I94="","",IF(OR(LEFT(I94,3)="BKK",I94="LCH55"),"BKK",IF(LEFT(I94,3)="LCH","LCH","OTHER")))</f>
        <v/>
      </c>
      <c r="AD94" s="5">
        <f>MAX(0,Q94-MAX(0,Z94))</f>
        <v/>
      </c>
      <c r="AE94" s="5">
        <f>MAX(0,R94-MAX(0,Z94-SUM(Q94:Q94)))</f>
        <v/>
      </c>
      <c r="AF94" s="5">
        <f>MAX(0,S94-MAX(0,Z94-SUM(Q94:R94)))</f>
        <v/>
      </c>
      <c r="AG94" s="5">
        <f>MAX(0,T94-MAX(0,Z94-SUM(Q94:S94)))</f>
        <v/>
      </c>
      <c r="AH94" s="5">
        <f>MAX(0,U94-MAX(0,Z94-SUM(Q94:T94)))</f>
        <v/>
      </c>
      <c r="AI94" s="5">
        <f>MAX(0,V94-MAX(0,Z94-SUM(Q94:U94)))</f>
        <v/>
      </c>
      <c r="AJ94" s="5">
        <f>MAX(0,W94-MAX(0,Z94-SUM(Q94:V94)))</f>
        <v/>
      </c>
      <c r="AK94" s="5">
        <f>MAX(0,X94-MAX(0,Z94-SUM(Q94:W94)))</f>
        <v/>
      </c>
      <c r="AL94" s="5">
        <f>MAX(0,Y94-MAX(0,Z94-SUM(Q94:X94)))</f>
        <v/>
      </c>
    </row>
    <row r="95">
      <c r="A95" s="5" t="inlineStr">
        <is>
          <t>HASLS22260900457</t>
        </is>
      </c>
      <c r="B95" s="5" t="inlineStr">
        <is>
          <t>SWMM</t>
        </is>
      </c>
      <c r="C95" s="5" t="inlineStr">
        <is>
          <t>2609N</t>
        </is>
      </c>
      <c r="D95" s="5" t="inlineStr">
        <is>
          <t>202609230600</t>
        </is>
      </c>
      <c r="E95" s="5" t="inlineStr"/>
      <c r="F95" s="5" t="inlineStr">
        <is>
          <t>THLCH</t>
        </is>
      </c>
      <c r="G95" s="5" t="inlineStr">
        <is>
          <t>JPYKK</t>
        </is>
      </c>
      <c r="H95" s="5" t="inlineStr">
        <is>
          <t xml:space="preserve">20'x1 </t>
        </is>
      </c>
      <c r="I95" s="5" t="inlineStr">
        <is>
          <t>LCHY5</t>
        </is>
      </c>
      <c r="J95" s="5" t="inlineStr">
        <is>
          <t>PW DEPOT CO., LTD.</t>
        </is>
      </c>
      <c r="K95" s="5" t="inlineStr">
        <is>
          <t>20260915</t>
        </is>
      </c>
      <c r="L95" s="5" t="inlineStr">
        <is>
          <t>DOW CHEMICAL THAILAND LTD.</t>
        </is>
      </c>
      <c r="M95" s="5" t="inlineStr">
        <is>
          <t>SIAM POLYETHYLENE CO., LTD.</t>
        </is>
      </c>
      <c r="N95" s="5" t="inlineStr">
        <is>
          <t>RESIN</t>
        </is>
      </c>
      <c r="O95" s="5" t="inlineStr">
        <is>
          <t>1X20' SEABULK</t>
        </is>
      </c>
      <c r="P95" s="5" t="inlineStr">
        <is>
          <t>Pickup : 2026-09-15, Return : 2026-09-19</t>
        </is>
      </c>
      <c r="Q95" s="5" t="n">
        <v>1</v>
      </c>
      <c r="R95" s="5" t="n">
        <v>0</v>
      </c>
      <c r="S95" s="5" t="n">
        <v>0</v>
      </c>
      <c r="T95" s="5" t="n">
        <v>0</v>
      </c>
      <c r="U95" s="5" t="n">
        <v>0</v>
      </c>
      <c r="V95" s="5" t="n">
        <v>0</v>
      </c>
      <c r="W95" s="5" t="n">
        <v>0</v>
      </c>
      <c r="X95" s="5" t="n">
        <v>0</v>
      </c>
      <c r="Y95" s="5" t="n">
        <v>0</v>
      </c>
      <c r="Z95" s="5" t="n">
        <v>0</v>
      </c>
      <c r="AA95" s="5" t="n">
        <v>0</v>
      </c>
      <c r="AB95" s="5">
        <f>SUM(Q95:Y95)-Z95</f>
        <v/>
      </c>
      <c r="AC95" s="5">
        <f>IF(I95="","",IF(OR(LEFT(I95,3)="BKK",I95="LCH55"),"BKK",IF(LEFT(I95,3)="LCH","LCH","OTHER")))</f>
        <v/>
      </c>
      <c r="AD95" s="5">
        <f>MAX(0,Q95-MAX(0,Z95))</f>
        <v/>
      </c>
      <c r="AE95" s="5">
        <f>MAX(0,R95-MAX(0,Z95-SUM(Q95:Q95)))</f>
        <v/>
      </c>
      <c r="AF95" s="5">
        <f>MAX(0,S95-MAX(0,Z95-SUM(Q95:R95)))</f>
        <v/>
      </c>
      <c r="AG95" s="5">
        <f>MAX(0,T95-MAX(0,Z95-SUM(Q95:S95)))</f>
        <v/>
      </c>
      <c r="AH95" s="5">
        <f>MAX(0,U95-MAX(0,Z95-SUM(Q95:T95)))</f>
        <v/>
      </c>
      <c r="AI95" s="5">
        <f>MAX(0,V95-MAX(0,Z95-SUM(Q95:U95)))</f>
        <v/>
      </c>
      <c r="AJ95" s="5">
        <f>MAX(0,W95-MAX(0,Z95-SUM(Q95:V95)))</f>
        <v/>
      </c>
      <c r="AK95" s="5">
        <f>MAX(0,X95-MAX(0,Z95-SUM(Q95:W95)))</f>
        <v/>
      </c>
      <c r="AL95" s="5">
        <f>MAX(0,Y95-MAX(0,Z95-SUM(Q95:X95)))</f>
        <v/>
      </c>
    </row>
    <row r="96">
      <c r="A96" s="5" t="inlineStr">
        <is>
          <t>HASLS22260900502</t>
        </is>
      </c>
      <c r="B96" s="5" t="inlineStr">
        <is>
          <t>KMGY</t>
        </is>
      </c>
      <c r="C96" s="5" t="inlineStr">
        <is>
          <t>2610N</t>
        </is>
      </c>
      <c r="D96" s="5" t="inlineStr">
        <is>
          <t>202609291700</t>
        </is>
      </c>
      <c r="E96" s="5" t="inlineStr"/>
      <c r="F96" s="5" t="inlineStr">
        <is>
          <t>THLCH</t>
        </is>
      </c>
      <c r="G96" s="5" t="inlineStr">
        <is>
          <t>HKHKG</t>
        </is>
      </c>
      <c r="H96" s="5" t="inlineStr">
        <is>
          <t xml:space="preserve">20'x1 </t>
        </is>
      </c>
      <c r="I96" s="5" t="inlineStr">
        <is>
          <t>LCHY5</t>
        </is>
      </c>
      <c r="J96" s="5" t="inlineStr">
        <is>
          <t>PW DEPOT CO., LTD.</t>
        </is>
      </c>
      <c r="K96" s="5" t="inlineStr">
        <is>
          <t>20260917</t>
        </is>
      </c>
      <c r="L96" s="5" t="inlineStr">
        <is>
          <t>THAI POLYCARBONATE CO., LTD.</t>
        </is>
      </c>
      <c r="M96" s="5" t="inlineStr">
        <is>
          <t>THAI POLYACETAL CO., LTD.</t>
        </is>
      </c>
      <c r="N96" s="5" t="inlineStr">
        <is>
          <t>RESIN</t>
        </is>
      </c>
      <c r="O96" s="5" t="inlineStr">
        <is>
          <t>PLEASE PROVIDE GOOD AND CLEAN CONTAINER, NO RUST, NO HOLE, NO SMELL WITH STRONG FLOORBOARD (LOAD BY FORKLIFT) AND BULLET SEAL TO THIS SHIPMENT</t>
        </is>
      </c>
      <c r="P96" s="5" t="inlineStr">
        <is>
          <t>Pickup : 2026-09-17, Return : 2026-09-18 **CHECK OPENGATE BEFORE RETURN CNTR**</t>
        </is>
      </c>
      <c r="Q96" s="5" t="n">
        <v>1</v>
      </c>
      <c r="R96" s="5" t="n">
        <v>0</v>
      </c>
      <c r="S96" s="5" t="n">
        <v>0</v>
      </c>
      <c r="T96" s="5" t="n">
        <v>0</v>
      </c>
      <c r="U96" s="5" t="n">
        <v>0</v>
      </c>
      <c r="V96" s="5" t="n">
        <v>0</v>
      </c>
      <c r="W96" s="5" t="n">
        <v>0</v>
      </c>
      <c r="X96" s="5" t="n">
        <v>0</v>
      </c>
      <c r="Y96" s="5" t="n">
        <v>0</v>
      </c>
      <c r="Z96" s="5" t="n">
        <v>0</v>
      </c>
      <c r="AA96" s="5" t="n">
        <v>0</v>
      </c>
      <c r="AB96" s="5">
        <f>SUM(Q96:Y96)-Z96</f>
        <v/>
      </c>
      <c r="AC96" s="5">
        <f>IF(I96="","",IF(OR(LEFT(I96,3)="BKK",I96="LCH55"),"BKK",IF(LEFT(I96,3)="LCH","LCH","OTHER")))</f>
        <v/>
      </c>
      <c r="AD96" s="5">
        <f>MAX(0,Q96-MAX(0,Z96))</f>
        <v/>
      </c>
      <c r="AE96" s="5">
        <f>MAX(0,R96-MAX(0,Z96-SUM(Q96:Q96)))</f>
        <v/>
      </c>
      <c r="AF96" s="5">
        <f>MAX(0,S96-MAX(0,Z96-SUM(Q96:R96)))</f>
        <v/>
      </c>
      <c r="AG96" s="5">
        <f>MAX(0,T96-MAX(0,Z96-SUM(Q96:S96)))</f>
        <v/>
      </c>
      <c r="AH96" s="5">
        <f>MAX(0,U96-MAX(0,Z96-SUM(Q96:T96)))</f>
        <v/>
      </c>
      <c r="AI96" s="5">
        <f>MAX(0,V96-MAX(0,Z96-SUM(Q96:U96)))</f>
        <v/>
      </c>
      <c r="AJ96" s="5">
        <f>MAX(0,W96-MAX(0,Z96-SUM(Q96:V96)))</f>
        <v/>
      </c>
      <c r="AK96" s="5">
        <f>MAX(0,X96-MAX(0,Z96-SUM(Q96:W96)))</f>
        <v/>
      </c>
      <c r="AL96" s="5">
        <f>MAX(0,Y96-MAX(0,Z96-SUM(Q96:X96)))</f>
        <v/>
      </c>
    </row>
    <row r="97">
      <c r="A97" s="5" t="inlineStr">
        <is>
          <t>HASLS22260900531</t>
        </is>
      </c>
      <c r="B97" s="5" t="inlineStr">
        <is>
          <t>SWIC</t>
        </is>
      </c>
      <c r="C97" s="5" t="inlineStr">
        <is>
          <t>2610N</t>
        </is>
      </c>
      <c r="D97" s="5" t="inlineStr">
        <is>
          <t>202609220500</t>
        </is>
      </c>
      <c r="E97" s="5" t="inlineStr"/>
      <c r="F97" s="5" t="inlineStr">
        <is>
          <t>THLCH</t>
        </is>
      </c>
      <c r="G97" s="5" t="inlineStr">
        <is>
          <t>VNSGN</t>
        </is>
      </c>
      <c r="H97" s="5" t="inlineStr">
        <is>
          <t xml:space="preserve">40Hx2 </t>
        </is>
      </c>
      <c r="I97" s="5" t="inlineStr">
        <is>
          <t>LCHY5</t>
        </is>
      </c>
      <c r="J97" s="5" t="inlineStr">
        <is>
          <t>PW DEPOT CO., LTD.</t>
        </is>
      </c>
      <c r="K97" s="5" t="inlineStr">
        <is>
          <t>20260917</t>
        </is>
      </c>
      <c r="L97" s="5" t="inlineStr">
        <is>
          <t>BEE LOGISTICS (THAILAND) CO., LTD.</t>
        </is>
      </c>
      <c r="M97" s="5" t="inlineStr">
        <is>
          <t>SIRI LABORATORIES CO., LTD.</t>
        </is>
      </c>
      <c r="N97" s="5" t="inlineStr">
        <is>
          <t xml:space="preserve">LAUNDRY DETERGENT </t>
        </is>
      </c>
      <c r="O97" s="5" t="inlineStr">
        <is>
          <t>GOOD AND CLEAN CONTAINER</t>
        </is>
      </c>
      <c r="P97" s="5" t="inlineStr">
        <is>
          <t>Pickup : 2026-09-17, Return : 2026-09-18 (1ST RTN DD: 18/09/26 WO/RENT)
**CHECK OPENGATE BEFORE RETURN CNTR**</t>
        </is>
      </c>
      <c r="Q97" s="5" t="n">
        <v>0</v>
      </c>
      <c r="R97" s="5" t="n">
        <v>0</v>
      </c>
      <c r="S97" s="5" t="n">
        <v>2</v>
      </c>
      <c r="T97" s="5" t="n">
        <v>0</v>
      </c>
      <c r="U97" s="5" t="n">
        <v>0</v>
      </c>
      <c r="V97" s="5" t="n">
        <v>0</v>
      </c>
      <c r="W97" s="5" t="n">
        <v>0</v>
      </c>
      <c r="X97" s="5" t="n">
        <v>0</v>
      </c>
      <c r="Y97" s="5" t="n">
        <v>0</v>
      </c>
      <c r="Z97" s="5" t="n">
        <v>0</v>
      </c>
      <c r="AA97" s="5" t="n">
        <v>0</v>
      </c>
      <c r="AB97" s="5">
        <f>SUM(Q97:Y97)-Z97</f>
        <v/>
      </c>
      <c r="AC97" s="5">
        <f>IF(I97="","",IF(OR(LEFT(I97,3)="BKK",I97="LCH55"),"BKK",IF(LEFT(I97,3)="LCH","LCH","OTHER")))</f>
        <v/>
      </c>
      <c r="AD97" s="5">
        <f>MAX(0,Q97-MAX(0,Z97))</f>
        <v/>
      </c>
      <c r="AE97" s="5">
        <f>MAX(0,R97-MAX(0,Z97-SUM(Q97:Q97)))</f>
        <v/>
      </c>
      <c r="AF97" s="5">
        <f>MAX(0,S97-MAX(0,Z97-SUM(Q97:R97)))</f>
        <v/>
      </c>
      <c r="AG97" s="5">
        <f>MAX(0,T97-MAX(0,Z97-SUM(Q97:S97)))</f>
        <v/>
      </c>
      <c r="AH97" s="5">
        <f>MAX(0,U97-MAX(0,Z97-SUM(Q97:T97)))</f>
        <v/>
      </c>
      <c r="AI97" s="5">
        <f>MAX(0,V97-MAX(0,Z97-SUM(Q97:U97)))</f>
        <v/>
      </c>
      <c r="AJ97" s="5">
        <f>MAX(0,W97-MAX(0,Z97-SUM(Q97:V97)))</f>
        <v/>
      </c>
      <c r="AK97" s="5">
        <f>MAX(0,X97-MAX(0,Z97-SUM(Q97:W97)))</f>
        <v/>
      </c>
      <c r="AL97" s="5">
        <f>MAX(0,Y97-MAX(0,Z97-SUM(Q97:X97)))</f>
        <v/>
      </c>
    </row>
    <row r="98">
      <c r="A98" s="5" t="inlineStr">
        <is>
          <t>HASLS22260900550</t>
        </is>
      </c>
      <c r="B98" s="5" t="inlineStr">
        <is>
          <t>TBN</t>
        </is>
      </c>
      <c r="C98" s="5" t="inlineStr">
        <is>
          <t>001</t>
        </is>
      </c>
      <c r="D98" s="5" t="inlineStr"/>
      <c r="E98" s="5" t="inlineStr"/>
      <c r="F98" s="5" t="inlineStr">
        <is>
          <t>THLCH</t>
        </is>
      </c>
      <c r="G98" s="5" t="inlineStr">
        <is>
          <t>JPYKK</t>
        </is>
      </c>
      <c r="H98" s="5" t="inlineStr">
        <is>
          <t xml:space="preserve">20'x9 </t>
        </is>
      </c>
      <c r="I98" s="5" t="inlineStr">
        <is>
          <t>LCHY5</t>
        </is>
      </c>
      <c r="J98" s="5" t="inlineStr">
        <is>
          <t>PW DEPOT CO., LTD.</t>
        </is>
      </c>
      <c r="K98" s="5" t="inlineStr">
        <is>
          <t>20260917</t>
        </is>
      </c>
      <c r="L98" s="5" t="inlineStr">
        <is>
          <t>DOW CHEMICAL THAILAND LTD.</t>
        </is>
      </c>
      <c r="M98" s="5" t="inlineStr">
        <is>
          <t>DOW CHEMICAL THAILAND LTD.</t>
        </is>
      </c>
      <c r="N98" s="5" t="inlineStr">
        <is>
          <t>RESIN</t>
        </is>
      </c>
      <c r="O98" s="5" t="inlineStr">
        <is>
          <t>RQST CNTR SEABULK &amp; GRADE A</t>
        </is>
      </c>
      <c r="P98" s="5" t="inlineStr">
        <is>
          <t>CY CNTR DD.17/09/2026 RQST CNTR SEABULK &amp; GRADE A</t>
        </is>
      </c>
      <c r="Q98" s="5" t="n">
        <v>9</v>
      </c>
      <c r="R98" s="5" t="n">
        <v>0</v>
      </c>
      <c r="S98" s="5" t="n">
        <v>0</v>
      </c>
      <c r="T98" s="5" t="n">
        <v>0</v>
      </c>
      <c r="U98" s="5" t="n">
        <v>0</v>
      </c>
      <c r="V98" s="5" t="n">
        <v>0</v>
      </c>
      <c r="W98" s="5" t="n">
        <v>0</v>
      </c>
      <c r="X98" s="5" t="n">
        <v>0</v>
      </c>
      <c r="Y98" s="5" t="n">
        <v>0</v>
      </c>
      <c r="Z98" s="5" t="n">
        <v>7</v>
      </c>
      <c r="AA98" s="5" t="n">
        <v>0</v>
      </c>
      <c r="AB98" s="5">
        <f>SUM(Q98:Y98)-Z98</f>
        <v/>
      </c>
      <c r="AC98" s="5">
        <f>IF(I98="","",IF(OR(LEFT(I98,3)="BKK",I98="LCH55"),"BKK",IF(LEFT(I98,3)="LCH","LCH","OTHER")))</f>
        <v/>
      </c>
      <c r="AD98" s="5">
        <f>MAX(0,Q98-MAX(0,Z98))</f>
        <v/>
      </c>
      <c r="AE98" s="5">
        <f>MAX(0,R98-MAX(0,Z98-SUM(Q98:Q98)))</f>
        <v/>
      </c>
      <c r="AF98" s="5">
        <f>MAX(0,S98-MAX(0,Z98-SUM(Q98:R98)))</f>
        <v/>
      </c>
      <c r="AG98" s="5">
        <f>MAX(0,T98-MAX(0,Z98-SUM(Q98:S98)))</f>
        <v/>
      </c>
      <c r="AH98" s="5">
        <f>MAX(0,U98-MAX(0,Z98-SUM(Q98:T98)))</f>
        <v/>
      </c>
      <c r="AI98" s="5">
        <f>MAX(0,V98-MAX(0,Z98-SUM(Q98:U98)))</f>
        <v/>
      </c>
      <c r="AJ98" s="5">
        <f>MAX(0,W98-MAX(0,Z98-SUM(Q98:V98)))</f>
        <v/>
      </c>
      <c r="AK98" s="5">
        <f>MAX(0,X98-MAX(0,Z98-SUM(Q98:W98)))</f>
        <v/>
      </c>
      <c r="AL98" s="5">
        <f>MAX(0,Y98-MAX(0,Z98-SUM(Q98:X98)))</f>
        <v/>
      </c>
    </row>
    <row r="99">
      <c r="A99" s="5" t="inlineStr">
        <is>
          <t>HASLS22260900592</t>
        </is>
      </c>
      <c r="B99" s="5" t="inlineStr">
        <is>
          <t>KUS</t>
        </is>
      </c>
      <c r="C99" s="5" t="inlineStr">
        <is>
          <t>2615N</t>
        </is>
      </c>
      <c r="D99" s="5" t="inlineStr">
        <is>
          <t>202609240500</t>
        </is>
      </c>
      <c r="E99" s="5" t="inlineStr"/>
      <c r="F99" s="5" t="inlineStr">
        <is>
          <t>THLCH</t>
        </is>
      </c>
      <c r="G99" s="5" t="inlineStr">
        <is>
          <t>VNSGN</t>
        </is>
      </c>
      <c r="H99" s="5" t="inlineStr">
        <is>
          <t xml:space="preserve">40Hx1 </t>
        </is>
      </c>
      <c r="I99" s="5" t="inlineStr">
        <is>
          <t>LCHY5</t>
        </is>
      </c>
      <c r="J99" s="5" t="inlineStr">
        <is>
          <t>PW DEPOT CO., LTD.</t>
        </is>
      </c>
      <c r="K99" s="5" t="inlineStr">
        <is>
          <t>20260917</t>
        </is>
      </c>
      <c r="L99" s="5" t="inlineStr">
        <is>
          <t>BEE LOGISTICS (THAILAND) CO., LTD.</t>
        </is>
      </c>
      <c r="M99" s="5" t="inlineStr">
        <is>
          <t>WANNA ONE TRADING CO.,LTD.</t>
        </is>
      </c>
      <c r="N99" s="5" t="inlineStr">
        <is>
          <t xml:space="preserve">LAUNDRY DETERGENT </t>
        </is>
      </c>
      <c r="O99" s="5" t="inlineStr">
        <is>
          <t>GOOD AND CLEAN CONTAINER</t>
        </is>
      </c>
      <c r="P99" s="5" t="inlineStr">
        <is>
          <t>Pickup : 2026-09-17, Return : 2026-09-18</t>
        </is>
      </c>
      <c r="Q99" s="5" t="n">
        <v>0</v>
      </c>
      <c r="R99" s="5" t="n">
        <v>0</v>
      </c>
      <c r="S99" s="5" t="n">
        <v>1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0</v>
      </c>
      <c r="AA99" s="5" t="n">
        <v>0</v>
      </c>
      <c r="AB99" s="5">
        <f>SUM(Q99:Y99)-Z99</f>
        <v/>
      </c>
      <c r="AC99" s="5">
        <f>IF(I99="","",IF(OR(LEFT(I99,3)="BKK",I99="LCH55"),"BKK",IF(LEFT(I99,3)="LCH","LCH","OTHER")))</f>
        <v/>
      </c>
      <c r="AD99" s="5">
        <f>MAX(0,Q99-MAX(0,Z99))</f>
        <v/>
      </c>
      <c r="AE99" s="5">
        <f>MAX(0,R99-MAX(0,Z99-SUM(Q99:Q99)))</f>
        <v/>
      </c>
      <c r="AF99" s="5">
        <f>MAX(0,S99-MAX(0,Z99-SUM(Q99:R99)))</f>
        <v/>
      </c>
      <c r="AG99" s="5">
        <f>MAX(0,T99-MAX(0,Z99-SUM(Q99:S99)))</f>
        <v/>
      </c>
      <c r="AH99" s="5">
        <f>MAX(0,U99-MAX(0,Z99-SUM(Q99:T99)))</f>
        <v/>
      </c>
      <c r="AI99" s="5">
        <f>MAX(0,V99-MAX(0,Z99-SUM(Q99:U99)))</f>
        <v/>
      </c>
      <c r="AJ99" s="5">
        <f>MAX(0,W99-MAX(0,Z99-SUM(Q99:V99)))</f>
        <v/>
      </c>
      <c r="AK99" s="5">
        <f>MAX(0,X99-MAX(0,Z99-SUM(Q99:W99)))</f>
        <v/>
      </c>
      <c r="AL99" s="5">
        <f>MAX(0,Y99-MAX(0,Z99-SUM(Q99:X99)))</f>
        <v/>
      </c>
    </row>
    <row r="100">
      <c r="A100" s="5" t="inlineStr">
        <is>
          <t>HASLS22260900601</t>
        </is>
      </c>
      <c r="B100" s="5" t="inlineStr">
        <is>
          <t>SWMM</t>
        </is>
      </c>
      <c r="C100" s="5" t="inlineStr">
        <is>
          <t>2609N</t>
        </is>
      </c>
      <c r="D100" s="5" t="inlineStr">
        <is>
          <t>202609230600</t>
        </is>
      </c>
      <c r="E100" s="5" t="inlineStr"/>
      <c r="F100" s="5" t="inlineStr">
        <is>
          <t>THLCH</t>
        </is>
      </c>
      <c r="G100" s="5" t="inlineStr">
        <is>
          <t>JPYKK</t>
        </is>
      </c>
      <c r="H100" s="5" t="inlineStr">
        <is>
          <t xml:space="preserve">20'x1 </t>
        </is>
      </c>
      <c r="I100" s="5" t="inlineStr">
        <is>
          <t>LCHY5</t>
        </is>
      </c>
      <c r="J100" s="5" t="inlineStr">
        <is>
          <t>PW DEPOT CO., LTD.</t>
        </is>
      </c>
      <c r="K100" s="5" t="inlineStr">
        <is>
          <t>20260916</t>
        </is>
      </c>
      <c r="L100" s="5" t="inlineStr">
        <is>
          <t>DOW CHEMICAL THAILAND LTD.</t>
        </is>
      </c>
      <c r="M100" s="5" t="inlineStr">
        <is>
          <t>SIAM POLYETHYLENE CO., LTD.</t>
        </is>
      </c>
      <c r="N100" s="5" t="inlineStr">
        <is>
          <t>RESIN</t>
        </is>
      </c>
      <c r="O100" s="5" t="inlineStr">
        <is>
          <t>1X20' SEABULK</t>
        </is>
      </c>
      <c r="P100" s="5" t="inlineStr">
        <is>
          <t>Pickup : 2026-09-16, Return : 2026-09-21</t>
        </is>
      </c>
      <c r="Q100" s="5" t="n">
        <v>1</v>
      </c>
      <c r="R100" s="5" t="n">
        <v>0</v>
      </c>
      <c r="S100" s="5" t="n">
        <v>0</v>
      </c>
      <c r="T100" s="5" t="n">
        <v>0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0</v>
      </c>
      <c r="AB100" s="5">
        <f>SUM(Q100:Y100)-Z100</f>
        <v/>
      </c>
      <c r="AC100" s="5">
        <f>IF(I100="","",IF(OR(LEFT(I100,3)="BKK",I100="LCH55"),"BKK",IF(LEFT(I100,3)="LCH","LCH","OTHER")))</f>
        <v/>
      </c>
      <c r="AD100" s="5">
        <f>MAX(0,Q100-MAX(0,Z100))</f>
        <v/>
      </c>
      <c r="AE100" s="5">
        <f>MAX(0,R100-MAX(0,Z100-SUM(Q100:Q100)))</f>
        <v/>
      </c>
      <c r="AF100" s="5">
        <f>MAX(0,S100-MAX(0,Z100-SUM(Q100:R100)))</f>
        <v/>
      </c>
      <c r="AG100" s="5">
        <f>MAX(0,T100-MAX(0,Z100-SUM(Q100:S100)))</f>
        <v/>
      </c>
      <c r="AH100" s="5">
        <f>MAX(0,U100-MAX(0,Z100-SUM(Q100:T100)))</f>
        <v/>
      </c>
      <c r="AI100" s="5">
        <f>MAX(0,V100-MAX(0,Z100-SUM(Q100:U100)))</f>
        <v/>
      </c>
      <c r="AJ100" s="5">
        <f>MAX(0,W100-MAX(0,Z100-SUM(Q100:V100)))</f>
        <v/>
      </c>
      <c r="AK100" s="5">
        <f>MAX(0,X100-MAX(0,Z100-SUM(Q100:W100)))</f>
        <v/>
      </c>
      <c r="AL100" s="5">
        <f>MAX(0,Y100-MAX(0,Z100-SUM(Q100:X100)))</f>
        <v/>
      </c>
    </row>
    <row r="101">
      <c r="A101" s="5" t="inlineStr">
        <is>
          <t>HASLS22260900613</t>
        </is>
      </c>
      <c r="B101" s="5" t="inlineStr">
        <is>
          <t>KMGY</t>
        </is>
      </c>
      <c r="C101" s="5" t="inlineStr">
        <is>
          <t>2610N</t>
        </is>
      </c>
      <c r="D101" s="5" t="inlineStr">
        <is>
          <t>202609291700</t>
        </is>
      </c>
      <c r="E101" s="5" t="inlineStr"/>
      <c r="F101" s="5" t="inlineStr">
        <is>
          <t>THLCH</t>
        </is>
      </c>
      <c r="G101" s="5" t="inlineStr">
        <is>
          <t>HKHKG</t>
        </is>
      </c>
      <c r="H101" s="5" t="inlineStr">
        <is>
          <t xml:space="preserve">20'x1 </t>
        </is>
      </c>
      <c r="I101" s="5" t="inlineStr">
        <is>
          <t>LCHY5</t>
        </is>
      </c>
      <c r="J101" s="5" t="inlineStr">
        <is>
          <t>PW DEPOT CO., LTD.</t>
        </is>
      </c>
      <c r="K101" s="5" t="inlineStr">
        <is>
          <t>20260917</t>
        </is>
      </c>
      <c r="L101" s="5" t="inlineStr">
        <is>
          <t>UBE CHEMICALS (ASIA) PUBLIC COMPANY LIMITED</t>
        </is>
      </c>
      <c r="M101" s="5" t="inlineStr">
        <is>
          <t>THAI SYNTHETIC RUBBERS CO., LTD.</t>
        </is>
      </c>
      <c r="N101" s="5" t="inlineStr">
        <is>
          <t xml:space="preserve">Polybutadiene Rubber </t>
        </is>
      </c>
      <c r="O101" s="5" t="inlineStr">
        <is>
          <t>Good condition; Grade B+</t>
        </is>
      </c>
      <c r="P101" s="5" t="inlineStr">
        <is>
          <t xml:space="preserve">CY-RTN 17-18/09/26 (ID-N016450)
*PLS CHECK OPEN GATE BEFORE RETURN CTNR*
</t>
        </is>
      </c>
      <c r="Q101" s="5" t="n">
        <v>1</v>
      </c>
      <c r="R101" s="5" t="n">
        <v>0</v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0</v>
      </c>
      <c r="AA101" s="5" t="n">
        <v>0</v>
      </c>
      <c r="AB101" s="5">
        <f>SUM(Q101:Y101)-Z101</f>
        <v/>
      </c>
      <c r="AC101" s="5">
        <f>IF(I101="","",IF(OR(LEFT(I101,3)="BKK",I101="LCH55"),"BKK",IF(LEFT(I101,3)="LCH","LCH","OTHER")))</f>
        <v/>
      </c>
      <c r="AD101" s="5">
        <f>MAX(0,Q101-MAX(0,Z101))</f>
        <v/>
      </c>
      <c r="AE101" s="5">
        <f>MAX(0,R101-MAX(0,Z101-SUM(Q101:Q101)))</f>
        <v/>
      </c>
      <c r="AF101" s="5">
        <f>MAX(0,S101-MAX(0,Z101-SUM(Q101:R101)))</f>
        <v/>
      </c>
      <c r="AG101" s="5">
        <f>MAX(0,T101-MAX(0,Z101-SUM(Q101:S101)))</f>
        <v/>
      </c>
      <c r="AH101" s="5">
        <f>MAX(0,U101-MAX(0,Z101-SUM(Q101:T101)))</f>
        <v/>
      </c>
      <c r="AI101" s="5">
        <f>MAX(0,V101-MAX(0,Z101-SUM(Q101:U101)))</f>
        <v/>
      </c>
      <c r="AJ101" s="5">
        <f>MAX(0,W101-MAX(0,Z101-SUM(Q101:V101)))</f>
        <v/>
      </c>
      <c r="AK101" s="5">
        <f>MAX(0,X101-MAX(0,Z101-SUM(Q101:W101)))</f>
        <v/>
      </c>
      <c r="AL101" s="5">
        <f>MAX(0,Y101-MAX(0,Z101-SUM(Q101:X101)))</f>
        <v/>
      </c>
    </row>
    <row r="102">
      <c r="A102" s="5" t="inlineStr">
        <is>
          <t>HASLS22260900614</t>
        </is>
      </c>
      <c r="B102" s="5" t="inlineStr">
        <is>
          <t>KMGY</t>
        </is>
      </c>
      <c r="C102" s="5" t="inlineStr">
        <is>
          <t>2610N</t>
        </is>
      </c>
      <c r="D102" s="5" t="inlineStr">
        <is>
          <t>202609291700</t>
        </is>
      </c>
      <c r="E102" s="5" t="inlineStr"/>
      <c r="F102" s="5" t="inlineStr">
        <is>
          <t>THLCH</t>
        </is>
      </c>
      <c r="G102" s="5" t="inlineStr">
        <is>
          <t>HKHKG</t>
        </is>
      </c>
      <c r="H102" s="5" t="inlineStr">
        <is>
          <t xml:space="preserve">20'x1 </t>
        </is>
      </c>
      <c r="I102" s="5" t="inlineStr">
        <is>
          <t>LCHY5</t>
        </is>
      </c>
      <c r="J102" s="5" t="inlineStr">
        <is>
          <t>PW DEPOT CO., LTD.</t>
        </is>
      </c>
      <c r="K102" s="5" t="inlineStr">
        <is>
          <t>20260917</t>
        </is>
      </c>
      <c r="L102" s="5" t="inlineStr">
        <is>
          <t>UBE CHEMICALS (ASIA) PUBLIC COMPANY LIMITED</t>
        </is>
      </c>
      <c r="M102" s="5" t="inlineStr">
        <is>
          <t>THAI SYNTHETIC RUBBERS CO., LTD.</t>
        </is>
      </c>
      <c r="N102" s="5" t="inlineStr">
        <is>
          <t xml:space="preserve">Polybutadiene Rubber </t>
        </is>
      </c>
      <c r="O102" s="5" t="inlineStr">
        <is>
          <t>Good condition; Grade B+</t>
        </is>
      </c>
      <c r="P102" s="5" t="inlineStr">
        <is>
          <t xml:space="preserve">CY-RTN 17-18/09/26 (ID-N016451)
*PLS CHECK OPEN GATE BEFORE RETURN CTNR*
</t>
        </is>
      </c>
      <c r="Q102" s="5" t="n">
        <v>1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0</v>
      </c>
      <c r="Y102" s="5" t="n">
        <v>0</v>
      </c>
      <c r="Z102" s="5" t="n">
        <v>0</v>
      </c>
      <c r="AA102" s="5" t="n">
        <v>0</v>
      </c>
      <c r="AB102" s="5">
        <f>SUM(Q102:Y102)-Z102</f>
        <v/>
      </c>
      <c r="AC102" s="5">
        <f>IF(I102="","",IF(OR(LEFT(I102,3)="BKK",I102="LCH55"),"BKK",IF(LEFT(I102,3)="LCH","LCH","OTHER")))</f>
        <v/>
      </c>
      <c r="AD102" s="5">
        <f>MAX(0,Q102-MAX(0,Z102))</f>
        <v/>
      </c>
      <c r="AE102" s="5">
        <f>MAX(0,R102-MAX(0,Z102-SUM(Q102:Q102)))</f>
        <v/>
      </c>
      <c r="AF102" s="5">
        <f>MAX(0,S102-MAX(0,Z102-SUM(Q102:R102)))</f>
        <v/>
      </c>
      <c r="AG102" s="5">
        <f>MAX(0,T102-MAX(0,Z102-SUM(Q102:S102)))</f>
        <v/>
      </c>
      <c r="AH102" s="5">
        <f>MAX(0,U102-MAX(0,Z102-SUM(Q102:T102)))</f>
        <v/>
      </c>
      <c r="AI102" s="5">
        <f>MAX(0,V102-MAX(0,Z102-SUM(Q102:U102)))</f>
        <v/>
      </c>
      <c r="AJ102" s="5">
        <f>MAX(0,W102-MAX(0,Z102-SUM(Q102:V102)))</f>
        <v/>
      </c>
      <c r="AK102" s="5">
        <f>MAX(0,X102-MAX(0,Z102-SUM(Q102:W102)))</f>
        <v/>
      </c>
      <c r="AL102" s="5">
        <f>MAX(0,Y102-MAX(0,Z102-SUM(Q102:X102)))</f>
        <v/>
      </c>
    </row>
    <row r="103">
      <c r="A103" s="5" t="inlineStr">
        <is>
          <t>HASLS22260900740</t>
        </is>
      </c>
      <c r="B103" s="5" t="inlineStr">
        <is>
          <t>KMGY</t>
        </is>
      </c>
      <c r="C103" s="5" t="inlineStr">
        <is>
          <t>2610N</t>
        </is>
      </c>
      <c r="D103" s="5" t="inlineStr">
        <is>
          <t>202609291700</t>
        </is>
      </c>
      <c r="E103" s="5" t="inlineStr"/>
      <c r="F103" s="5" t="inlineStr">
        <is>
          <t>THLCH</t>
        </is>
      </c>
      <c r="G103" s="5" t="inlineStr">
        <is>
          <t>HKHKG</t>
        </is>
      </c>
      <c r="H103" s="5" t="inlineStr">
        <is>
          <t xml:space="preserve">20'x1 </t>
        </is>
      </c>
      <c r="I103" s="5" t="inlineStr">
        <is>
          <t>LCHY5</t>
        </is>
      </c>
      <c r="J103" s="5" t="inlineStr">
        <is>
          <t>PW DEPOT CO., LTD.</t>
        </is>
      </c>
      <c r="K103" s="5" t="inlineStr">
        <is>
          <t>20260917</t>
        </is>
      </c>
      <c r="L103" s="5" t="inlineStr">
        <is>
          <t>UBE CHEMICALS (ASIA) PUBLIC COMPANY LIMITED</t>
        </is>
      </c>
      <c r="M103" s="5" t="inlineStr">
        <is>
          <t>THAI SYNTHETIC RUBBERS CO., LTD.</t>
        </is>
      </c>
      <c r="N103" s="5" t="inlineStr">
        <is>
          <t xml:space="preserve">Polybutadiene Rubber </t>
        </is>
      </c>
      <c r="O103" s="5" t="inlineStr">
        <is>
          <t>Good condition; Grade B+</t>
        </is>
      </c>
      <c r="P103" s="5" t="inlineStr">
        <is>
          <t xml:space="preserve">CY-RTN 17-18/09/26 (ID-N016462)
</t>
        </is>
      </c>
      <c r="Q103" s="5" t="n">
        <v>1</v>
      </c>
      <c r="R103" s="5" t="n">
        <v>0</v>
      </c>
      <c r="S103" s="5" t="n">
        <v>0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>
        <v>0</v>
      </c>
      <c r="Y103" s="5" t="n">
        <v>0</v>
      </c>
      <c r="Z103" s="5" t="n">
        <v>0</v>
      </c>
      <c r="AA103" s="5" t="n">
        <v>0</v>
      </c>
      <c r="AB103" s="5">
        <f>SUM(Q103:Y103)-Z103</f>
        <v/>
      </c>
      <c r="AC103" s="5">
        <f>IF(I103="","",IF(OR(LEFT(I103,3)="BKK",I103="LCH55"),"BKK",IF(LEFT(I103,3)="LCH","LCH","OTHER")))</f>
        <v/>
      </c>
      <c r="AD103" s="5">
        <f>MAX(0,Q103-MAX(0,Z103))</f>
        <v/>
      </c>
      <c r="AE103" s="5">
        <f>MAX(0,R103-MAX(0,Z103-SUM(Q103:Q103)))</f>
        <v/>
      </c>
      <c r="AF103" s="5">
        <f>MAX(0,S103-MAX(0,Z103-SUM(Q103:R103)))</f>
        <v/>
      </c>
      <c r="AG103" s="5">
        <f>MAX(0,T103-MAX(0,Z103-SUM(Q103:S103)))</f>
        <v/>
      </c>
      <c r="AH103" s="5">
        <f>MAX(0,U103-MAX(0,Z103-SUM(Q103:T103)))</f>
        <v/>
      </c>
      <c r="AI103" s="5">
        <f>MAX(0,V103-MAX(0,Z103-SUM(Q103:U103)))</f>
        <v/>
      </c>
      <c r="AJ103" s="5">
        <f>MAX(0,W103-MAX(0,Z103-SUM(Q103:V103)))</f>
        <v/>
      </c>
      <c r="AK103" s="5">
        <f>MAX(0,X103-MAX(0,Z103-SUM(Q103:W103)))</f>
        <v/>
      </c>
      <c r="AL103" s="5">
        <f>MAX(0,Y103-MAX(0,Z103-SUM(Q103:X103)))</f>
        <v/>
      </c>
    </row>
    <row r="104">
      <c r="A104" s="5" t="inlineStr">
        <is>
          <t>HASLS22260901018</t>
        </is>
      </c>
      <c r="B104" s="5" t="inlineStr">
        <is>
          <t>SWIC</t>
        </is>
      </c>
      <c r="C104" s="5" t="inlineStr">
        <is>
          <t>2610N</t>
        </is>
      </c>
      <c r="D104" s="5" t="inlineStr">
        <is>
          <t>202609220500</t>
        </is>
      </c>
      <c r="E104" s="5" t="inlineStr"/>
      <c r="F104" s="5" t="inlineStr">
        <is>
          <t>THLCH</t>
        </is>
      </c>
      <c r="G104" s="5" t="inlineStr">
        <is>
          <t>VNSGN</t>
        </is>
      </c>
      <c r="H104" s="5" t="inlineStr">
        <is>
          <t xml:space="preserve">20'x1 </t>
        </is>
      </c>
      <c r="I104" s="5" t="inlineStr">
        <is>
          <t>LCHY5</t>
        </is>
      </c>
      <c r="J104" s="5" t="inlineStr">
        <is>
          <t>PW DEPOT CO., LTD.</t>
        </is>
      </c>
      <c r="K104" s="5" t="inlineStr">
        <is>
          <t>20260916</t>
        </is>
      </c>
      <c r="L104" s="5" t="inlineStr">
        <is>
          <t>UBE CHEMICALS (ASIA) PUBLIC COMPANY LIMITED</t>
        </is>
      </c>
      <c r="M104" s="5" t="inlineStr">
        <is>
          <t>UBE CHEMICALS (ASIA) PUBLIC COMPANY LIMITED</t>
        </is>
      </c>
      <c r="N104" s="5" t="inlineStr">
        <is>
          <t>RESIN</t>
        </is>
      </c>
      <c r="O104" s="5" t="inlineStr">
        <is>
          <t>Good grade or food grade container for WITHOUT PALLET</t>
        </is>
      </c>
      <c r="P104" s="5" t="inlineStr">
        <is>
          <t>CY-RTN 16-18/09/26 (2002054474)</t>
        </is>
      </c>
      <c r="Q104" s="5" t="n">
        <v>1</v>
      </c>
      <c r="R104" s="5" t="n">
        <v>0</v>
      </c>
      <c r="S104" s="5" t="n">
        <v>0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>
        <v>0</v>
      </c>
      <c r="Y104" s="5" t="n">
        <v>0</v>
      </c>
      <c r="Z104" s="5" t="n">
        <v>0</v>
      </c>
      <c r="AA104" s="5" t="n">
        <v>0</v>
      </c>
      <c r="AB104" s="5">
        <f>SUM(Q104:Y104)-Z104</f>
        <v/>
      </c>
      <c r="AC104" s="5">
        <f>IF(I104="","",IF(OR(LEFT(I104,3)="BKK",I104="LCH55"),"BKK",IF(LEFT(I104,3)="LCH","LCH","OTHER")))</f>
        <v/>
      </c>
      <c r="AD104" s="5">
        <f>MAX(0,Q104-MAX(0,Z104))</f>
        <v/>
      </c>
      <c r="AE104" s="5">
        <f>MAX(0,R104-MAX(0,Z104-SUM(Q104:Q104)))</f>
        <v/>
      </c>
      <c r="AF104" s="5">
        <f>MAX(0,S104-MAX(0,Z104-SUM(Q104:R104)))</f>
        <v/>
      </c>
      <c r="AG104" s="5">
        <f>MAX(0,T104-MAX(0,Z104-SUM(Q104:S104)))</f>
        <v/>
      </c>
      <c r="AH104" s="5">
        <f>MAX(0,U104-MAX(0,Z104-SUM(Q104:T104)))</f>
        <v/>
      </c>
      <c r="AI104" s="5">
        <f>MAX(0,V104-MAX(0,Z104-SUM(Q104:U104)))</f>
        <v/>
      </c>
      <c r="AJ104" s="5">
        <f>MAX(0,W104-MAX(0,Z104-SUM(Q104:V104)))</f>
        <v/>
      </c>
      <c r="AK104" s="5">
        <f>MAX(0,X104-MAX(0,Z104-SUM(Q104:W104)))</f>
        <v/>
      </c>
      <c r="AL104" s="5">
        <f>MAX(0,Y104-MAX(0,Z104-SUM(Q104:X104)))</f>
        <v/>
      </c>
    </row>
    <row r="105">
      <c r="A105" s="5" t="inlineStr">
        <is>
          <t>HASLS22260901218</t>
        </is>
      </c>
      <c r="B105" s="5" t="inlineStr">
        <is>
          <t>SWIC</t>
        </is>
      </c>
      <c r="C105" s="5" t="inlineStr">
        <is>
          <t>2610N</t>
        </is>
      </c>
      <c r="D105" s="5" t="inlineStr">
        <is>
          <t>202609220500</t>
        </is>
      </c>
      <c r="E105" s="5" t="inlineStr"/>
      <c r="F105" s="5" t="inlineStr">
        <is>
          <t>THLCH</t>
        </is>
      </c>
      <c r="G105" s="5" t="inlineStr">
        <is>
          <t>RUVVO</t>
        </is>
      </c>
      <c r="H105" s="5" t="inlineStr">
        <is>
          <t xml:space="preserve">40Hx1 </t>
        </is>
      </c>
      <c r="I105" s="5" t="inlineStr">
        <is>
          <t>LCHY5</t>
        </is>
      </c>
      <c r="J105" s="5" t="inlineStr">
        <is>
          <t>PW DEPOT CO., LTD.</t>
        </is>
      </c>
      <c r="K105" s="5" t="inlineStr">
        <is>
          <t>20260917</t>
        </is>
      </c>
      <c r="L105" s="5" t="inlineStr">
        <is>
          <t>FREIGHT MARK ASIA (THAILAND) CO. LTD.</t>
        </is>
      </c>
      <c r="M105" s="5" t="inlineStr">
        <is>
          <t>ZHONGCE RUBBER (THAILAND) CO., LTD.</t>
        </is>
      </c>
      <c r="N105" s="5" t="inlineStr">
        <is>
          <t>RADIAL TIRES</t>
        </is>
      </c>
      <c r="O105" s="5" t="inlineStr">
        <is>
          <t>GOOD AND CLEAN CONTAINER</t>
        </is>
      </c>
      <c r="P105" s="5" t="inlineStr">
        <is>
          <t>Pickup : 2026-09-17, Return : 2026-09-18</t>
        </is>
      </c>
      <c r="Q105" s="5" t="n">
        <v>0</v>
      </c>
      <c r="R105" s="5" t="n">
        <v>0</v>
      </c>
      <c r="S105" s="5" t="n">
        <v>1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>
        <v>0</v>
      </c>
      <c r="Y105" s="5" t="n">
        <v>0</v>
      </c>
      <c r="Z105" s="5" t="n">
        <v>0</v>
      </c>
      <c r="AA105" s="5" t="n">
        <v>0</v>
      </c>
      <c r="AB105" s="5">
        <f>SUM(Q105:Y105)-Z105</f>
        <v/>
      </c>
      <c r="AC105" s="5">
        <f>IF(I105="","",IF(OR(LEFT(I105,3)="BKK",I105="LCH55"),"BKK",IF(LEFT(I105,3)="LCH","LCH","OTHER")))</f>
        <v/>
      </c>
      <c r="AD105" s="5">
        <f>MAX(0,Q105-MAX(0,Z105))</f>
        <v/>
      </c>
      <c r="AE105" s="5">
        <f>MAX(0,R105-MAX(0,Z105-SUM(Q105:Q105)))</f>
        <v/>
      </c>
      <c r="AF105" s="5">
        <f>MAX(0,S105-MAX(0,Z105-SUM(Q105:R105)))</f>
        <v/>
      </c>
      <c r="AG105" s="5">
        <f>MAX(0,T105-MAX(0,Z105-SUM(Q105:S105)))</f>
        <v/>
      </c>
      <c r="AH105" s="5">
        <f>MAX(0,U105-MAX(0,Z105-SUM(Q105:T105)))</f>
        <v/>
      </c>
      <c r="AI105" s="5">
        <f>MAX(0,V105-MAX(0,Z105-SUM(Q105:U105)))</f>
        <v/>
      </c>
      <c r="AJ105" s="5">
        <f>MAX(0,W105-MAX(0,Z105-SUM(Q105:V105)))</f>
        <v/>
      </c>
      <c r="AK105" s="5">
        <f>MAX(0,X105-MAX(0,Z105-SUM(Q105:W105)))</f>
        <v/>
      </c>
      <c r="AL105" s="5">
        <f>MAX(0,Y105-MAX(0,Z105-SUM(Q105:X105)))</f>
        <v/>
      </c>
    </row>
    <row r="106">
      <c r="A106" s="5" t="inlineStr">
        <is>
          <t>HASLS22260901293</t>
        </is>
      </c>
      <c r="B106" s="5" t="inlineStr">
        <is>
          <t>SWBT</t>
        </is>
      </c>
      <c r="C106" s="5" t="inlineStr">
        <is>
          <t>2615N</t>
        </is>
      </c>
      <c r="D106" s="5" t="inlineStr">
        <is>
          <t>202609220500</t>
        </is>
      </c>
      <c r="E106" s="5" t="inlineStr"/>
      <c r="F106" s="5" t="inlineStr">
        <is>
          <t>THLCH</t>
        </is>
      </c>
      <c r="G106" s="5" t="inlineStr">
        <is>
          <t>KRPUS</t>
        </is>
      </c>
      <c r="H106" s="5" t="inlineStr">
        <is>
          <t xml:space="preserve">20'x1 </t>
        </is>
      </c>
      <c r="I106" s="5" t="inlineStr">
        <is>
          <t>LCHY5</t>
        </is>
      </c>
      <c r="J106" s="5" t="inlineStr">
        <is>
          <t>PW DEPOT CO., LTD.</t>
        </is>
      </c>
      <c r="K106" s="5" t="inlineStr">
        <is>
          <t>20260916</t>
        </is>
      </c>
      <c r="L106" s="5" t="inlineStr">
        <is>
          <t>UBE CHEMICALS (ASIA) PUBLIC COMPANY LIMITED</t>
        </is>
      </c>
      <c r="M106" s="5" t="inlineStr">
        <is>
          <t>UBE CHEMICALS (ASIA) PUBLIC COMPANY LIMITED</t>
        </is>
      </c>
      <c r="N106" s="5" t="inlineStr">
        <is>
          <t>POLYAMIDE RESIN</t>
        </is>
      </c>
      <c r="O106" s="5" t="inlineStr">
        <is>
          <t>RQST CNTR SOUND &amp; CLEAN</t>
        </is>
      </c>
      <c r="P106" s="5" t="inlineStr">
        <is>
          <t>CY-RTN  : 16-18/09/2026 RQST CNTR SOUND &amp; CLEAN
SAP SO : 2002054083</t>
        </is>
      </c>
      <c r="Q106" s="5" t="n">
        <v>1</v>
      </c>
      <c r="R106" s="5" t="n">
        <v>0</v>
      </c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0</v>
      </c>
      <c r="AB106" s="5">
        <f>SUM(Q106:Y106)-Z106</f>
        <v/>
      </c>
      <c r="AC106" s="5">
        <f>IF(I106="","",IF(OR(LEFT(I106,3)="BKK",I106="LCH55"),"BKK",IF(LEFT(I106,3)="LCH","LCH","OTHER")))</f>
        <v/>
      </c>
      <c r="AD106" s="5">
        <f>MAX(0,Q106-MAX(0,Z106))</f>
        <v/>
      </c>
      <c r="AE106" s="5">
        <f>MAX(0,R106-MAX(0,Z106-SUM(Q106:Q106)))</f>
        <v/>
      </c>
      <c r="AF106" s="5">
        <f>MAX(0,S106-MAX(0,Z106-SUM(Q106:R106)))</f>
        <v/>
      </c>
      <c r="AG106" s="5">
        <f>MAX(0,T106-MAX(0,Z106-SUM(Q106:S106)))</f>
        <v/>
      </c>
      <c r="AH106" s="5">
        <f>MAX(0,U106-MAX(0,Z106-SUM(Q106:T106)))</f>
        <v/>
      </c>
      <c r="AI106" s="5">
        <f>MAX(0,V106-MAX(0,Z106-SUM(Q106:U106)))</f>
        <v/>
      </c>
      <c r="AJ106" s="5">
        <f>MAX(0,W106-MAX(0,Z106-SUM(Q106:V106)))</f>
        <v/>
      </c>
      <c r="AK106" s="5">
        <f>MAX(0,X106-MAX(0,Z106-SUM(Q106:W106)))</f>
        <v/>
      </c>
      <c r="AL106" s="5">
        <f>MAX(0,Y106-MAX(0,Z106-SUM(Q106:X106)))</f>
        <v/>
      </c>
    </row>
    <row r="107">
      <c r="A107" s="5" t="inlineStr">
        <is>
          <t>HASLS22260901405</t>
        </is>
      </c>
      <c r="B107" s="5" t="inlineStr">
        <is>
          <t>NSSJ</t>
        </is>
      </c>
      <c r="C107" s="5" t="inlineStr">
        <is>
          <t>2607S</t>
        </is>
      </c>
      <c r="D107" s="5" t="inlineStr">
        <is>
          <t>202609220800</t>
        </is>
      </c>
      <c r="E107" s="5" t="inlineStr"/>
      <c r="F107" s="5" t="inlineStr">
        <is>
          <t>THLCH</t>
        </is>
      </c>
      <c r="G107" s="5" t="inlineStr">
        <is>
          <t>IDJKT</t>
        </is>
      </c>
      <c r="H107" s="5" t="inlineStr">
        <is>
          <t xml:space="preserve">20'x1 </t>
        </is>
      </c>
      <c r="I107" s="5" t="inlineStr">
        <is>
          <t>LCHY5</t>
        </is>
      </c>
      <c r="J107" s="5" t="inlineStr">
        <is>
          <t>PW DEPOT CO., LTD.</t>
        </is>
      </c>
      <c r="K107" s="5" t="inlineStr">
        <is>
          <t>20260916</t>
        </is>
      </c>
      <c r="L107" s="5" t="inlineStr">
        <is>
          <t>SCGJWD LOGISTICS PUBLIC COMPANY LIMITED</t>
        </is>
      </c>
      <c r="M107" s="5" t="inlineStr">
        <is>
          <t>THAI POLYETHYLENE CO., LTD.</t>
        </is>
      </c>
      <c r="N107" s="5" t="inlineStr">
        <is>
          <t>RESIN</t>
        </is>
      </c>
      <c r="O107" s="5" t="inlineStr">
        <is>
          <t>GOOD AND CLEAN CONTAINER</t>
        </is>
      </c>
      <c r="P107" s="5" t="inlineStr">
        <is>
          <t>CY-RTN 16-17/09/26 (3031062045)</t>
        </is>
      </c>
      <c r="Q107" s="5" t="n">
        <v>1</v>
      </c>
      <c r="R107" s="5" t="n">
        <v>0</v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0</v>
      </c>
      <c r="AB107" s="5">
        <f>SUM(Q107:Y107)-Z107</f>
        <v/>
      </c>
      <c r="AC107" s="5">
        <f>IF(I107="","",IF(OR(LEFT(I107,3)="BKK",I107="LCH55"),"BKK",IF(LEFT(I107,3)="LCH","LCH","OTHER")))</f>
        <v/>
      </c>
      <c r="AD107" s="5">
        <f>MAX(0,Q107-MAX(0,Z107))</f>
        <v/>
      </c>
      <c r="AE107" s="5">
        <f>MAX(0,R107-MAX(0,Z107-SUM(Q107:Q107)))</f>
        <v/>
      </c>
      <c r="AF107" s="5">
        <f>MAX(0,S107-MAX(0,Z107-SUM(Q107:R107)))</f>
        <v/>
      </c>
      <c r="AG107" s="5">
        <f>MAX(0,T107-MAX(0,Z107-SUM(Q107:S107)))</f>
        <v/>
      </c>
      <c r="AH107" s="5">
        <f>MAX(0,U107-MAX(0,Z107-SUM(Q107:T107)))</f>
        <v/>
      </c>
      <c r="AI107" s="5">
        <f>MAX(0,V107-MAX(0,Z107-SUM(Q107:U107)))</f>
        <v/>
      </c>
      <c r="AJ107" s="5">
        <f>MAX(0,W107-MAX(0,Z107-SUM(Q107:V107)))</f>
        <v/>
      </c>
      <c r="AK107" s="5">
        <f>MAX(0,X107-MAX(0,Z107-SUM(Q107:W107)))</f>
        <v/>
      </c>
      <c r="AL107" s="5">
        <f>MAX(0,Y107-MAX(0,Z107-SUM(Q107:X107)))</f>
        <v/>
      </c>
    </row>
    <row r="108">
      <c r="A108" s="5" t="inlineStr">
        <is>
          <t>HASLS22260901417</t>
        </is>
      </c>
      <c r="B108" s="5" t="inlineStr">
        <is>
          <t>KXM</t>
        </is>
      </c>
      <c r="C108" s="5" t="inlineStr">
        <is>
          <t>2608S</t>
        </is>
      </c>
      <c r="D108" s="5" t="inlineStr">
        <is>
          <t>202610110000</t>
        </is>
      </c>
      <c r="E108" s="5" t="inlineStr"/>
      <c r="F108" s="5" t="inlineStr">
        <is>
          <t>THLCH</t>
        </is>
      </c>
      <c r="G108" s="5" t="inlineStr">
        <is>
          <t>IDJKT</t>
        </is>
      </c>
      <c r="H108" s="5" t="inlineStr">
        <is>
          <t xml:space="preserve">40Hx1 </t>
        </is>
      </c>
      <c r="I108" s="5" t="inlineStr">
        <is>
          <t>LCHY5</t>
        </is>
      </c>
      <c r="J108" s="5" t="inlineStr">
        <is>
          <t>PW DEPOT CO., LTD.</t>
        </is>
      </c>
      <c r="K108" s="5" t="inlineStr">
        <is>
          <t>20260910</t>
        </is>
      </c>
      <c r="L108" s="5" t="inlineStr">
        <is>
          <t>FM GLOBAL LOGISTICS CO., LTD.</t>
        </is>
      </c>
      <c r="M108" s="5" t="inlineStr">
        <is>
          <t>CCL LABEL (THAI) LTD.</t>
        </is>
      </c>
      <c r="N108" s="5" t="inlineStr">
        <is>
          <t>STICKER LABEL</t>
        </is>
      </c>
      <c r="O108" s="5" t="inlineStr">
        <is>
          <t>GOOD AND CLEAN CONTAINER</t>
        </is>
      </c>
      <c r="P108" s="5" t="inlineStr">
        <is>
          <t>Pickup : 2026-09-10, Return : 2026-09-10</t>
        </is>
      </c>
      <c r="Q108" s="5" t="n">
        <v>0</v>
      </c>
      <c r="R108" s="5" t="n">
        <v>0</v>
      </c>
      <c r="S108" s="5" t="n">
        <v>1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0</v>
      </c>
      <c r="AB108" s="5">
        <f>SUM(Q108:Y108)-Z108</f>
        <v/>
      </c>
      <c r="AC108" s="5">
        <f>IF(I108="","",IF(OR(LEFT(I108,3)="BKK",I108="LCH55"),"BKK",IF(LEFT(I108,3)="LCH","LCH","OTHER")))</f>
        <v/>
      </c>
      <c r="AD108" s="5">
        <f>MAX(0,Q108-MAX(0,Z108))</f>
        <v/>
      </c>
      <c r="AE108" s="5">
        <f>MAX(0,R108-MAX(0,Z108-SUM(Q108:Q108)))</f>
        <v/>
      </c>
      <c r="AF108" s="5">
        <f>MAX(0,S108-MAX(0,Z108-SUM(Q108:R108)))</f>
        <v/>
      </c>
      <c r="AG108" s="5">
        <f>MAX(0,T108-MAX(0,Z108-SUM(Q108:S108)))</f>
        <v/>
      </c>
      <c r="AH108" s="5">
        <f>MAX(0,U108-MAX(0,Z108-SUM(Q108:T108)))</f>
        <v/>
      </c>
      <c r="AI108" s="5">
        <f>MAX(0,V108-MAX(0,Z108-SUM(Q108:U108)))</f>
        <v/>
      </c>
      <c r="AJ108" s="5">
        <f>MAX(0,W108-MAX(0,Z108-SUM(Q108:V108)))</f>
        <v/>
      </c>
      <c r="AK108" s="5">
        <f>MAX(0,X108-MAX(0,Z108-SUM(Q108:W108)))</f>
        <v/>
      </c>
      <c r="AL108" s="5">
        <f>MAX(0,Y108-MAX(0,Z108-SUM(Q108:X108)))</f>
        <v/>
      </c>
    </row>
    <row r="109">
      <c r="A109" s="5" t="inlineStr">
        <is>
          <t>HASLS22260901503</t>
        </is>
      </c>
      <c r="B109" s="5" t="inlineStr">
        <is>
          <t>SWIC</t>
        </is>
      </c>
      <c r="C109" s="5" t="inlineStr">
        <is>
          <t>2610N</t>
        </is>
      </c>
      <c r="D109" s="5" t="inlineStr">
        <is>
          <t>202609220500</t>
        </is>
      </c>
      <c r="E109" s="5" t="inlineStr"/>
      <c r="F109" s="5" t="inlineStr">
        <is>
          <t>THLCH</t>
        </is>
      </c>
      <c r="G109" s="5" t="inlineStr">
        <is>
          <t>VNSGN</t>
        </is>
      </c>
      <c r="H109" s="5" t="inlineStr">
        <is>
          <t xml:space="preserve">40Hx5 </t>
        </is>
      </c>
      <c r="I109" s="5" t="inlineStr">
        <is>
          <t>LCHY5</t>
        </is>
      </c>
      <c r="J109" s="5" t="inlineStr">
        <is>
          <t>PW DEPOT CO., LTD.</t>
        </is>
      </c>
      <c r="K109" s="5" t="inlineStr">
        <is>
          <t>20260917</t>
        </is>
      </c>
      <c r="L109" s="5" t="inlineStr">
        <is>
          <t>TOSHIBA LOGISTICS (THAILAND) CO., LTD.</t>
        </is>
      </c>
      <c r="M109" s="5" t="inlineStr">
        <is>
          <t>MIDEA REFRIGERATION EQUIPMENT (THAILAND) CO., LTD.</t>
        </is>
      </c>
      <c r="N109" s="5" t="inlineStr">
        <is>
          <t>AIR CONDITION</t>
        </is>
      </c>
      <c r="O109" s="5" t="inlineStr">
        <is>
          <t>RQST GOOD CLEAN &amp; DRY CONT.</t>
        </is>
      </c>
      <c r="P109" s="5" t="inlineStr">
        <is>
          <t xml:space="preserve">Pickup : 2026-09-17, Return : 2026-09-18 (1ST RTN 18/09 W/O RENT) 
 ** PLEASE CHECK OPEN GATE BEFORE RETURN CNTR **
</t>
        </is>
      </c>
      <c r="Q109" s="5" t="n">
        <v>0</v>
      </c>
      <c r="R109" s="5" t="n">
        <v>0</v>
      </c>
      <c r="S109" s="5" t="n">
        <v>5</v>
      </c>
      <c r="T109" s="5" t="n">
        <v>0</v>
      </c>
      <c r="U109" s="5" t="n">
        <v>0</v>
      </c>
      <c r="V109" s="5" t="n">
        <v>0</v>
      </c>
      <c r="W109" s="5" t="n">
        <v>0</v>
      </c>
      <c r="X109" s="5" t="n">
        <v>0</v>
      </c>
      <c r="Y109" s="5" t="n">
        <v>0</v>
      </c>
      <c r="Z109" s="5" t="n">
        <v>0</v>
      </c>
      <c r="AA109" s="5" t="n">
        <v>0</v>
      </c>
      <c r="AB109" s="5">
        <f>SUM(Q109:Y109)-Z109</f>
        <v/>
      </c>
      <c r="AC109" s="5">
        <f>IF(I109="","",IF(OR(LEFT(I109,3)="BKK",I109="LCH55"),"BKK",IF(LEFT(I109,3)="LCH","LCH","OTHER")))</f>
        <v/>
      </c>
      <c r="AD109" s="5">
        <f>MAX(0,Q109-MAX(0,Z109))</f>
        <v/>
      </c>
      <c r="AE109" s="5">
        <f>MAX(0,R109-MAX(0,Z109-SUM(Q109:Q109)))</f>
        <v/>
      </c>
      <c r="AF109" s="5">
        <f>MAX(0,S109-MAX(0,Z109-SUM(Q109:R109)))</f>
        <v/>
      </c>
      <c r="AG109" s="5">
        <f>MAX(0,T109-MAX(0,Z109-SUM(Q109:S109)))</f>
        <v/>
      </c>
      <c r="AH109" s="5">
        <f>MAX(0,U109-MAX(0,Z109-SUM(Q109:T109)))</f>
        <v/>
      </c>
      <c r="AI109" s="5">
        <f>MAX(0,V109-MAX(0,Z109-SUM(Q109:U109)))</f>
        <v/>
      </c>
      <c r="AJ109" s="5">
        <f>MAX(0,W109-MAX(0,Z109-SUM(Q109:V109)))</f>
        <v/>
      </c>
      <c r="AK109" s="5">
        <f>MAX(0,X109-MAX(0,Z109-SUM(Q109:W109)))</f>
        <v/>
      </c>
      <c r="AL109" s="5">
        <f>MAX(0,Y109-MAX(0,Z109-SUM(Q109:X109)))</f>
        <v/>
      </c>
    </row>
    <row r="110">
      <c r="A110" s="5" t="inlineStr">
        <is>
          <t>HASLS22260901536</t>
        </is>
      </c>
      <c r="B110" s="5" t="inlineStr">
        <is>
          <t>SWIC</t>
        </is>
      </c>
      <c r="C110" s="5" t="inlineStr">
        <is>
          <t>2610N</t>
        </is>
      </c>
      <c r="D110" s="5" t="inlineStr">
        <is>
          <t>202609220500</t>
        </is>
      </c>
      <c r="E110" s="5" t="inlineStr"/>
      <c r="F110" s="5" t="inlineStr">
        <is>
          <t>THLCH</t>
        </is>
      </c>
      <c r="G110" s="5" t="inlineStr">
        <is>
          <t>VNSGN</t>
        </is>
      </c>
      <c r="H110" s="5" t="inlineStr">
        <is>
          <t xml:space="preserve">40Hx1 </t>
        </is>
      </c>
      <c r="I110" s="5" t="inlineStr">
        <is>
          <t>LCHY5</t>
        </is>
      </c>
      <c r="J110" s="5" t="inlineStr">
        <is>
          <t>PW DEPOT CO., LTD.</t>
        </is>
      </c>
      <c r="K110" s="5" t="inlineStr">
        <is>
          <t>20260917</t>
        </is>
      </c>
      <c r="L110" s="5" t="inlineStr">
        <is>
          <t>TOSHIBA LOGISTICS (THAILAND) CO., LTD.</t>
        </is>
      </c>
      <c r="M110" s="5" t="inlineStr">
        <is>
          <t>MIDEA REFRIGERATION EQUIPMENT (THAILAND) CO., LTD.</t>
        </is>
      </c>
      <c r="N110" s="5" t="inlineStr">
        <is>
          <t>AIR CONDITION</t>
        </is>
      </c>
      <c r="O110" s="5" t="inlineStr">
        <is>
          <t>GOOD AND CLEAN CONTAINER</t>
        </is>
      </c>
      <c r="P110" s="5" t="inlineStr">
        <is>
          <t xml:space="preserve">Pickup : 2026-09-17, Return : 2026-09-18 
 ** PLEASE CHECK OPEN GATE BEFORE RETURN CNTR **
</t>
        </is>
      </c>
      <c r="Q110" s="5" t="n">
        <v>0</v>
      </c>
      <c r="R110" s="5" t="n">
        <v>0</v>
      </c>
      <c r="S110" s="5" t="n">
        <v>1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>
        <v>0</v>
      </c>
      <c r="Y110" s="5" t="n">
        <v>0</v>
      </c>
      <c r="Z110" s="5" t="n">
        <v>0</v>
      </c>
      <c r="AA110" s="5" t="n">
        <v>0</v>
      </c>
      <c r="AB110" s="5">
        <f>SUM(Q110:Y110)-Z110</f>
        <v/>
      </c>
      <c r="AC110" s="5">
        <f>IF(I110="","",IF(OR(LEFT(I110,3)="BKK",I110="LCH55"),"BKK",IF(LEFT(I110,3)="LCH","LCH","OTHER")))</f>
        <v/>
      </c>
      <c r="AD110" s="5">
        <f>MAX(0,Q110-MAX(0,Z110))</f>
        <v/>
      </c>
      <c r="AE110" s="5">
        <f>MAX(0,R110-MAX(0,Z110-SUM(Q110:Q110)))</f>
        <v/>
      </c>
      <c r="AF110" s="5">
        <f>MAX(0,S110-MAX(0,Z110-SUM(Q110:R110)))</f>
        <v/>
      </c>
      <c r="AG110" s="5">
        <f>MAX(0,T110-MAX(0,Z110-SUM(Q110:S110)))</f>
        <v/>
      </c>
      <c r="AH110" s="5">
        <f>MAX(0,U110-MAX(0,Z110-SUM(Q110:T110)))</f>
        <v/>
      </c>
      <c r="AI110" s="5">
        <f>MAX(0,V110-MAX(0,Z110-SUM(Q110:U110)))</f>
        <v/>
      </c>
      <c r="AJ110" s="5">
        <f>MAX(0,W110-MAX(0,Z110-SUM(Q110:V110)))</f>
        <v/>
      </c>
      <c r="AK110" s="5">
        <f>MAX(0,X110-MAX(0,Z110-SUM(Q110:W110)))</f>
        <v/>
      </c>
      <c r="AL110" s="5">
        <f>MAX(0,Y110-MAX(0,Z110-SUM(Q110:X110)))</f>
        <v/>
      </c>
    </row>
    <row r="111">
      <c r="A111" s="5" t="inlineStr">
        <is>
          <t>HASLS22260801854</t>
        </is>
      </c>
      <c r="B111" s="5" t="inlineStr">
        <is>
          <t>SWMM</t>
        </is>
      </c>
      <c r="C111" s="5" t="inlineStr">
        <is>
          <t>2609N</t>
        </is>
      </c>
      <c r="D111" s="5" t="inlineStr">
        <is>
          <t>202609221300</t>
        </is>
      </c>
      <c r="E111" s="5" t="inlineStr"/>
      <c r="F111" s="5" t="inlineStr">
        <is>
          <t>THBKK</t>
        </is>
      </c>
      <c r="G111" s="5" t="inlineStr">
        <is>
          <t>VNSGN</t>
        </is>
      </c>
      <c r="H111" s="5" t="inlineStr">
        <is>
          <t xml:space="preserve">20'x10 </t>
        </is>
      </c>
      <c r="I111" s="5" t="inlineStr">
        <is>
          <t>BKK25</t>
        </is>
      </c>
      <c r="J111" s="5" t="inlineStr">
        <is>
          <t xml:space="preserve">Smart Logistics Service (Thailand ) Co.,Ltd. </t>
        </is>
      </c>
      <c r="K111" s="5" t="inlineStr">
        <is>
          <t>20260916</t>
        </is>
      </c>
      <c r="L111" s="5" t="inlineStr">
        <is>
          <t>SCGJWD LOGISTICS PUBLIC COMPANY LIMITED</t>
        </is>
      </c>
      <c r="M111" s="5" t="inlineStr">
        <is>
          <t>SCG INTERNATIONAL CORPORATION CO., LTD.</t>
        </is>
      </c>
      <c r="N111" s="5" t="inlineStr">
        <is>
          <t>WHITE CLINKER</t>
        </is>
      </c>
      <c r="O111" s="5" t="inlineStr">
        <is>
          <t>Container clean, No Oil, No Rust and Loading by Forklift</t>
        </is>
      </c>
      <c r="P111" s="5" t="inlineStr">
        <is>
          <t>CY-RTN 16-17/09 = 5x20’
CY-RTN 17-18/09 = 5x20’ [1ST RTN 17/09/2026 W/O RENT]
(JB2607178946)</t>
        </is>
      </c>
      <c r="Q111" s="5" t="n">
        <v>10</v>
      </c>
      <c r="R111" s="5" t="n">
        <v>0</v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8</v>
      </c>
      <c r="AA111" s="5" t="n">
        <v>0</v>
      </c>
      <c r="AB111" s="5">
        <f>SUM(Q111:Y111)-Z111</f>
        <v/>
      </c>
      <c r="AC111" s="5">
        <f>IF(I111="","",IF(OR(LEFT(I111,3)="BKK",I111="LCH55"),"BKK",IF(LEFT(I111,3)="LCH","LCH","OTHER")))</f>
        <v/>
      </c>
      <c r="AD111" s="5">
        <f>MAX(0,Q111-MAX(0,Z111))</f>
        <v/>
      </c>
      <c r="AE111" s="5">
        <f>MAX(0,R111-MAX(0,Z111-SUM(Q111:Q111)))</f>
        <v/>
      </c>
      <c r="AF111" s="5">
        <f>MAX(0,S111-MAX(0,Z111-SUM(Q111:R111)))</f>
        <v/>
      </c>
      <c r="AG111" s="5">
        <f>MAX(0,T111-MAX(0,Z111-SUM(Q111:S111)))</f>
        <v/>
      </c>
      <c r="AH111" s="5">
        <f>MAX(0,U111-MAX(0,Z111-SUM(Q111:T111)))</f>
        <v/>
      </c>
      <c r="AI111" s="5">
        <f>MAX(0,V111-MAX(0,Z111-SUM(Q111:U111)))</f>
        <v/>
      </c>
      <c r="AJ111" s="5">
        <f>MAX(0,W111-MAX(0,Z111-SUM(Q111:V111)))</f>
        <v/>
      </c>
      <c r="AK111" s="5">
        <f>MAX(0,X111-MAX(0,Z111-SUM(Q111:W111)))</f>
        <v/>
      </c>
      <c r="AL111" s="5">
        <f>MAX(0,Y111-MAX(0,Z111-SUM(Q111:X111)))</f>
        <v/>
      </c>
    </row>
    <row r="112">
      <c r="A112" s="5" t="inlineStr">
        <is>
          <t>HASLS22260802152</t>
        </is>
      </c>
      <c r="B112" s="5" t="inlineStr">
        <is>
          <t>SWIC</t>
        </is>
      </c>
      <c r="C112" s="5" t="inlineStr">
        <is>
          <t>2610N</t>
        </is>
      </c>
      <c r="D112" s="5" t="inlineStr">
        <is>
          <t>202609211300</t>
        </is>
      </c>
      <c r="E112" s="5" t="inlineStr"/>
      <c r="F112" s="5" t="inlineStr">
        <is>
          <t>THBKK</t>
        </is>
      </c>
      <c r="G112" s="5" t="inlineStr">
        <is>
          <t>VNSGN</t>
        </is>
      </c>
      <c r="H112" s="5" t="inlineStr">
        <is>
          <t xml:space="preserve">20'x8 </t>
        </is>
      </c>
      <c r="I112" s="5" t="inlineStr">
        <is>
          <t>BKK25</t>
        </is>
      </c>
      <c r="J112" s="5" t="inlineStr">
        <is>
          <t xml:space="preserve">Smart Logistics Service (Thailand ) Co.,Ltd. </t>
        </is>
      </c>
      <c r="K112" s="5" t="inlineStr">
        <is>
          <t>20260916</t>
        </is>
      </c>
      <c r="L112" s="5" t="inlineStr">
        <is>
          <t>SEATRANS LOGISTICS CO., LTD.</t>
        </is>
      </c>
      <c r="M112" s="5" t="inlineStr">
        <is>
          <t>M.S.K. FERTILIZER CO.,LTD</t>
        </is>
      </c>
      <c r="N112" s="5" t="inlineStr">
        <is>
          <t>FERTILIZER NON DG</t>
        </is>
      </c>
      <c r="O112" s="5" t="inlineStr">
        <is>
          <t>GOOD AND CLEAN CONTAINER</t>
        </is>
      </c>
      <c r="P112" s="5" t="inlineStr">
        <is>
          <t>Pickup : 2026-09-16, Return : 2026-09-18</t>
        </is>
      </c>
      <c r="Q112" s="5" t="n">
        <v>8</v>
      </c>
      <c r="R112" s="5" t="n">
        <v>0</v>
      </c>
      <c r="S112" s="5" t="n">
        <v>0</v>
      </c>
      <c r="T112" s="5" t="n">
        <v>0</v>
      </c>
      <c r="U112" s="5" t="n">
        <v>0</v>
      </c>
      <c r="V112" s="5" t="n">
        <v>0</v>
      </c>
      <c r="W112" s="5" t="n">
        <v>0</v>
      </c>
      <c r="X112" s="5" t="n">
        <v>0</v>
      </c>
      <c r="Y112" s="5" t="n">
        <v>0</v>
      </c>
      <c r="Z112" s="5" t="n">
        <v>4</v>
      </c>
      <c r="AA112" s="5" t="n">
        <v>0</v>
      </c>
      <c r="AB112" s="5">
        <f>SUM(Q112:Y112)-Z112</f>
        <v/>
      </c>
      <c r="AC112" s="5">
        <f>IF(I112="","",IF(OR(LEFT(I112,3)="BKK",I112="LCH55"),"BKK",IF(LEFT(I112,3)="LCH","LCH","OTHER")))</f>
        <v/>
      </c>
      <c r="AD112" s="5">
        <f>MAX(0,Q112-MAX(0,Z112))</f>
        <v/>
      </c>
      <c r="AE112" s="5">
        <f>MAX(0,R112-MAX(0,Z112-SUM(Q112:Q112)))</f>
        <v/>
      </c>
      <c r="AF112" s="5">
        <f>MAX(0,S112-MAX(0,Z112-SUM(Q112:R112)))</f>
        <v/>
      </c>
      <c r="AG112" s="5">
        <f>MAX(0,T112-MAX(0,Z112-SUM(Q112:S112)))</f>
        <v/>
      </c>
      <c r="AH112" s="5">
        <f>MAX(0,U112-MAX(0,Z112-SUM(Q112:T112)))</f>
        <v/>
      </c>
      <c r="AI112" s="5">
        <f>MAX(0,V112-MAX(0,Z112-SUM(Q112:U112)))</f>
        <v/>
      </c>
      <c r="AJ112" s="5">
        <f>MAX(0,W112-MAX(0,Z112-SUM(Q112:V112)))</f>
        <v/>
      </c>
      <c r="AK112" s="5">
        <f>MAX(0,X112-MAX(0,Z112-SUM(Q112:W112)))</f>
        <v/>
      </c>
      <c r="AL112" s="5">
        <f>MAX(0,Y112-MAX(0,Z112-SUM(Q112:X112)))</f>
        <v/>
      </c>
    </row>
    <row r="113">
      <c r="A113" s="5" t="inlineStr">
        <is>
          <t>HASLS22260802334</t>
        </is>
      </c>
      <c r="B113" s="5" t="inlineStr">
        <is>
          <t>SWIC</t>
        </is>
      </c>
      <c r="C113" s="5" t="inlineStr">
        <is>
          <t>2610N</t>
        </is>
      </c>
      <c r="D113" s="5" t="inlineStr">
        <is>
          <t>202609211300</t>
        </is>
      </c>
      <c r="E113" s="5" t="inlineStr"/>
      <c r="F113" s="5" t="inlineStr">
        <is>
          <t>THBKK</t>
        </is>
      </c>
      <c r="G113" s="5" t="inlineStr">
        <is>
          <t>VNSGN</t>
        </is>
      </c>
      <c r="H113" s="5" t="inlineStr">
        <is>
          <t xml:space="preserve">20'x6 </t>
        </is>
      </c>
      <c r="I113" s="5" t="inlineStr">
        <is>
          <t>BKK25</t>
        </is>
      </c>
      <c r="J113" s="5" t="inlineStr">
        <is>
          <t xml:space="preserve">Smart Logistics Service (Thailand ) Co.,Ltd. </t>
        </is>
      </c>
      <c r="K113" s="5" t="inlineStr">
        <is>
          <t>20260917</t>
        </is>
      </c>
      <c r="L113" s="5" t="inlineStr">
        <is>
          <t>EAST-LINK CORPORATION CO., LTD.</t>
        </is>
      </c>
      <c r="M113" s="5" t="inlineStr">
        <is>
          <t>SUKASAEM WATTANA CO.,LTD.</t>
        </is>
      </c>
      <c r="N113" s="5" t="inlineStr">
        <is>
          <t>TILE ADHESIVE AND TILE GROUT</t>
        </is>
      </c>
      <c r="O113" s="5" t="inlineStr">
        <is>
          <t>RQS CLEAN &amp; GOOD CONTAINER CONDITION.</t>
        </is>
      </c>
      <c r="P113" s="5" t="inlineStr">
        <is>
          <t xml:space="preserve">Pickup : 2026-09-17, Return : 2026-09-17 (1ST RTN 17/09 W/O RENT) 
 </t>
        </is>
      </c>
      <c r="Q113" s="5" t="n">
        <v>6</v>
      </c>
      <c r="R113" s="5" t="n">
        <v>0</v>
      </c>
      <c r="S113" s="5" t="n">
        <v>0</v>
      </c>
      <c r="T113" s="5" t="n">
        <v>0</v>
      </c>
      <c r="U113" s="5" t="n">
        <v>0</v>
      </c>
      <c r="V113" s="5" t="n">
        <v>0</v>
      </c>
      <c r="W113" s="5" t="n">
        <v>0</v>
      </c>
      <c r="X113" s="5" t="n">
        <v>0</v>
      </c>
      <c r="Y113" s="5" t="n">
        <v>0</v>
      </c>
      <c r="Z113" s="5" t="n">
        <v>4</v>
      </c>
      <c r="AA113" s="5" t="n">
        <v>0</v>
      </c>
      <c r="AB113" s="5">
        <f>SUM(Q113:Y113)-Z113</f>
        <v/>
      </c>
      <c r="AC113" s="5">
        <f>IF(I113="","",IF(OR(LEFT(I113,3)="BKK",I113="LCH55"),"BKK",IF(LEFT(I113,3)="LCH","LCH","OTHER")))</f>
        <v/>
      </c>
      <c r="AD113" s="5">
        <f>MAX(0,Q113-MAX(0,Z113))</f>
        <v/>
      </c>
      <c r="AE113" s="5">
        <f>MAX(0,R113-MAX(0,Z113-SUM(Q113:Q113)))</f>
        <v/>
      </c>
      <c r="AF113" s="5">
        <f>MAX(0,S113-MAX(0,Z113-SUM(Q113:R113)))</f>
        <v/>
      </c>
      <c r="AG113" s="5">
        <f>MAX(0,T113-MAX(0,Z113-SUM(Q113:S113)))</f>
        <v/>
      </c>
      <c r="AH113" s="5">
        <f>MAX(0,U113-MAX(0,Z113-SUM(Q113:T113)))</f>
        <v/>
      </c>
      <c r="AI113" s="5">
        <f>MAX(0,V113-MAX(0,Z113-SUM(Q113:U113)))</f>
        <v/>
      </c>
      <c r="AJ113" s="5">
        <f>MAX(0,W113-MAX(0,Z113-SUM(Q113:V113)))</f>
        <v/>
      </c>
      <c r="AK113" s="5">
        <f>MAX(0,X113-MAX(0,Z113-SUM(Q113:W113)))</f>
        <v/>
      </c>
      <c r="AL113" s="5">
        <f>MAX(0,Y113-MAX(0,Z113-SUM(Q113:X113)))</f>
        <v/>
      </c>
    </row>
    <row r="114">
      <c r="A114" s="5" t="inlineStr">
        <is>
          <t>HASLS22260802405</t>
        </is>
      </c>
      <c r="B114" s="5" t="inlineStr">
        <is>
          <t>CMA</t>
        </is>
      </c>
      <c r="C114" s="5" t="inlineStr">
        <is>
          <t>2614N</t>
        </is>
      </c>
      <c r="D114" s="5" t="inlineStr">
        <is>
          <t>202609240200</t>
        </is>
      </c>
      <c r="E114" s="5" t="inlineStr"/>
      <c r="F114" s="5" t="inlineStr">
        <is>
          <t>THBKK</t>
        </is>
      </c>
      <c r="G114" s="5" t="inlineStr">
        <is>
          <t>HKHKG</t>
        </is>
      </c>
      <c r="H114" s="5" t="inlineStr">
        <is>
          <t xml:space="preserve">40Hx1 </t>
        </is>
      </c>
      <c r="I114" s="5" t="inlineStr">
        <is>
          <t>BKK25</t>
        </is>
      </c>
      <c r="J114" s="5" t="inlineStr">
        <is>
          <t xml:space="preserve">Smart Logistics Service (Thailand ) Co.,Ltd. </t>
        </is>
      </c>
      <c r="K114" s="5" t="inlineStr">
        <is>
          <t>20260917</t>
        </is>
      </c>
      <c r="L114" s="5" t="inlineStr">
        <is>
          <t>SEA &amp; AERO LOGISTICS CO., LTD.</t>
        </is>
      </c>
      <c r="M114" s="5" t="inlineStr">
        <is>
          <t>THAI PRESIDENT FOODS PUBLIC COMPANY LIMITED</t>
        </is>
      </c>
      <c r="N114" s="5" t="inlineStr">
        <is>
          <t>INSTANT NOODLES</t>
        </is>
      </c>
      <c r="O114" s="5" t="inlineStr">
        <is>
          <t>REQUEST CLEAN AND FOOD GRADE CONTAINER ONLY</t>
        </is>
      </c>
      <c r="P114" s="5" t="inlineStr">
        <is>
          <t>Pickup : 2026-09-17, Return : 2026-09-18</t>
        </is>
      </c>
      <c r="Q114" s="5" t="n">
        <v>0</v>
      </c>
      <c r="R114" s="5" t="n">
        <v>0</v>
      </c>
      <c r="S114" s="5" t="n">
        <v>1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0</v>
      </c>
      <c r="Z114" s="5" t="n">
        <v>0</v>
      </c>
      <c r="AA114" s="5" t="n">
        <v>0</v>
      </c>
      <c r="AB114" s="5">
        <f>SUM(Q114:Y114)-Z114</f>
        <v/>
      </c>
      <c r="AC114" s="5">
        <f>IF(I114="","",IF(OR(LEFT(I114,3)="BKK",I114="LCH55"),"BKK",IF(LEFT(I114,3)="LCH","LCH","OTHER")))</f>
        <v/>
      </c>
      <c r="AD114" s="5">
        <f>MAX(0,Q114-MAX(0,Z114))</f>
        <v/>
      </c>
      <c r="AE114" s="5">
        <f>MAX(0,R114-MAX(0,Z114-SUM(Q114:Q114)))</f>
        <v/>
      </c>
      <c r="AF114" s="5">
        <f>MAX(0,S114-MAX(0,Z114-SUM(Q114:R114)))</f>
        <v/>
      </c>
      <c r="AG114" s="5">
        <f>MAX(0,T114-MAX(0,Z114-SUM(Q114:S114)))</f>
        <v/>
      </c>
      <c r="AH114" s="5">
        <f>MAX(0,U114-MAX(0,Z114-SUM(Q114:T114)))</f>
        <v/>
      </c>
      <c r="AI114" s="5">
        <f>MAX(0,V114-MAX(0,Z114-SUM(Q114:U114)))</f>
        <v/>
      </c>
      <c r="AJ114" s="5">
        <f>MAX(0,W114-MAX(0,Z114-SUM(Q114:V114)))</f>
        <v/>
      </c>
      <c r="AK114" s="5">
        <f>MAX(0,X114-MAX(0,Z114-SUM(Q114:W114)))</f>
        <v/>
      </c>
      <c r="AL114" s="5">
        <f>MAX(0,Y114-MAX(0,Z114-SUM(Q114:X114)))</f>
        <v/>
      </c>
    </row>
    <row r="115">
      <c r="A115" s="5" t="inlineStr">
        <is>
          <t>HASLS22260802630</t>
        </is>
      </c>
      <c r="B115" s="5" t="inlineStr">
        <is>
          <t>CMA</t>
        </is>
      </c>
      <c r="C115" s="5" t="inlineStr">
        <is>
          <t>2614N</t>
        </is>
      </c>
      <c r="D115" s="5" t="inlineStr">
        <is>
          <t>202609240200</t>
        </is>
      </c>
      <c r="E115" s="5" t="inlineStr"/>
      <c r="F115" s="5" t="inlineStr">
        <is>
          <t>THBKK</t>
        </is>
      </c>
      <c r="G115" s="5" t="inlineStr">
        <is>
          <t>TWKEL</t>
        </is>
      </c>
      <c r="H115" s="5" t="inlineStr">
        <is>
          <t xml:space="preserve">20'x1 </t>
        </is>
      </c>
      <c r="I115" s="5" t="inlineStr">
        <is>
          <t>BKK25</t>
        </is>
      </c>
      <c r="J115" s="5" t="inlineStr">
        <is>
          <t xml:space="preserve">Smart Logistics Service (Thailand ) Co.,Ltd. </t>
        </is>
      </c>
      <c r="K115" s="5" t="inlineStr">
        <is>
          <t>20260916</t>
        </is>
      </c>
      <c r="L115" s="5" t="inlineStr">
        <is>
          <t>RCL LOGISTICS CO., LTD.</t>
        </is>
      </c>
      <c r="M115" s="5" t="inlineStr">
        <is>
          <t>FOMOTHAI CORPORATION CO., LTD.</t>
        </is>
      </c>
      <c r="N115" s="5" t="inlineStr">
        <is>
          <t xml:space="preserve">AZOXYSTROBIN 25% W/V (23% W/W) SC </t>
        </is>
      </c>
      <c r="O115" s="5" t="inlineStr">
        <is>
          <t>**APPROVAL BY MR.JEONG-YOUNG UM DD.03/09/2026** (DG UN NO : 3082 / CLASS 9)</t>
        </is>
      </c>
      <c r="P115" s="5" t="inlineStr">
        <is>
          <t>**APPROVAL BY MR.JEONG-YOUNG UM DD.03/09/2026** (DG UN NO : 3082 / CLASS 9)
Pickup : 2026-09-16, Return : 2026-09-17
1ST RETURN + CLS TIM EDD.22/09/2026 @ 23.59</t>
        </is>
      </c>
      <c r="Q115" s="5" t="n">
        <v>1</v>
      </c>
      <c r="R115" s="5" t="n">
        <v>0</v>
      </c>
      <c r="S115" s="5" t="n">
        <v>0</v>
      </c>
      <c r="T115" s="5" t="n">
        <v>0</v>
      </c>
      <c r="U115" s="5" t="n">
        <v>0</v>
      </c>
      <c r="V115" s="5" t="n">
        <v>0</v>
      </c>
      <c r="W115" s="5" t="n">
        <v>0</v>
      </c>
      <c r="X115" s="5" t="n">
        <v>0</v>
      </c>
      <c r="Y115" s="5" t="n">
        <v>0</v>
      </c>
      <c r="Z115" s="5" t="n">
        <v>0</v>
      </c>
      <c r="AA115" s="5" t="n">
        <v>0</v>
      </c>
      <c r="AB115" s="5">
        <f>SUM(Q115:Y115)-Z115</f>
        <v/>
      </c>
      <c r="AC115" s="5">
        <f>IF(I115="","",IF(OR(LEFT(I115,3)="BKK",I115="LCH55"),"BKK",IF(LEFT(I115,3)="LCH","LCH","OTHER")))</f>
        <v/>
      </c>
      <c r="AD115" s="5">
        <f>MAX(0,Q115-MAX(0,Z115))</f>
        <v/>
      </c>
      <c r="AE115" s="5">
        <f>MAX(0,R115-MAX(0,Z115-SUM(Q115:Q115)))</f>
        <v/>
      </c>
      <c r="AF115" s="5">
        <f>MAX(0,S115-MAX(0,Z115-SUM(Q115:R115)))</f>
        <v/>
      </c>
      <c r="AG115" s="5">
        <f>MAX(0,T115-MAX(0,Z115-SUM(Q115:S115)))</f>
        <v/>
      </c>
      <c r="AH115" s="5">
        <f>MAX(0,U115-MAX(0,Z115-SUM(Q115:T115)))</f>
        <v/>
      </c>
      <c r="AI115" s="5">
        <f>MAX(0,V115-MAX(0,Z115-SUM(Q115:U115)))</f>
        <v/>
      </c>
      <c r="AJ115" s="5">
        <f>MAX(0,W115-MAX(0,Z115-SUM(Q115:V115)))</f>
        <v/>
      </c>
      <c r="AK115" s="5">
        <f>MAX(0,X115-MAX(0,Z115-SUM(Q115:W115)))</f>
        <v/>
      </c>
      <c r="AL115" s="5">
        <f>MAX(0,Y115-MAX(0,Z115-SUM(Q115:X115)))</f>
        <v/>
      </c>
    </row>
    <row r="116">
      <c r="A116" s="5" t="inlineStr">
        <is>
          <t>HASLS22260900108</t>
        </is>
      </c>
      <c r="B116" s="5" t="inlineStr">
        <is>
          <t>CMA</t>
        </is>
      </c>
      <c r="C116" s="5" t="inlineStr">
        <is>
          <t>2614N</t>
        </is>
      </c>
      <c r="D116" s="5" t="inlineStr">
        <is>
          <t>202609240200</t>
        </is>
      </c>
      <c r="E116" s="5" t="inlineStr"/>
      <c r="F116" s="5" t="inlineStr">
        <is>
          <t>THBKK</t>
        </is>
      </c>
      <c r="G116" s="5" t="inlineStr">
        <is>
          <t>TWKEL</t>
        </is>
      </c>
      <c r="H116" s="5" t="inlineStr">
        <is>
          <t xml:space="preserve">40Hx1 </t>
        </is>
      </c>
      <c r="I116" s="5" t="inlineStr">
        <is>
          <t>BKK25</t>
        </is>
      </c>
      <c r="J116" s="5" t="inlineStr">
        <is>
          <t xml:space="preserve">Smart Logistics Service (Thailand ) Co.,Ltd. </t>
        </is>
      </c>
      <c r="K116" s="5" t="inlineStr">
        <is>
          <t>20260915</t>
        </is>
      </c>
      <c r="L116" s="5" t="inlineStr">
        <is>
          <t>TARA LOGISTICS CO., LTD.</t>
        </is>
      </c>
      <c r="M116" s="5" t="inlineStr">
        <is>
          <t>YEARRAKARN CO., LTD.</t>
        </is>
      </c>
      <c r="N116" s="5" t="inlineStr">
        <is>
          <t>NON-DAIRY CERAMER</t>
        </is>
      </c>
      <c r="O116" s="5" t="inlineStr">
        <is>
          <t>FOOD GRADE CONTAINER</t>
        </is>
      </c>
      <c r="P116" s="5" t="inlineStr">
        <is>
          <t>Pickup : 2026-09-15, Return : 2026-09-16 (1ST RTN DD: 20/09/26 WO/RENT)</t>
        </is>
      </c>
      <c r="Q116" s="5" t="n">
        <v>0</v>
      </c>
      <c r="R116" s="5" t="n">
        <v>0</v>
      </c>
      <c r="S116" s="5" t="n">
        <v>1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>
        <f>SUM(Q116:Y116)-Z116</f>
        <v/>
      </c>
      <c r="AC116" s="5">
        <f>IF(I116="","",IF(OR(LEFT(I116,3)="BKK",I116="LCH55"),"BKK",IF(LEFT(I116,3)="LCH","LCH","OTHER")))</f>
        <v/>
      </c>
      <c r="AD116" s="5">
        <f>MAX(0,Q116-MAX(0,Z116))</f>
        <v/>
      </c>
      <c r="AE116" s="5">
        <f>MAX(0,R116-MAX(0,Z116-SUM(Q116:Q116)))</f>
        <v/>
      </c>
      <c r="AF116" s="5">
        <f>MAX(0,S116-MAX(0,Z116-SUM(Q116:R116)))</f>
        <v/>
      </c>
      <c r="AG116" s="5">
        <f>MAX(0,T116-MAX(0,Z116-SUM(Q116:S116)))</f>
        <v/>
      </c>
      <c r="AH116" s="5">
        <f>MAX(0,U116-MAX(0,Z116-SUM(Q116:T116)))</f>
        <v/>
      </c>
      <c r="AI116" s="5">
        <f>MAX(0,V116-MAX(0,Z116-SUM(Q116:U116)))</f>
        <v/>
      </c>
      <c r="AJ116" s="5">
        <f>MAX(0,W116-MAX(0,Z116-SUM(Q116:V116)))</f>
        <v/>
      </c>
      <c r="AK116" s="5">
        <f>MAX(0,X116-MAX(0,Z116-SUM(Q116:W116)))</f>
        <v/>
      </c>
      <c r="AL116" s="5">
        <f>MAX(0,Y116-MAX(0,Z116-SUM(Q116:X116)))</f>
        <v/>
      </c>
    </row>
    <row r="117">
      <c r="A117" s="5" t="inlineStr">
        <is>
          <t>HASLS22260900195</t>
        </is>
      </c>
      <c r="B117" s="5" t="inlineStr">
        <is>
          <t>SWMM</t>
        </is>
      </c>
      <c r="C117" s="5" t="inlineStr">
        <is>
          <t>2609N</t>
        </is>
      </c>
      <c r="D117" s="5" t="inlineStr">
        <is>
          <t>202609221300</t>
        </is>
      </c>
      <c r="E117" s="5" t="inlineStr"/>
      <c r="F117" s="5" t="inlineStr">
        <is>
          <t>THBKK</t>
        </is>
      </c>
      <c r="G117" s="5" t="inlineStr">
        <is>
          <t>JPSEN</t>
        </is>
      </c>
      <c r="H117" s="5" t="inlineStr">
        <is>
          <t xml:space="preserve">20'x6 </t>
        </is>
      </c>
      <c r="I117" s="5" t="inlineStr">
        <is>
          <t>BKK25</t>
        </is>
      </c>
      <c r="J117" s="5" t="inlineStr">
        <is>
          <t xml:space="preserve">Smart Logistics Service (Thailand ) Co.,Ltd. </t>
        </is>
      </c>
      <c r="K117" s="5" t="inlineStr">
        <is>
          <t>20260917</t>
        </is>
      </c>
      <c r="L117" s="5" t="inlineStr">
        <is>
          <t>SANGUAN WONGSE STARCH CO., LTD.</t>
        </is>
      </c>
      <c r="M117" s="5" t="inlineStr">
        <is>
          <t>SANGUAN WONGSE STARCH CO., LTD.</t>
        </is>
      </c>
      <c r="N117" s="5" t="inlineStr">
        <is>
          <t>TAPIOCA STARCH</t>
        </is>
      </c>
      <c r="O117" s="5" t="inlineStr">
        <is>
          <t>GOOD AND CLEAN CONTAINER</t>
        </is>
      </c>
      <c r="P117" s="5" t="inlineStr">
        <is>
          <t>Pickup : 2026-09-17, Return : 2026-09-19</t>
        </is>
      </c>
      <c r="Q117" s="5" t="n">
        <v>6</v>
      </c>
      <c r="R117" s="5" t="n">
        <v>0</v>
      </c>
      <c r="S117" s="5" t="n">
        <v>0</v>
      </c>
      <c r="T117" s="5" t="n">
        <v>0</v>
      </c>
      <c r="U117" s="5" t="n">
        <v>0</v>
      </c>
      <c r="V117" s="5" t="n">
        <v>0</v>
      </c>
      <c r="W117" s="5" t="n">
        <v>0</v>
      </c>
      <c r="X117" s="5" t="n">
        <v>0</v>
      </c>
      <c r="Y117" s="5" t="n">
        <v>0</v>
      </c>
      <c r="Z117" s="5" t="n">
        <v>0</v>
      </c>
      <c r="AA117" s="5" t="n">
        <v>0</v>
      </c>
      <c r="AB117" s="5">
        <f>SUM(Q117:Y117)-Z117</f>
        <v/>
      </c>
      <c r="AC117" s="5">
        <f>IF(I117="","",IF(OR(LEFT(I117,3)="BKK",I117="LCH55"),"BKK",IF(LEFT(I117,3)="LCH","LCH","OTHER")))</f>
        <v/>
      </c>
      <c r="AD117" s="5">
        <f>MAX(0,Q117-MAX(0,Z117))</f>
        <v/>
      </c>
      <c r="AE117" s="5">
        <f>MAX(0,R117-MAX(0,Z117-SUM(Q117:Q117)))</f>
        <v/>
      </c>
      <c r="AF117" s="5">
        <f>MAX(0,S117-MAX(0,Z117-SUM(Q117:R117)))</f>
        <v/>
      </c>
      <c r="AG117" s="5">
        <f>MAX(0,T117-MAX(0,Z117-SUM(Q117:S117)))</f>
        <v/>
      </c>
      <c r="AH117" s="5">
        <f>MAX(0,U117-MAX(0,Z117-SUM(Q117:T117)))</f>
        <v/>
      </c>
      <c r="AI117" s="5">
        <f>MAX(0,V117-MAX(0,Z117-SUM(Q117:U117)))</f>
        <v/>
      </c>
      <c r="AJ117" s="5">
        <f>MAX(0,W117-MAX(0,Z117-SUM(Q117:V117)))</f>
        <v/>
      </c>
      <c r="AK117" s="5">
        <f>MAX(0,X117-MAX(0,Z117-SUM(Q117:W117)))</f>
        <v/>
      </c>
      <c r="AL117" s="5">
        <f>MAX(0,Y117-MAX(0,Z117-SUM(Q117:X117)))</f>
        <v/>
      </c>
    </row>
    <row r="118">
      <c r="A118" s="5" t="inlineStr">
        <is>
          <t>HASLS22260900196</t>
        </is>
      </c>
      <c r="B118" s="5" t="inlineStr">
        <is>
          <t>SWMM</t>
        </is>
      </c>
      <c r="C118" s="5" t="inlineStr">
        <is>
          <t>2609N</t>
        </is>
      </c>
      <c r="D118" s="5" t="inlineStr">
        <is>
          <t>202609221300</t>
        </is>
      </c>
      <c r="E118" s="5" t="inlineStr"/>
      <c r="F118" s="5" t="inlineStr">
        <is>
          <t>THBKK</t>
        </is>
      </c>
      <c r="G118" s="5" t="inlineStr">
        <is>
          <t>JPSEN</t>
        </is>
      </c>
      <c r="H118" s="5" t="inlineStr">
        <is>
          <t xml:space="preserve">20'x12 </t>
        </is>
      </c>
      <c r="I118" s="5" t="inlineStr">
        <is>
          <t>BKK25</t>
        </is>
      </c>
      <c r="J118" s="5" t="inlineStr">
        <is>
          <t xml:space="preserve">Smart Logistics Service (Thailand ) Co.,Ltd. </t>
        </is>
      </c>
      <c r="K118" s="5" t="inlineStr">
        <is>
          <t>20260917</t>
        </is>
      </c>
      <c r="L118" s="5" t="inlineStr">
        <is>
          <t>SANGUAN WONGSE STARCH CO., LTD.</t>
        </is>
      </c>
      <c r="M118" s="5" t="inlineStr">
        <is>
          <t>SANGUAN WONGSE STARCH CO., LTD.</t>
        </is>
      </c>
      <c r="N118" s="5" t="inlineStr">
        <is>
          <t>TAPIOCA STARCH</t>
        </is>
      </c>
      <c r="O118" s="5" t="inlineStr">
        <is>
          <t>GOOD AND CLEAN CONTAINER</t>
        </is>
      </c>
      <c r="P118" s="5" t="inlineStr">
        <is>
          <t>Pickup : 2026-09-17, Return : 2026-09-19</t>
        </is>
      </c>
      <c r="Q118" s="5" t="n">
        <v>12</v>
      </c>
      <c r="R118" s="5" t="n">
        <v>0</v>
      </c>
      <c r="S118" s="5" t="n">
        <v>0</v>
      </c>
      <c r="T118" s="5" t="n">
        <v>0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11</v>
      </c>
      <c r="AA118" s="5" t="n">
        <v>0</v>
      </c>
      <c r="AB118" s="5">
        <f>SUM(Q118:Y118)-Z118</f>
        <v/>
      </c>
      <c r="AC118" s="5">
        <f>IF(I118="","",IF(OR(LEFT(I118,3)="BKK",I118="LCH55"),"BKK",IF(LEFT(I118,3)="LCH","LCH","OTHER")))</f>
        <v/>
      </c>
      <c r="AD118" s="5">
        <f>MAX(0,Q118-MAX(0,Z118))</f>
        <v/>
      </c>
      <c r="AE118" s="5">
        <f>MAX(0,R118-MAX(0,Z118-SUM(Q118:Q118)))</f>
        <v/>
      </c>
      <c r="AF118" s="5">
        <f>MAX(0,S118-MAX(0,Z118-SUM(Q118:R118)))</f>
        <v/>
      </c>
      <c r="AG118" s="5">
        <f>MAX(0,T118-MAX(0,Z118-SUM(Q118:S118)))</f>
        <v/>
      </c>
      <c r="AH118" s="5">
        <f>MAX(0,U118-MAX(0,Z118-SUM(Q118:T118)))</f>
        <v/>
      </c>
      <c r="AI118" s="5">
        <f>MAX(0,V118-MAX(0,Z118-SUM(Q118:U118)))</f>
        <v/>
      </c>
      <c r="AJ118" s="5">
        <f>MAX(0,W118-MAX(0,Z118-SUM(Q118:V118)))</f>
        <v/>
      </c>
      <c r="AK118" s="5">
        <f>MAX(0,X118-MAX(0,Z118-SUM(Q118:W118)))</f>
        <v/>
      </c>
      <c r="AL118" s="5">
        <f>MAX(0,Y118-MAX(0,Z118-SUM(Q118:X118)))</f>
        <v/>
      </c>
    </row>
    <row r="119">
      <c r="A119" s="5" t="inlineStr">
        <is>
          <t>HASLS22260900268</t>
        </is>
      </c>
      <c r="B119" s="5" t="inlineStr">
        <is>
          <t>SWMM</t>
        </is>
      </c>
      <c r="C119" s="5" t="inlineStr">
        <is>
          <t>2609N</t>
        </is>
      </c>
      <c r="D119" s="5" t="inlineStr">
        <is>
          <t>202609221300</t>
        </is>
      </c>
      <c r="E119" s="5" t="inlineStr"/>
      <c r="F119" s="5" t="inlineStr">
        <is>
          <t>THBKK</t>
        </is>
      </c>
      <c r="G119" s="5" t="inlineStr">
        <is>
          <t>VNSGN</t>
        </is>
      </c>
      <c r="H119" s="5" t="inlineStr">
        <is>
          <t xml:space="preserve">20'x2 </t>
        </is>
      </c>
      <c r="I119" s="5" t="inlineStr">
        <is>
          <t>BKK25</t>
        </is>
      </c>
      <c r="J119" s="5" t="inlineStr">
        <is>
          <t xml:space="preserve">Smart Logistics Service (Thailand ) Co.,Ltd. </t>
        </is>
      </c>
      <c r="K119" s="5" t="inlineStr">
        <is>
          <t>20260916</t>
        </is>
      </c>
      <c r="L119" s="5" t="inlineStr">
        <is>
          <t>GROWTH ON LOGISTICS CO., LTD.</t>
        </is>
      </c>
      <c r="M119" s="5" t="inlineStr">
        <is>
          <t>SCG (THAILAND) CO., LTD.</t>
        </is>
      </c>
      <c r="N119" s="5" t="inlineStr">
        <is>
          <t>VALVE</t>
        </is>
      </c>
      <c r="O119" s="5" t="inlineStr">
        <is>
          <t>GOOD AND CLEAN CONTAINER</t>
        </is>
      </c>
      <c r="P119" s="5" t="inlineStr">
        <is>
          <t>Pickup : 2026-09-16, Return : 2026-09-17 (1ST RTN DD: 19/09/26 WO/RENT)</t>
        </is>
      </c>
      <c r="Q119" s="5" t="n">
        <v>2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0</v>
      </c>
      <c r="AA119" s="5" t="n">
        <v>0</v>
      </c>
      <c r="AB119" s="5">
        <f>SUM(Q119:Y119)-Z119</f>
        <v/>
      </c>
      <c r="AC119" s="5">
        <f>IF(I119="","",IF(OR(LEFT(I119,3)="BKK",I119="LCH55"),"BKK",IF(LEFT(I119,3)="LCH","LCH","OTHER")))</f>
        <v/>
      </c>
      <c r="AD119" s="5">
        <f>MAX(0,Q119-MAX(0,Z119))</f>
        <v/>
      </c>
      <c r="AE119" s="5">
        <f>MAX(0,R119-MAX(0,Z119-SUM(Q119:Q119)))</f>
        <v/>
      </c>
      <c r="AF119" s="5">
        <f>MAX(0,S119-MAX(0,Z119-SUM(Q119:R119)))</f>
        <v/>
      </c>
      <c r="AG119" s="5">
        <f>MAX(0,T119-MAX(0,Z119-SUM(Q119:S119)))</f>
        <v/>
      </c>
      <c r="AH119" s="5">
        <f>MAX(0,U119-MAX(0,Z119-SUM(Q119:T119)))</f>
        <v/>
      </c>
      <c r="AI119" s="5">
        <f>MAX(0,V119-MAX(0,Z119-SUM(Q119:U119)))</f>
        <v/>
      </c>
      <c r="AJ119" s="5">
        <f>MAX(0,W119-MAX(0,Z119-SUM(Q119:V119)))</f>
        <v/>
      </c>
      <c r="AK119" s="5">
        <f>MAX(0,X119-MAX(0,Z119-SUM(Q119:W119)))</f>
        <v/>
      </c>
      <c r="AL119" s="5">
        <f>MAX(0,Y119-MAX(0,Z119-SUM(Q119:X119)))</f>
        <v/>
      </c>
    </row>
    <row r="120">
      <c r="A120" s="5" t="inlineStr">
        <is>
          <t>HASLS22260900304</t>
        </is>
      </c>
      <c r="B120" s="5" t="inlineStr">
        <is>
          <t>SWMM</t>
        </is>
      </c>
      <c r="C120" s="5" t="inlineStr">
        <is>
          <t>2609N</t>
        </is>
      </c>
      <c r="D120" s="5" t="inlineStr">
        <is>
          <t>202609221300</t>
        </is>
      </c>
      <c r="E120" s="5" t="inlineStr"/>
      <c r="F120" s="5" t="inlineStr">
        <is>
          <t>THBKK</t>
        </is>
      </c>
      <c r="G120" s="5" t="inlineStr">
        <is>
          <t>VNSGN</t>
        </is>
      </c>
      <c r="H120" s="5" t="inlineStr">
        <is>
          <t xml:space="preserve">40Hx1 </t>
        </is>
      </c>
      <c r="I120" s="5" t="inlineStr">
        <is>
          <t>BKK25</t>
        </is>
      </c>
      <c r="J120" s="5" t="inlineStr">
        <is>
          <t xml:space="preserve">Smart Logistics Service (Thailand ) Co.,Ltd. </t>
        </is>
      </c>
      <c r="K120" s="5" t="inlineStr">
        <is>
          <t>20260917</t>
        </is>
      </c>
      <c r="L120" s="5" t="inlineStr">
        <is>
          <t>TRUE LOGISTICS CO., LTD.</t>
        </is>
      </c>
      <c r="M120" s="5" t="inlineStr">
        <is>
          <t>TRUE LOGISTICS CO., LTD.</t>
        </is>
      </c>
      <c r="N120" s="5" t="inlineStr">
        <is>
          <t>ANIMAL MEDICINE</t>
        </is>
      </c>
      <c r="O120" s="5" t="inlineStr">
        <is>
          <t>GOOD AND CLEAN CONTAINER</t>
        </is>
      </c>
      <c r="P120" s="5" t="inlineStr">
        <is>
          <t>Pickup : 2026-09-17, Return : 2026-09-18 (1ST RTN DD: 19/09/26 WO/RENT)</t>
        </is>
      </c>
      <c r="Q120" s="5" t="n">
        <v>0</v>
      </c>
      <c r="R120" s="5" t="n">
        <v>0</v>
      </c>
      <c r="S120" s="5" t="n">
        <v>1</v>
      </c>
      <c r="T120" s="5" t="n">
        <v>0</v>
      </c>
      <c r="U120" s="5" t="n">
        <v>0</v>
      </c>
      <c r="V120" s="5" t="n">
        <v>0</v>
      </c>
      <c r="W120" s="5" t="n">
        <v>0</v>
      </c>
      <c r="X120" s="5" t="n">
        <v>0</v>
      </c>
      <c r="Y120" s="5" t="n">
        <v>0</v>
      </c>
      <c r="Z120" s="5" t="n">
        <v>0</v>
      </c>
      <c r="AA120" s="5" t="n">
        <v>0</v>
      </c>
      <c r="AB120" s="5">
        <f>SUM(Q120:Y120)-Z120</f>
        <v/>
      </c>
      <c r="AC120" s="5">
        <f>IF(I120="","",IF(OR(LEFT(I120,3)="BKK",I120="LCH55"),"BKK",IF(LEFT(I120,3)="LCH","LCH","OTHER")))</f>
        <v/>
      </c>
      <c r="AD120" s="5">
        <f>MAX(0,Q120-MAX(0,Z120))</f>
        <v/>
      </c>
      <c r="AE120" s="5">
        <f>MAX(0,R120-MAX(0,Z120-SUM(Q120:Q120)))</f>
        <v/>
      </c>
      <c r="AF120" s="5">
        <f>MAX(0,S120-MAX(0,Z120-SUM(Q120:R120)))</f>
        <v/>
      </c>
      <c r="AG120" s="5">
        <f>MAX(0,T120-MAX(0,Z120-SUM(Q120:S120)))</f>
        <v/>
      </c>
      <c r="AH120" s="5">
        <f>MAX(0,U120-MAX(0,Z120-SUM(Q120:T120)))</f>
        <v/>
      </c>
      <c r="AI120" s="5">
        <f>MAX(0,V120-MAX(0,Z120-SUM(Q120:U120)))</f>
        <v/>
      </c>
      <c r="AJ120" s="5">
        <f>MAX(0,W120-MAX(0,Z120-SUM(Q120:V120)))</f>
        <v/>
      </c>
      <c r="AK120" s="5">
        <f>MAX(0,X120-MAX(0,Z120-SUM(Q120:W120)))</f>
        <v/>
      </c>
      <c r="AL120" s="5">
        <f>MAX(0,Y120-MAX(0,Z120-SUM(Q120:X120)))</f>
        <v/>
      </c>
    </row>
    <row r="121">
      <c r="A121" s="5" t="inlineStr">
        <is>
          <t>HASLS22260900386</t>
        </is>
      </c>
      <c r="B121" s="5" t="inlineStr">
        <is>
          <t>CMA</t>
        </is>
      </c>
      <c r="C121" s="5" t="inlineStr">
        <is>
          <t>2614N</t>
        </is>
      </c>
      <c r="D121" s="5" t="inlineStr">
        <is>
          <t>202609240200</t>
        </is>
      </c>
      <c r="E121" s="5" t="inlineStr"/>
      <c r="F121" s="5" t="inlineStr">
        <is>
          <t>THBKK</t>
        </is>
      </c>
      <c r="G121" s="5" t="inlineStr">
        <is>
          <t>TWKEL</t>
        </is>
      </c>
      <c r="H121" s="5" t="inlineStr">
        <is>
          <t xml:space="preserve">20'x1 </t>
        </is>
      </c>
      <c r="I121" s="5" t="inlineStr">
        <is>
          <t>BKK25</t>
        </is>
      </c>
      <c r="J121" s="5" t="inlineStr">
        <is>
          <t xml:space="preserve">Smart Logistics Service (Thailand ) Co.,Ltd. </t>
        </is>
      </c>
      <c r="K121" s="5" t="inlineStr">
        <is>
          <t>20260917</t>
        </is>
      </c>
      <c r="L121" s="5" t="inlineStr">
        <is>
          <t>ARAMEX (THAILAND) CO., LTD.</t>
        </is>
      </c>
      <c r="M121" s="5" t="inlineStr">
        <is>
          <t>UNICORD PUBLIC COMPANY LIMITED</t>
        </is>
      </c>
      <c r="N121" s="5" t="inlineStr">
        <is>
          <t>CANNED GOODS</t>
        </is>
      </c>
      <c r="O121" s="5" t="inlineStr">
        <is>
          <t>Clean container for food stuff with strong board (without extra charge)</t>
        </is>
      </c>
      <c r="P121" s="5" t="inlineStr">
        <is>
          <t>Pickup : 2026-09-17, Return : 2026-09-18</t>
        </is>
      </c>
      <c r="Q121" s="5" t="n">
        <v>1</v>
      </c>
      <c r="R121" s="5" t="n">
        <v>0</v>
      </c>
      <c r="S121" s="5" t="n">
        <v>0</v>
      </c>
      <c r="T121" s="5" t="n">
        <v>0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>
        <f>SUM(Q121:Y121)-Z121</f>
        <v/>
      </c>
      <c r="AC121" s="5">
        <f>IF(I121="","",IF(OR(LEFT(I121,3)="BKK",I121="LCH55"),"BKK",IF(LEFT(I121,3)="LCH","LCH","OTHER")))</f>
        <v/>
      </c>
      <c r="AD121" s="5">
        <f>MAX(0,Q121-MAX(0,Z121))</f>
        <v/>
      </c>
      <c r="AE121" s="5">
        <f>MAX(0,R121-MAX(0,Z121-SUM(Q121:Q121)))</f>
        <v/>
      </c>
      <c r="AF121" s="5">
        <f>MAX(0,S121-MAX(0,Z121-SUM(Q121:R121)))</f>
        <v/>
      </c>
      <c r="AG121" s="5">
        <f>MAX(0,T121-MAX(0,Z121-SUM(Q121:S121)))</f>
        <v/>
      </c>
      <c r="AH121" s="5">
        <f>MAX(0,U121-MAX(0,Z121-SUM(Q121:T121)))</f>
        <v/>
      </c>
      <c r="AI121" s="5">
        <f>MAX(0,V121-MAX(0,Z121-SUM(Q121:U121)))</f>
        <v/>
      </c>
      <c r="AJ121" s="5">
        <f>MAX(0,W121-MAX(0,Z121-SUM(Q121:V121)))</f>
        <v/>
      </c>
      <c r="AK121" s="5">
        <f>MAX(0,X121-MAX(0,Z121-SUM(Q121:W121)))</f>
        <v/>
      </c>
      <c r="AL121" s="5">
        <f>MAX(0,Y121-MAX(0,Z121-SUM(Q121:X121)))</f>
        <v/>
      </c>
    </row>
    <row r="122">
      <c r="A122" s="5" t="inlineStr">
        <is>
          <t>HASLS22260900421</t>
        </is>
      </c>
      <c r="B122" s="5" t="inlineStr">
        <is>
          <t>KMGY</t>
        </is>
      </c>
      <c r="C122" s="5" t="inlineStr">
        <is>
          <t>2610N</t>
        </is>
      </c>
      <c r="D122" s="5" t="inlineStr">
        <is>
          <t>202609290000</t>
        </is>
      </c>
      <c r="E122" s="5" t="inlineStr"/>
      <c r="F122" s="5" t="inlineStr">
        <is>
          <t>THBKK</t>
        </is>
      </c>
      <c r="G122" s="5" t="inlineStr">
        <is>
          <t>HKHKG</t>
        </is>
      </c>
      <c r="H122" s="5" t="inlineStr">
        <is>
          <t xml:space="preserve">20'x1 </t>
        </is>
      </c>
      <c r="I122" s="5" t="inlineStr">
        <is>
          <t>BKK25</t>
        </is>
      </c>
      <c r="J122" s="5" t="inlineStr">
        <is>
          <t xml:space="preserve">Smart Logistics Service (Thailand ) Co.,Ltd. </t>
        </is>
      </c>
      <c r="K122" s="5" t="inlineStr">
        <is>
          <t>20260908</t>
        </is>
      </c>
      <c r="L122" s="5" t="inlineStr">
        <is>
          <t>SEASKY SHIPPING (THAILAND) CO., LTD</t>
        </is>
      </c>
      <c r="M122" s="5" t="inlineStr">
        <is>
          <t>GIMSAN INTERNATIONAL CO.,LTD.</t>
        </is>
      </c>
      <c r="N122" s="5" t="inlineStr">
        <is>
          <t>OTC MEDICINE</t>
        </is>
      </c>
      <c r="O122" s="5" t="inlineStr">
        <is>
          <t>GOOD AND CLEAN CONTAINER</t>
        </is>
      </c>
      <c r="P122" s="5" t="inlineStr">
        <is>
          <t>Pickup : 2026-09-08, Return : 2026-09-11 (1ST RTN DD : 18/09/26 WO/RENT)</t>
        </is>
      </c>
      <c r="Q122" s="5" t="n">
        <v>1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>
        <f>SUM(Q122:Y122)-Z122</f>
        <v/>
      </c>
      <c r="AC122" s="5">
        <f>IF(I122="","",IF(OR(LEFT(I122,3)="BKK",I122="LCH55"),"BKK",IF(LEFT(I122,3)="LCH","LCH","OTHER")))</f>
        <v/>
      </c>
      <c r="AD122" s="5">
        <f>MAX(0,Q122-MAX(0,Z122))</f>
        <v/>
      </c>
      <c r="AE122" s="5">
        <f>MAX(0,R122-MAX(0,Z122-SUM(Q122:Q122)))</f>
        <v/>
      </c>
      <c r="AF122" s="5">
        <f>MAX(0,S122-MAX(0,Z122-SUM(Q122:R122)))</f>
        <v/>
      </c>
      <c r="AG122" s="5">
        <f>MAX(0,T122-MAX(0,Z122-SUM(Q122:S122)))</f>
        <v/>
      </c>
      <c r="AH122" s="5">
        <f>MAX(0,U122-MAX(0,Z122-SUM(Q122:T122)))</f>
        <v/>
      </c>
      <c r="AI122" s="5">
        <f>MAX(0,V122-MAX(0,Z122-SUM(Q122:U122)))</f>
        <v/>
      </c>
      <c r="AJ122" s="5">
        <f>MAX(0,W122-MAX(0,Z122-SUM(Q122:V122)))</f>
        <v/>
      </c>
      <c r="AK122" s="5">
        <f>MAX(0,X122-MAX(0,Z122-SUM(Q122:W122)))</f>
        <v/>
      </c>
      <c r="AL122" s="5">
        <f>MAX(0,Y122-MAX(0,Z122-SUM(Q122:X122)))</f>
        <v/>
      </c>
    </row>
    <row r="123">
      <c r="A123" s="5" t="inlineStr">
        <is>
          <t>HASLS22260900541</t>
        </is>
      </c>
      <c r="B123" s="5" t="inlineStr">
        <is>
          <t>PGPO</t>
        </is>
      </c>
      <c r="C123" s="5" t="inlineStr">
        <is>
          <t>2612N</t>
        </is>
      </c>
      <c r="D123" s="5" t="inlineStr">
        <is>
          <t>202610131430</t>
        </is>
      </c>
      <c r="E123" s="5" t="inlineStr"/>
      <c r="F123" s="5" t="inlineStr">
        <is>
          <t>THBKK</t>
        </is>
      </c>
      <c r="G123" s="5" t="inlineStr">
        <is>
          <t>VNSGN</t>
        </is>
      </c>
      <c r="H123" s="5" t="inlineStr">
        <is>
          <t xml:space="preserve">20'x2 </t>
        </is>
      </c>
      <c r="I123" s="5" t="inlineStr">
        <is>
          <t>BKK25</t>
        </is>
      </c>
      <c r="J123" s="5" t="inlineStr">
        <is>
          <t xml:space="preserve">Smart Logistics Service (Thailand ) Co.,Ltd. </t>
        </is>
      </c>
      <c r="K123" s="5" t="inlineStr">
        <is>
          <t>20260908</t>
        </is>
      </c>
      <c r="L123" s="5" t="inlineStr">
        <is>
          <t>MERCURIAL LOGISTICS  CO.,LTD</t>
        </is>
      </c>
      <c r="M123" s="5" t="inlineStr">
        <is>
          <t>UENO FINE CHEMICALS INDUSTRY (THAILAND) LTD.</t>
        </is>
      </c>
      <c r="N123" s="5" t="inlineStr">
        <is>
          <t>MALTITOL SYRUP</t>
        </is>
      </c>
      <c r="O123" s="5" t="inlineStr">
        <is>
          <t>GOOD AND CLEAN CONTAINER</t>
        </is>
      </c>
      <c r="P123" s="5" t="inlineStr">
        <is>
          <t>Pickup : 2026-09-08, Return : 2026-09-09</t>
        </is>
      </c>
      <c r="Q123" s="5" t="n">
        <v>2</v>
      </c>
      <c r="R123" s="5" t="n">
        <v>0</v>
      </c>
      <c r="S123" s="5" t="n">
        <v>0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0</v>
      </c>
      <c r="AB123" s="5">
        <f>SUM(Q123:Y123)-Z123</f>
        <v/>
      </c>
      <c r="AC123" s="5">
        <f>IF(I123="","",IF(OR(LEFT(I123,3)="BKK",I123="LCH55"),"BKK",IF(LEFT(I123,3)="LCH","LCH","OTHER")))</f>
        <v/>
      </c>
      <c r="AD123" s="5">
        <f>MAX(0,Q123-MAX(0,Z123))</f>
        <v/>
      </c>
      <c r="AE123" s="5">
        <f>MAX(0,R123-MAX(0,Z123-SUM(Q123:Q123)))</f>
        <v/>
      </c>
      <c r="AF123" s="5">
        <f>MAX(0,S123-MAX(0,Z123-SUM(Q123:R123)))</f>
        <v/>
      </c>
      <c r="AG123" s="5">
        <f>MAX(0,T123-MAX(0,Z123-SUM(Q123:S123)))</f>
        <v/>
      </c>
      <c r="AH123" s="5">
        <f>MAX(0,U123-MAX(0,Z123-SUM(Q123:T123)))</f>
        <v/>
      </c>
      <c r="AI123" s="5">
        <f>MAX(0,V123-MAX(0,Z123-SUM(Q123:U123)))</f>
        <v/>
      </c>
      <c r="AJ123" s="5">
        <f>MAX(0,W123-MAX(0,Z123-SUM(Q123:V123)))</f>
        <v/>
      </c>
      <c r="AK123" s="5">
        <f>MAX(0,X123-MAX(0,Z123-SUM(Q123:W123)))</f>
        <v/>
      </c>
      <c r="AL123" s="5">
        <f>MAX(0,Y123-MAX(0,Z123-SUM(Q123:X123)))</f>
        <v/>
      </c>
    </row>
    <row r="124">
      <c r="A124" s="5" t="inlineStr">
        <is>
          <t>HASLS22260900591</t>
        </is>
      </c>
      <c r="B124" s="5" t="inlineStr">
        <is>
          <t>SWAL</t>
        </is>
      </c>
      <c r="C124" s="5" t="inlineStr">
        <is>
          <t>2609N</t>
        </is>
      </c>
      <c r="D124" s="5" t="inlineStr">
        <is>
          <t>202610191500</t>
        </is>
      </c>
      <c r="E124" s="5" t="inlineStr"/>
      <c r="F124" s="5" t="inlineStr">
        <is>
          <t>THBKK</t>
        </is>
      </c>
      <c r="G124" s="5" t="inlineStr">
        <is>
          <t>KRINC</t>
        </is>
      </c>
      <c r="H124" s="5" t="inlineStr">
        <is>
          <t xml:space="preserve">20'x25 </t>
        </is>
      </c>
      <c r="I124" s="5" t="inlineStr">
        <is>
          <t>BKK25</t>
        </is>
      </c>
      <c r="J124" s="5" t="inlineStr">
        <is>
          <t xml:space="preserve">Smart Logistics Service (Thailand ) Co.,Ltd. </t>
        </is>
      </c>
      <c r="K124" s="5" t="inlineStr">
        <is>
          <t>20260912</t>
        </is>
      </c>
      <c r="L124" s="5" t="inlineStr">
        <is>
          <t>DP WORLD LOGISTICS SOLUTIONS (THAILAND) COMPANY LIMITED</t>
        </is>
      </c>
      <c r="M124" s="5" t="inlineStr">
        <is>
          <t>DP WORLD LOGISTICS SOLUTIONS (THAILAND) COMPANY LIMITED</t>
        </is>
      </c>
      <c r="N124" s="5" t="inlineStr">
        <is>
          <t>SOYBEAN OIL</t>
        </is>
      </c>
      <c r="O124" s="5" t="inlineStr">
        <is>
          <t>**DO NOT RELEASE CNTR WAIT APPROVE** *FLEXIBAG* SERVEY 2026-10-12</t>
        </is>
      </c>
      <c r="P124" s="5" t="inlineStr">
        <is>
          <t>**DO NOT RELEASE CNTR WAIT APPROVE** *FLEXIBAG*
SERVEY 2026-10-12 , Pickup : 2026-09-14, Return : 2026-09-15</t>
        </is>
      </c>
      <c r="Q124" s="5" t="n">
        <v>25</v>
      </c>
      <c r="R124" s="5" t="n">
        <v>0</v>
      </c>
      <c r="S124" s="5" t="n">
        <v>0</v>
      </c>
      <c r="T124" s="5" t="n">
        <v>0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0</v>
      </c>
      <c r="AB124" s="5">
        <f>SUM(Q124:Y124)-Z124</f>
        <v/>
      </c>
      <c r="AC124" s="5">
        <f>IF(I124="","",IF(OR(LEFT(I124,3)="BKK",I124="LCH55"),"BKK",IF(LEFT(I124,3)="LCH","LCH","OTHER")))</f>
        <v/>
      </c>
      <c r="AD124" s="5">
        <f>MAX(0,Q124-MAX(0,Z124))</f>
        <v/>
      </c>
      <c r="AE124" s="5">
        <f>MAX(0,R124-MAX(0,Z124-SUM(Q124:Q124)))</f>
        <v/>
      </c>
      <c r="AF124" s="5">
        <f>MAX(0,S124-MAX(0,Z124-SUM(Q124:R124)))</f>
        <v/>
      </c>
      <c r="AG124" s="5">
        <f>MAX(0,T124-MAX(0,Z124-SUM(Q124:S124)))</f>
        <v/>
      </c>
      <c r="AH124" s="5">
        <f>MAX(0,U124-MAX(0,Z124-SUM(Q124:T124)))</f>
        <v/>
      </c>
      <c r="AI124" s="5">
        <f>MAX(0,V124-MAX(0,Z124-SUM(Q124:U124)))</f>
        <v/>
      </c>
      <c r="AJ124" s="5">
        <f>MAX(0,W124-MAX(0,Z124-SUM(Q124:V124)))</f>
        <v/>
      </c>
      <c r="AK124" s="5">
        <f>MAX(0,X124-MAX(0,Z124-SUM(Q124:W124)))</f>
        <v/>
      </c>
      <c r="AL124" s="5">
        <f>MAX(0,Y124-MAX(0,Z124-SUM(Q124:X124)))</f>
        <v/>
      </c>
    </row>
    <row r="125">
      <c r="A125" s="5" t="inlineStr">
        <is>
          <t>HASLS22260901039</t>
        </is>
      </c>
      <c r="B125" s="5" t="inlineStr">
        <is>
          <t>DJCF</t>
        </is>
      </c>
      <c r="C125" s="5" t="inlineStr">
        <is>
          <t>0152N</t>
        </is>
      </c>
      <c r="D125" s="5" t="inlineStr">
        <is>
          <t>202610110800</t>
        </is>
      </c>
      <c r="E125" s="5" t="inlineStr"/>
      <c r="F125" s="5" t="inlineStr">
        <is>
          <t>THBKK</t>
        </is>
      </c>
      <c r="G125" s="5" t="inlineStr">
        <is>
          <t>JPMYJ</t>
        </is>
      </c>
      <c r="H125" s="5" t="inlineStr">
        <is>
          <t xml:space="preserve">40Hx1 </t>
        </is>
      </c>
      <c r="I125" s="5" t="inlineStr">
        <is>
          <t>BKK25</t>
        </is>
      </c>
      <c r="J125" s="5" t="inlineStr">
        <is>
          <t xml:space="preserve">Smart Logistics Service (Thailand ) Co.,Ltd. </t>
        </is>
      </c>
      <c r="K125" s="5" t="inlineStr">
        <is>
          <t>20260905</t>
        </is>
      </c>
      <c r="L125" s="5" t="inlineStr">
        <is>
          <t>C.P. INTERTRADE CO., LTD.</t>
        </is>
      </c>
      <c r="M125" s="5" t="inlineStr">
        <is>
          <t>PERFECT COMPANION GROUP CO., LTD.</t>
        </is>
      </c>
      <c r="N125" s="5" t="inlineStr">
        <is>
          <t>PET FOOD</t>
        </is>
      </c>
      <c r="O125" s="5" t="inlineStr">
        <is>
          <t>GOOD AND CLEAN CONTAINER</t>
        </is>
      </c>
      <c r="P125" s="5" t="inlineStr">
        <is>
          <t>Pickup : 2026-09-05, Return : 2026-09-07</t>
        </is>
      </c>
      <c r="Q125" s="5" t="n">
        <v>0</v>
      </c>
      <c r="R125" s="5" t="n">
        <v>0</v>
      </c>
      <c r="S125" s="5" t="n">
        <v>1</v>
      </c>
      <c r="T125" s="5" t="n">
        <v>0</v>
      </c>
      <c r="U125" s="5" t="n">
        <v>0</v>
      </c>
      <c r="V125" s="5" t="n">
        <v>0</v>
      </c>
      <c r="W125" s="5" t="n">
        <v>0</v>
      </c>
      <c r="X125" s="5" t="n">
        <v>0</v>
      </c>
      <c r="Y125" s="5" t="n">
        <v>0</v>
      </c>
      <c r="Z125" s="5" t="n">
        <v>0</v>
      </c>
      <c r="AA125" s="5" t="n">
        <v>0</v>
      </c>
      <c r="AB125" s="5">
        <f>SUM(Q125:Y125)-Z125</f>
        <v/>
      </c>
      <c r="AC125" s="5">
        <f>IF(I125="","",IF(OR(LEFT(I125,3)="BKK",I125="LCH55"),"BKK",IF(LEFT(I125,3)="LCH","LCH","OTHER")))</f>
        <v/>
      </c>
      <c r="AD125" s="5">
        <f>MAX(0,Q125-MAX(0,Z125))</f>
        <v/>
      </c>
      <c r="AE125" s="5">
        <f>MAX(0,R125-MAX(0,Z125-SUM(Q125:Q125)))</f>
        <v/>
      </c>
      <c r="AF125" s="5">
        <f>MAX(0,S125-MAX(0,Z125-SUM(Q125:R125)))</f>
        <v/>
      </c>
      <c r="AG125" s="5">
        <f>MAX(0,T125-MAX(0,Z125-SUM(Q125:S125)))</f>
        <v/>
      </c>
      <c r="AH125" s="5">
        <f>MAX(0,U125-MAX(0,Z125-SUM(Q125:T125)))</f>
        <v/>
      </c>
      <c r="AI125" s="5">
        <f>MAX(0,V125-MAX(0,Z125-SUM(Q125:U125)))</f>
        <v/>
      </c>
      <c r="AJ125" s="5">
        <f>MAX(0,W125-MAX(0,Z125-SUM(Q125:V125)))</f>
        <v/>
      </c>
      <c r="AK125" s="5">
        <f>MAX(0,X125-MAX(0,Z125-SUM(Q125:W125)))</f>
        <v/>
      </c>
      <c r="AL125" s="5">
        <f>MAX(0,Y125-MAX(0,Z125-SUM(Q125:X125)))</f>
        <v/>
      </c>
    </row>
    <row r="126">
      <c r="A126" s="5" t="inlineStr">
        <is>
          <t>HASLS22260901062</t>
        </is>
      </c>
      <c r="B126" s="5" t="inlineStr">
        <is>
          <t>HAB</t>
        </is>
      </c>
      <c r="C126" s="5" t="inlineStr">
        <is>
          <t>2611N</t>
        </is>
      </c>
      <c r="D126" s="5" t="inlineStr">
        <is>
          <t>202609270600</t>
        </is>
      </c>
      <c r="E126" s="5" t="inlineStr">
        <is>
          <t>THSRP</t>
        </is>
      </c>
      <c r="F126" s="5" t="inlineStr">
        <is>
          <t>THLCH</t>
        </is>
      </c>
      <c r="G126" s="5" t="inlineStr">
        <is>
          <t>CNSHA</t>
        </is>
      </c>
      <c r="H126" s="5" t="inlineStr">
        <is>
          <t xml:space="preserve">20'x2 </t>
        </is>
      </c>
      <c r="I126" s="5" t="inlineStr">
        <is>
          <t>BKK25</t>
        </is>
      </c>
      <c r="J126" s="5" t="inlineStr">
        <is>
          <t xml:space="preserve">Smart Logistics Service (Thailand ) Co.,Ltd. </t>
        </is>
      </c>
      <c r="K126" s="5" t="inlineStr">
        <is>
          <t>20260917</t>
        </is>
      </c>
      <c r="L126" s="5" t="inlineStr">
        <is>
          <t>SMS CORPORATION CO., LTD.</t>
        </is>
      </c>
      <c r="M126" s="5" t="inlineStr">
        <is>
          <t>SMS CORPORATION CO., LTD.</t>
        </is>
      </c>
      <c r="N126" s="5" t="inlineStr">
        <is>
          <t xml:space="preserve">MODIFIED TAPIOCA STARCH </t>
        </is>
      </c>
      <c r="O126" s="5" t="inlineStr">
        <is>
          <t>NEED VERY CLEAN CONTAINER</t>
        </is>
      </c>
      <c r="P126" s="5" t="inlineStr">
        <is>
          <t xml:space="preserve">Pickup : 2026-09-17, Return @SRP : 2026-09-21 (PAPERLESS CODE : 2829)
CLS TIME @SRP : 22/09/2026 @23.00  </t>
        </is>
      </c>
      <c r="Q126" s="5" t="n">
        <v>2</v>
      </c>
      <c r="R126" s="5" t="n">
        <v>0</v>
      </c>
      <c r="S126" s="5" t="n">
        <v>0</v>
      </c>
      <c r="T126" s="5" t="n">
        <v>0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0</v>
      </c>
      <c r="AB126" s="5">
        <f>SUM(Q126:Y126)-Z126</f>
        <v/>
      </c>
      <c r="AC126" s="5">
        <f>IF(I126="","",IF(OR(LEFT(I126,3)="BKK",I126="LCH55"),"BKK",IF(LEFT(I126,3)="LCH","LCH","OTHER")))</f>
        <v/>
      </c>
      <c r="AD126" s="5">
        <f>MAX(0,Q126-MAX(0,Z126))</f>
        <v/>
      </c>
      <c r="AE126" s="5">
        <f>MAX(0,R126-MAX(0,Z126-SUM(Q126:Q126)))</f>
        <v/>
      </c>
      <c r="AF126" s="5">
        <f>MAX(0,S126-MAX(0,Z126-SUM(Q126:R126)))</f>
        <v/>
      </c>
      <c r="AG126" s="5">
        <f>MAX(0,T126-MAX(0,Z126-SUM(Q126:S126)))</f>
        <v/>
      </c>
      <c r="AH126" s="5">
        <f>MAX(0,U126-MAX(0,Z126-SUM(Q126:T126)))</f>
        <v/>
      </c>
      <c r="AI126" s="5">
        <f>MAX(0,V126-MAX(0,Z126-SUM(Q126:U126)))</f>
        <v/>
      </c>
      <c r="AJ126" s="5">
        <f>MAX(0,W126-MAX(0,Z126-SUM(Q126:V126)))</f>
        <v/>
      </c>
      <c r="AK126" s="5">
        <f>MAX(0,X126-MAX(0,Z126-SUM(Q126:W126)))</f>
        <v/>
      </c>
      <c r="AL126" s="5">
        <f>MAX(0,Y126-MAX(0,Z126-SUM(Q126:X126)))</f>
        <v/>
      </c>
    </row>
    <row r="127">
      <c r="A127" s="5" t="inlineStr">
        <is>
          <t>HASLS22260901491</t>
        </is>
      </c>
      <c r="B127" s="5" t="inlineStr">
        <is>
          <t>SWMM</t>
        </is>
      </c>
      <c r="C127" s="5" t="inlineStr">
        <is>
          <t>2610N</t>
        </is>
      </c>
      <c r="D127" s="5" t="inlineStr">
        <is>
          <t>202610171300</t>
        </is>
      </c>
      <c r="E127" s="5" t="inlineStr"/>
      <c r="F127" s="5" t="inlineStr">
        <is>
          <t>THBKK</t>
        </is>
      </c>
      <c r="G127" s="5" t="inlineStr">
        <is>
          <t>VNSGN</t>
        </is>
      </c>
      <c r="H127" s="5" t="inlineStr">
        <is>
          <t xml:space="preserve">40Hx1 20'x1 </t>
        </is>
      </c>
      <c r="I127" s="5" t="inlineStr">
        <is>
          <t>BKK25</t>
        </is>
      </c>
      <c r="J127" s="5" t="inlineStr">
        <is>
          <t xml:space="preserve">Smart Logistics Service (Thailand ) Co.,Ltd. </t>
        </is>
      </c>
      <c r="K127" s="5" t="inlineStr">
        <is>
          <t>20260914</t>
        </is>
      </c>
      <c r="L127" s="5" t="inlineStr">
        <is>
          <t>DYNAMIC INTERTRANSPORT CO., LTD.</t>
        </is>
      </c>
      <c r="M127" s="5" t="inlineStr">
        <is>
          <t>UCHIYAMA(THAILAND)CO.,LTD.</t>
        </is>
      </c>
      <c r="N127" s="5" t="inlineStr">
        <is>
          <t>SPARE PART</t>
        </is>
      </c>
      <c r="O127" s="5" t="inlineStr">
        <is>
          <t>REQ CLEAN CONTAINER AND GRADE A</t>
        </is>
      </c>
      <c r="P127" s="5" t="inlineStr">
        <is>
          <t>Pickup : 2026-09-14, Return : 2026-09-15</t>
        </is>
      </c>
      <c r="Q127" s="5" t="n">
        <v>1</v>
      </c>
      <c r="R127" s="5" t="n">
        <v>0</v>
      </c>
      <c r="S127" s="5" t="n">
        <v>1</v>
      </c>
      <c r="T127" s="5" t="n">
        <v>0</v>
      </c>
      <c r="U127" s="5" t="n">
        <v>0</v>
      </c>
      <c r="V127" s="5" t="n">
        <v>0</v>
      </c>
      <c r="W127" s="5" t="n">
        <v>0</v>
      </c>
      <c r="X127" s="5" t="n">
        <v>0</v>
      </c>
      <c r="Y127" s="5" t="n">
        <v>0</v>
      </c>
      <c r="Z127" s="5" t="n">
        <v>0</v>
      </c>
      <c r="AA127" s="5" t="n">
        <v>0</v>
      </c>
      <c r="AB127" s="5">
        <f>SUM(Q127:Y127)-Z127</f>
        <v/>
      </c>
      <c r="AC127" s="5">
        <f>IF(I127="","",IF(OR(LEFT(I127,3)="BKK",I127="LCH55"),"BKK",IF(LEFT(I127,3)="LCH","LCH","OTHER")))</f>
        <v/>
      </c>
      <c r="AD127" s="5">
        <f>MAX(0,Q127-MAX(0,Z127))</f>
        <v/>
      </c>
      <c r="AE127" s="5">
        <f>MAX(0,R127-MAX(0,Z127-SUM(Q127:Q127)))</f>
        <v/>
      </c>
      <c r="AF127" s="5">
        <f>MAX(0,S127-MAX(0,Z127-SUM(Q127:R127)))</f>
        <v/>
      </c>
      <c r="AG127" s="5">
        <f>MAX(0,T127-MAX(0,Z127-SUM(Q127:S127)))</f>
        <v/>
      </c>
      <c r="AH127" s="5">
        <f>MAX(0,U127-MAX(0,Z127-SUM(Q127:T127)))</f>
        <v/>
      </c>
      <c r="AI127" s="5">
        <f>MAX(0,V127-MAX(0,Z127-SUM(Q127:U127)))</f>
        <v/>
      </c>
      <c r="AJ127" s="5">
        <f>MAX(0,W127-MAX(0,Z127-SUM(Q127:V127)))</f>
        <v/>
      </c>
      <c r="AK127" s="5">
        <f>MAX(0,X127-MAX(0,Z127-SUM(Q127:W127)))</f>
        <v/>
      </c>
      <c r="AL127" s="5">
        <f>MAX(0,Y127-MAX(0,Z127-SUM(Q127:X127)))</f>
        <v/>
      </c>
    </row>
    <row r="129">
      <c r="A129" s="6" t="inlineStr">
        <is>
          <t>NOTE: 1 row(s) highlighted above have NO Pickup Name (Pickup code also blank) — verify the pickup depot for BK No: HASLS22260900416</t>
        </is>
      </c>
    </row>
  </sheetData>
  <autoFilter ref="A2:AL127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7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5">
        <f>Data!A4</f>
        <v/>
      </c>
      <c r="B5" s="5">
        <f>Data!B4</f>
        <v/>
      </c>
      <c r="C5" s="5">
        <f>Data!C4</f>
        <v/>
      </c>
      <c r="D5" s="5">
        <f>Data!I4</f>
        <v/>
      </c>
      <c r="E5" s="5">
        <f>Data!J4</f>
        <v/>
      </c>
      <c r="F5" s="5">
        <f>Data!H4</f>
        <v/>
      </c>
      <c r="G5" s="5">
        <f>SUM(Data!Q4:Data!Y4)</f>
        <v/>
      </c>
      <c r="H5" s="5">
        <f>Data!Z4</f>
        <v/>
      </c>
      <c r="I5" s="5">
        <f>Data!AB4</f>
        <v/>
      </c>
      <c r="J5" s="5">
        <f>Data!AD4</f>
        <v/>
      </c>
      <c r="K5" s="5">
        <f>Data!AE4</f>
        <v/>
      </c>
      <c r="L5" s="5">
        <f>Data!AF4</f>
        <v/>
      </c>
      <c r="M5" s="5">
        <f>Data!AG4</f>
        <v/>
      </c>
      <c r="N5" s="5">
        <f>Data!AH4</f>
        <v/>
      </c>
      <c r="O5" s="5">
        <f>Data!AI4</f>
        <v/>
      </c>
      <c r="P5" s="5">
        <f>Data!AJ4</f>
        <v/>
      </c>
      <c r="Q5" s="5">
        <f>Data!AK4</f>
        <v/>
      </c>
      <c r="R5" s="5">
        <f>Data!AL4</f>
        <v/>
      </c>
    </row>
    <row r="6">
      <c r="A6" s="5">
        <f>Data!A5</f>
        <v/>
      </c>
      <c r="B6" s="5">
        <f>Data!B5</f>
        <v/>
      </c>
      <c r="C6" s="5">
        <f>Data!C5</f>
        <v/>
      </c>
      <c r="D6" s="5">
        <f>Data!I5</f>
        <v/>
      </c>
      <c r="E6" s="5">
        <f>Data!J5</f>
        <v/>
      </c>
      <c r="F6" s="5">
        <f>Data!H5</f>
        <v/>
      </c>
      <c r="G6" s="5">
        <f>SUM(Data!Q5:Data!Y5)</f>
        <v/>
      </c>
      <c r="H6" s="5">
        <f>Data!Z5</f>
        <v/>
      </c>
      <c r="I6" s="5">
        <f>Data!AB5</f>
        <v/>
      </c>
      <c r="J6" s="5">
        <f>Data!AD5</f>
        <v/>
      </c>
      <c r="K6" s="5">
        <f>Data!AE5</f>
        <v/>
      </c>
      <c r="L6" s="5">
        <f>Data!AF5</f>
        <v/>
      </c>
      <c r="M6" s="5">
        <f>Data!AG5</f>
        <v/>
      </c>
      <c r="N6" s="5">
        <f>Data!AH5</f>
        <v/>
      </c>
      <c r="O6" s="5">
        <f>Data!AI5</f>
        <v/>
      </c>
      <c r="P6" s="5">
        <f>Data!AJ5</f>
        <v/>
      </c>
      <c r="Q6" s="5">
        <f>Data!AK5</f>
        <v/>
      </c>
      <c r="R6" s="5">
        <f>Data!AL5</f>
        <v/>
      </c>
    </row>
    <row r="7">
      <c r="A7" s="5">
        <f>Data!A6</f>
        <v/>
      </c>
      <c r="B7" s="5">
        <f>Data!B6</f>
        <v/>
      </c>
      <c r="C7" s="5">
        <f>Data!C6</f>
        <v/>
      </c>
      <c r="D7" s="5">
        <f>Data!I6</f>
        <v/>
      </c>
      <c r="E7" s="5">
        <f>Data!J6</f>
        <v/>
      </c>
      <c r="F7" s="5">
        <f>Data!H6</f>
        <v/>
      </c>
      <c r="G7" s="5">
        <f>SUM(Data!Q6:Data!Y6)</f>
        <v/>
      </c>
      <c r="H7" s="5">
        <f>Data!Z6</f>
        <v/>
      </c>
      <c r="I7" s="5">
        <f>Data!AB6</f>
        <v/>
      </c>
      <c r="J7" s="5">
        <f>Data!AD6</f>
        <v/>
      </c>
      <c r="K7" s="5">
        <f>Data!AE6</f>
        <v/>
      </c>
      <c r="L7" s="5">
        <f>Data!AF6</f>
        <v/>
      </c>
      <c r="M7" s="5">
        <f>Data!AG6</f>
        <v/>
      </c>
      <c r="N7" s="5">
        <f>Data!AH6</f>
        <v/>
      </c>
      <c r="O7" s="5">
        <f>Data!AI6</f>
        <v/>
      </c>
      <c r="P7" s="5">
        <f>Data!AJ6</f>
        <v/>
      </c>
      <c r="Q7" s="5">
        <f>Data!AK6</f>
        <v/>
      </c>
      <c r="R7" s="5">
        <f>Data!AL6</f>
        <v/>
      </c>
    </row>
    <row r="8">
      <c r="A8" s="5">
        <f>Data!A7</f>
        <v/>
      </c>
      <c r="B8" s="5">
        <f>Data!B7</f>
        <v/>
      </c>
      <c r="C8" s="5">
        <f>Data!C7</f>
        <v/>
      </c>
      <c r="D8" s="5">
        <f>Data!I7</f>
        <v/>
      </c>
      <c r="E8" s="5">
        <f>Data!J7</f>
        <v/>
      </c>
      <c r="F8" s="5">
        <f>Data!H7</f>
        <v/>
      </c>
      <c r="G8" s="5">
        <f>SUM(Data!Q7:Data!Y7)</f>
        <v/>
      </c>
      <c r="H8" s="5">
        <f>Data!Z7</f>
        <v/>
      </c>
      <c r="I8" s="5">
        <f>Data!AB7</f>
        <v/>
      </c>
      <c r="J8" s="5">
        <f>Data!AD7</f>
        <v/>
      </c>
      <c r="K8" s="5">
        <f>Data!AE7</f>
        <v/>
      </c>
      <c r="L8" s="5">
        <f>Data!AF7</f>
        <v/>
      </c>
      <c r="M8" s="5">
        <f>Data!AG7</f>
        <v/>
      </c>
      <c r="N8" s="5">
        <f>Data!AH7</f>
        <v/>
      </c>
      <c r="O8" s="5">
        <f>Data!AI7</f>
        <v/>
      </c>
      <c r="P8" s="5">
        <f>Data!AJ7</f>
        <v/>
      </c>
      <c r="Q8" s="5">
        <f>Data!AK7</f>
        <v/>
      </c>
      <c r="R8" s="5">
        <f>Data!AL7</f>
        <v/>
      </c>
    </row>
    <row r="9">
      <c r="A9" s="5">
        <f>Data!A8</f>
        <v/>
      </c>
      <c r="B9" s="5">
        <f>Data!B8</f>
        <v/>
      </c>
      <c r="C9" s="5">
        <f>Data!C8</f>
        <v/>
      </c>
      <c r="D9" s="5">
        <f>Data!I8</f>
        <v/>
      </c>
      <c r="E9" s="5">
        <f>Data!J8</f>
        <v/>
      </c>
      <c r="F9" s="5">
        <f>Data!H8</f>
        <v/>
      </c>
      <c r="G9" s="5">
        <f>SUM(Data!Q8:Data!Y8)</f>
        <v/>
      </c>
      <c r="H9" s="5">
        <f>Data!Z8</f>
        <v/>
      </c>
      <c r="I9" s="5">
        <f>Data!AB8</f>
        <v/>
      </c>
      <c r="J9" s="5">
        <f>Data!AD8</f>
        <v/>
      </c>
      <c r="K9" s="5">
        <f>Data!AE8</f>
        <v/>
      </c>
      <c r="L9" s="5">
        <f>Data!AF8</f>
        <v/>
      </c>
      <c r="M9" s="5">
        <f>Data!AG8</f>
        <v/>
      </c>
      <c r="N9" s="5">
        <f>Data!AH8</f>
        <v/>
      </c>
      <c r="O9" s="5">
        <f>Data!AI8</f>
        <v/>
      </c>
      <c r="P9" s="5">
        <f>Data!AJ8</f>
        <v/>
      </c>
      <c r="Q9" s="5">
        <f>Data!AK8</f>
        <v/>
      </c>
      <c r="R9" s="5">
        <f>Data!AL8</f>
        <v/>
      </c>
    </row>
    <row r="10">
      <c r="A10" s="5">
        <f>Data!A9</f>
        <v/>
      </c>
      <c r="B10" s="5">
        <f>Data!B9</f>
        <v/>
      </c>
      <c r="C10" s="5">
        <f>Data!C9</f>
        <v/>
      </c>
      <c r="D10" s="5">
        <f>Data!I9</f>
        <v/>
      </c>
      <c r="E10" s="5">
        <f>Data!J9</f>
        <v/>
      </c>
      <c r="F10" s="5">
        <f>Data!H9</f>
        <v/>
      </c>
      <c r="G10" s="5">
        <f>SUM(Data!Q9:Data!Y9)</f>
        <v/>
      </c>
      <c r="H10" s="5">
        <f>Data!Z9</f>
        <v/>
      </c>
      <c r="I10" s="5">
        <f>Data!AB9</f>
        <v/>
      </c>
      <c r="J10" s="5">
        <f>Data!AD9</f>
        <v/>
      </c>
      <c r="K10" s="5">
        <f>Data!AE9</f>
        <v/>
      </c>
      <c r="L10" s="5">
        <f>Data!AF9</f>
        <v/>
      </c>
      <c r="M10" s="5">
        <f>Data!AG9</f>
        <v/>
      </c>
      <c r="N10" s="5">
        <f>Data!AH9</f>
        <v/>
      </c>
      <c r="O10" s="5">
        <f>Data!AI9</f>
        <v/>
      </c>
      <c r="P10" s="5">
        <f>Data!AJ9</f>
        <v/>
      </c>
      <c r="Q10" s="5">
        <f>Data!AK9</f>
        <v/>
      </c>
      <c r="R10" s="5">
        <f>Data!AL9</f>
        <v/>
      </c>
    </row>
    <row r="11">
      <c r="A11" s="5">
        <f>Data!A10</f>
        <v/>
      </c>
      <c r="B11" s="5">
        <f>Data!B10</f>
        <v/>
      </c>
      <c r="C11" s="5">
        <f>Data!C10</f>
        <v/>
      </c>
      <c r="D11" s="5">
        <f>Data!I10</f>
        <v/>
      </c>
      <c r="E11" s="5">
        <f>Data!J10</f>
        <v/>
      </c>
      <c r="F11" s="5">
        <f>Data!H10</f>
        <v/>
      </c>
      <c r="G11" s="5">
        <f>SUM(Data!Q10:Data!Y10)</f>
        <v/>
      </c>
      <c r="H11" s="5">
        <f>Data!Z10</f>
        <v/>
      </c>
      <c r="I11" s="5">
        <f>Data!AB10</f>
        <v/>
      </c>
      <c r="J11" s="5">
        <f>Data!AD10</f>
        <v/>
      </c>
      <c r="K11" s="5">
        <f>Data!AE10</f>
        <v/>
      </c>
      <c r="L11" s="5">
        <f>Data!AF10</f>
        <v/>
      </c>
      <c r="M11" s="5">
        <f>Data!AG10</f>
        <v/>
      </c>
      <c r="N11" s="5">
        <f>Data!AH10</f>
        <v/>
      </c>
      <c r="O11" s="5">
        <f>Data!AI10</f>
        <v/>
      </c>
      <c r="P11" s="5">
        <f>Data!AJ10</f>
        <v/>
      </c>
      <c r="Q11" s="5">
        <f>Data!AK10</f>
        <v/>
      </c>
      <c r="R11" s="5">
        <f>Data!AL10</f>
        <v/>
      </c>
    </row>
    <row r="12">
      <c r="A12" s="5">
        <f>Data!A11</f>
        <v/>
      </c>
      <c r="B12" s="5">
        <f>Data!B11</f>
        <v/>
      </c>
      <c r="C12" s="5">
        <f>Data!C11</f>
        <v/>
      </c>
      <c r="D12" s="5">
        <f>Data!I11</f>
        <v/>
      </c>
      <c r="E12" s="5">
        <f>Data!J11</f>
        <v/>
      </c>
      <c r="F12" s="5">
        <f>Data!H11</f>
        <v/>
      </c>
      <c r="G12" s="5">
        <f>SUM(Data!Q11:Data!Y11)</f>
        <v/>
      </c>
      <c r="H12" s="5">
        <f>Data!Z11</f>
        <v/>
      </c>
      <c r="I12" s="5">
        <f>Data!AB11</f>
        <v/>
      </c>
      <c r="J12" s="5">
        <f>Data!AD11</f>
        <v/>
      </c>
      <c r="K12" s="5">
        <f>Data!AE11</f>
        <v/>
      </c>
      <c r="L12" s="5">
        <f>Data!AF11</f>
        <v/>
      </c>
      <c r="M12" s="5">
        <f>Data!AG11</f>
        <v/>
      </c>
      <c r="N12" s="5">
        <f>Data!AH11</f>
        <v/>
      </c>
      <c r="O12" s="5">
        <f>Data!AI11</f>
        <v/>
      </c>
      <c r="P12" s="5">
        <f>Data!AJ11</f>
        <v/>
      </c>
      <c r="Q12" s="5">
        <f>Data!AK11</f>
        <v/>
      </c>
      <c r="R12" s="5">
        <f>Data!AL11</f>
        <v/>
      </c>
    </row>
    <row r="13">
      <c r="A13" s="5">
        <f>Data!A12</f>
        <v/>
      </c>
      <c r="B13" s="5">
        <f>Data!B12</f>
        <v/>
      </c>
      <c r="C13" s="5">
        <f>Data!C12</f>
        <v/>
      </c>
      <c r="D13" s="5">
        <f>Data!I12</f>
        <v/>
      </c>
      <c r="E13" s="5">
        <f>Data!J12</f>
        <v/>
      </c>
      <c r="F13" s="5">
        <f>Data!H12</f>
        <v/>
      </c>
      <c r="G13" s="5">
        <f>SUM(Data!Q12:Data!Y12)</f>
        <v/>
      </c>
      <c r="H13" s="5">
        <f>Data!Z12</f>
        <v/>
      </c>
      <c r="I13" s="5">
        <f>Data!AB12</f>
        <v/>
      </c>
      <c r="J13" s="5">
        <f>Data!AD12</f>
        <v/>
      </c>
      <c r="K13" s="5">
        <f>Data!AE12</f>
        <v/>
      </c>
      <c r="L13" s="5">
        <f>Data!AF12</f>
        <v/>
      </c>
      <c r="M13" s="5">
        <f>Data!AG12</f>
        <v/>
      </c>
      <c r="N13" s="5">
        <f>Data!AH12</f>
        <v/>
      </c>
      <c r="O13" s="5">
        <f>Data!AI12</f>
        <v/>
      </c>
      <c r="P13" s="5">
        <f>Data!AJ12</f>
        <v/>
      </c>
      <c r="Q13" s="5">
        <f>Data!AK12</f>
        <v/>
      </c>
      <c r="R13" s="5">
        <f>Data!AL12</f>
        <v/>
      </c>
    </row>
    <row r="14">
      <c r="A14" s="5">
        <f>Data!A13</f>
        <v/>
      </c>
      <c r="B14" s="5">
        <f>Data!B13</f>
        <v/>
      </c>
      <c r="C14" s="5">
        <f>Data!C13</f>
        <v/>
      </c>
      <c r="D14" s="5">
        <f>Data!I13</f>
        <v/>
      </c>
      <c r="E14" s="5">
        <f>Data!J13</f>
        <v/>
      </c>
      <c r="F14" s="5">
        <f>Data!H13</f>
        <v/>
      </c>
      <c r="G14" s="5">
        <f>SUM(Data!Q13:Data!Y13)</f>
        <v/>
      </c>
      <c r="H14" s="5">
        <f>Data!Z13</f>
        <v/>
      </c>
      <c r="I14" s="5">
        <f>Data!AB13</f>
        <v/>
      </c>
      <c r="J14" s="5">
        <f>Data!AD13</f>
        <v/>
      </c>
      <c r="K14" s="5">
        <f>Data!AE13</f>
        <v/>
      </c>
      <c r="L14" s="5">
        <f>Data!AF13</f>
        <v/>
      </c>
      <c r="M14" s="5">
        <f>Data!AG13</f>
        <v/>
      </c>
      <c r="N14" s="5">
        <f>Data!AH13</f>
        <v/>
      </c>
      <c r="O14" s="5">
        <f>Data!AI13</f>
        <v/>
      </c>
      <c r="P14" s="5">
        <f>Data!AJ13</f>
        <v/>
      </c>
      <c r="Q14" s="5">
        <f>Data!AK13</f>
        <v/>
      </c>
      <c r="R14" s="5">
        <f>Data!AL13</f>
        <v/>
      </c>
    </row>
    <row r="15">
      <c r="A15" s="5">
        <f>Data!A14</f>
        <v/>
      </c>
      <c r="B15" s="5">
        <f>Data!B14</f>
        <v/>
      </c>
      <c r="C15" s="5">
        <f>Data!C14</f>
        <v/>
      </c>
      <c r="D15" s="5">
        <f>Data!I14</f>
        <v/>
      </c>
      <c r="E15" s="5">
        <f>Data!J14</f>
        <v/>
      </c>
      <c r="F15" s="5">
        <f>Data!H14</f>
        <v/>
      </c>
      <c r="G15" s="5">
        <f>SUM(Data!Q14:Data!Y14)</f>
        <v/>
      </c>
      <c r="H15" s="5">
        <f>Data!Z14</f>
        <v/>
      </c>
      <c r="I15" s="5">
        <f>Data!AB14</f>
        <v/>
      </c>
      <c r="J15" s="5">
        <f>Data!AD14</f>
        <v/>
      </c>
      <c r="K15" s="5">
        <f>Data!AE14</f>
        <v/>
      </c>
      <c r="L15" s="5">
        <f>Data!AF14</f>
        <v/>
      </c>
      <c r="M15" s="5">
        <f>Data!AG14</f>
        <v/>
      </c>
      <c r="N15" s="5">
        <f>Data!AH14</f>
        <v/>
      </c>
      <c r="O15" s="5">
        <f>Data!AI14</f>
        <v/>
      </c>
      <c r="P15" s="5">
        <f>Data!AJ14</f>
        <v/>
      </c>
      <c r="Q15" s="5">
        <f>Data!AK14</f>
        <v/>
      </c>
      <c r="R15" s="5">
        <f>Data!AL14</f>
        <v/>
      </c>
    </row>
    <row r="16">
      <c r="A16" s="5">
        <f>Data!A15</f>
        <v/>
      </c>
      <c r="B16" s="5">
        <f>Data!B15</f>
        <v/>
      </c>
      <c r="C16" s="5">
        <f>Data!C15</f>
        <v/>
      </c>
      <c r="D16" s="5">
        <f>Data!I15</f>
        <v/>
      </c>
      <c r="E16" s="5">
        <f>Data!J15</f>
        <v/>
      </c>
      <c r="F16" s="5">
        <f>Data!H15</f>
        <v/>
      </c>
      <c r="G16" s="5">
        <f>SUM(Data!Q15:Data!Y15)</f>
        <v/>
      </c>
      <c r="H16" s="5">
        <f>Data!Z15</f>
        <v/>
      </c>
      <c r="I16" s="5">
        <f>Data!AB15</f>
        <v/>
      </c>
      <c r="J16" s="5">
        <f>Data!AD15</f>
        <v/>
      </c>
      <c r="K16" s="5">
        <f>Data!AE15</f>
        <v/>
      </c>
      <c r="L16" s="5">
        <f>Data!AF15</f>
        <v/>
      </c>
      <c r="M16" s="5">
        <f>Data!AG15</f>
        <v/>
      </c>
      <c r="N16" s="5">
        <f>Data!AH15</f>
        <v/>
      </c>
      <c r="O16" s="5">
        <f>Data!AI15</f>
        <v/>
      </c>
      <c r="P16" s="5">
        <f>Data!AJ15</f>
        <v/>
      </c>
      <c r="Q16" s="5">
        <f>Data!AK15</f>
        <v/>
      </c>
      <c r="R16" s="5">
        <f>Data!AL15</f>
        <v/>
      </c>
    </row>
    <row r="17">
      <c r="A17" s="5">
        <f>Data!A16</f>
        <v/>
      </c>
      <c r="B17" s="5">
        <f>Data!B16</f>
        <v/>
      </c>
      <c r="C17" s="5">
        <f>Data!C16</f>
        <v/>
      </c>
      <c r="D17" s="5">
        <f>Data!I16</f>
        <v/>
      </c>
      <c r="E17" s="5">
        <f>Data!J16</f>
        <v/>
      </c>
      <c r="F17" s="5">
        <f>Data!H16</f>
        <v/>
      </c>
      <c r="G17" s="5">
        <f>SUM(Data!Q16:Data!Y16)</f>
        <v/>
      </c>
      <c r="H17" s="5">
        <f>Data!Z16</f>
        <v/>
      </c>
      <c r="I17" s="5">
        <f>Data!AB16</f>
        <v/>
      </c>
      <c r="J17" s="5">
        <f>Data!AD16</f>
        <v/>
      </c>
      <c r="K17" s="5">
        <f>Data!AE16</f>
        <v/>
      </c>
      <c r="L17" s="5">
        <f>Data!AF16</f>
        <v/>
      </c>
      <c r="M17" s="5">
        <f>Data!AG16</f>
        <v/>
      </c>
      <c r="N17" s="5">
        <f>Data!AH16</f>
        <v/>
      </c>
      <c r="O17" s="5">
        <f>Data!AI16</f>
        <v/>
      </c>
      <c r="P17" s="5">
        <f>Data!AJ16</f>
        <v/>
      </c>
      <c r="Q17" s="5">
        <f>Data!AK16</f>
        <v/>
      </c>
      <c r="R17" s="5">
        <f>Data!AL16</f>
        <v/>
      </c>
    </row>
    <row r="18">
      <c r="A18" s="5">
        <f>Data!A17</f>
        <v/>
      </c>
      <c r="B18" s="5">
        <f>Data!B17</f>
        <v/>
      </c>
      <c r="C18" s="5">
        <f>Data!C17</f>
        <v/>
      </c>
      <c r="D18" s="5">
        <f>Data!I17</f>
        <v/>
      </c>
      <c r="E18" s="5">
        <f>Data!J17</f>
        <v/>
      </c>
      <c r="F18" s="5">
        <f>Data!H17</f>
        <v/>
      </c>
      <c r="G18" s="5">
        <f>SUM(Data!Q17:Data!Y17)</f>
        <v/>
      </c>
      <c r="H18" s="5">
        <f>Data!Z17</f>
        <v/>
      </c>
      <c r="I18" s="5">
        <f>Data!AB17</f>
        <v/>
      </c>
      <c r="J18" s="5">
        <f>Data!AD17</f>
        <v/>
      </c>
      <c r="K18" s="5">
        <f>Data!AE17</f>
        <v/>
      </c>
      <c r="L18" s="5">
        <f>Data!AF17</f>
        <v/>
      </c>
      <c r="M18" s="5">
        <f>Data!AG17</f>
        <v/>
      </c>
      <c r="N18" s="5">
        <f>Data!AH17</f>
        <v/>
      </c>
      <c r="O18" s="5">
        <f>Data!AI17</f>
        <v/>
      </c>
      <c r="P18" s="5">
        <f>Data!AJ17</f>
        <v/>
      </c>
      <c r="Q18" s="5">
        <f>Data!AK17</f>
        <v/>
      </c>
      <c r="R18" s="5">
        <f>Data!AL17</f>
        <v/>
      </c>
    </row>
    <row r="19">
      <c r="A19" s="5">
        <f>Data!A18</f>
        <v/>
      </c>
      <c r="B19" s="5">
        <f>Data!B18</f>
        <v/>
      </c>
      <c r="C19" s="5">
        <f>Data!C18</f>
        <v/>
      </c>
      <c r="D19" s="5">
        <f>Data!I18</f>
        <v/>
      </c>
      <c r="E19" s="5">
        <f>Data!J18</f>
        <v/>
      </c>
      <c r="F19" s="5">
        <f>Data!H18</f>
        <v/>
      </c>
      <c r="G19" s="5">
        <f>SUM(Data!Q18:Data!Y18)</f>
        <v/>
      </c>
      <c r="H19" s="5">
        <f>Data!Z18</f>
        <v/>
      </c>
      <c r="I19" s="5">
        <f>Data!AB18</f>
        <v/>
      </c>
      <c r="J19" s="5">
        <f>Data!AD18</f>
        <v/>
      </c>
      <c r="K19" s="5">
        <f>Data!AE18</f>
        <v/>
      </c>
      <c r="L19" s="5">
        <f>Data!AF18</f>
        <v/>
      </c>
      <c r="M19" s="5">
        <f>Data!AG18</f>
        <v/>
      </c>
      <c r="N19" s="5">
        <f>Data!AH18</f>
        <v/>
      </c>
      <c r="O19" s="5">
        <f>Data!AI18</f>
        <v/>
      </c>
      <c r="P19" s="5">
        <f>Data!AJ18</f>
        <v/>
      </c>
      <c r="Q19" s="5">
        <f>Data!AK18</f>
        <v/>
      </c>
      <c r="R19" s="5">
        <f>Data!AL18</f>
        <v/>
      </c>
    </row>
    <row r="20">
      <c r="A20" s="5">
        <f>Data!A19</f>
        <v/>
      </c>
      <c r="B20" s="5">
        <f>Data!B19</f>
        <v/>
      </c>
      <c r="C20" s="5">
        <f>Data!C19</f>
        <v/>
      </c>
      <c r="D20" s="5">
        <f>Data!I19</f>
        <v/>
      </c>
      <c r="E20" s="5">
        <f>Data!J19</f>
        <v/>
      </c>
      <c r="F20" s="5">
        <f>Data!H19</f>
        <v/>
      </c>
      <c r="G20" s="5">
        <f>SUM(Data!Q19:Data!Y19)</f>
        <v/>
      </c>
      <c r="H20" s="5">
        <f>Data!Z19</f>
        <v/>
      </c>
      <c r="I20" s="5">
        <f>Data!AB19</f>
        <v/>
      </c>
      <c r="J20" s="5">
        <f>Data!AD19</f>
        <v/>
      </c>
      <c r="K20" s="5">
        <f>Data!AE19</f>
        <v/>
      </c>
      <c r="L20" s="5">
        <f>Data!AF19</f>
        <v/>
      </c>
      <c r="M20" s="5">
        <f>Data!AG19</f>
        <v/>
      </c>
      <c r="N20" s="5">
        <f>Data!AH19</f>
        <v/>
      </c>
      <c r="O20" s="5">
        <f>Data!AI19</f>
        <v/>
      </c>
      <c r="P20" s="5">
        <f>Data!AJ19</f>
        <v/>
      </c>
      <c r="Q20" s="5">
        <f>Data!AK19</f>
        <v/>
      </c>
      <c r="R20" s="5">
        <f>Data!AL19</f>
        <v/>
      </c>
    </row>
    <row r="21">
      <c r="A21" s="5">
        <f>Data!A20</f>
        <v/>
      </c>
      <c r="B21" s="5">
        <f>Data!B20</f>
        <v/>
      </c>
      <c r="C21" s="5">
        <f>Data!C20</f>
        <v/>
      </c>
      <c r="D21" s="5">
        <f>Data!I20</f>
        <v/>
      </c>
      <c r="E21" s="5">
        <f>Data!J20</f>
        <v/>
      </c>
      <c r="F21" s="5">
        <f>Data!H20</f>
        <v/>
      </c>
      <c r="G21" s="5">
        <f>SUM(Data!Q20:Data!Y20)</f>
        <v/>
      </c>
      <c r="H21" s="5">
        <f>Data!Z20</f>
        <v/>
      </c>
      <c r="I21" s="5">
        <f>Data!AB20</f>
        <v/>
      </c>
      <c r="J21" s="5">
        <f>Data!AD20</f>
        <v/>
      </c>
      <c r="K21" s="5">
        <f>Data!AE20</f>
        <v/>
      </c>
      <c r="L21" s="5">
        <f>Data!AF20</f>
        <v/>
      </c>
      <c r="M21" s="5">
        <f>Data!AG20</f>
        <v/>
      </c>
      <c r="N21" s="5">
        <f>Data!AH20</f>
        <v/>
      </c>
      <c r="O21" s="5">
        <f>Data!AI20</f>
        <v/>
      </c>
      <c r="P21" s="5">
        <f>Data!AJ20</f>
        <v/>
      </c>
      <c r="Q21" s="5">
        <f>Data!AK20</f>
        <v/>
      </c>
      <c r="R21" s="5">
        <f>Data!AL20</f>
        <v/>
      </c>
    </row>
    <row r="22">
      <c r="A22" s="5">
        <f>Data!A21</f>
        <v/>
      </c>
      <c r="B22" s="5">
        <f>Data!B21</f>
        <v/>
      </c>
      <c r="C22" s="5">
        <f>Data!C21</f>
        <v/>
      </c>
      <c r="D22" s="5">
        <f>Data!I21</f>
        <v/>
      </c>
      <c r="E22" s="5">
        <f>Data!J21</f>
        <v/>
      </c>
      <c r="F22" s="5">
        <f>Data!H21</f>
        <v/>
      </c>
      <c r="G22" s="5">
        <f>SUM(Data!Q21:Data!Y21)</f>
        <v/>
      </c>
      <c r="H22" s="5">
        <f>Data!Z21</f>
        <v/>
      </c>
      <c r="I22" s="5">
        <f>Data!AB21</f>
        <v/>
      </c>
      <c r="J22" s="5">
        <f>Data!AD21</f>
        <v/>
      </c>
      <c r="K22" s="5">
        <f>Data!AE21</f>
        <v/>
      </c>
      <c r="L22" s="5">
        <f>Data!AF21</f>
        <v/>
      </c>
      <c r="M22" s="5">
        <f>Data!AG21</f>
        <v/>
      </c>
      <c r="N22" s="5">
        <f>Data!AH21</f>
        <v/>
      </c>
      <c r="O22" s="5">
        <f>Data!AI21</f>
        <v/>
      </c>
      <c r="P22" s="5">
        <f>Data!AJ21</f>
        <v/>
      </c>
      <c r="Q22" s="5">
        <f>Data!AK21</f>
        <v/>
      </c>
      <c r="R22" s="5">
        <f>Data!AL21</f>
        <v/>
      </c>
    </row>
    <row r="23">
      <c r="A23" s="5">
        <f>Data!A22</f>
        <v/>
      </c>
      <c r="B23" s="5">
        <f>Data!B22</f>
        <v/>
      </c>
      <c r="C23" s="5">
        <f>Data!C22</f>
        <v/>
      </c>
      <c r="D23" s="5">
        <f>Data!I22</f>
        <v/>
      </c>
      <c r="E23" s="5">
        <f>Data!J22</f>
        <v/>
      </c>
      <c r="F23" s="5">
        <f>Data!H22</f>
        <v/>
      </c>
      <c r="G23" s="5">
        <f>SUM(Data!Q22:Data!Y22)</f>
        <v/>
      </c>
      <c r="H23" s="5">
        <f>Data!Z22</f>
        <v/>
      </c>
      <c r="I23" s="5">
        <f>Data!AB22</f>
        <v/>
      </c>
      <c r="J23" s="5">
        <f>Data!AD22</f>
        <v/>
      </c>
      <c r="K23" s="5">
        <f>Data!AE22</f>
        <v/>
      </c>
      <c r="L23" s="5">
        <f>Data!AF22</f>
        <v/>
      </c>
      <c r="M23" s="5">
        <f>Data!AG22</f>
        <v/>
      </c>
      <c r="N23" s="5">
        <f>Data!AH22</f>
        <v/>
      </c>
      <c r="O23" s="5">
        <f>Data!AI22</f>
        <v/>
      </c>
      <c r="P23" s="5">
        <f>Data!AJ22</f>
        <v/>
      </c>
      <c r="Q23" s="5">
        <f>Data!AK22</f>
        <v/>
      </c>
      <c r="R23" s="5">
        <f>Data!AL22</f>
        <v/>
      </c>
    </row>
    <row r="24">
      <c r="A24" s="5">
        <f>Data!A23</f>
        <v/>
      </c>
      <c r="B24" s="5">
        <f>Data!B23</f>
        <v/>
      </c>
      <c r="C24" s="5">
        <f>Data!C23</f>
        <v/>
      </c>
      <c r="D24" s="5">
        <f>Data!I23</f>
        <v/>
      </c>
      <c r="E24" s="5">
        <f>Data!J23</f>
        <v/>
      </c>
      <c r="F24" s="5">
        <f>Data!H23</f>
        <v/>
      </c>
      <c r="G24" s="5">
        <f>SUM(Data!Q23:Data!Y23)</f>
        <v/>
      </c>
      <c r="H24" s="5">
        <f>Data!Z23</f>
        <v/>
      </c>
      <c r="I24" s="5">
        <f>Data!AB23</f>
        <v/>
      </c>
      <c r="J24" s="5">
        <f>Data!AD23</f>
        <v/>
      </c>
      <c r="K24" s="5">
        <f>Data!AE23</f>
        <v/>
      </c>
      <c r="L24" s="5">
        <f>Data!AF23</f>
        <v/>
      </c>
      <c r="M24" s="5">
        <f>Data!AG23</f>
        <v/>
      </c>
      <c r="N24" s="5">
        <f>Data!AH23</f>
        <v/>
      </c>
      <c r="O24" s="5">
        <f>Data!AI23</f>
        <v/>
      </c>
      <c r="P24" s="5">
        <f>Data!AJ23</f>
        <v/>
      </c>
      <c r="Q24" s="5">
        <f>Data!AK23</f>
        <v/>
      </c>
      <c r="R24" s="5">
        <f>Data!AL23</f>
        <v/>
      </c>
    </row>
    <row r="25">
      <c r="A25" s="5">
        <f>Data!A24</f>
        <v/>
      </c>
      <c r="B25" s="5">
        <f>Data!B24</f>
        <v/>
      </c>
      <c r="C25" s="5">
        <f>Data!C24</f>
        <v/>
      </c>
      <c r="D25" s="5">
        <f>Data!I24</f>
        <v/>
      </c>
      <c r="E25" s="5">
        <f>Data!J24</f>
        <v/>
      </c>
      <c r="F25" s="5">
        <f>Data!H24</f>
        <v/>
      </c>
      <c r="G25" s="5">
        <f>SUM(Data!Q24:Data!Y24)</f>
        <v/>
      </c>
      <c r="H25" s="5">
        <f>Data!Z24</f>
        <v/>
      </c>
      <c r="I25" s="5">
        <f>Data!AB24</f>
        <v/>
      </c>
      <c r="J25" s="5">
        <f>Data!AD24</f>
        <v/>
      </c>
      <c r="K25" s="5">
        <f>Data!AE24</f>
        <v/>
      </c>
      <c r="L25" s="5">
        <f>Data!AF24</f>
        <v/>
      </c>
      <c r="M25" s="5">
        <f>Data!AG24</f>
        <v/>
      </c>
      <c r="N25" s="5">
        <f>Data!AH24</f>
        <v/>
      </c>
      <c r="O25" s="5">
        <f>Data!AI24</f>
        <v/>
      </c>
      <c r="P25" s="5">
        <f>Data!AJ24</f>
        <v/>
      </c>
      <c r="Q25" s="5">
        <f>Data!AK24</f>
        <v/>
      </c>
      <c r="R25" s="5">
        <f>Data!AL24</f>
        <v/>
      </c>
    </row>
    <row r="26">
      <c r="A26" s="5">
        <f>Data!A25</f>
        <v/>
      </c>
      <c r="B26" s="5">
        <f>Data!B25</f>
        <v/>
      </c>
      <c r="C26" s="5">
        <f>Data!C25</f>
        <v/>
      </c>
      <c r="D26" s="5">
        <f>Data!I25</f>
        <v/>
      </c>
      <c r="E26" s="5">
        <f>Data!J25</f>
        <v/>
      </c>
      <c r="F26" s="5">
        <f>Data!H25</f>
        <v/>
      </c>
      <c r="G26" s="5">
        <f>SUM(Data!Q25:Data!Y25)</f>
        <v/>
      </c>
      <c r="H26" s="5">
        <f>Data!Z25</f>
        <v/>
      </c>
      <c r="I26" s="5">
        <f>Data!AB25</f>
        <v/>
      </c>
      <c r="J26" s="5">
        <f>Data!AD25</f>
        <v/>
      </c>
      <c r="K26" s="5">
        <f>Data!AE25</f>
        <v/>
      </c>
      <c r="L26" s="5">
        <f>Data!AF25</f>
        <v/>
      </c>
      <c r="M26" s="5">
        <f>Data!AG25</f>
        <v/>
      </c>
      <c r="N26" s="5">
        <f>Data!AH25</f>
        <v/>
      </c>
      <c r="O26" s="5">
        <f>Data!AI25</f>
        <v/>
      </c>
      <c r="P26" s="5">
        <f>Data!AJ25</f>
        <v/>
      </c>
      <c r="Q26" s="5">
        <f>Data!AK25</f>
        <v/>
      </c>
      <c r="R26" s="5">
        <f>Data!AL25</f>
        <v/>
      </c>
    </row>
    <row r="27">
      <c r="A27" s="5">
        <f>Data!A26</f>
        <v/>
      </c>
      <c r="B27" s="5">
        <f>Data!B26</f>
        <v/>
      </c>
      <c r="C27" s="5">
        <f>Data!C26</f>
        <v/>
      </c>
      <c r="D27" s="5">
        <f>Data!I26</f>
        <v/>
      </c>
      <c r="E27" s="5">
        <f>Data!J26</f>
        <v/>
      </c>
      <c r="F27" s="5">
        <f>Data!H26</f>
        <v/>
      </c>
      <c r="G27" s="5">
        <f>SUM(Data!Q26:Data!Y26)</f>
        <v/>
      </c>
      <c r="H27" s="5">
        <f>Data!Z26</f>
        <v/>
      </c>
      <c r="I27" s="5">
        <f>Data!AB26</f>
        <v/>
      </c>
      <c r="J27" s="5">
        <f>Data!AD26</f>
        <v/>
      </c>
      <c r="K27" s="5">
        <f>Data!AE26</f>
        <v/>
      </c>
      <c r="L27" s="5">
        <f>Data!AF26</f>
        <v/>
      </c>
      <c r="M27" s="5">
        <f>Data!AG26</f>
        <v/>
      </c>
      <c r="N27" s="5">
        <f>Data!AH26</f>
        <v/>
      </c>
      <c r="O27" s="5">
        <f>Data!AI26</f>
        <v/>
      </c>
      <c r="P27" s="5">
        <f>Data!AJ26</f>
        <v/>
      </c>
      <c r="Q27" s="5">
        <f>Data!AK26</f>
        <v/>
      </c>
      <c r="R27" s="5">
        <f>Data!AL26</f>
        <v/>
      </c>
    </row>
    <row r="28">
      <c r="A28" s="5">
        <f>Data!A27</f>
        <v/>
      </c>
      <c r="B28" s="5">
        <f>Data!B27</f>
        <v/>
      </c>
      <c r="C28" s="5">
        <f>Data!C27</f>
        <v/>
      </c>
      <c r="D28" s="5">
        <f>Data!I27</f>
        <v/>
      </c>
      <c r="E28" s="5">
        <f>Data!J27</f>
        <v/>
      </c>
      <c r="F28" s="5">
        <f>Data!H27</f>
        <v/>
      </c>
      <c r="G28" s="5">
        <f>SUM(Data!Q27:Data!Y27)</f>
        <v/>
      </c>
      <c r="H28" s="5">
        <f>Data!Z27</f>
        <v/>
      </c>
      <c r="I28" s="5">
        <f>Data!AB27</f>
        <v/>
      </c>
      <c r="J28" s="5">
        <f>Data!AD27</f>
        <v/>
      </c>
      <c r="K28" s="5">
        <f>Data!AE27</f>
        <v/>
      </c>
      <c r="L28" s="5">
        <f>Data!AF27</f>
        <v/>
      </c>
      <c r="M28" s="5">
        <f>Data!AG27</f>
        <v/>
      </c>
      <c r="N28" s="5">
        <f>Data!AH27</f>
        <v/>
      </c>
      <c r="O28" s="5">
        <f>Data!AI27</f>
        <v/>
      </c>
      <c r="P28" s="5">
        <f>Data!AJ27</f>
        <v/>
      </c>
      <c r="Q28" s="5">
        <f>Data!AK27</f>
        <v/>
      </c>
      <c r="R28" s="5">
        <f>Data!AL27</f>
        <v/>
      </c>
    </row>
    <row r="29">
      <c r="A29" s="5">
        <f>Data!A28</f>
        <v/>
      </c>
      <c r="B29" s="5">
        <f>Data!B28</f>
        <v/>
      </c>
      <c r="C29" s="5">
        <f>Data!C28</f>
        <v/>
      </c>
      <c r="D29" s="5">
        <f>Data!I28</f>
        <v/>
      </c>
      <c r="E29" s="5">
        <f>Data!J28</f>
        <v/>
      </c>
      <c r="F29" s="5">
        <f>Data!H28</f>
        <v/>
      </c>
      <c r="G29" s="5">
        <f>SUM(Data!Q28:Data!Y28)</f>
        <v/>
      </c>
      <c r="H29" s="5">
        <f>Data!Z28</f>
        <v/>
      </c>
      <c r="I29" s="5">
        <f>Data!AB28</f>
        <v/>
      </c>
      <c r="J29" s="5">
        <f>Data!AD28</f>
        <v/>
      </c>
      <c r="K29" s="5">
        <f>Data!AE28</f>
        <v/>
      </c>
      <c r="L29" s="5">
        <f>Data!AF28</f>
        <v/>
      </c>
      <c r="M29" s="5">
        <f>Data!AG28</f>
        <v/>
      </c>
      <c r="N29" s="5">
        <f>Data!AH28</f>
        <v/>
      </c>
      <c r="O29" s="5">
        <f>Data!AI28</f>
        <v/>
      </c>
      <c r="P29" s="5">
        <f>Data!AJ28</f>
        <v/>
      </c>
      <c r="Q29" s="5">
        <f>Data!AK28</f>
        <v/>
      </c>
      <c r="R29" s="5">
        <f>Data!AL28</f>
        <v/>
      </c>
    </row>
    <row r="30">
      <c r="A30" s="5">
        <f>Data!A29</f>
        <v/>
      </c>
      <c r="B30" s="5">
        <f>Data!B29</f>
        <v/>
      </c>
      <c r="C30" s="5">
        <f>Data!C29</f>
        <v/>
      </c>
      <c r="D30" s="5">
        <f>Data!I29</f>
        <v/>
      </c>
      <c r="E30" s="5">
        <f>Data!J29</f>
        <v/>
      </c>
      <c r="F30" s="5">
        <f>Data!H29</f>
        <v/>
      </c>
      <c r="G30" s="5">
        <f>SUM(Data!Q29:Data!Y29)</f>
        <v/>
      </c>
      <c r="H30" s="5">
        <f>Data!Z29</f>
        <v/>
      </c>
      <c r="I30" s="5">
        <f>Data!AB29</f>
        <v/>
      </c>
      <c r="J30" s="5">
        <f>Data!AD29</f>
        <v/>
      </c>
      <c r="K30" s="5">
        <f>Data!AE29</f>
        <v/>
      </c>
      <c r="L30" s="5">
        <f>Data!AF29</f>
        <v/>
      </c>
      <c r="M30" s="5">
        <f>Data!AG29</f>
        <v/>
      </c>
      <c r="N30" s="5">
        <f>Data!AH29</f>
        <v/>
      </c>
      <c r="O30" s="5">
        <f>Data!AI29</f>
        <v/>
      </c>
      <c r="P30" s="5">
        <f>Data!AJ29</f>
        <v/>
      </c>
      <c r="Q30" s="5">
        <f>Data!AK29</f>
        <v/>
      </c>
      <c r="R30" s="5">
        <f>Data!AL29</f>
        <v/>
      </c>
    </row>
    <row r="31">
      <c r="A31" s="5">
        <f>Data!A30</f>
        <v/>
      </c>
      <c r="B31" s="5">
        <f>Data!B30</f>
        <v/>
      </c>
      <c r="C31" s="5">
        <f>Data!C30</f>
        <v/>
      </c>
      <c r="D31" s="5">
        <f>Data!I30</f>
        <v/>
      </c>
      <c r="E31" s="5">
        <f>Data!J30</f>
        <v/>
      </c>
      <c r="F31" s="5">
        <f>Data!H30</f>
        <v/>
      </c>
      <c r="G31" s="5">
        <f>SUM(Data!Q30:Data!Y30)</f>
        <v/>
      </c>
      <c r="H31" s="5">
        <f>Data!Z30</f>
        <v/>
      </c>
      <c r="I31" s="5">
        <f>Data!AB30</f>
        <v/>
      </c>
      <c r="J31" s="5">
        <f>Data!AD30</f>
        <v/>
      </c>
      <c r="K31" s="5">
        <f>Data!AE30</f>
        <v/>
      </c>
      <c r="L31" s="5">
        <f>Data!AF30</f>
        <v/>
      </c>
      <c r="M31" s="5">
        <f>Data!AG30</f>
        <v/>
      </c>
      <c r="N31" s="5">
        <f>Data!AH30</f>
        <v/>
      </c>
      <c r="O31" s="5">
        <f>Data!AI30</f>
        <v/>
      </c>
      <c r="P31" s="5">
        <f>Data!AJ30</f>
        <v/>
      </c>
      <c r="Q31" s="5">
        <f>Data!AK30</f>
        <v/>
      </c>
      <c r="R31" s="5">
        <f>Data!AL30</f>
        <v/>
      </c>
    </row>
    <row r="32">
      <c r="A32" s="5">
        <f>Data!A31</f>
        <v/>
      </c>
      <c r="B32" s="5">
        <f>Data!B31</f>
        <v/>
      </c>
      <c r="C32" s="5">
        <f>Data!C31</f>
        <v/>
      </c>
      <c r="D32" s="5">
        <f>Data!I31</f>
        <v/>
      </c>
      <c r="E32" s="5">
        <f>Data!J31</f>
        <v/>
      </c>
      <c r="F32" s="5">
        <f>Data!H31</f>
        <v/>
      </c>
      <c r="G32" s="5">
        <f>SUM(Data!Q31:Data!Y31)</f>
        <v/>
      </c>
      <c r="H32" s="5">
        <f>Data!Z31</f>
        <v/>
      </c>
      <c r="I32" s="5">
        <f>Data!AB31</f>
        <v/>
      </c>
      <c r="J32" s="5">
        <f>Data!AD31</f>
        <v/>
      </c>
      <c r="K32" s="5">
        <f>Data!AE31</f>
        <v/>
      </c>
      <c r="L32" s="5">
        <f>Data!AF31</f>
        <v/>
      </c>
      <c r="M32" s="5">
        <f>Data!AG31</f>
        <v/>
      </c>
      <c r="N32" s="5">
        <f>Data!AH31</f>
        <v/>
      </c>
      <c r="O32" s="5">
        <f>Data!AI31</f>
        <v/>
      </c>
      <c r="P32" s="5">
        <f>Data!AJ31</f>
        <v/>
      </c>
      <c r="Q32" s="5">
        <f>Data!AK31</f>
        <v/>
      </c>
      <c r="R32" s="5">
        <f>Data!AL31</f>
        <v/>
      </c>
    </row>
    <row r="33">
      <c r="A33" s="5">
        <f>Data!A32</f>
        <v/>
      </c>
      <c r="B33" s="5">
        <f>Data!B32</f>
        <v/>
      </c>
      <c r="C33" s="5">
        <f>Data!C32</f>
        <v/>
      </c>
      <c r="D33" s="5">
        <f>Data!I32</f>
        <v/>
      </c>
      <c r="E33" s="5">
        <f>Data!J32</f>
        <v/>
      </c>
      <c r="F33" s="5">
        <f>Data!H32</f>
        <v/>
      </c>
      <c r="G33" s="5">
        <f>SUM(Data!Q32:Data!Y32)</f>
        <v/>
      </c>
      <c r="H33" s="5">
        <f>Data!Z32</f>
        <v/>
      </c>
      <c r="I33" s="5">
        <f>Data!AB32</f>
        <v/>
      </c>
      <c r="J33" s="5">
        <f>Data!AD32</f>
        <v/>
      </c>
      <c r="K33" s="5">
        <f>Data!AE32</f>
        <v/>
      </c>
      <c r="L33" s="5">
        <f>Data!AF32</f>
        <v/>
      </c>
      <c r="M33" s="5">
        <f>Data!AG32</f>
        <v/>
      </c>
      <c r="N33" s="5">
        <f>Data!AH32</f>
        <v/>
      </c>
      <c r="O33" s="5">
        <f>Data!AI32</f>
        <v/>
      </c>
      <c r="P33" s="5">
        <f>Data!AJ32</f>
        <v/>
      </c>
      <c r="Q33" s="5">
        <f>Data!AK32</f>
        <v/>
      </c>
      <c r="R33" s="5">
        <f>Data!AL32</f>
        <v/>
      </c>
    </row>
    <row r="34">
      <c r="A34" s="5">
        <f>Data!A33</f>
        <v/>
      </c>
      <c r="B34" s="5">
        <f>Data!B33</f>
        <v/>
      </c>
      <c r="C34" s="5">
        <f>Data!C33</f>
        <v/>
      </c>
      <c r="D34" s="5">
        <f>Data!I33</f>
        <v/>
      </c>
      <c r="E34" s="5">
        <f>Data!J33</f>
        <v/>
      </c>
      <c r="F34" s="5">
        <f>Data!H33</f>
        <v/>
      </c>
      <c r="G34" s="5">
        <f>SUM(Data!Q33:Data!Y33)</f>
        <v/>
      </c>
      <c r="H34" s="5">
        <f>Data!Z33</f>
        <v/>
      </c>
      <c r="I34" s="5">
        <f>Data!AB33</f>
        <v/>
      </c>
      <c r="J34" s="5">
        <f>Data!AD33</f>
        <v/>
      </c>
      <c r="K34" s="5">
        <f>Data!AE33</f>
        <v/>
      </c>
      <c r="L34" s="5">
        <f>Data!AF33</f>
        <v/>
      </c>
      <c r="M34" s="5">
        <f>Data!AG33</f>
        <v/>
      </c>
      <c r="N34" s="5">
        <f>Data!AH33</f>
        <v/>
      </c>
      <c r="O34" s="5">
        <f>Data!AI33</f>
        <v/>
      </c>
      <c r="P34" s="5">
        <f>Data!AJ33</f>
        <v/>
      </c>
      <c r="Q34" s="5">
        <f>Data!AK33</f>
        <v/>
      </c>
      <c r="R34" s="5">
        <f>Data!AL33</f>
        <v/>
      </c>
    </row>
    <row r="35">
      <c r="A35" s="5">
        <f>Data!A34</f>
        <v/>
      </c>
      <c r="B35" s="5">
        <f>Data!B34</f>
        <v/>
      </c>
      <c r="C35" s="5">
        <f>Data!C34</f>
        <v/>
      </c>
      <c r="D35" s="5">
        <f>Data!I34</f>
        <v/>
      </c>
      <c r="E35" s="5">
        <f>Data!J34</f>
        <v/>
      </c>
      <c r="F35" s="5">
        <f>Data!H34</f>
        <v/>
      </c>
      <c r="G35" s="5">
        <f>SUM(Data!Q34:Data!Y34)</f>
        <v/>
      </c>
      <c r="H35" s="5">
        <f>Data!Z34</f>
        <v/>
      </c>
      <c r="I35" s="5">
        <f>Data!AB34</f>
        <v/>
      </c>
      <c r="J35" s="5">
        <f>Data!AD34</f>
        <v/>
      </c>
      <c r="K35" s="5">
        <f>Data!AE34</f>
        <v/>
      </c>
      <c r="L35" s="5">
        <f>Data!AF34</f>
        <v/>
      </c>
      <c r="M35" s="5">
        <f>Data!AG34</f>
        <v/>
      </c>
      <c r="N35" s="5">
        <f>Data!AH34</f>
        <v/>
      </c>
      <c r="O35" s="5">
        <f>Data!AI34</f>
        <v/>
      </c>
      <c r="P35" s="5">
        <f>Data!AJ34</f>
        <v/>
      </c>
      <c r="Q35" s="5">
        <f>Data!AK34</f>
        <v/>
      </c>
      <c r="R35" s="5">
        <f>Data!AL34</f>
        <v/>
      </c>
    </row>
    <row r="36">
      <c r="A36" s="5">
        <f>Data!A35</f>
        <v/>
      </c>
      <c r="B36" s="5">
        <f>Data!B35</f>
        <v/>
      </c>
      <c r="C36" s="5">
        <f>Data!C35</f>
        <v/>
      </c>
      <c r="D36" s="5">
        <f>Data!I35</f>
        <v/>
      </c>
      <c r="E36" s="5">
        <f>Data!J35</f>
        <v/>
      </c>
      <c r="F36" s="5">
        <f>Data!H35</f>
        <v/>
      </c>
      <c r="G36" s="5">
        <f>SUM(Data!Q35:Data!Y35)</f>
        <v/>
      </c>
      <c r="H36" s="5">
        <f>Data!Z35</f>
        <v/>
      </c>
      <c r="I36" s="5">
        <f>Data!AB35</f>
        <v/>
      </c>
      <c r="J36" s="5">
        <f>Data!AD35</f>
        <v/>
      </c>
      <c r="K36" s="5">
        <f>Data!AE35</f>
        <v/>
      </c>
      <c r="L36" s="5">
        <f>Data!AF35</f>
        <v/>
      </c>
      <c r="M36" s="5">
        <f>Data!AG35</f>
        <v/>
      </c>
      <c r="N36" s="5">
        <f>Data!AH35</f>
        <v/>
      </c>
      <c r="O36" s="5">
        <f>Data!AI35</f>
        <v/>
      </c>
      <c r="P36" s="5">
        <f>Data!AJ35</f>
        <v/>
      </c>
      <c r="Q36" s="5">
        <f>Data!AK35</f>
        <v/>
      </c>
      <c r="R36" s="5">
        <f>Data!AL35</f>
        <v/>
      </c>
    </row>
    <row r="37">
      <c r="A37" s="5">
        <f>Data!A36</f>
        <v/>
      </c>
      <c r="B37" s="5">
        <f>Data!B36</f>
        <v/>
      </c>
      <c r="C37" s="5">
        <f>Data!C36</f>
        <v/>
      </c>
      <c r="D37" s="5">
        <f>Data!I36</f>
        <v/>
      </c>
      <c r="E37" s="5">
        <f>Data!J36</f>
        <v/>
      </c>
      <c r="F37" s="5">
        <f>Data!H36</f>
        <v/>
      </c>
      <c r="G37" s="5">
        <f>SUM(Data!Q36:Data!Y36)</f>
        <v/>
      </c>
      <c r="H37" s="5">
        <f>Data!Z36</f>
        <v/>
      </c>
      <c r="I37" s="5">
        <f>Data!AB36</f>
        <v/>
      </c>
      <c r="J37" s="5">
        <f>Data!AD36</f>
        <v/>
      </c>
      <c r="K37" s="5">
        <f>Data!AE36</f>
        <v/>
      </c>
      <c r="L37" s="5">
        <f>Data!AF36</f>
        <v/>
      </c>
      <c r="M37" s="5">
        <f>Data!AG36</f>
        <v/>
      </c>
      <c r="N37" s="5">
        <f>Data!AH36</f>
        <v/>
      </c>
      <c r="O37" s="5">
        <f>Data!AI36</f>
        <v/>
      </c>
      <c r="P37" s="5">
        <f>Data!AJ36</f>
        <v/>
      </c>
      <c r="Q37" s="5">
        <f>Data!AK36</f>
        <v/>
      </c>
      <c r="R37" s="5">
        <f>Data!AL36</f>
        <v/>
      </c>
    </row>
    <row r="38">
      <c r="A38" s="5">
        <f>Data!A37</f>
        <v/>
      </c>
      <c r="B38" s="5">
        <f>Data!B37</f>
        <v/>
      </c>
      <c r="C38" s="5">
        <f>Data!C37</f>
        <v/>
      </c>
      <c r="D38" s="5">
        <f>Data!I37</f>
        <v/>
      </c>
      <c r="E38" s="5">
        <f>Data!J37</f>
        <v/>
      </c>
      <c r="F38" s="5">
        <f>Data!H37</f>
        <v/>
      </c>
      <c r="G38" s="5">
        <f>SUM(Data!Q37:Data!Y37)</f>
        <v/>
      </c>
      <c r="H38" s="5">
        <f>Data!Z37</f>
        <v/>
      </c>
      <c r="I38" s="5">
        <f>Data!AB37</f>
        <v/>
      </c>
      <c r="J38" s="5">
        <f>Data!AD37</f>
        <v/>
      </c>
      <c r="K38" s="5">
        <f>Data!AE37</f>
        <v/>
      </c>
      <c r="L38" s="5">
        <f>Data!AF37</f>
        <v/>
      </c>
      <c r="M38" s="5">
        <f>Data!AG37</f>
        <v/>
      </c>
      <c r="N38" s="5">
        <f>Data!AH37</f>
        <v/>
      </c>
      <c r="O38" s="5">
        <f>Data!AI37</f>
        <v/>
      </c>
      <c r="P38" s="5">
        <f>Data!AJ37</f>
        <v/>
      </c>
      <c r="Q38" s="5">
        <f>Data!AK37</f>
        <v/>
      </c>
      <c r="R38" s="5">
        <f>Data!AL37</f>
        <v/>
      </c>
    </row>
    <row r="39">
      <c r="A39" s="5">
        <f>Data!A38</f>
        <v/>
      </c>
      <c r="B39" s="5">
        <f>Data!B38</f>
        <v/>
      </c>
      <c r="C39" s="5">
        <f>Data!C38</f>
        <v/>
      </c>
      <c r="D39" s="5">
        <f>Data!I38</f>
        <v/>
      </c>
      <c r="E39" s="5">
        <f>Data!J38</f>
        <v/>
      </c>
      <c r="F39" s="5">
        <f>Data!H38</f>
        <v/>
      </c>
      <c r="G39" s="5">
        <f>SUM(Data!Q38:Data!Y38)</f>
        <v/>
      </c>
      <c r="H39" s="5">
        <f>Data!Z38</f>
        <v/>
      </c>
      <c r="I39" s="5">
        <f>Data!AB38</f>
        <v/>
      </c>
      <c r="J39" s="5">
        <f>Data!AD38</f>
        <v/>
      </c>
      <c r="K39" s="5">
        <f>Data!AE38</f>
        <v/>
      </c>
      <c r="L39" s="5">
        <f>Data!AF38</f>
        <v/>
      </c>
      <c r="M39" s="5">
        <f>Data!AG38</f>
        <v/>
      </c>
      <c r="N39" s="5">
        <f>Data!AH38</f>
        <v/>
      </c>
      <c r="O39" s="5">
        <f>Data!AI38</f>
        <v/>
      </c>
      <c r="P39" s="5">
        <f>Data!AJ38</f>
        <v/>
      </c>
      <c r="Q39" s="5">
        <f>Data!AK38</f>
        <v/>
      </c>
      <c r="R39" s="5">
        <f>Data!AL38</f>
        <v/>
      </c>
    </row>
    <row r="40">
      <c r="A40" s="5">
        <f>Data!A39</f>
        <v/>
      </c>
      <c r="B40" s="5">
        <f>Data!B39</f>
        <v/>
      </c>
      <c r="C40" s="5">
        <f>Data!C39</f>
        <v/>
      </c>
      <c r="D40" s="5">
        <f>Data!I39</f>
        <v/>
      </c>
      <c r="E40" s="5">
        <f>Data!J39</f>
        <v/>
      </c>
      <c r="F40" s="5">
        <f>Data!H39</f>
        <v/>
      </c>
      <c r="G40" s="5">
        <f>SUM(Data!Q39:Data!Y39)</f>
        <v/>
      </c>
      <c r="H40" s="5">
        <f>Data!Z39</f>
        <v/>
      </c>
      <c r="I40" s="5">
        <f>Data!AB39</f>
        <v/>
      </c>
      <c r="J40" s="5">
        <f>Data!AD39</f>
        <v/>
      </c>
      <c r="K40" s="5">
        <f>Data!AE39</f>
        <v/>
      </c>
      <c r="L40" s="5">
        <f>Data!AF39</f>
        <v/>
      </c>
      <c r="M40" s="5">
        <f>Data!AG39</f>
        <v/>
      </c>
      <c r="N40" s="5">
        <f>Data!AH39</f>
        <v/>
      </c>
      <c r="O40" s="5">
        <f>Data!AI39</f>
        <v/>
      </c>
      <c r="P40" s="5">
        <f>Data!AJ39</f>
        <v/>
      </c>
      <c r="Q40" s="5">
        <f>Data!AK39</f>
        <v/>
      </c>
      <c r="R40" s="5">
        <f>Data!AL39</f>
        <v/>
      </c>
    </row>
    <row r="41">
      <c r="A41" s="5">
        <f>Data!A40</f>
        <v/>
      </c>
      <c r="B41" s="5">
        <f>Data!B40</f>
        <v/>
      </c>
      <c r="C41" s="5">
        <f>Data!C40</f>
        <v/>
      </c>
      <c r="D41" s="5">
        <f>Data!I40</f>
        <v/>
      </c>
      <c r="E41" s="5">
        <f>Data!J40</f>
        <v/>
      </c>
      <c r="F41" s="5">
        <f>Data!H40</f>
        <v/>
      </c>
      <c r="G41" s="5">
        <f>SUM(Data!Q40:Data!Y40)</f>
        <v/>
      </c>
      <c r="H41" s="5">
        <f>Data!Z40</f>
        <v/>
      </c>
      <c r="I41" s="5">
        <f>Data!AB40</f>
        <v/>
      </c>
      <c r="J41" s="5">
        <f>Data!AD40</f>
        <v/>
      </c>
      <c r="K41" s="5">
        <f>Data!AE40</f>
        <v/>
      </c>
      <c r="L41" s="5">
        <f>Data!AF40</f>
        <v/>
      </c>
      <c r="M41" s="5">
        <f>Data!AG40</f>
        <v/>
      </c>
      <c r="N41" s="5">
        <f>Data!AH40</f>
        <v/>
      </c>
      <c r="O41" s="5">
        <f>Data!AI40</f>
        <v/>
      </c>
      <c r="P41" s="5">
        <f>Data!AJ40</f>
        <v/>
      </c>
      <c r="Q41" s="5">
        <f>Data!AK40</f>
        <v/>
      </c>
      <c r="R41" s="5">
        <f>Data!AL40</f>
        <v/>
      </c>
    </row>
    <row r="42">
      <c r="A42" s="5">
        <f>Data!A41</f>
        <v/>
      </c>
      <c r="B42" s="5">
        <f>Data!B41</f>
        <v/>
      </c>
      <c r="C42" s="5">
        <f>Data!C41</f>
        <v/>
      </c>
      <c r="D42" s="5">
        <f>Data!I41</f>
        <v/>
      </c>
      <c r="E42" s="5">
        <f>Data!J41</f>
        <v/>
      </c>
      <c r="F42" s="5">
        <f>Data!H41</f>
        <v/>
      </c>
      <c r="G42" s="5">
        <f>SUM(Data!Q41:Data!Y41)</f>
        <v/>
      </c>
      <c r="H42" s="5">
        <f>Data!Z41</f>
        <v/>
      </c>
      <c r="I42" s="5">
        <f>Data!AB41</f>
        <v/>
      </c>
      <c r="J42" s="5">
        <f>Data!AD41</f>
        <v/>
      </c>
      <c r="K42" s="5">
        <f>Data!AE41</f>
        <v/>
      </c>
      <c r="L42" s="5">
        <f>Data!AF41</f>
        <v/>
      </c>
      <c r="M42" s="5">
        <f>Data!AG41</f>
        <v/>
      </c>
      <c r="N42" s="5">
        <f>Data!AH41</f>
        <v/>
      </c>
      <c r="O42" s="5">
        <f>Data!AI41</f>
        <v/>
      </c>
      <c r="P42" s="5">
        <f>Data!AJ41</f>
        <v/>
      </c>
      <c r="Q42" s="5">
        <f>Data!AK41</f>
        <v/>
      </c>
      <c r="R42" s="5">
        <f>Data!AL41</f>
        <v/>
      </c>
    </row>
    <row r="43">
      <c r="A43" s="5">
        <f>Data!A42</f>
        <v/>
      </c>
      <c r="B43" s="5">
        <f>Data!B42</f>
        <v/>
      </c>
      <c r="C43" s="5">
        <f>Data!C42</f>
        <v/>
      </c>
      <c r="D43" s="5">
        <f>Data!I42</f>
        <v/>
      </c>
      <c r="E43" s="5">
        <f>Data!J42</f>
        <v/>
      </c>
      <c r="F43" s="5">
        <f>Data!H42</f>
        <v/>
      </c>
      <c r="G43" s="5">
        <f>SUM(Data!Q42:Data!Y42)</f>
        <v/>
      </c>
      <c r="H43" s="5">
        <f>Data!Z42</f>
        <v/>
      </c>
      <c r="I43" s="5">
        <f>Data!AB42</f>
        <v/>
      </c>
      <c r="J43" s="5">
        <f>Data!AD42</f>
        <v/>
      </c>
      <c r="K43" s="5">
        <f>Data!AE42</f>
        <v/>
      </c>
      <c r="L43" s="5">
        <f>Data!AF42</f>
        <v/>
      </c>
      <c r="M43" s="5">
        <f>Data!AG42</f>
        <v/>
      </c>
      <c r="N43" s="5">
        <f>Data!AH42</f>
        <v/>
      </c>
      <c r="O43" s="5">
        <f>Data!AI42</f>
        <v/>
      </c>
      <c r="P43" s="5">
        <f>Data!AJ42</f>
        <v/>
      </c>
      <c r="Q43" s="5">
        <f>Data!AK42</f>
        <v/>
      </c>
      <c r="R43" s="5">
        <f>Data!AL42</f>
        <v/>
      </c>
    </row>
    <row r="44">
      <c r="A44" s="5">
        <f>Data!A43</f>
        <v/>
      </c>
      <c r="B44" s="5">
        <f>Data!B43</f>
        <v/>
      </c>
      <c r="C44" s="5">
        <f>Data!C43</f>
        <v/>
      </c>
      <c r="D44" s="5">
        <f>Data!I43</f>
        <v/>
      </c>
      <c r="E44" s="5">
        <f>Data!J43</f>
        <v/>
      </c>
      <c r="F44" s="5">
        <f>Data!H43</f>
        <v/>
      </c>
      <c r="G44" s="5">
        <f>SUM(Data!Q43:Data!Y43)</f>
        <v/>
      </c>
      <c r="H44" s="5">
        <f>Data!Z43</f>
        <v/>
      </c>
      <c r="I44" s="5">
        <f>Data!AB43</f>
        <v/>
      </c>
      <c r="J44" s="5">
        <f>Data!AD43</f>
        <v/>
      </c>
      <c r="K44" s="5">
        <f>Data!AE43</f>
        <v/>
      </c>
      <c r="L44" s="5">
        <f>Data!AF43</f>
        <v/>
      </c>
      <c r="M44" s="5">
        <f>Data!AG43</f>
        <v/>
      </c>
      <c r="N44" s="5">
        <f>Data!AH43</f>
        <v/>
      </c>
      <c r="O44" s="5">
        <f>Data!AI43</f>
        <v/>
      </c>
      <c r="P44" s="5">
        <f>Data!AJ43</f>
        <v/>
      </c>
      <c r="Q44" s="5">
        <f>Data!AK43</f>
        <v/>
      </c>
      <c r="R44" s="5">
        <f>Data!AL43</f>
        <v/>
      </c>
    </row>
    <row r="45">
      <c r="A45" s="5">
        <f>Data!A44</f>
        <v/>
      </c>
      <c r="B45" s="5">
        <f>Data!B44</f>
        <v/>
      </c>
      <c r="C45" s="5">
        <f>Data!C44</f>
        <v/>
      </c>
      <c r="D45" s="5">
        <f>Data!I44</f>
        <v/>
      </c>
      <c r="E45" s="5">
        <f>Data!J44</f>
        <v/>
      </c>
      <c r="F45" s="5">
        <f>Data!H44</f>
        <v/>
      </c>
      <c r="G45" s="5">
        <f>SUM(Data!Q44:Data!Y44)</f>
        <v/>
      </c>
      <c r="H45" s="5">
        <f>Data!Z44</f>
        <v/>
      </c>
      <c r="I45" s="5">
        <f>Data!AB44</f>
        <v/>
      </c>
      <c r="J45" s="5">
        <f>Data!AD44</f>
        <v/>
      </c>
      <c r="K45" s="5">
        <f>Data!AE44</f>
        <v/>
      </c>
      <c r="L45" s="5">
        <f>Data!AF44</f>
        <v/>
      </c>
      <c r="M45" s="5">
        <f>Data!AG44</f>
        <v/>
      </c>
      <c r="N45" s="5">
        <f>Data!AH44</f>
        <v/>
      </c>
      <c r="O45" s="5">
        <f>Data!AI44</f>
        <v/>
      </c>
      <c r="P45" s="5">
        <f>Data!AJ44</f>
        <v/>
      </c>
      <c r="Q45" s="5">
        <f>Data!AK44</f>
        <v/>
      </c>
      <c r="R45" s="5">
        <f>Data!AL44</f>
        <v/>
      </c>
    </row>
    <row r="46">
      <c r="A46" s="5">
        <f>Data!A45</f>
        <v/>
      </c>
      <c r="B46" s="5">
        <f>Data!B45</f>
        <v/>
      </c>
      <c r="C46" s="5">
        <f>Data!C45</f>
        <v/>
      </c>
      <c r="D46" s="5">
        <f>Data!I45</f>
        <v/>
      </c>
      <c r="E46" s="5">
        <f>Data!J45</f>
        <v/>
      </c>
      <c r="F46" s="5">
        <f>Data!H45</f>
        <v/>
      </c>
      <c r="G46" s="5">
        <f>SUM(Data!Q45:Data!Y45)</f>
        <v/>
      </c>
      <c r="H46" s="5">
        <f>Data!Z45</f>
        <v/>
      </c>
      <c r="I46" s="5">
        <f>Data!AB45</f>
        <v/>
      </c>
      <c r="J46" s="5">
        <f>Data!AD45</f>
        <v/>
      </c>
      <c r="K46" s="5">
        <f>Data!AE45</f>
        <v/>
      </c>
      <c r="L46" s="5">
        <f>Data!AF45</f>
        <v/>
      </c>
      <c r="M46" s="5">
        <f>Data!AG45</f>
        <v/>
      </c>
      <c r="N46" s="5">
        <f>Data!AH45</f>
        <v/>
      </c>
      <c r="O46" s="5">
        <f>Data!AI45</f>
        <v/>
      </c>
      <c r="P46" s="5">
        <f>Data!AJ45</f>
        <v/>
      </c>
      <c r="Q46" s="5">
        <f>Data!AK45</f>
        <v/>
      </c>
      <c r="R46" s="5">
        <f>Data!AL45</f>
        <v/>
      </c>
    </row>
    <row r="47">
      <c r="A47" s="5">
        <f>Data!A46</f>
        <v/>
      </c>
      <c r="B47" s="5">
        <f>Data!B46</f>
        <v/>
      </c>
      <c r="C47" s="5">
        <f>Data!C46</f>
        <v/>
      </c>
      <c r="D47" s="5">
        <f>Data!I46</f>
        <v/>
      </c>
      <c r="E47" s="5">
        <f>Data!J46</f>
        <v/>
      </c>
      <c r="F47" s="5">
        <f>Data!H46</f>
        <v/>
      </c>
      <c r="G47" s="5">
        <f>SUM(Data!Q46:Data!Y46)</f>
        <v/>
      </c>
      <c r="H47" s="5">
        <f>Data!Z46</f>
        <v/>
      </c>
      <c r="I47" s="5">
        <f>Data!AB46</f>
        <v/>
      </c>
      <c r="J47" s="5">
        <f>Data!AD46</f>
        <v/>
      </c>
      <c r="K47" s="5">
        <f>Data!AE46</f>
        <v/>
      </c>
      <c r="L47" s="5">
        <f>Data!AF46</f>
        <v/>
      </c>
      <c r="M47" s="5">
        <f>Data!AG46</f>
        <v/>
      </c>
      <c r="N47" s="5">
        <f>Data!AH46</f>
        <v/>
      </c>
      <c r="O47" s="5">
        <f>Data!AI46</f>
        <v/>
      </c>
      <c r="P47" s="5">
        <f>Data!AJ46</f>
        <v/>
      </c>
      <c r="Q47" s="5">
        <f>Data!AK46</f>
        <v/>
      </c>
      <c r="R47" s="5">
        <f>Data!AL46</f>
        <v/>
      </c>
    </row>
    <row r="48">
      <c r="A48" s="5">
        <f>Data!A47</f>
        <v/>
      </c>
      <c r="B48" s="5">
        <f>Data!B47</f>
        <v/>
      </c>
      <c r="C48" s="5">
        <f>Data!C47</f>
        <v/>
      </c>
      <c r="D48" s="5">
        <f>Data!I47</f>
        <v/>
      </c>
      <c r="E48" s="5">
        <f>Data!J47</f>
        <v/>
      </c>
      <c r="F48" s="5">
        <f>Data!H47</f>
        <v/>
      </c>
      <c r="G48" s="5">
        <f>SUM(Data!Q47:Data!Y47)</f>
        <v/>
      </c>
      <c r="H48" s="5">
        <f>Data!Z47</f>
        <v/>
      </c>
      <c r="I48" s="5">
        <f>Data!AB47</f>
        <v/>
      </c>
      <c r="J48" s="5">
        <f>Data!AD47</f>
        <v/>
      </c>
      <c r="K48" s="5">
        <f>Data!AE47</f>
        <v/>
      </c>
      <c r="L48" s="5">
        <f>Data!AF47</f>
        <v/>
      </c>
      <c r="M48" s="5">
        <f>Data!AG47</f>
        <v/>
      </c>
      <c r="N48" s="5">
        <f>Data!AH47</f>
        <v/>
      </c>
      <c r="O48" s="5">
        <f>Data!AI47</f>
        <v/>
      </c>
      <c r="P48" s="5">
        <f>Data!AJ47</f>
        <v/>
      </c>
      <c r="Q48" s="5">
        <f>Data!AK47</f>
        <v/>
      </c>
      <c r="R48" s="5">
        <f>Data!AL47</f>
        <v/>
      </c>
    </row>
    <row r="49">
      <c r="A49" s="5">
        <f>Data!A48</f>
        <v/>
      </c>
      <c r="B49" s="5">
        <f>Data!B48</f>
        <v/>
      </c>
      <c r="C49" s="5">
        <f>Data!C48</f>
        <v/>
      </c>
      <c r="D49" s="5">
        <f>Data!I48</f>
        <v/>
      </c>
      <c r="E49" s="5">
        <f>Data!J48</f>
        <v/>
      </c>
      <c r="F49" s="5">
        <f>Data!H48</f>
        <v/>
      </c>
      <c r="G49" s="5">
        <f>SUM(Data!Q48:Data!Y48)</f>
        <v/>
      </c>
      <c r="H49" s="5">
        <f>Data!Z48</f>
        <v/>
      </c>
      <c r="I49" s="5">
        <f>Data!AB48</f>
        <v/>
      </c>
      <c r="J49" s="5">
        <f>Data!AD48</f>
        <v/>
      </c>
      <c r="K49" s="5">
        <f>Data!AE48</f>
        <v/>
      </c>
      <c r="L49" s="5">
        <f>Data!AF48</f>
        <v/>
      </c>
      <c r="M49" s="5">
        <f>Data!AG48</f>
        <v/>
      </c>
      <c r="N49" s="5">
        <f>Data!AH48</f>
        <v/>
      </c>
      <c r="O49" s="5">
        <f>Data!AI48</f>
        <v/>
      </c>
      <c r="P49" s="5">
        <f>Data!AJ48</f>
        <v/>
      </c>
      <c r="Q49" s="5">
        <f>Data!AK48</f>
        <v/>
      </c>
      <c r="R49" s="5">
        <f>Data!AL48</f>
        <v/>
      </c>
    </row>
    <row r="50">
      <c r="A50" s="5">
        <f>Data!A49</f>
        <v/>
      </c>
      <c r="B50" s="5">
        <f>Data!B49</f>
        <v/>
      </c>
      <c r="C50" s="5">
        <f>Data!C49</f>
        <v/>
      </c>
      <c r="D50" s="5">
        <f>Data!I49</f>
        <v/>
      </c>
      <c r="E50" s="5">
        <f>Data!J49</f>
        <v/>
      </c>
      <c r="F50" s="5">
        <f>Data!H49</f>
        <v/>
      </c>
      <c r="G50" s="5">
        <f>SUM(Data!Q49:Data!Y49)</f>
        <v/>
      </c>
      <c r="H50" s="5">
        <f>Data!Z49</f>
        <v/>
      </c>
      <c r="I50" s="5">
        <f>Data!AB49</f>
        <v/>
      </c>
      <c r="J50" s="5">
        <f>Data!AD49</f>
        <v/>
      </c>
      <c r="K50" s="5">
        <f>Data!AE49</f>
        <v/>
      </c>
      <c r="L50" s="5">
        <f>Data!AF49</f>
        <v/>
      </c>
      <c r="M50" s="5">
        <f>Data!AG49</f>
        <v/>
      </c>
      <c r="N50" s="5">
        <f>Data!AH49</f>
        <v/>
      </c>
      <c r="O50" s="5">
        <f>Data!AI49</f>
        <v/>
      </c>
      <c r="P50" s="5">
        <f>Data!AJ49</f>
        <v/>
      </c>
      <c r="Q50" s="5">
        <f>Data!AK49</f>
        <v/>
      </c>
      <c r="R50" s="5">
        <f>Data!AL49</f>
        <v/>
      </c>
    </row>
    <row r="51">
      <c r="A51" s="5">
        <f>Data!A50</f>
        <v/>
      </c>
      <c r="B51" s="5">
        <f>Data!B50</f>
        <v/>
      </c>
      <c r="C51" s="5">
        <f>Data!C50</f>
        <v/>
      </c>
      <c r="D51" s="5">
        <f>Data!I50</f>
        <v/>
      </c>
      <c r="E51" s="5">
        <f>Data!J50</f>
        <v/>
      </c>
      <c r="F51" s="5">
        <f>Data!H50</f>
        <v/>
      </c>
      <c r="G51" s="5">
        <f>SUM(Data!Q50:Data!Y50)</f>
        <v/>
      </c>
      <c r="H51" s="5">
        <f>Data!Z50</f>
        <v/>
      </c>
      <c r="I51" s="5">
        <f>Data!AB50</f>
        <v/>
      </c>
      <c r="J51" s="5">
        <f>Data!AD50</f>
        <v/>
      </c>
      <c r="K51" s="5">
        <f>Data!AE50</f>
        <v/>
      </c>
      <c r="L51" s="5">
        <f>Data!AF50</f>
        <v/>
      </c>
      <c r="M51" s="5">
        <f>Data!AG50</f>
        <v/>
      </c>
      <c r="N51" s="5">
        <f>Data!AH50</f>
        <v/>
      </c>
      <c r="O51" s="5">
        <f>Data!AI50</f>
        <v/>
      </c>
      <c r="P51" s="5">
        <f>Data!AJ50</f>
        <v/>
      </c>
      <c r="Q51" s="5">
        <f>Data!AK50</f>
        <v/>
      </c>
      <c r="R51" s="5">
        <f>Data!AL50</f>
        <v/>
      </c>
    </row>
    <row r="52">
      <c r="A52" s="5">
        <f>Data!A51</f>
        <v/>
      </c>
      <c r="B52" s="5">
        <f>Data!B51</f>
        <v/>
      </c>
      <c r="C52" s="5">
        <f>Data!C51</f>
        <v/>
      </c>
      <c r="D52" s="5">
        <f>Data!I51</f>
        <v/>
      </c>
      <c r="E52" s="5">
        <f>Data!J51</f>
        <v/>
      </c>
      <c r="F52" s="5">
        <f>Data!H51</f>
        <v/>
      </c>
      <c r="G52" s="5">
        <f>SUM(Data!Q51:Data!Y51)</f>
        <v/>
      </c>
      <c r="H52" s="5">
        <f>Data!Z51</f>
        <v/>
      </c>
      <c r="I52" s="5">
        <f>Data!AB51</f>
        <v/>
      </c>
      <c r="J52" s="5">
        <f>Data!AD51</f>
        <v/>
      </c>
      <c r="K52" s="5">
        <f>Data!AE51</f>
        <v/>
      </c>
      <c r="L52" s="5">
        <f>Data!AF51</f>
        <v/>
      </c>
      <c r="M52" s="5">
        <f>Data!AG51</f>
        <v/>
      </c>
      <c r="N52" s="5">
        <f>Data!AH51</f>
        <v/>
      </c>
      <c r="O52" s="5">
        <f>Data!AI51</f>
        <v/>
      </c>
      <c r="P52" s="5">
        <f>Data!AJ51</f>
        <v/>
      </c>
      <c r="Q52" s="5">
        <f>Data!AK51</f>
        <v/>
      </c>
      <c r="R52" s="5">
        <f>Data!AL51</f>
        <v/>
      </c>
    </row>
    <row r="53">
      <c r="A53" s="5">
        <f>Data!A52</f>
        <v/>
      </c>
      <c r="B53" s="5">
        <f>Data!B52</f>
        <v/>
      </c>
      <c r="C53" s="5">
        <f>Data!C52</f>
        <v/>
      </c>
      <c r="D53" s="5">
        <f>Data!I52</f>
        <v/>
      </c>
      <c r="E53" s="5">
        <f>Data!J52</f>
        <v/>
      </c>
      <c r="F53" s="5">
        <f>Data!H52</f>
        <v/>
      </c>
      <c r="G53" s="5">
        <f>SUM(Data!Q52:Data!Y52)</f>
        <v/>
      </c>
      <c r="H53" s="5">
        <f>Data!Z52</f>
        <v/>
      </c>
      <c r="I53" s="5">
        <f>Data!AB52</f>
        <v/>
      </c>
      <c r="J53" s="5">
        <f>Data!AD52</f>
        <v/>
      </c>
      <c r="K53" s="5">
        <f>Data!AE52</f>
        <v/>
      </c>
      <c r="L53" s="5">
        <f>Data!AF52</f>
        <v/>
      </c>
      <c r="M53" s="5">
        <f>Data!AG52</f>
        <v/>
      </c>
      <c r="N53" s="5">
        <f>Data!AH52</f>
        <v/>
      </c>
      <c r="O53" s="5">
        <f>Data!AI52</f>
        <v/>
      </c>
      <c r="P53" s="5">
        <f>Data!AJ52</f>
        <v/>
      </c>
      <c r="Q53" s="5">
        <f>Data!AK52</f>
        <v/>
      </c>
      <c r="R53" s="5">
        <f>Data!AL52</f>
        <v/>
      </c>
    </row>
    <row r="54">
      <c r="A54" s="5">
        <f>Data!A53</f>
        <v/>
      </c>
      <c r="B54" s="5">
        <f>Data!B53</f>
        <v/>
      </c>
      <c r="C54" s="5">
        <f>Data!C53</f>
        <v/>
      </c>
      <c r="D54" s="5">
        <f>Data!I53</f>
        <v/>
      </c>
      <c r="E54" s="5">
        <f>Data!J53</f>
        <v/>
      </c>
      <c r="F54" s="5">
        <f>Data!H53</f>
        <v/>
      </c>
      <c r="G54" s="5">
        <f>SUM(Data!Q53:Data!Y53)</f>
        <v/>
      </c>
      <c r="H54" s="5">
        <f>Data!Z53</f>
        <v/>
      </c>
      <c r="I54" s="5">
        <f>Data!AB53</f>
        <v/>
      </c>
      <c r="J54" s="5">
        <f>Data!AD53</f>
        <v/>
      </c>
      <c r="K54" s="5">
        <f>Data!AE53</f>
        <v/>
      </c>
      <c r="L54" s="5">
        <f>Data!AF53</f>
        <v/>
      </c>
      <c r="M54" s="5">
        <f>Data!AG53</f>
        <v/>
      </c>
      <c r="N54" s="5">
        <f>Data!AH53</f>
        <v/>
      </c>
      <c r="O54" s="5">
        <f>Data!AI53</f>
        <v/>
      </c>
      <c r="P54" s="5">
        <f>Data!AJ53</f>
        <v/>
      </c>
      <c r="Q54" s="5">
        <f>Data!AK53</f>
        <v/>
      </c>
      <c r="R54" s="5">
        <f>Data!AL53</f>
        <v/>
      </c>
    </row>
    <row r="55">
      <c r="A55" s="5">
        <f>Data!A54</f>
        <v/>
      </c>
      <c r="B55" s="5">
        <f>Data!B54</f>
        <v/>
      </c>
      <c r="C55" s="5">
        <f>Data!C54</f>
        <v/>
      </c>
      <c r="D55" s="5">
        <f>Data!I54</f>
        <v/>
      </c>
      <c r="E55" s="5">
        <f>Data!J54</f>
        <v/>
      </c>
      <c r="F55" s="5">
        <f>Data!H54</f>
        <v/>
      </c>
      <c r="G55" s="5">
        <f>SUM(Data!Q54:Data!Y54)</f>
        <v/>
      </c>
      <c r="H55" s="5">
        <f>Data!Z54</f>
        <v/>
      </c>
      <c r="I55" s="5">
        <f>Data!AB54</f>
        <v/>
      </c>
      <c r="J55" s="5">
        <f>Data!AD54</f>
        <v/>
      </c>
      <c r="K55" s="5">
        <f>Data!AE54</f>
        <v/>
      </c>
      <c r="L55" s="5">
        <f>Data!AF54</f>
        <v/>
      </c>
      <c r="M55" s="5">
        <f>Data!AG54</f>
        <v/>
      </c>
      <c r="N55" s="5">
        <f>Data!AH54</f>
        <v/>
      </c>
      <c r="O55" s="5">
        <f>Data!AI54</f>
        <v/>
      </c>
      <c r="P55" s="5">
        <f>Data!AJ54</f>
        <v/>
      </c>
      <c r="Q55" s="5">
        <f>Data!AK54</f>
        <v/>
      </c>
      <c r="R55" s="5">
        <f>Data!AL54</f>
        <v/>
      </c>
    </row>
    <row r="56">
      <c r="A56" s="5">
        <f>Data!A55</f>
        <v/>
      </c>
      <c r="B56" s="5">
        <f>Data!B55</f>
        <v/>
      </c>
      <c r="C56" s="5">
        <f>Data!C55</f>
        <v/>
      </c>
      <c r="D56" s="5">
        <f>Data!I55</f>
        <v/>
      </c>
      <c r="E56" s="5">
        <f>Data!J55</f>
        <v/>
      </c>
      <c r="F56" s="5">
        <f>Data!H55</f>
        <v/>
      </c>
      <c r="G56" s="5">
        <f>SUM(Data!Q55:Data!Y55)</f>
        <v/>
      </c>
      <c r="H56" s="5">
        <f>Data!Z55</f>
        <v/>
      </c>
      <c r="I56" s="5">
        <f>Data!AB55</f>
        <v/>
      </c>
      <c r="J56" s="5">
        <f>Data!AD55</f>
        <v/>
      </c>
      <c r="K56" s="5">
        <f>Data!AE55</f>
        <v/>
      </c>
      <c r="L56" s="5">
        <f>Data!AF55</f>
        <v/>
      </c>
      <c r="M56" s="5">
        <f>Data!AG55</f>
        <v/>
      </c>
      <c r="N56" s="5">
        <f>Data!AH55</f>
        <v/>
      </c>
      <c r="O56" s="5">
        <f>Data!AI55</f>
        <v/>
      </c>
      <c r="P56" s="5">
        <f>Data!AJ55</f>
        <v/>
      </c>
      <c r="Q56" s="5">
        <f>Data!AK55</f>
        <v/>
      </c>
      <c r="R56" s="5">
        <f>Data!AL55</f>
        <v/>
      </c>
    </row>
    <row r="57">
      <c r="A57" s="5">
        <f>Data!A56</f>
        <v/>
      </c>
      <c r="B57" s="5">
        <f>Data!B56</f>
        <v/>
      </c>
      <c r="C57" s="5">
        <f>Data!C56</f>
        <v/>
      </c>
      <c r="D57" s="5">
        <f>Data!I56</f>
        <v/>
      </c>
      <c r="E57" s="5">
        <f>Data!J56</f>
        <v/>
      </c>
      <c r="F57" s="5">
        <f>Data!H56</f>
        <v/>
      </c>
      <c r="G57" s="5">
        <f>SUM(Data!Q56:Data!Y56)</f>
        <v/>
      </c>
      <c r="H57" s="5">
        <f>Data!Z56</f>
        <v/>
      </c>
      <c r="I57" s="5">
        <f>Data!AB56</f>
        <v/>
      </c>
      <c r="J57" s="5">
        <f>Data!AD56</f>
        <v/>
      </c>
      <c r="K57" s="5">
        <f>Data!AE56</f>
        <v/>
      </c>
      <c r="L57" s="5">
        <f>Data!AF56</f>
        <v/>
      </c>
      <c r="M57" s="5">
        <f>Data!AG56</f>
        <v/>
      </c>
      <c r="N57" s="5">
        <f>Data!AH56</f>
        <v/>
      </c>
      <c r="O57" s="5">
        <f>Data!AI56</f>
        <v/>
      </c>
      <c r="P57" s="5">
        <f>Data!AJ56</f>
        <v/>
      </c>
      <c r="Q57" s="5">
        <f>Data!AK56</f>
        <v/>
      </c>
      <c r="R57" s="5">
        <f>Data!AL56</f>
        <v/>
      </c>
    </row>
    <row r="58">
      <c r="A58" s="5">
        <f>Data!A57</f>
        <v/>
      </c>
      <c r="B58" s="5">
        <f>Data!B57</f>
        <v/>
      </c>
      <c r="C58" s="5">
        <f>Data!C57</f>
        <v/>
      </c>
      <c r="D58" s="5">
        <f>Data!I57</f>
        <v/>
      </c>
      <c r="E58" s="5">
        <f>Data!J57</f>
        <v/>
      </c>
      <c r="F58" s="5">
        <f>Data!H57</f>
        <v/>
      </c>
      <c r="G58" s="5">
        <f>SUM(Data!Q57:Data!Y57)</f>
        <v/>
      </c>
      <c r="H58" s="5">
        <f>Data!Z57</f>
        <v/>
      </c>
      <c r="I58" s="5">
        <f>Data!AB57</f>
        <v/>
      </c>
      <c r="J58" s="5">
        <f>Data!AD57</f>
        <v/>
      </c>
      <c r="K58" s="5">
        <f>Data!AE57</f>
        <v/>
      </c>
      <c r="L58" s="5">
        <f>Data!AF57</f>
        <v/>
      </c>
      <c r="M58" s="5">
        <f>Data!AG57</f>
        <v/>
      </c>
      <c r="N58" s="5">
        <f>Data!AH57</f>
        <v/>
      </c>
      <c r="O58" s="5">
        <f>Data!AI57</f>
        <v/>
      </c>
      <c r="P58" s="5">
        <f>Data!AJ57</f>
        <v/>
      </c>
      <c r="Q58" s="5">
        <f>Data!AK57</f>
        <v/>
      </c>
      <c r="R58" s="5">
        <f>Data!AL57</f>
        <v/>
      </c>
    </row>
    <row r="59">
      <c r="A59" s="5">
        <f>Data!A58</f>
        <v/>
      </c>
      <c r="B59" s="5">
        <f>Data!B58</f>
        <v/>
      </c>
      <c r="C59" s="5">
        <f>Data!C58</f>
        <v/>
      </c>
      <c r="D59" s="5">
        <f>Data!I58</f>
        <v/>
      </c>
      <c r="E59" s="5">
        <f>Data!J58</f>
        <v/>
      </c>
      <c r="F59" s="5">
        <f>Data!H58</f>
        <v/>
      </c>
      <c r="G59" s="5">
        <f>SUM(Data!Q58:Data!Y58)</f>
        <v/>
      </c>
      <c r="H59" s="5">
        <f>Data!Z58</f>
        <v/>
      </c>
      <c r="I59" s="5">
        <f>Data!AB58</f>
        <v/>
      </c>
      <c r="J59" s="5">
        <f>Data!AD58</f>
        <v/>
      </c>
      <c r="K59" s="5">
        <f>Data!AE58</f>
        <v/>
      </c>
      <c r="L59" s="5">
        <f>Data!AF58</f>
        <v/>
      </c>
      <c r="M59" s="5">
        <f>Data!AG58</f>
        <v/>
      </c>
      <c r="N59" s="5">
        <f>Data!AH58</f>
        <v/>
      </c>
      <c r="O59" s="5">
        <f>Data!AI58</f>
        <v/>
      </c>
      <c r="P59" s="5">
        <f>Data!AJ58</f>
        <v/>
      </c>
      <c r="Q59" s="5">
        <f>Data!AK58</f>
        <v/>
      </c>
      <c r="R59" s="5">
        <f>Data!AL58</f>
        <v/>
      </c>
    </row>
    <row r="60">
      <c r="A60" s="5">
        <f>Data!A59</f>
        <v/>
      </c>
      <c r="B60" s="5">
        <f>Data!B59</f>
        <v/>
      </c>
      <c r="C60" s="5">
        <f>Data!C59</f>
        <v/>
      </c>
      <c r="D60" s="5">
        <f>Data!I59</f>
        <v/>
      </c>
      <c r="E60" s="5">
        <f>Data!J59</f>
        <v/>
      </c>
      <c r="F60" s="5">
        <f>Data!H59</f>
        <v/>
      </c>
      <c r="G60" s="5">
        <f>SUM(Data!Q59:Data!Y59)</f>
        <v/>
      </c>
      <c r="H60" s="5">
        <f>Data!Z59</f>
        <v/>
      </c>
      <c r="I60" s="5">
        <f>Data!AB59</f>
        <v/>
      </c>
      <c r="J60" s="5">
        <f>Data!AD59</f>
        <v/>
      </c>
      <c r="K60" s="5">
        <f>Data!AE59</f>
        <v/>
      </c>
      <c r="L60" s="5">
        <f>Data!AF59</f>
        <v/>
      </c>
      <c r="M60" s="5">
        <f>Data!AG59</f>
        <v/>
      </c>
      <c r="N60" s="5">
        <f>Data!AH59</f>
        <v/>
      </c>
      <c r="O60" s="5">
        <f>Data!AI59</f>
        <v/>
      </c>
      <c r="P60" s="5">
        <f>Data!AJ59</f>
        <v/>
      </c>
      <c r="Q60" s="5">
        <f>Data!AK59</f>
        <v/>
      </c>
      <c r="R60" s="5">
        <f>Data!AL59</f>
        <v/>
      </c>
    </row>
    <row r="61">
      <c r="A61" s="5">
        <f>Data!A60</f>
        <v/>
      </c>
      <c r="B61" s="5">
        <f>Data!B60</f>
        <v/>
      </c>
      <c r="C61" s="5">
        <f>Data!C60</f>
        <v/>
      </c>
      <c r="D61" s="5">
        <f>Data!I60</f>
        <v/>
      </c>
      <c r="E61" s="5">
        <f>Data!J60</f>
        <v/>
      </c>
      <c r="F61" s="5">
        <f>Data!H60</f>
        <v/>
      </c>
      <c r="G61" s="5">
        <f>SUM(Data!Q60:Data!Y60)</f>
        <v/>
      </c>
      <c r="H61" s="5">
        <f>Data!Z60</f>
        <v/>
      </c>
      <c r="I61" s="5">
        <f>Data!AB60</f>
        <v/>
      </c>
      <c r="J61" s="5">
        <f>Data!AD60</f>
        <v/>
      </c>
      <c r="K61" s="5">
        <f>Data!AE60</f>
        <v/>
      </c>
      <c r="L61" s="5">
        <f>Data!AF60</f>
        <v/>
      </c>
      <c r="M61" s="5">
        <f>Data!AG60</f>
        <v/>
      </c>
      <c r="N61" s="5">
        <f>Data!AH60</f>
        <v/>
      </c>
      <c r="O61" s="5">
        <f>Data!AI60</f>
        <v/>
      </c>
      <c r="P61" s="5">
        <f>Data!AJ60</f>
        <v/>
      </c>
      <c r="Q61" s="5">
        <f>Data!AK60</f>
        <v/>
      </c>
      <c r="R61" s="5">
        <f>Data!AL60</f>
        <v/>
      </c>
    </row>
    <row r="62">
      <c r="A62" s="5">
        <f>Data!A61</f>
        <v/>
      </c>
      <c r="B62" s="5">
        <f>Data!B61</f>
        <v/>
      </c>
      <c r="C62" s="5">
        <f>Data!C61</f>
        <v/>
      </c>
      <c r="D62" s="5">
        <f>Data!I61</f>
        <v/>
      </c>
      <c r="E62" s="5">
        <f>Data!J61</f>
        <v/>
      </c>
      <c r="F62" s="5">
        <f>Data!H61</f>
        <v/>
      </c>
      <c r="G62" s="5">
        <f>SUM(Data!Q61:Data!Y61)</f>
        <v/>
      </c>
      <c r="H62" s="5">
        <f>Data!Z61</f>
        <v/>
      </c>
      <c r="I62" s="5">
        <f>Data!AB61</f>
        <v/>
      </c>
      <c r="J62" s="5">
        <f>Data!AD61</f>
        <v/>
      </c>
      <c r="K62" s="5">
        <f>Data!AE61</f>
        <v/>
      </c>
      <c r="L62" s="5">
        <f>Data!AF61</f>
        <v/>
      </c>
      <c r="M62" s="5">
        <f>Data!AG61</f>
        <v/>
      </c>
      <c r="N62" s="5">
        <f>Data!AH61</f>
        <v/>
      </c>
      <c r="O62" s="5">
        <f>Data!AI61</f>
        <v/>
      </c>
      <c r="P62" s="5">
        <f>Data!AJ61</f>
        <v/>
      </c>
      <c r="Q62" s="5">
        <f>Data!AK61</f>
        <v/>
      </c>
      <c r="R62" s="5">
        <f>Data!AL61</f>
        <v/>
      </c>
    </row>
    <row r="63">
      <c r="A63" s="5">
        <f>Data!A62</f>
        <v/>
      </c>
      <c r="B63" s="5">
        <f>Data!B62</f>
        <v/>
      </c>
      <c r="C63" s="5">
        <f>Data!C62</f>
        <v/>
      </c>
      <c r="D63" s="5">
        <f>Data!I62</f>
        <v/>
      </c>
      <c r="E63" s="5">
        <f>Data!J62</f>
        <v/>
      </c>
      <c r="F63" s="5">
        <f>Data!H62</f>
        <v/>
      </c>
      <c r="G63" s="5">
        <f>SUM(Data!Q62:Data!Y62)</f>
        <v/>
      </c>
      <c r="H63" s="5">
        <f>Data!Z62</f>
        <v/>
      </c>
      <c r="I63" s="5">
        <f>Data!AB62</f>
        <v/>
      </c>
      <c r="J63" s="5">
        <f>Data!AD62</f>
        <v/>
      </c>
      <c r="K63" s="5">
        <f>Data!AE62</f>
        <v/>
      </c>
      <c r="L63" s="5">
        <f>Data!AF62</f>
        <v/>
      </c>
      <c r="M63" s="5">
        <f>Data!AG62</f>
        <v/>
      </c>
      <c r="N63" s="5">
        <f>Data!AH62</f>
        <v/>
      </c>
      <c r="O63" s="5">
        <f>Data!AI62</f>
        <v/>
      </c>
      <c r="P63" s="5">
        <f>Data!AJ62</f>
        <v/>
      </c>
      <c r="Q63" s="5">
        <f>Data!AK62</f>
        <v/>
      </c>
      <c r="R63" s="5">
        <f>Data!AL62</f>
        <v/>
      </c>
    </row>
    <row r="64">
      <c r="A64" s="5">
        <f>Data!A63</f>
        <v/>
      </c>
      <c r="B64" s="5">
        <f>Data!B63</f>
        <v/>
      </c>
      <c r="C64" s="5">
        <f>Data!C63</f>
        <v/>
      </c>
      <c r="D64" s="5">
        <f>Data!I63</f>
        <v/>
      </c>
      <c r="E64" s="5">
        <f>Data!J63</f>
        <v/>
      </c>
      <c r="F64" s="5">
        <f>Data!H63</f>
        <v/>
      </c>
      <c r="G64" s="5">
        <f>SUM(Data!Q63:Data!Y63)</f>
        <v/>
      </c>
      <c r="H64" s="5">
        <f>Data!Z63</f>
        <v/>
      </c>
      <c r="I64" s="5">
        <f>Data!AB63</f>
        <v/>
      </c>
      <c r="J64" s="5">
        <f>Data!AD63</f>
        <v/>
      </c>
      <c r="K64" s="5">
        <f>Data!AE63</f>
        <v/>
      </c>
      <c r="L64" s="5">
        <f>Data!AF63</f>
        <v/>
      </c>
      <c r="M64" s="5">
        <f>Data!AG63</f>
        <v/>
      </c>
      <c r="N64" s="5">
        <f>Data!AH63</f>
        <v/>
      </c>
      <c r="O64" s="5">
        <f>Data!AI63</f>
        <v/>
      </c>
      <c r="P64" s="5">
        <f>Data!AJ63</f>
        <v/>
      </c>
      <c r="Q64" s="5">
        <f>Data!AK63</f>
        <v/>
      </c>
      <c r="R64" s="5">
        <f>Data!AL63</f>
        <v/>
      </c>
    </row>
    <row r="65">
      <c r="A65" s="5">
        <f>Data!A64</f>
        <v/>
      </c>
      <c r="B65" s="5">
        <f>Data!B64</f>
        <v/>
      </c>
      <c r="C65" s="5">
        <f>Data!C64</f>
        <v/>
      </c>
      <c r="D65" s="5">
        <f>Data!I64</f>
        <v/>
      </c>
      <c r="E65" s="5">
        <f>Data!J64</f>
        <v/>
      </c>
      <c r="F65" s="5">
        <f>Data!H64</f>
        <v/>
      </c>
      <c r="G65" s="5">
        <f>SUM(Data!Q64:Data!Y64)</f>
        <v/>
      </c>
      <c r="H65" s="5">
        <f>Data!Z64</f>
        <v/>
      </c>
      <c r="I65" s="5">
        <f>Data!AB64</f>
        <v/>
      </c>
      <c r="J65" s="5">
        <f>Data!AD64</f>
        <v/>
      </c>
      <c r="K65" s="5">
        <f>Data!AE64</f>
        <v/>
      </c>
      <c r="L65" s="5">
        <f>Data!AF64</f>
        <v/>
      </c>
      <c r="M65" s="5">
        <f>Data!AG64</f>
        <v/>
      </c>
      <c r="N65" s="5">
        <f>Data!AH64</f>
        <v/>
      </c>
      <c r="O65" s="5">
        <f>Data!AI64</f>
        <v/>
      </c>
      <c r="P65" s="5">
        <f>Data!AJ64</f>
        <v/>
      </c>
      <c r="Q65" s="5">
        <f>Data!AK64</f>
        <v/>
      </c>
      <c r="R65" s="5">
        <f>Data!AL64</f>
        <v/>
      </c>
    </row>
    <row r="66">
      <c r="A66" s="5">
        <f>Data!A65</f>
        <v/>
      </c>
      <c r="B66" s="5">
        <f>Data!B65</f>
        <v/>
      </c>
      <c r="C66" s="5">
        <f>Data!C65</f>
        <v/>
      </c>
      <c r="D66" s="5">
        <f>Data!I65</f>
        <v/>
      </c>
      <c r="E66" s="5">
        <f>Data!J65</f>
        <v/>
      </c>
      <c r="F66" s="5">
        <f>Data!H65</f>
        <v/>
      </c>
      <c r="G66" s="5">
        <f>SUM(Data!Q65:Data!Y65)</f>
        <v/>
      </c>
      <c r="H66" s="5">
        <f>Data!Z65</f>
        <v/>
      </c>
      <c r="I66" s="5">
        <f>Data!AB65</f>
        <v/>
      </c>
      <c r="J66" s="5">
        <f>Data!AD65</f>
        <v/>
      </c>
      <c r="K66" s="5">
        <f>Data!AE65</f>
        <v/>
      </c>
      <c r="L66" s="5">
        <f>Data!AF65</f>
        <v/>
      </c>
      <c r="M66" s="5">
        <f>Data!AG65</f>
        <v/>
      </c>
      <c r="N66" s="5">
        <f>Data!AH65</f>
        <v/>
      </c>
      <c r="O66" s="5">
        <f>Data!AI65</f>
        <v/>
      </c>
      <c r="P66" s="5">
        <f>Data!AJ65</f>
        <v/>
      </c>
      <c r="Q66" s="5">
        <f>Data!AK65</f>
        <v/>
      </c>
      <c r="R66" s="5">
        <f>Data!AL65</f>
        <v/>
      </c>
    </row>
    <row r="67">
      <c r="A67" s="5">
        <f>Data!A66</f>
        <v/>
      </c>
      <c r="B67" s="5">
        <f>Data!B66</f>
        <v/>
      </c>
      <c r="C67" s="5">
        <f>Data!C66</f>
        <v/>
      </c>
      <c r="D67" s="5">
        <f>Data!I66</f>
        <v/>
      </c>
      <c r="E67" s="5">
        <f>Data!J66</f>
        <v/>
      </c>
      <c r="F67" s="5">
        <f>Data!H66</f>
        <v/>
      </c>
      <c r="G67" s="5">
        <f>SUM(Data!Q66:Data!Y66)</f>
        <v/>
      </c>
      <c r="H67" s="5">
        <f>Data!Z66</f>
        <v/>
      </c>
      <c r="I67" s="5">
        <f>Data!AB66</f>
        <v/>
      </c>
      <c r="J67" s="5">
        <f>Data!AD66</f>
        <v/>
      </c>
      <c r="K67" s="5">
        <f>Data!AE66</f>
        <v/>
      </c>
      <c r="L67" s="5">
        <f>Data!AF66</f>
        <v/>
      </c>
      <c r="M67" s="5">
        <f>Data!AG66</f>
        <v/>
      </c>
      <c r="N67" s="5">
        <f>Data!AH66</f>
        <v/>
      </c>
      <c r="O67" s="5">
        <f>Data!AI66</f>
        <v/>
      </c>
      <c r="P67" s="5">
        <f>Data!AJ66</f>
        <v/>
      </c>
      <c r="Q67" s="5">
        <f>Data!AK66</f>
        <v/>
      </c>
      <c r="R67" s="5">
        <f>Data!AL66</f>
        <v/>
      </c>
    </row>
    <row r="68">
      <c r="A68" s="5">
        <f>Data!A67</f>
        <v/>
      </c>
      <c r="B68" s="5">
        <f>Data!B67</f>
        <v/>
      </c>
      <c r="C68" s="5">
        <f>Data!C67</f>
        <v/>
      </c>
      <c r="D68" s="5">
        <f>Data!I67</f>
        <v/>
      </c>
      <c r="E68" s="5">
        <f>Data!J67</f>
        <v/>
      </c>
      <c r="F68" s="5">
        <f>Data!H67</f>
        <v/>
      </c>
      <c r="G68" s="5">
        <f>SUM(Data!Q67:Data!Y67)</f>
        <v/>
      </c>
      <c r="H68" s="5">
        <f>Data!Z67</f>
        <v/>
      </c>
      <c r="I68" s="5">
        <f>Data!AB67</f>
        <v/>
      </c>
      <c r="J68" s="5">
        <f>Data!AD67</f>
        <v/>
      </c>
      <c r="K68" s="5">
        <f>Data!AE67</f>
        <v/>
      </c>
      <c r="L68" s="5">
        <f>Data!AF67</f>
        <v/>
      </c>
      <c r="M68" s="5">
        <f>Data!AG67</f>
        <v/>
      </c>
      <c r="N68" s="5">
        <f>Data!AH67</f>
        <v/>
      </c>
      <c r="O68" s="5">
        <f>Data!AI67</f>
        <v/>
      </c>
      <c r="P68" s="5">
        <f>Data!AJ67</f>
        <v/>
      </c>
      <c r="Q68" s="5">
        <f>Data!AK67</f>
        <v/>
      </c>
      <c r="R68" s="5">
        <f>Data!AL67</f>
        <v/>
      </c>
    </row>
    <row r="69">
      <c r="A69" s="5">
        <f>Data!A68</f>
        <v/>
      </c>
      <c r="B69" s="5">
        <f>Data!B68</f>
        <v/>
      </c>
      <c r="C69" s="5">
        <f>Data!C68</f>
        <v/>
      </c>
      <c r="D69" s="5">
        <f>Data!I68</f>
        <v/>
      </c>
      <c r="E69" s="5">
        <f>Data!J68</f>
        <v/>
      </c>
      <c r="F69" s="5">
        <f>Data!H68</f>
        <v/>
      </c>
      <c r="G69" s="5">
        <f>SUM(Data!Q68:Data!Y68)</f>
        <v/>
      </c>
      <c r="H69" s="5">
        <f>Data!Z68</f>
        <v/>
      </c>
      <c r="I69" s="5">
        <f>Data!AB68</f>
        <v/>
      </c>
      <c r="J69" s="5">
        <f>Data!AD68</f>
        <v/>
      </c>
      <c r="K69" s="5">
        <f>Data!AE68</f>
        <v/>
      </c>
      <c r="L69" s="5">
        <f>Data!AF68</f>
        <v/>
      </c>
      <c r="M69" s="5">
        <f>Data!AG68</f>
        <v/>
      </c>
      <c r="N69" s="5">
        <f>Data!AH68</f>
        <v/>
      </c>
      <c r="O69" s="5">
        <f>Data!AI68</f>
        <v/>
      </c>
      <c r="P69" s="5">
        <f>Data!AJ68</f>
        <v/>
      </c>
      <c r="Q69" s="5">
        <f>Data!AK68</f>
        <v/>
      </c>
      <c r="R69" s="5">
        <f>Data!AL68</f>
        <v/>
      </c>
    </row>
    <row r="70">
      <c r="A70" s="5">
        <f>Data!A69</f>
        <v/>
      </c>
      <c r="B70" s="5">
        <f>Data!B69</f>
        <v/>
      </c>
      <c r="C70" s="5">
        <f>Data!C69</f>
        <v/>
      </c>
      <c r="D70" s="5">
        <f>Data!I69</f>
        <v/>
      </c>
      <c r="E70" s="5">
        <f>Data!J69</f>
        <v/>
      </c>
      <c r="F70" s="5">
        <f>Data!H69</f>
        <v/>
      </c>
      <c r="G70" s="5">
        <f>SUM(Data!Q69:Data!Y69)</f>
        <v/>
      </c>
      <c r="H70" s="5">
        <f>Data!Z69</f>
        <v/>
      </c>
      <c r="I70" s="5">
        <f>Data!AB69</f>
        <v/>
      </c>
      <c r="J70" s="5">
        <f>Data!AD69</f>
        <v/>
      </c>
      <c r="K70" s="5">
        <f>Data!AE69</f>
        <v/>
      </c>
      <c r="L70" s="5">
        <f>Data!AF69</f>
        <v/>
      </c>
      <c r="M70" s="5">
        <f>Data!AG69</f>
        <v/>
      </c>
      <c r="N70" s="5">
        <f>Data!AH69</f>
        <v/>
      </c>
      <c r="O70" s="5">
        <f>Data!AI69</f>
        <v/>
      </c>
      <c r="P70" s="5">
        <f>Data!AJ69</f>
        <v/>
      </c>
      <c r="Q70" s="5">
        <f>Data!AK69</f>
        <v/>
      </c>
      <c r="R70" s="5">
        <f>Data!AL69</f>
        <v/>
      </c>
    </row>
    <row r="71">
      <c r="A71" s="5">
        <f>Data!A70</f>
        <v/>
      </c>
      <c r="B71" s="5">
        <f>Data!B70</f>
        <v/>
      </c>
      <c r="C71" s="5">
        <f>Data!C70</f>
        <v/>
      </c>
      <c r="D71" s="5">
        <f>Data!I70</f>
        <v/>
      </c>
      <c r="E71" s="5">
        <f>Data!J70</f>
        <v/>
      </c>
      <c r="F71" s="5">
        <f>Data!H70</f>
        <v/>
      </c>
      <c r="G71" s="5">
        <f>SUM(Data!Q70:Data!Y70)</f>
        <v/>
      </c>
      <c r="H71" s="5">
        <f>Data!Z70</f>
        <v/>
      </c>
      <c r="I71" s="5">
        <f>Data!AB70</f>
        <v/>
      </c>
      <c r="J71" s="5">
        <f>Data!AD70</f>
        <v/>
      </c>
      <c r="K71" s="5">
        <f>Data!AE70</f>
        <v/>
      </c>
      <c r="L71" s="5">
        <f>Data!AF70</f>
        <v/>
      </c>
      <c r="M71" s="5">
        <f>Data!AG70</f>
        <v/>
      </c>
      <c r="N71" s="5">
        <f>Data!AH70</f>
        <v/>
      </c>
      <c r="O71" s="5">
        <f>Data!AI70</f>
        <v/>
      </c>
      <c r="P71" s="5">
        <f>Data!AJ70</f>
        <v/>
      </c>
      <c r="Q71" s="5">
        <f>Data!AK70</f>
        <v/>
      </c>
      <c r="R71" s="5">
        <f>Data!AL70</f>
        <v/>
      </c>
    </row>
    <row r="72">
      <c r="A72" s="5">
        <f>Data!A71</f>
        <v/>
      </c>
      <c r="B72" s="5">
        <f>Data!B71</f>
        <v/>
      </c>
      <c r="C72" s="5">
        <f>Data!C71</f>
        <v/>
      </c>
      <c r="D72" s="5">
        <f>Data!I71</f>
        <v/>
      </c>
      <c r="E72" s="5">
        <f>Data!J71</f>
        <v/>
      </c>
      <c r="F72" s="5">
        <f>Data!H71</f>
        <v/>
      </c>
      <c r="G72" s="5">
        <f>SUM(Data!Q71:Data!Y71)</f>
        <v/>
      </c>
      <c r="H72" s="5">
        <f>Data!Z71</f>
        <v/>
      </c>
      <c r="I72" s="5">
        <f>Data!AB71</f>
        <v/>
      </c>
      <c r="J72" s="5">
        <f>Data!AD71</f>
        <v/>
      </c>
      <c r="K72" s="5">
        <f>Data!AE71</f>
        <v/>
      </c>
      <c r="L72" s="5">
        <f>Data!AF71</f>
        <v/>
      </c>
      <c r="M72" s="5">
        <f>Data!AG71</f>
        <v/>
      </c>
      <c r="N72" s="5">
        <f>Data!AH71</f>
        <v/>
      </c>
      <c r="O72" s="5">
        <f>Data!AI71</f>
        <v/>
      </c>
      <c r="P72" s="5">
        <f>Data!AJ71</f>
        <v/>
      </c>
      <c r="Q72" s="5">
        <f>Data!AK71</f>
        <v/>
      </c>
      <c r="R72" s="5">
        <f>Data!AL71</f>
        <v/>
      </c>
    </row>
    <row r="73">
      <c r="A73" s="5">
        <f>Data!A72</f>
        <v/>
      </c>
      <c r="B73" s="5">
        <f>Data!B72</f>
        <v/>
      </c>
      <c r="C73" s="5">
        <f>Data!C72</f>
        <v/>
      </c>
      <c r="D73" s="5">
        <f>Data!I72</f>
        <v/>
      </c>
      <c r="E73" s="5">
        <f>Data!J72</f>
        <v/>
      </c>
      <c r="F73" s="5">
        <f>Data!H72</f>
        <v/>
      </c>
      <c r="G73" s="5">
        <f>SUM(Data!Q72:Data!Y72)</f>
        <v/>
      </c>
      <c r="H73" s="5">
        <f>Data!Z72</f>
        <v/>
      </c>
      <c r="I73" s="5">
        <f>Data!AB72</f>
        <v/>
      </c>
      <c r="J73" s="5">
        <f>Data!AD72</f>
        <v/>
      </c>
      <c r="K73" s="5">
        <f>Data!AE72</f>
        <v/>
      </c>
      <c r="L73" s="5">
        <f>Data!AF72</f>
        <v/>
      </c>
      <c r="M73" s="5">
        <f>Data!AG72</f>
        <v/>
      </c>
      <c r="N73" s="5">
        <f>Data!AH72</f>
        <v/>
      </c>
      <c r="O73" s="5">
        <f>Data!AI72</f>
        <v/>
      </c>
      <c r="P73" s="5">
        <f>Data!AJ72</f>
        <v/>
      </c>
      <c r="Q73" s="5">
        <f>Data!AK72</f>
        <v/>
      </c>
      <c r="R73" s="5">
        <f>Data!AL72</f>
        <v/>
      </c>
    </row>
    <row r="74">
      <c r="A74" s="5">
        <f>Data!A73</f>
        <v/>
      </c>
      <c r="B74" s="5">
        <f>Data!B73</f>
        <v/>
      </c>
      <c r="C74" s="5">
        <f>Data!C73</f>
        <v/>
      </c>
      <c r="D74" s="5">
        <f>Data!I73</f>
        <v/>
      </c>
      <c r="E74" s="5">
        <f>Data!J73</f>
        <v/>
      </c>
      <c r="F74" s="5">
        <f>Data!H73</f>
        <v/>
      </c>
      <c r="G74" s="5">
        <f>SUM(Data!Q73:Data!Y73)</f>
        <v/>
      </c>
      <c r="H74" s="5">
        <f>Data!Z73</f>
        <v/>
      </c>
      <c r="I74" s="5">
        <f>Data!AB73</f>
        <v/>
      </c>
      <c r="J74" s="5">
        <f>Data!AD73</f>
        <v/>
      </c>
      <c r="K74" s="5">
        <f>Data!AE73</f>
        <v/>
      </c>
      <c r="L74" s="5">
        <f>Data!AF73</f>
        <v/>
      </c>
      <c r="M74" s="5">
        <f>Data!AG73</f>
        <v/>
      </c>
      <c r="N74" s="5">
        <f>Data!AH73</f>
        <v/>
      </c>
      <c r="O74" s="5">
        <f>Data!AI73</f>
        <v/>
      </c>
      <c r="P74" s="5">
        <f>Data!AJ73</f>
        <v/>
      </c>
      <c r="Q74" s="5">
        <f>Data!AK73</f>
        <v/>
      </c>
      <c r="R74" s="5">
        <f>Data!AL73</f>
        <v/>
      </c>
    </row>
    <row r="75">
      <c r="A75" s="5">
        <f>Data!A74</f>
        <v/>
      </c>
      <c r="B75" s="5">
        <f>Data!B74</f>
        <v/>
      </c>
      <c r="C75" s="5">
        <f>Data!C74</f>
        <v/>
      </c>
      <c r="D75" s="5">
        <f>Data!I74</f>
        <v/>
      </c>
      <c r="E75" s="5">
        <f>Data!J74</f>
        <v/>
      </c>
      <c r="F75" s="5">
        <f>Data!H74</f>
        <v/>
      </c>
      <c r="G75" s="5">
        <f>SUM(Data!Q74:Data!Y74)</f>
        <v/>
      </c>
      <c r="H75" s="5">
        <f>Data!Z74</f>
        <v/>
      </c>
      <c r="I75" s="5">
        <f>Data!AB74</f>
        <v/>
      </c>
      <c r="J75" s="5">
        <f>Data!AD74</f>
        <v/>
      </c>
      <c r="K75" s="5">
        <f>Data!AE74</f>
        <v/>
      </c>
      <c r="L75" s="5">
        <f>Data!AF74</f>
        <v/>
      </c>
      <c r="M75" s="5">
        <f>Data!AG74</f>
        <v/>
      </c>
      <c r="N75" s="5">
        <f>Data!AH74</f>
        <v/>
      </c>
      <c r="O75" s="5">
        <f>Data!AI74</f>
        <v/>
      </c>
      <c r="P75" s="5">
        <f>Data!AJ74</f>
        <v/>
      </c>
      <c r="Q75" s="5">
        <f>Data!AK74</f>
        <v/>
      </c>
      <c r="R75" s="5">
        <f>Data!AL74</f>
        <v/>
      </c>
    </row>
    <row r="76">
      <c r="A76" s="5">
        <f>Data!A75</f>
        <v/>
      </c>
      <c r="B76" s="5">
        <f>Data!B75</f>
        <v/>
      </c>
      <c r="C76" s="5">
        <f>Data!C75</f>
        <v/>
      </c>
      <c r="D76" s="5">
        <f>Data!I75</f>
        <v/>
      </c>
      <c r="E76" s="5">
        <f>Data!J75</f>
        <v/>
      </c>
      <c r="F76" s="5">
        <f>Data!H75</f>
        <v/>
      </c>
      <c r="G76" s="5">
        <f>SUM(Data!Q75:Data!Y75)</f>
        <v/>
      </c>
      <c r="H76" s="5">
        <f>Data!Z75</f>
        <v/>
      </c>
      <c r="I76" s="5">
        <f>Data!AB75</f>
        <v/>
      </c>
      <c r="J76" s="5">
        <f>Data!AD75</f>
        <v/>
      </c>
      <c r="K76" s="5">
        <f>Data!AE75</f>
        <v/>
      </c>
      <c r="L76" s="5">
        <f>Data!AF75</f>
        <v/>
      </c>
      <c r="M76" s="5">
        <f>Data!AG75</f>
        <v/>
      </c>
      <c r="N76" s="5">
        <f>Data!AH75</f>
        <v/>
      </c>
      <c r="O76" s="5">
        <f>Data!AI75</f>
        <v/>
      </c>
      <c r="P76" s="5">
        <f>Data!AJ75</f>
        <v/>
      </c>
      <c r="Q76" s="5">
        <f>Data!AK75</f>
        <v/>
      </c>
      <c r="R76" s="5">
        <f>Data!AL75</f>
        <v/>
      </c>
    </row>
    <row r="77">
      <c r="A77" s="5">
        <f>Data!A76</f>
        <v/>
      </c>
      <c r="B77" s="5">
        <f>Data!B76</f>
        <v/>
      </c>
      <c r="C77" s="5">
        <f>Data!C76</f>
        <v/>
      </c>
      <c r="D77" s="5">
        <f>Data!I76</f>
        <v/>
      </c>
      <c r="E77" s="5">
        <f>Data!J76</f>
        <v/>
      </c>
      <c r="F77" s="5">
        <f>Data!H76</f>
        <v/>
      </c>
      <c r="G77" s="5">
        <f>SUM(Data!Q76:Data!Y76)</f>
        <v/>
      </c>
      <c r="H77" s="5">
        <f>Data!Z76</f>
        <v/>
      </c>
      <c r="I77" s="5">
        <f>Data!AB76</f>
        <v/>
      </c>
      <c r="J77" s="5">
        <f>Data!AD76</f>
        <v/>
      </c>
      <c r="K77" s="5">
        <f>Data!AE76</f>
        <v/>
      </c>
      <c r="L77" s="5">
        <f>Data!AF76</f>
        <v/>
      </c>
      <c r="M77" s="5">
        <f>Data!AG76</f>
        <v/>
      </c>
      <c r="N77" s="5">
        <f>Data!AH76</f>
        <v/>
      </c>
      <c r="O77" s="5">
        <f>Data!AI76</f>
        <v/>
      </c>
      <c r="P77" s="5">
        <f>Data!AJ76</f>
        <v/>
      </c>
      <c r="Q77" s="5">
        <f>Data!AK76</f>
        <v/>
      </c>
      <c r="R77" s="5">
        <f>Data!AL76</f>
        <v/>
      </c>
    </row>
    <row r="78">
      <c r="A78" s="5">
        <f>Data!A77</f>
        <v/>
      </c>
      <c r="B78" s="5">
        <f>Data!B77</f>
        <v/>
      </c>
      <c r="C78" s="5">
        <f>Data!C77</f>
        <v/>
      </c>
      <c r="D78" s="5">
        <f>Data!I77</f>
        <v/>
      </c>
      <c r="E78" s="5">
        <f>Data!J77</f>
        <v/>
      </c>
      <c r="F78" s="5">
        <f>Data!H77</f>
        <v/>
      </c>
      <c r="G78" s="5">
        <f>SUM(Data!Q77:Data!Y77)</f>
        <v/>
      </c>
      <c r="H78" s="5">
        <f>Data!Z77</f>
        <v/>
      </c>
      <c r="I78" s="5">
        <f>Data!AB77</f>
        <v/>
      </c>
      <c r="J78" s="5">
        <f>Data!AD77</f>
        <v/>
      </c>
      <c r="K78" s="5">
        <f>Data!AE77</f>
        <v/>
      </c>
      <c r="L78" s="5">
        <f>Data!AF77</f>
        <v/>
      </c>
      <c r="M78" s="5">
        <f>Data!AG77</f>
        <v/>
      </c>
      <c r="N78" s="5">
        <f>Data!AH77</f>
        <v/>
      </c>
      <c r="O78" s="5">
        <f>Data!AI77</f>
        <v/>
      </c>
      <c r="P78" s="5">
        <f>Data!AJ77</f>
        <v/>
      </c>
      <c r="Q78" s="5">
        <f>Data!AK77</f>
        <v/>
      </c>
      <c r="R78" s="5">
        <f>Data!AL77</f>
        <v/>
      </c>
    </row>
    <row r="79">
      <c r="A79" s="5">
        <f>Data!A78</f>
        <v/>
      </c>
      <c r="B79" s="5">
        <f>Data!B78</f>
        <v/>
      </c>
      <c r="C79" s="5">
        <f>Data!C78</f>
        <v/>
      </c>
      <c r="D79" s="5">
        <f>Data!I78</f>
        <v/>
      </c>
      <c r="E79" s="5">
        <f>Data!J78</f>
        <v/>
      </c>
      <c r="F79" s="5">
        <f>Data!H78</f>
        <v/>
      </c>
      <c r="G79" s="5">
        <f>SUM(Data!Q78:Data!Y78)</f>
        <v/>
      </c>
      <c r="H79" s="5">
        <f>Data!Z78</f>
        <v/>
      </c>
      <c r="I79" s="5">
        <f>Data!AB78</f>
        <v/>
      </c>
      <c r="J79" s="5">
        <f>Data!AD78</f>
        <v/>
      </c>
      <c r="K79" s="5">
        <f>Data!AE78</f>
        <v/>
      </c>
      <c r="L79" s="5">
        <f>Data!AF78</f>
        <v/>
      </c>
      <c r="M79" s="5">
        <f>Data!AG78</f>
        <v/>
      </c>
      <c r="N79" s="5">
        <f>Data!AH78</f>
        <v/>
      </c>
      <c r="O79" s="5">
        <f>Data!AI78</f>
        <v/>
      </c>
      <c r="P79" s="5">
        <f>Data!AJ78</f>
        <v/>
      </c>
      <c r="Q79" s="5">
        <f>Data!AK78</f>
        <v/>
      </c>
      <c r="R79" s="5">
        <f>Data!AL78</f>
        <v/>
      </c>
    </row>
    <row r="80">
      <c r="A80" s="5">
        <f>Data!A79</f>
        <v/>
      </c>
      <c r="B80" s="5">
        <f>Data!B79</f>
        <v/>
      </c>
      <c r="C80" s="5">
        <f>Data!C79</f>
        <v/>
      </c>
      <c r="D80" s="5">
        <f>Data!I79</f>
        <v/>
      </c>
      <c r="E80" s="5">
        <f>Data!J79</f>
        <v/>
      </c>
      <c r="F80" s="5">
        <f>Data!H79</f>
        <v/>
      </c>
      <c r="G80" s="5">
        <f>SUM(Data!Q79:Data!Y79)</f>
        <v/>
      </c>
      <c r="H80" s="5">
        <f>Data!Z79</f>
        <v/>
      </c>
      <c r="I80" s="5">
        <f>Data!AB79</f>
        <v/>
      </c>
      <c r="J80" s="5">
        <f>Data!AD79</f>
        <v/>
      </c>
      <c r="K80" s="5">
        <f>Data!AE79</f>
        <v/>
      </c>
      <c r="L80" s="5">
        <f>Data!AF79</f>
        <v/>
      </c>
      <c r="M80" s="5">
        <f>Data!AG79</f>
        <v/>
      </c>
      <c r="N80" s="5">
        <f>Data!AH79</f>
        <v/>
      </c>
      <c r="O80" s="5">
        <f>Data!AI79</f>
        <v/>
      </c>
      <c r="P80" s="5">
        <f>Data!AJ79</f>
        <v/>
      </c>
      <c r="Q80" s="5">
        <f>Data!AK79</f>
        <v/>
      </c>
      <c r="R80" s="5">
        <f>Data!AL79</f>
        <v/>
      </c>
    </row>
    <row r="81">
      <c r="A81" s="5">
        <f>Data!A80</f>
        <v/>
      </c>
      <c r="B81" s="5">
        <f>Data!B80</f>
        <v/>
      </c>
      <c r="C81" s="5">
        <f>Data!C80</f>
        <v/>
      </c>
      <c r="D81" s="5">
        <f>Data!I80</f>
        <v/>
      </c>
      <c r="E81" s="5">
        <f>Data!J80</f>
        <v/>
      </c>
      <c r="F81" s="5">
        <f>Data!H80</f>
        <v/>
      </c>
      <c r="G81" s="5">
        <f>SUM(Data!Q80:Data!Y80)</f>
        <v/>
      </c>
      <c r="H81" s="5">
        <f>Data!Z80</f>
        <v/>
      </c>
      <c r="I81" s="5">
        <f>Data!AB80</f>
        <v/>
      </c>
      <c r="J81" s="5">
        <f>Data!AD80</f>
        <v/>
      </c>
      <c r="K81" s="5">
        <f>Data!AE80</f>
        <v/>
      </c>
      <c r="L81" s="5">
        <f>Data!AF80</f>
        <v/>
      </c>
      <c r="M81" s="5">
        <f>Data!AG80</f>
        <v/>
      </c>
      <c r="N81" s="5">
        <f>Data!AH80</f>
        <v/>
      </c>
      <c r="O81" s="5">
        <f>Data!AI80</f>
        <v/>
      </c>
      <c r="P81" s="5">
        <f>Data!AJ80</f>
        <v/>
      </c>
      <c r="Q81" s="5">
        <f>Data!AK80</f>
        <v/>
      </c>
      <c r="R81" s="5">
        <f>Data!AL80</f>
        <v/>
      </c>
    </row>
    <row r="82">
      <c r="A82" s="5">
        <f>Data!A81</f>
        <v/>
      </c>
      <c r="B82" s="5">
        <f>Data!B81</f>
        <v/>
      </c>
      <c r="C82" s="5">
        <f>Data!C81</f>
        <v/>
      </c>
      <c r="D82" s="5">
        <f>Data!I81</f>
        <v/>
      </c>
      <c r="E82" s="5">
        <f>Data!J81</f>
        <v/>
      </c>
      <c r="F82" s="5">
        <f>Data!H81</f>
        <v/>
      </c>
      <c r="G82" s="5">
        <f>SUM(Data!Q81:Data!Y81)</f>
        <v/>
      </c>
      <c r="H82" s="5">
        <f>Data!Z81</f>
        <v/>
      </c>
      <c r="I82" s="5">
        <f>Data!AB81</f>
        <v/>
      </c>
      <c r="J82" s="5">
        <f>Data!AD81</f>
        <v/>
      </c>
      <c r="K82" s="5">
        <f>Data!AE81</f>
        <v/>
      </c>
      <c r="L82" s="5">
        <f>Data!AF81</f>
        <v/>
      </c>
      <c r="M82" s="5">
        <f>Data!AG81</f>
        <v/>
      </c>
      <c r="N82" s="5">
        <f>Data!AH81</f>
        <v/>
      </c>
      <c r="O82" s="5">
        <f>Data!AI81</f>
        <v/>
      </c>
      <c r="P82" s="5">
        <f>Data!AJ81</f>
        <v/>
      </c>
      <c r="Q82" s="5">
        <f>Data!AK81</f>
        <v/>
      </c>
      <c r="R82" s="5">
        <f>Data!AL81</f>
        <v/>
      </c>
    </row>
    <row r="83">
      <c r="A83" s="5">
        <f>Data!A82</f>
        <v/>
      </c>
      <c r="B83" s="5">
        <f>Data!B82</f>
        <v/>
      </c>
      <c r="C83" s="5">
        <f>Data!C82</f>
        <v/>
      </c>
      <c r="D83" s="5">
        <f>Data!I82</f>
        <v/>
      </c>
      <c r="E83" s="5">
        <f>Data!J82</f>
        <v/>
      </c>
      <c r="F83" s="5">
        <f>Data!H82</f>
        <v/>
      </c>
      <c r="G83" s="5">
        <f>SUM(Data!Q82:Data!Y82)</f>
        <v/>
      </c>
      <c r="H83" s="5">
        <f>Data!Z82</f>
        <v/>
      </c>
      <c r="I83" s="5">
        <f>Data!AB82</f>
        <v/>
      </c>
      <c r="J83" s="5">
        <f>Data!AD82</f>
        <v/>
      </c>
      <c r="K83" s="5">
        <f>Data!AE82</f>
        <v/>
      </c>
      <c r="L83" s="5">
        <f>Data!AF82</f>
        <v/>
      </c>
      <c r="M83" s="5">
        <f>Data!AG82</f>
        <v/>
      </c>
      <c r="N83" s="5">
        <f>Data!AH82</f>
        <v/>
      </c>
      <c r="O83" s="5">
        <f>Data!AI82</f>
        <v/>
      </c>
      <c r="P83" s="5">
        <f>Data!AJ82</f>
        <v/>
      </c>
      <c r="Q83" s="5">
        <f>Data!AK82</f>
        <v/>
      </c>
      <c r="R83" s="5">
        <f>Data!AL82</f>
        <v/>
      </c>
    </row>
    <row r="84">
      <c r="A84" s="5">
        <f>Data!A83</f>
        <v/>
      </c>
      <c r="B84" s="5">
        <f>Data!B83</f>
        <v/>
      </c>
      <c r="C84" s="5">
        <f>Data!C83</f>
        <v/>
      </c>
      <c r="D84" s="5">
        <f>Data!I83</f>
        <v/>
      </c>
      <c r="E84" s="5">
        <f>Data!J83</f>
        <v/>
      </c>
      <c r="F84" s="5">
        <f>Data!H83</f>
        <v/>
      </c>
      <c r="G84" s="5">
        <f>SUM(Data!Q83:Data!Y83)</f>
        <v/>
      </c>
      <c r="H84" s="5">
        <f>Data!Z83</f>
        <v/>
      </c>
      <c r="I84" s="5">
        <f>Data!AB83</f>
        <v/>
      </c>
      <c r="J84" s="5">
        <f>Data!AD83</f>
        <v/>
      </c>
      <c r="K84" s="5">
        <f>Data!AE83</f>
        <v/>
      </c>
      <c r="L84" s="5">
        <f>Data!AF83</f>
        <v/>
      </c>
      <c r="M84" s="5">
        <f>Data!AG83</f>
        <v/>
      </c>
      <c r="N84" s="5">
        <f>Data!AH83</f>
        <v/>
      </c>
      <c r="O84" s="5">
        <f>Data!AI83</f>
        <v/>
      </c>
      <c r="P84" s="5">
        <f>Data!AJ83</f>
        <v/>
      </c>
      <c r="Q84" s="5">
        <f>Data!AK83</f>
        <v/>
      </c>
      <c r="R84" s="5">
        <f>Data!AL83</f>
        <v/>
      </c>
    </row>
    <row r="85">
      <c r="A85" s="5">
        <f>Data!A84</f>
        <v/>
      </c>
      <c r="B85" s="5">
        <f>Data!B84</f>
        <v/>
      </c>
      <c r="C85" s="5">
        <f>Data!C84</f>
        <v/>
      </c>
      <c r="D85" s="5">
        <f>Data!I84</f>
        <v/>
      </c>
      <c r="E85" s="5">
        <f>Data!J84</f>
        <v/>
      </c>
      <c r="F85" s="5">
        <f>Data!H84</f>
        <v/>
      </c>
      <c r="G85" s="5">
        <f>SUM(Data!Q84:Data!Y84)</f>
        <v/>
      </c>
      <c r="H85" s="5">
        <f>Data!Z84</f>
        <v/>
      </c>
      <c r="I85" s="5">
        <f>Data!AB84</f>
        <v/>
      </c>
      <c r="J85" s="5">
        <f>Data!AD84</f>
        <v/>
      </c>
      <c r="K85" s="5">
        <f>Data!AE84</f>
        <v/>
      </c>
      <c r="L85" s="5">
        <f>Data!AF84</f>
        <v/>
      </c>
      <c r="M85" s="5">
        <f>Data!AG84</f>
        <v/>
      </c>
      <c r="N85" s="5">
        <f>Data!AH84</f>
        <v/>
      </c>
      <c r="O85" s="5">
        <f>Data!AI84</f>
        <v/>
      </c>
      <c r="P85" s="5">
        <f>Data!AJ84</f>
        <v/>
      </c>
      <c r="Q85" s="5">
        <f>Data!AK84</f>
        <v/>
      </c>
      <c r="R85" s="5">
        <f>Data!AL84</f>
        <v/>
      </c>
    </row>
    <row r="86">
      <c r="A86" s="5">
        <f>Data!A85</f>
        <v/>
      </c>
      <c r="B86" s="5">
        <f>Data!B85</f>
        <v/>
      </c>
      <c r="C86" s="5">
        <f>Data!C85</f>
        <v/>
      </c>
      <c r="D86" s="5">
        <f>Data!I85</f>
        <v/>
      </c>
      <c r="E86" s="5">
        <f>Data!J85</f>
        <v/>
      </c>
      <c r="F86" s="5">
        <f>Data!H85</f>
        <v/>
      </c>
      <c r="G86" s="5">
        <f>SUM(Data!Q85:Data!Y85)</f>
        <v/>
      </c>
      <c r="H86" s="5">
        <f>Data!Z85</f>
        <v/>
      </c>
      <c r="I86" s="5">
        <f>Data!AB85</f>
        <v/>
      </c>
      <c r="J86" s="5">
        <f>Data!AD85</f>
        <v/>
      </c>
      <c r="K86" s="5">
        <f>Data!AE85</f>
        <v/>
      </c>
      <c r="L86" s="5">
        <f>Data!AF85</f>
        <v/>
      </c>
      <c r="M86" s="5">
        <f>Data!AG85</f>
        <v/>
      </c>
      <c r="N86" s="5">
        <f>Data!AH85</f>
        <v/>
      </c>
      <c r="O86" s="5">
        <f>Data!AI85</f>
        <v/>
      </c>
      <c r="P86" s="5">
        <f>Data!AJ85</f>
        <v/>
      </c>
      <c r="Q86" s="5">
        <f>Data!AK85</f>
        <v/>
      </c>
      <c r="R86" s="5">
        <f>Data!AL85</f>
        <v/>
      </c>
    </row>
    <row r="87">
      <c r="A87" s="5">
        <f>Data!A86</f>
        <v/>
      </c>
      <c r="B87" s="5">
        <f>Data!B86</f>
        <v/>
      </c>
      <c r="C87" s="5">
        <f>Data!C86</f>
        <v/>
      </c>
      <c r="D87" s="5">
        <f>Data!I86</f>
        <v/>
      </c>
      <c r="E87" s="5">
        <f>Data!J86</f>
        <v/>
      </c>
      <c r="F87" s="5">
        <f>Data!H86</f>
        <v/>
      </c>
      <c r="G87" s="5">
        <f>SUM(Data!Q86:Data!Y86)</f>
        <v/>
      </c>
      <c r="H87" s="5">
        <f>Data!Z86</f>
        <v/>
      </c>
      <c r="I87" s="5">
        <f>Data!AB86</f>
        <v/>
      </c>
      <c r="J87" s="5">
        <f>Data!AD86</f>
        <v/>
      </c>
      <c r="K87" s="5">
        <f>Data!AE86</f>
        <v/>
      </c>
      <c r="L87" s="5">
        <f>Data!AF86</f>
        <v/>
      </c>
      <c r="M87" s="5">
        <f>Data!AG86</f>
        <v/>
      </c>
      <c r="N87" s="5">
        <f>Data!AH86</f>
        <v/>
      </c>
      <c r="O87" s="5">
        <f>Data!AI86</f>
        <v/>
      </c>
      <c r="P87" s="5">
        <f>Data!AJ86</f>
        <v/>
      </c>
      <c r="Q87" s="5">
        <f>Data!AK86</f>
        <v/>
      </c>
      <c r="R87" s="5">
        <f>Data!AL86</f>
        <v/>
      </c>
    </row>
    <row r="88">
      <c r="A88" s="5">
        <f>Data!A87</f>
        <v/>
      </c>
      <c r="B88" s="5">
        <f>Data!B87</f>
        <v/>
      </c>
      <c r="C88" s="5">
        <f>Data!C87</f>
        <v/>
      </c>
      <c r="D88" s="5">
        <f>Data!I87</f>
        <v/>
      </c>
      <c r="E88" s="5">
        <f>Data!J87</f>
        <v/>
      </c>
      <c r="F88" s="5">
        <f>Data!H87</f>
        <v/>
      </c>
      <c r="G88" s="5">
        <f>SUM(Data!Q87:Data!Y87)</f>
        <v/>
      </c>
      <c r="H88" s="5">
        <f>Data!Z87</f>
        <v/>
      </c>
      <c r="I88" s="5">
        <f>Data!AB87</f>
        <v/>
      </c>
      <c r="J88" s="5">
        <f>Data!AD87</f>
        <v/>
      </c>
      <c r="K88" s="5">
        <f>Data!AE87</f>
        <v/>
      </c>
      <c r="L88" s="5">
        <f>Data!AF87</f>
        <v/>
      </c>
      <c r="M88" s="5">
        <f>Data!AG87</f>
        <v/>
      </c>
      <c r="N88" s="5">
        <f>Data!AH87</f>
        <v/>
      </c>
      <c r="O88" s="5">
        <f>Data!AI87</f>
        <v/>
      </c>
      <c r="P88" s="5">
        <f>Data!AJ87</f>
        <v/>
      </c>
      <c r="Q88" s="5">
        <f>Data!AK87</f>
        <v/>
      </c>
      <c r="R88" s="5">
        <f>Data!AL87</f>
        <v/>
      </c>
    </row>
    <row r="89">
      <c r="A89" s="5">
        <f>Data!A88</f>
        <v/>
      </c>
      <c r="B89" s="5">
        <f>Data!B88</f>
        <v/>
      </c>
      <c r="C89" s="5">
        <f>Data!C88</f>
        <v/>
      </c>
      <c r="D89" s="5">
        <f>Data!I88</f>
        <v/>
      </c>
      <c r="E89" s="5">
        <f>Data!J88</f>
        <v/>
      </c>
      <c r="F89" s="5">
        <f>Data!H88</f>
        <v/>
      </c>
      <c r="G89" s="5">
        <f>SUM(Data!Q88:Data!Y88)</f>
        <v/>
      </c>
      <c r="H89" s="5">
        <f>Data!Z88</f>
        <v/>
      </c>
      <c r="I89" s="5">
        <f>Data!AB88</f>
        <v/>
      </c>
      <c r="J89" s="5">
        <f>Data!AD88</f>
        <v/>
      </c>
      <c r="K89" s="5">
        <f>Data!AE88</f>
        <v/>
      </c>
      <c r="L89" s="5">
        <f>Data!AF88</f>
        <v/>
      </c>
      <c r="M89" s="5">
        <f>Data!AG88</f>
        <v/>
      </c>
      <c r="N89" s="5">
        <f>Data!AH88</f>
        <v/>
      </c>
      <c r="O89" s="5">
        <f>Data!AI88</f>
        <v/>
      </c>
      <c r="P89" s="5">
        <f>Data!AJ88</f>
        <v/>
      </c>
      <c r="Q89" s="5">
        <f>Data!AK88</f>
        <v/>
      </c>
      <c r="R89" s="5">
        <f>Data!AL88</f>
        <v/>
      </c>
    </row>
    <row r="90">
      <c r="A90" s="5">
        <f>Data!A89</f>
        <v/>
      </c>
      <c r="B90" s="5">
        <f>Data!B89</f>
        <v/>
      </c>
      <c r="C90" s="5">
        <f>Data!C89</f>
        <v/>
      </c>
      <c r="D90" s="5">
        <f>Data!I89</f>
        <v/>
      </c>
      <c r="E90" s="5">
        <f>Data!J89</f>
        <v/>
      </c>
      <c r="F90" s="5">
        <f>Data!H89</f>
        <v/>
      </c>
      <c r="G90" s="5">
        <f>SUM(Data!Q89:Data!Y89)</f>
        <v/>
      </c>
      <c r="H90" s="5">
        <f>Data!Z89</f>
        <v/>
      </c>
      <c r="I90" s="5">
        <f>Data!AB89</f>
        <v/>
      </c>
      <c r="J90" s="5">
        <f>Data!AD89</f>
        <v/>
      </c>
      <c r="K90" s="5">
        <f>Data!AE89</f>
        <v/>
      </c>
      <c r="L90" s="5">
        <f>Data!AF89</f>
        <v/>
      </c>
      <c r="M90" s="5">
        <f>Data!AG89</f>
        <v/>
      </c>
      <c r="N90" s="5">
        <f>Data!AH89</f>
        <v/>
      </c>
      <c r="O90" s="5">
        <f>Data!AI89</f>
        <v/>
      </c>
      <c r="P90" s="5">
        <f>Data!AJ89</f>
        <v/>
      </c>
      <c r="Q90" s="5">
        <f>Data!AK89</f>
        <v/>
      </c>
      <c r="R90" s="5">
        <f>Data!AL89</f>
        <v/>
      </c>
    </row>
    <row r="91">
      <c r="A91" s="5">
        <f>Data!A90</f>
        <v/>
      </c>
      <c r="B91" s="5">
        <f>Data!B90</f>
        <v/>
      </c>
      <c r="C91" s="5">
        <f>Data!C90</f>
        <v/>
      </c>
      <c r="D91" s="5">
        <f>Data!I90</f>
        <v/>
      </c>
      <c r="E91" s="5">
        <f>Data!J90</f>
        <v/>
      </c>
      <c r="F91" s="5">
        <f>Data!H90</f>
        <v/>
      </c>
      <c r="G91" s="5">
        <f>SUM(Data!Q90:Data!Y90)</f>
        <v/>
      </c>
      <c r="H91" s="5">
        <f>Data!Z90</f>
        <v/>
      </c>
      <c r="I91" s="5">
        <f>Data!AB90</f>
        <v/>
      </c>
      <c r="J91" s="5">
        <f>Data!AD90</f>
        <v/>
      </c>
      <c r="K91" s="5">
        <f>Data!AE90</f>
        <v/>
      </c>
      <c r="L91" s="5">
        <f>Data!AF90</f>
        <v/>
      </c>
      <c r="M91" s="5">
        <f>Data!AG90</f>
        <v/>
      </c>
      <c r="N91" s="5">
        <f>Data!AH90</f>
        <v/>
      </c>
      <c r="O91" s="5">
        <f>Data!AI90</f>
        <v/>
      </c>
      <c r="P91" s="5">
        <f>Data!AJ90</f>
        <v/>
      </c>
      <c r="Q91" s="5">
        <f>Data!AK90</f>
        <v/>
      </c>
      <c r="R91" s="5">
        <f>Data!AL90</f>
        <v/>
      </c>
    </row>
    <row r="92">
      <c r="A92" s="5">
        <f>Data!A91</f>
        <v/>
      </c>
      <c r="B92" s="5">
        <f>Data!B91</f>
        <v/>
      </c>
      <c r="C92" s="5">
        <f>Data!C91</f>
        <v/>
      </c>
      <c r="D92" s="5">
        <f>Data!I91</f>
        <v/>
      </c>
      <c r="E92" s="5">
        <f>Data!J91</f>
        <v/>
      </c>
      <c r="F92" s="5">
        <f>Data!H91</f>
        <v/>
      </c>
      <c r="G92" s="5">
        <f>SUM(Data!Q91:Data!Y91)</f>
        <v/>
      </c>
      <c r="H92" s="5">
        <f>Data!Z91</f>
        <v/>
      </c>
      <c r="I92" s="5">
        <f>Data!AB91</f>
        <v/>
      </c>
      <c r="J92" s="5">
        <f>Data!AD91</f>
        <v/>
      </c>
      <c r="K92" s="5">
        <f>Data!AE91</f>
        <v/>
      </c>
      <c r="L92" s="5">
        <f>Data!AF91</f>
        <v/>
      </c>
      <c r="M92" s="5">
        <f>Data!AG91</f>
        <v/>
      </c>
      <c r="N92" s="5">
        <f>Data!AH91</f>
        <v/>
      </c>
      <c r="O92" s="5">
        <f>Data!AI91</f>
        <v/>
      </c>
      <c r="P92" s="5">
        <f>Data!AJ91</f>
        <v/>
      </c>
      <c r="Q92" s="5">
        <f>Data!AK91</f>
        <v/>
      </c>
      <c r="R92" s="5">
        <f>Data!AL91</f>
        <v/>
      </c>
    </row>
    <row r="93">
      <c r="A93" s="5">
        <f>Data!A92</f>
        <v/>
      </c>
      <c r="B93" s="5">
        <f>Data!B92</f>
        <v/>
      </c>
      <c r="C93" s="5">
        <f>Data!C92</f>
        <v/>
      </c>
      <c r="D93" s="5">
        <f>Data!I92</f>
        <v/>
      </c>
      <c r="E93" s="5">
        <f>Data!J92</f>
        <v/>
      </c>
      <c r="F93" s="5">
        <f>Data!H92</f>
        <v/>
      </c>
      <c r="G93" s="5">
        <f>SUM(Data!Q92:Data!Y92)</f>
        <v/>
      </c>
      <c r="H93" s="5">
        <f>Data!Z92</f>
        <v/>
      </c>
      <c r="I93" s="5">
        <f>Data!AB92</f>
        <v/>
      </c>
      <c r="J93" s="5">
        <f>Data!AD92</f>
        <v/>
      </c>
      <c r="K93" s="5">
        <f>Data!AE92</f>
        <v/>
      </c>
      <c r="L93" s="5">
        <f>Data!AF92</f>
        <v/>
      </c>
      <c r="M93" s="5">
        <f>Data!AG92</f>
        <v/>
      </c>
      <c r="N93" s="5">
        <f>Data!AH92</f>
        <v/>
      </c>
      <c r="O93" s="5">
        <f>Data!AI92</f>
        <v/>
      </c>
      <c r="P93" s="5">
        <f>Data!AJ92</f>
        <v/>
      </c>
      <c r="Q93" s="5">
        <f>Data!AK92</f>
        <v/>
      </c>
      <c r="R93" s="5">
        <f>Data!AL92</f>
        <v/>
      </c>
    </row>
    <row r="94">
      <c r="A94" s="5">
        <f>Data!A93</f>
        <v/>
      </c>
      <c r="B94" s="5">
        <f>Data!B93</f>
        <v/>
      </c>
      <c r="C94" s="5">
        <f>Data!C93</f>
        <v/>
      </c>
      <c r="D94" s="5">
        <f>Data!I93</f>
        <v/>
      </c>
      <c r="E94" s="5">
        <f>Data!J93</f>
        <v/>
      </c>
      <c r="F94" s="5">
        <f>Data!H93</f>
        <v/>
      </c>
      <c r="G94" s="5">
        <f>SUM(Data!Q93:Data!Y93)</f>
        <v/>
      </c>
      <c r="H94" s="5">
        <f>Data!Z93</f>
        <v/>
      </c>
      <c r="I94" s="5">
        <f>Data!AB93</f>
        <v/>
      </c>
      <c r="J94" s="5">
        <f>Data!AD93</f>
        <v/>
      </c>
      <c r="K94" s="5">
        <f>Data!AE93</f>
        <v/>
      </c>
      <c r="L94" s="5">
        <f>Data!AF93</f>
        <v/>
      </c>
      <c r="M94" s="5">
        <f>Data!AG93</f>
        <v/>
      </c>
      <c r="N94" s="5">
        <f>Data!AH93</f>
        <v/>
      </c>
      <c r="O94" s="5">
        <f>Data!AI93</f>
        <v/>
      </c>
      <c r="P94" s="5">
        <f>Data!AJ93</f>
        <v/>
      </c>
      <c r="Q94" s="5">
        <f>Data!AK93</f>
        <v/>
      </c>
      <c r="R94" s="5">
        <f>Data!AL93</f>
        <v/>
      </c>
    </row>
    <row r="95">
      <c r="A95" s="5">
        <f>Data!A94</f>
        <v/>
      </c>
      <c r="B95" s="5">
        <f>Data!B94</f>
        <v/>
      </c>
      <c r="C95" s="5">
        <f>Data!C94</f>
        <v/>
      </c>
      <c r="D95" s="5">
        <f>Data!I94</f>
        <v/>
      </c>
      <c r="E95" s="5">
        <f>Data!J94</f>
        <v/>
      </c>
      <c r="F95" s="5">
        <f>Data!H94</f>
        <v/>
      </c>
      <c r="G95" s="5">
        <f>SUM(Data!Q94:Data!Y94)</f>
        <v/>
      </c>
      <c r="H95" s="5">
        <f>Data!Z94</f>
        <v/>
      </c>
      <c r="I95" s="5">
        <f>Data!AB94</f>
        <v/>
      </c>
      <c r="J95" s="5">
        <f>Data!AD94</f>
        <v/>
      </c>
      <c r="K95" s="5">
        <f>Data!AE94</f>
        <v/>
      </c>
      <c r="L95" s="5">
        <f>Data!AF94</f>
        <v/>
      </c>
      <c r="M95" s="5">
        <f>Data!AG94</f>
        <v/>
      </c>
      <c r="N95" s="5">
        <f>Data!AH94</f>
        <v/>
      </c>
      <c r="O95" s="5">
        <f>Data!AI94</f>
        <v/>
      </c>
      <c r="P95" s="5">
        <f>Data!AJ94</f>
        <v/>
      </c>
      <c r="Q95" s="5">
        <f>Data!AK94</f>
        <v/>
      </c>
      <c r="R95" s="5">
        <f>Data!AL94</f>
        <v/>
      </c>
    </row>
    <row r="96">
      <c r="A96" s="5">
        <f>Data!A95</f>
        <v/>
      </c>
      <c r="B96" s="5">
        <f>Data!B95</f>
        <v/>
      </c>
      <c r="C96" s="5">
        <f>Data!C95</f>
        <v/>
      </c>
      <c r="D96" s="5">
        <f>Data!I95</f>
        <v/>
      </c>
      <c r="E96" s="5">
        <f>Data!J95</f>
        <v/>
      </c>
      <c r="F96" s="5">
        <f>Data!H95</f>
        <v/>
      </c>
      <c r="G96" s="5">
        <f>SUM(Data!Q95:Data!Y95)</f>
        <v/>
      </c>
      <c r="H96" s="5">
        <f>Data!Z95</f>
        <v/>
      </c>
      <c r="I96" s="5">
        <f>Data!AB95</f>
        <v/>
      </c>
      <c r="J96" s="5">
        <f>Data!AD95</f>
        <v/>
      </c>
      <c r="K96" s="5">
        <f>Data!AE95</f>
        <v/>
      </c>
      <c r="L96" s="5">
        <f>Data!AF95</f>
        <v/>
      </c>
      <c r="M96" s="5">
        <f>Data!AG95</f>
        <v/>
      </c>
      <c r="N96" s="5">
        <f>Data!AH95</f>
        <v/>
      </c>
      <c r="O96" s="5">
        <f>Data!AI95</f>
        <v/>
      </c>
      <c r="P96" s="5">
        <f>Data!AJ95</f>
        <v/>
      </c>
      <c r="Q96" s="5">
        <f>Data!AK95</f>
        <v/>
      </c>
      <c r="R96" s="5">
        <f>Data!AL95</f>
        <v/>
      </c>
    </row>
    <row r="97">
      <c r="A97" s="5">
        <f>Data!A96</f>
        <v/>
      </c>
      <c r="B97" s="5">
        <f>Data!B96</f>
        <v/>
      </c>
      <c r="C97" s="5">
        <f>Data!C96</f>
        <v/>
      </c>
      <c r="D97" s="5">
        <f>Data!I96</f>
        <v/>
      </c>
      <c r="E97" s="5">
        <f>Data!J96</f>
        <v/>
      </c>
      <c r="F97" s="5">
        <f>Data!H96</f>
        <v/>
      </c>
      <c r="G97" s="5">
        <f>SUM(Data!Q96:Data!Y96)</f>
        <v/>
      </c>
      <c r="H97" s="5">
        <f>Data!Z96</f>
        <v/>
      </c>
      <c r="I97" s="5">
        <f>Data!AB96</f>
        <v/>
      </c>
      <c r="J97" s="5">
        <f>Data!AD96</f>
        <v/>
      </c>
      <c r="K97" s="5">
        <f>Data!AE96</f>
        <v/>
      </c>
      <c r="L97" s="5">
        <f>Data!AF96</f>
        <v/>
      </c>
      <c r="M97" s="5">
        <f>Data!AG96</f>
        <v/>
      </c>
      <c r="N97" s="5">
        <f>Data!AH96</f>
        <v/>
      </c>
      <c r="O97" s="5">
        <f>Data!AI96</f>
        <v/>
      </c>
      <c r="P97" s="5">
        <f>Data!AJ96</f>
        <v/>
      </c>
      <c r="Q97" s="5">
        <f>Data!AK96</f>
        <v/>
      </c>
      <c r="R97" s="5">
        <f>Data!AL96</f>
        <v/>
      </c>
    </row>
    <row r="98">
      <c r="A98" s="5">
        <f>Data!A97</f>
        <v/>
      </c>
      <c r="B98" s="5">
        <f>Data!B97</f>
        <v/>
      </c>
      <c r="C98" s="5">
        <f>Data!C97</f>
        <v/>
      </c>
      <c r="D98" s="5">
        <f>Data!I97</f>
        <v/>
      </c>
      <c r="E98" s="5">
        <f>Data!J97</f>
        <v/>
      </c>
      <c r="F98" s="5">
        <f>Data!H97</f>
        <v/>
      </c>
      <c r="G98" s="5">
        <f>SUM(Data!Q97:Data!Y97)</f>
        <v/>
      </c>
      <c r="H98" s="5">
        <f>Data!Z97</f>
        <v/>
      </c>
      <c r="I98" s="5">
        <f>Data!AB97</f>
        <v/>
      </c>
      <c r="J98" s="5">
        <f>Data!AD97</f>
        <v/>
      </c>
      <c r="K98" s="5">
        <f>Data!AE97</f>
        <v/>
      </c>
      <c r="L98" s="5">
        <f>Data!AF97</f>
        <v/>
      </c>
      <c r="M98" s="5">
        <f>Data!AG97</f>
        <v/>
      </c>
      <c r="N98" s="5">
        <f>Data!AH97</f>
        <v/>
      </c>
      <c r="O98" s="5">
        <f>Data!AI97</f>
        <v/>
      </c>
      <c r="P98" s="5">
        <f>Data!AJ97</f>
        <v/>
      </c>
      <c r="Q98" s="5">
        <f>Data!AK97</f>
        <v/>
      </c>
      <c r="R98" s="5">
        <f>Data!AL97</f>
        <v/>
      </c>
    </row>
    <row r="99">
      <c r="A99" s="5">
        <f>Data!A98</f>
        <v/>
      </c>
      <c r="B99" s="5">
        <f>Data!B98</f>
        <v/>
      </c>
      <c r="C99" s="5">
        <f>Data!C98</f>
        <v/>
      </c>
      <c r="D99" s="5">
        <f>Data!I98</f>
        <v/>
      </c>
      <c r="E99" s="5">
        <f>Data!J98</f>
        <v/>
      </c>
      <c r="F99" s="5">
        <f>Data!H98</f>
        <v/>
      </c>
      <c r="G99" s="5">
        <f>SUM(Data!Q98:Data!Y98)</f>
        <v/>
      </c>
      <c r="H99" s="5">
        <f>Data!Z98</f>
        <v/>
      </c>
      <c r="I99" s="5">
        <f>Data!AB98</f>
        <v/>
      </c>
      <c r="J99" s="5">
        <f>Data!AD98</f>
        <v/>
      </c>
      <c r="K99" s="5">
        <f>Data!AE98</f>
        <v/>
      </c>
      <c r="L99" s="5">
        <f>Data!AF98</f>
        <v/>
      </c>
      <c r="M99" s="5">
        <f>Data!AG98</f>
        <v/>
      </c>
      <c r="N99" s="5">
        <f>Data!AH98</f>
        <v/>
      </c>
      <c r="O99" s="5">
        <f>Data!AI98</f>
        <v/>
      </c>
      <c r="P99" s="5">
        <f>Data!AJ98</f>
        <v/>
      </c>
      <c r="Q99" s="5">
        <f>Data!AK98</f>
        <v/>
      </c>
      <c r="R99" s="5">
        <f>Data!AL98</f>
        <v/>
      </c>
    </row>
    <row r="100">
      <c r="A100" s="5">
        <f>Data!A99</f>
        <v/>
      </c>
      <c r="B100" s="5">
        <f>Data!B99</f>
        <v/>
      </c>
      <c r="C100" s="5">
        <f>Data!C99</f>
        <v/>
      </c>
      <c r="D100" s="5">
        <f>Data!I99</f>
        <v/>
      </c>
      <c r="E100" s="5">
        <f>Data!J99</f>
        <v/>
      </c>
      <c r="F100" s="5">
        <f>Data!H99</f>
        <v/>
      </c>
      <c r="G100" s="5">
        <f>SUM(Data!Q99:Data!Y99)</f>
        <v/>
      </c>
      <c r="H100" s="5">
        <f>Data!Z99</f>
        <v/>
      </c>
      <c r="I100" s="5">
        <f>Data!AB99</f>
        <v/>
      </c>
      <c r="J100" s="5">
        <f>Data!AD99</f>
        <v/>
      </c>
      <c r="K100" s="5">
        <f>Data!AE99</f>
        <v/>
      </c>
      <c r="L100" s="5">
        <f>Data!AF99</f>
        <v/>
      </c>
      <c r="M100" s="5">
        <f>Data!AG99</f>
        <v/>
      </c>
      <c r="N100" s="5">
        <f>Data!AH99</f>
        <v/>
      </c>
      <c r="O100" s="5">
        <f>Data!AI99</f>
        <v/>
      </c>
      <c r="P100" s="5">
        <f>Data!AJ99</f>
        <v/>
      </c>
      <c r="Q100" s="5">
        <f>Data!AK99</f>
        <v/>
      </c>
      <c r="R100" s="5">
        <f>Data!AL99</f>
        <v/>
      </c>
    </row>
    <row r="101">
      <c r="A101" s="5">
        <f>Data!A100</f>
        <v/>
      </c>
      <c r="B101" s="5">
        <f>Data!B100</f>
        <v/>
      </c>
      <c r="C101" s="5">
        <f>Data!C100</f>
        <v/>
      </c>
      <c r="D101" s="5">
        <f>Data!I100</f>
        <v/>
      </c>
      <c r="E101" s="5">
        <f>Data!J100</f>
        <v/>
      </c>
      <c r="F101" s="5">
        <f>Data!H100</f>
        <v/>
      </c>
      <c r="G101" s="5">
        <f>SUM(Data!Q100:Data!Y100)</f>
        <v/>
      </c>
      <c r="H101" s="5">
        <f>Data!Z100</f>
        <v/>
      </c>
      <c r="I101" s="5">
        <f>Data!AB100</f>
        <v/>
      </c>
      <c r="J101" s="5">
        <f>Data!AD100</f>
        <v/>
      </c>
      <c r="K101" s="5">
        <f>Data!AE100</f>
        <v/>
      </c>
      <c r="L101" s="5">
        <f>Data!AF100</f>
        <v/>
      </c>
      <c r="M101" s="5">
        <f>Data!AG100</f>
        <v/>
      </c>
      <c r="N101" s="5">
        <f>Data!AH100</f>
        <v/>
      </c>
      <c r="O101" s="5">
        <f>Data!AI100</f>
        <v/>
      </c>
      <c r="P101" s="5">
        <f>Data!AJ100</f>
        <v/>
      </c>
      <c r="Q101" s="5">
        <f>Data!AK100</f>
        <v/>
      </c>
      <c r="R101" s="5">
        <f>Data!AL100</f>
        <v/>
      </c>
    </row>
    <row r="102">
      <c r="A102" s="5">
        <f>Data!A101</f>
        <v/>
      </c>
      <c r="B102" s="5">
        <f>Data!B101</f>
        <v/>
      </c>
      <c r="C102" s="5">
        <f>Data!C101</f>
        <v/>
      </c>
      <c r="D102" s="5">
        <f>Data!I101</f>
        <v/>
      </c>
      <c r="E102" s="5">
        <f>Data!J101</f>
        <v/>
      </c>
      <c r="F102" s="5">
        <f>Data!H101</f>
        <v/>
      </c>
      <c r="G102" s="5">
        <f>SUM(Data!Q101:Data!Y101)</f>
        <v/>
      </c>
      <c r="H102" s="5">
        <f>Data!Z101</f>
        <v/>
      </c>
      <c r="I102" s="5">
        <f>Data!AB101</f>
        <v/>
      </c>
      <c r="J102" s="5">
        <f>Data!AD101</f>
        <v/>
      </c>
      <c r="K102" s="5">
        <f>Data!AE101</f>
        <v/>
      </c>
      <c r="L102" s="5">
        <f>Data!AF101</f>
        <v/>
      </c>
      <c r="M102" s="5">
        <f>Data!AG101</f>
        <v/>
      </c>
      <c r="N102" s="5">
        <f>Data!AH101</f>
        <v/>
      </c>
      <c r="O102" s="5">
        <f>Data!AI101</f>
        <v/>
      </c>
      <c r="P102" s="5">
        <f>Data!AJ101</f>
        <v/>
      </c>
      <c r="Q102" s="5">
        <f>Data!AK101</f>
        <v/>
      </c>
      <c r="R102" s="5">
        <f>Data!AL101</f>
        <v/>
      </c>
    </row>
    <row r="103">
      <c r="A103" s="5">
        <f>Data!A102</f>
        <v/>
      </c>
      <c r="B103" s="5">
        <f>Data!B102</f>
        <v/>
      </c>
      <c r="C103" s="5">
        <f>Data!C102</f>
        <v/>
      </c>
      <c r="D103" s="5">
        <f>Data!I102</f>
        <v/>
      </c>
      <c r="E103" s="5">
        <f>Data!J102</f>
        <v/>
      </c>
      <c r="F103" s="5">
        <f>Data!H102</f>
        <v/>
      </c>
      <c r="G103" s="5">
        <f>SUM(Data!Q102:Data!Y102)</f>
        <v/>
      </c>
      <c r="H103" s="5">
        <f>Data!Z102</f>
        <v/>
      </c>
      <c r="I103" s="5">
        <f>Data!AB102</f>
        <v/>
      </c>
      <c r="J103" s="5">
        <f>Data!AD102</f>
        <v/>
      </c>
      <c r="K103" s="5">
        <f>Data!AE102</f>
        <v/>
      </c>
      <c r="L103" s="5">
        <f>Data!AF102</f>
        <v/>
      </c>
      <c r="M103" s="5">
        <f>Data!AG102</f>
        <v/>
      </c>
      <c r="N103" s="5">
        <f>Data!AH102</f>
        <v/>
      </c>
      <c r="O103" s="5">
        <f>Data!AI102</f>
        <v/>
      </c>
      <c r="P103" s="5">
        <f>Data!AJ102</f>
        <v/>
      </c>
      <c r="Q103" s="5">
        <f>Data!AK102</f>
        <v/>
      </c>
      <c r="R103" s="5">
        <f>Data!AL102</f>
        <v/>
      </c>
    </row>
    <row r="104">
      <c r="A104" s="5">
        <f>Data!A103</f>
        <v/>
      </c>
      <c r="B104" s="5">
        <f>Data!B103</f>
        <v/>
      </c>
      <c r="C104" s="5">
        <f>Data!C103</f>
        <v/>
      </c>
      <c r="D104" s="5">
        <f>Data!I103</f>
        <v/>
      </c>
      <c r="E104" s="5">
        <f>Data!J103</f>
        <v/>
      </c>
      <c r="F104" s="5">
        <f>Data!H103</f>
        <v/>
      </c>
      <c r="G104" s="5">
        <f>SUM(Data!Q103:Data!Y103)</f>
        <v/>
      </c>
      <c r="H104" s="5">
        <f>Data!Z103</f>
        <v/>
      </c>
      <c r="I104" s="5">
        <f>Data!AB103</f>
        <v/>
      </c>
      <c r="J104" s="5">
        <f>Data!AD103</f>
        <v/>
      </c>
      <c r="K104" s="5">
        <f>Data!AE103</f>
        <v/>
      </c>
      <c r="L104" s="5">
        <f>Data!AF103</f>
        <v/>
      </c>
      <c r="M104" s="5">
        <f>Data!AG103</f>
        <v/>
      </c>
      <c r="N104" s="5">
        <f>Data!AH103</f>
        <v/>
      </c>
      <c r="O104" s="5">
        <f>Data!AI103</f>
        <v/>
      </c>
      <c r="P104" s="5">
        <f>Data!AJ103</f>
        <v/>
      </c>
      <c r="Q104" s="5">
        <f>Data!AK103</f>
        <v/>
      </c>
      <c r="R104" s="5">
        <f>Data!AL103</f>
        <v/>
      </c>
    </row>
    <row r="105">
      <c r="A105" s="5">
        <f>Data!A104</f>
        <v/>
      </c>
      <c r="B105" s="5">
        <f>Data!B104</f>
        <v/>
      </c>
      <c r="C105" s="5">
        <f>Data!C104</f>
        <v/>
      </c>
      <c r="D105" s="5">
        <f>Data!I104</f>
        <v/>
      </c>
      <c r="E105" s="5">
        <f>Data!J104</f>
        <v/>
      </c>
      <c r="F105" s="5">
        <f>Data!H104</f>
        <v/>
      </c>
      <c r="G105" s="5">
        <f>SUM(Data!Q104:Data!Y104)</f>
        <v/>
      </c>
      <c r="H105" s="5">
        <f>Data!Z104</f>
        <v/>
      </c>
      <c r="I105" s="5">
        <f>Data!AB104</f>
        <v/>
      </c>
      <c r="J105" s="5">
        <f>Data!AD104</f>
        <v/>
      </c>
      <c r="K105" s="5">
        <f>Data!AE104</f>
        <v/>
      </c>
      <c r="L105" s="5">
        <f>Data!AF104</f>
        <v/>
      </c>
      <c r="M105" s="5">
        <f>Data!AG104</f>
        <v/>
      </c>
      <c r="N105" s="5">
        <f>Data!AH104</f>
        <v/>
      </c>
      <c r="O105" s="5">
        <f>Data!AI104</f>
        <v/>
      </c>
      <c r="P105" s="5">
        <f>Data!AJ104</f>
        <v/>
      </c>
      <c r="Q105" s="5">
        <f>Data!AK104</f>
        <v/>
      </c>
      <c r="R105" s="5">
        <f>Data!AL104</f>
        <v/>
      </c>
    </row>
    <row r="106">
      <c r="A106" s="5">
        <f>Data!A105</f>
        <v/>
      </c>
      <c r="B106" s="5">
        <f>Data!B105</f>
        <v/>
      </c>
      <c r="C106" s="5">
        <f>Data!C105</f>
        <v/>
      </c>
      <c r="D106" s="5">
        <f>Data!I105</f>
        <v/>
      </c>
      <c r="E106" s="5">
        <f>Data!J105</f>
        <v/>
      </c>
      <c r="F106" s="5">
        <f>Data!H105</f>
        <v/>
      </c>
      <c r="G106" s="5">
        <f>SUM(Data!Q105:Data!Y105)</f>
        <v/>
      </c>
      <c r="H106" s="5">
        <f>Data!Z105</f>
        <v/>
      </c>
      <c r="I106" s="5">
        <f>Data!AB105</f>
        <v/>
      </c>
      <c r="J106" s="5">
        <f>Data!AD105</f>
        <v/>
      </c>
      <c r="K106" s="5">
        <f>Data!AE105</f>
        <v/>
      </c>
      <c r="L106" s="5">
        <f>Data!AF105</f>
        <v/>
      </c>
      <c r="M106" s="5">
        <f>Data!AG105</f>
        <v/>
      </c>
      <c r="N106" s="5">
        <f>Data!AH105</f>
        <v/>
      </c>
      <c r="O106" s="5">
        <f>Data!AI105</f>
        <v/>
      </c>
      <c r="P106" s="5">
        <f>Data!AJ105</f>
        <v/>
      </c>
      <c r="Q106" s="5">
        <f>Data!AK105</f>
        <v/>
      </c>
      <c r="R106" s="5">
        <f>Data!AL105</f>
        <v/>
      </c>
    </row>
    <row r="107">
      <c r="A107" s="5">
        <f>Data!A106</f>
        <v/>
      </c>
      <c r="B107" s="5">
        <f>Data!B106</f>
        <v/>
      </c>
      <c r="C107" s="5">
        <f>Data!C106</f>
        <v/>
      </c>
      <c r="D107" s="5">
        <f>Data!I106</f>
        <v/>
      </c>
      <c r="E107" s="5">
        <f>Data!J106</f>
        <v/>
      </c>
      <c r="F107" s="5">
        <f>Data!H106</f>
        <v/>
      </c>
      <c r="G107" s="5">
        <f>SUM(Data!Q106:Data!Y106)</f>
        <v/>
      </c>
      <c r="H107" s="5">
        <f>Data!Z106</f>
        <v/>
      </c>
      <c r="I107" s="5">
        <f>Data!AB106</f>
        <v/>
      </c>
      <c r="J107" s="5">
        <f>Data!AD106</f>
        <v/>
      </c>
      <c r="K107" s="5">
        <f>Data!AE106</f>
        <v/>
      </c>
      <c r="L107" s="5">
        <f>Data!AF106</f>
        <v/>
      </c>
      <c r="M107" s="5">
        <f>Data!AG106</f>
        <v/>
      </c>
      <c r="N107" s="5">
        <f>Data!AH106</f>
        <v/>
      </c>
      <c r="O107" s="5">
        <f>Data!AI106</f>
        <v/>
      </c>
      <c r="P107" s="5">
        <f>Data!AJ106</f>
        <v/>
      </c>
      <c r="Q107" s="5">
        <f>Data!AK106</f>
        <v/>
      </c>
      <c r="R107" s="5">
        <f>Data!AL106</f>
        <v/>
      </c>
    </row>
    <row r="108">
      <c r="A108" s="5">
        <f>Data!A107</f>
        <v/>
      </c>
      <c r="B108" s="5">
        <f>Data!B107</f>
        <v/>
      </c>
      <c r="C108" s="5">
        <f>Data!C107</f>
        <v/>
      </c>
      <c r="D108" s="5">
        <f>Data!I107</f>
        <v/>
      </c>
      <c r="E108" s="5">
        <f>Data!J107</f>
        <v/>
      </c>
      <c r="F108" s="5">
        <f>Data!H107</f>
        <v/>
      </c>
      <c r="G108" s="5">
        <f>SUM(Data!Q107:Data!Y107)</f>
        <v/>
      </c>
      <c r="H108" s="5">
        <f>Data!Z107</f>
        <v/>
      </c>
      <c r="I108" s="5">
        <f>Data!AB107</f>
        <v/>
      </c>
      <c r="J108" s="5">
        <f>Data!AD107</f>
        <v/>
      </c>
      <c r="K108" s="5">
        <f>Data!AE107</f>
        <v/>
      </c>
      <c r="L108" s="5">
        <f>Data!AF107</f>
        <v/>
      </c>
      <c r="M108" s="5">
        <f>Data!AG107</f>
        <v/>
      </c>
      <c r="N108" s="5">
        <f>Data!AH107</f>
        <v/>
      </c>
      <c r="O108" s="5">
        <f>Data!AI107</f>
        <v/>
      </c>
      <c r="P108" s="5">
        <f>Data!AJ107</f>
        <v/>
      </c>
      <c r="Q108" s="5">
        <f>Data!AK107</f>
        <v/>
      </c>
      <c r="R108" s="5">
        <f>Data!AL107</f>
        <v/>
      </c>
    </row>
    <row r="109">
      <c r="A109" s="5">
        <f>Data!A108</f>
        <v/>
      </c>
      <c r="B109" s="5">
        <f>Data!B108</f>
        <v/>
      </c>
      <c r="C109" s="5">
        <f>Data!C108</f>
        <v/>
      </c>
      <c r="D109" s="5">
        <f>Data!I108</f>
        <v/>
      </c>
      <c r="E109" s="5">
        <f>Data!J108</f>
        <v/>
      </c>
      <c r="F109" s="5">
        <f>Data!H108</f>
        <v/>
      </c>
      <c r="G109" s="5">
        <f>SUM(Data!Q108:Data!Y108)</f>
        <v/>
      </c>
      <c r="H109" s="5">
        <f>Data!Z108</f>
        <v/>
      </c>
      <c r="I109" s="5">
        <f>Data!AB108</f>
        <v/>
      </c>
      <c r="J109" s="5">
        <f>Data!AD108</f>
        <v/>
      </c>
      <c r="K109" s="5">
        <f>Data!AE108</f>
        <v/>
      </c>
      <c r="L109" s="5">
        <f>Data!AF108</f>
        <v/>
      </c>
      <c r="M109" s="5">
        <f>Data!AG108</f>
        <v/>
      </c>
      <c r="N109" s="5">
        <f>Data!AH108</f>
        <v/>
      </c>
      <c r="O109" s="5">
        <f>Data!AI108</f>
        <v/>
      </c>
      <c r="P109" s="5">
        <f>Data!AJ108</f>
        <v/>
      </c>
      <c r="Q109" s="5">
        <f>Data!AK108</f>
        <v/>
      </c>
      <c r="R109" s="5">
        <f>Data!AL108</f>
        <v/>
      </c>
    </row>
    <row r="110">
      <c r="A110" s="5">
        <f>Data!A109</f>
        <v/>
      </c>
      <c r="B110" s="5">
        <f>Data!B109</f>
        <v/>
      </c>
      <c r="C110" s="5">
        <f>Data!C109</f>
        <v/>
      </c>
      <c r="D110" s="5">
        <f>Data!I109</f>
        <v/>
      </c>
      <c r="E110" s="5">
        <f>Data!J109</f>
        <v/>
      </c>
      <c r="F110" s="5">
        <f>Data!H109</f>
        <v/>
      </c>
      <c r="G110" s="5">
        <f>SUM(Data!Q109:Data!Y109)</f>
        <v/>
      </c>
      <c r="H110" s="5">
        <f>Data!Z109</f>
        <v/>
      </c>
      <c r="I110" s="5">
        <f>Data!AB109</f>
        <v/>
      </c>
      <c r="J110" s="5">
        <f>Data!AD109</f>
        <v/>
      </c>
      <c r="K110" s="5">
        <f>Data!AE109</f>
        <v/>
      </c>
      <c r="L110" s="5">
        <f>Data!AF109</f>
        <v/>
      </c>
      <c r="M110" s="5">
        <f>Data!AG109</f>
        <v/>
      </c>
      <c r="N110" s="5">
        <f>Data!AH109</f>
        <v/>
      </c>
      <c r="O110" s="5">
        <f>Data!AI109</f>
        <v/>
      </c>
      <c r="P110" s="5">
        <f>Data!AJ109</f>
        <v/>
      </c>
      <c r="Q110" s="5">
        <f>Data!AK109</f>
        <v/>
      </c>
      <c r="R110" s="5">
        <f>Data!AL109</f>
        <v/>
      </c>
    </row>
    <row r="111">
      <c r="A111" s="5">
        <f>Data!A110</f>
        <v/>
      </c>
      <c r="B111" s="5">
        <f>Data!B110</f>
        <v/>
      </c>
      <c r="C111" s="5">
        <f>Data!C110</f>
        <v/>
      </c>
      <c r="D111" s="5">
        <f>Data!I110</f>
        <v/>
      </c>
      <c r="E111" s="5">
        <f>Data!J110</f>
        <v/>
      </c>
      <c r="F111" s="5">
        <f>Data!H110</f>
        <v/>
      </c>
      <c r="G111" s="5">
        <f>SUM(Data!Q110:Data!Y110)</f>
        <v/>
      </c>
      <c r="H111" s="5">
        <f>Data!Z110</f>
        <v/>
      </c>
      <c r="I111" s="5">
        <f>Data!AB110</f>
        <v/>
      </c>
      <c r="J111" s="5">
        <f>Data!AD110</f>
        <v/>
      </c>
      <c r="K111" s="5">
        <f>Data!AE110</f>
        <v/>
      </c>
      <c r="L111" s="5">
        <f>Data!AF110</f>
        <v/>
      </c>
      <c r="M111" s="5">
        <f>Data!AG110</f>
        <v/>
      </c>
      <c r="N111" s="5">
        <f>Data!AH110</f>
        <v/>
      </c>
      <c r="O111" s="5">
        <f>Data!AI110</f>
        <v/>
      </c>
      <c r="P111" s="5">
        <f>Data!AJ110</f>
        <v/>
      </c>
      <c r="Q111" s="5">
        <f>Data!AK110</f>
        <v/>
      </c>
      <c r="R111" s="5">
        <f>Data!AL110</f>
        <v/>
      </c>
    </row>
    <row r="112">
      <c r="A112" s="5">
        <f>Data!A111</f>
        <v/>
      </c>
      <c r="B112" s="5">
        <f>Data!B111</f>
        <v/>
      </c>
      <c r="C112" s="5">
        <f>Data!C111</f>
        <v/>
      </c>
      <c r="D112" s="5">
        <f>Data!I111</f>
        <v/>
      </c>
      <c r="E112" s="5">
        <f>Data!J111</f>
        <v/>
      </c>
      <c r="F112" s="5">
        <f>Data!H111</f>
        <v/>
      </c>
      <c r="G112" s="5">
        <f>SUM(Data!Q111:Data!Y111)</f>
        <v/>
      </c>
      <c r="H112" s="5">
        <f>Data!Z111</f>
        <v/>
      </c>
      <c r="I112" s="5">
        <f>Data!AB111</f>
        <v/>
      </c>
      <c r="J112" s="5">
        <f>Data!AD111</f>
        <v/>
      </c>
      <c r="K112" s="5">
        <f>Data!AE111</f>
        <v/>
      </c>
      <c r="L112" s="5">
        <f>Data!AF111</f>
        <v/>
      </c>
      <c r="M112" s="5">
        <f>Data!AG111</f>
        <v/>
      </c>
      <c r="N112" s="5">
        <f>Data!AH111</f>
        <v/>
      </c>
      <c r="O112" s="5">
        <f>Data!AI111</f>
        <v/>
      </c>
      <c r="P112" s="5">
        <f>Data!AJ111</f>
        <v/>
      </c>
      <c r="Q112" s="5">
        <f>Data!AK111</f>
        <v/>
      </c>
      <c r="R112" s="5">
        <f>Data!AL111</f>
        <v/>
      </c>
    </row>
    <row r="113">
      <c r="A113" s="5">
        <f>Data!A112</f>
        <v/>
      </c>
      <c r="B113" s="5">
        <f>Data!B112</f>
        <v/>
      </c>
      <c r="C113" s="5">
        <f>Data!C112</f>
        <v/>
      </c>
      <c r="D113" s="5">
        <f>Data!I112</f>
        <v/>
      </c>
      <c r="E113" s="5">
        <f>Data!J112</f>
        <v/>
      </c>
      <c r="F113" s="5">
        <f>Data!H112</f>
        <v/>
      </c>
      <c r="G113" s="5">
        <f>SUM(Data!Q112:Data!Y112)</f>
        <v/>
      </c>
      <c r="H113" s="5">
        <f>Data!Z112</f>
        <v/>
      </c>
      <c r="I113" s="5">
        <f>Data!AB112</f>
        <v/>
      </c>
      <c r="J113" s="5">
        <f>Data!AD112</f>
        <v/>
      </c>
      <c r="K113" s="5">
        <f>Data!AE112</f>
        <v/>
      </c>
      <c r="L113" s="5">
        <f>Data!AF112</f>
        <v/>
      </c>
      <c r="M113" s="5">
        <f>Data!AG112</f>
        <v/>
      </c>
      <c r="N113" s="5">
        <f>Data!AH112</f>
        <v/>
      </c>
      <c r="O113" s="5">
        <f>Data!AI112</f>
        <v/>
      </c>
      <c r="P113" s="5">
        <f>Data!AJ112</f>
        <v/>
      </c>
      <c r="Q113" s="5">
        <f>Data!AK112</f>
        <v/>
      </c>
      <c r="R113" s="5">
        <f>Data!AL112</f>
        <v/>
      </c>
    </row>
    <row r="114">
      <c r="A114" s="5">
        <f>Data!A113</f>
        <v/>
      </c>
      <c r="B114" s="5">
        <f>Data!B113</f>
        <v/>
      </c>
      <c r="C114" s="5">
        <f>Data!C113</f>
        <v/>
      </c>
      <c r="D114" s="5">
        <f>Data!I113</f>
        <v/>
      </c>
      <c r="E114" s="5">
        <f>Data!J113</f>
        <v/>
      </c>
      <c r="F114" s="5">
        <f>Data!H113</f>
        <v/>
      </c>
      <c r="G114" s="5">
        <f>SUM(Data!Q113:Data!Y113)</f>
        <v/>
      </c>
      <c r="H114" s="5">
        <f>Data!Z113</f>
        <v/>
      </c>
      <c r="I114" s="5">
        <f>Data!AB113</f>
        <v/>
      </c>
      <c r="J114" s="5">
        <f>Data!AD113</f>
        <v/>
      </c>
      <c r="K114" s="5">
        <f>Data!AE113</f>
        <v/>
      </c>
      <c r="L114" s="5">
        <f>Data!AF113</f>
        <v/>
      </c>
      <c r="M114" s="5">
        <f>Data!AG113</f>
        <v/>
      </c>
      <c r="N114" s="5">
        <f>Data!AH113</f>
        <v/>
      </c>
      <c r="O114" s="5">
        <f>Data!AI113</f>
        <v/>
      </c>
      <c r="P114" s="5">
        <f>Data!AJ113</f>
        <v/>
      </c>
      <c r="Q114" s="5">
        <f>Data!AK113</f>
        <v/>
      </c>
      <c r="R114" s="5">
        <f>Data!AL113</f>
        <v/>
      </c>
    </row>
    <row r="115">
      <c r="A115" s="5">
        <f>Data!A114</f>
        <v/>
      </c>
      <c r="B115" s="5">
        <f>Data!B114</f>
        <v/>
      </c>
      <c r="C115" s="5">
        <f>Data!C114</f>
        <v/>
      </c>
      <c r="D115" s="5">
        <f>Data!I114</f>
        <v/>
      </c>
      <c r="E115" s="5">
        <f>Data!J114</f>
        <v/>
      </c>
      <c r="F115" s="5">
        <f>Data!H114</f>
        <v/>
      </c>
      <c r="G115" s="5">
        <f>SUM(Data!Q114:Data!Y114)</f>
        <v/>
      </c>
      <c r="H115" s="5">
        <f>Data!Z114</f>
        <v/>
      </c>
      <c r="I115" s="5">
        <f>Data!AB114</f>
        <v/>
      </c>
      <c r="J115" s="5">
        <f>Data!AD114</f>
        <v/>
      </c>
      <c r="K115" s="5">
        <f>Data!AE114</f>
        <v/>
      </c>
      <c r="L115" s="5">
        <f>Data!AF114</f>
        <v/>
      </c>
      <c r="M115" s="5">
        <f>Data!AG114</f>
        <v/>
      </c>
      <c r="N115" s="5">
        <f>Data!AH114</f>
        <v/>
      </c>
      <c r="O115" s="5">
        <f>Data!AI114</f>
        <v/>
      </c>
      <c r="P115" s="5">
        <f>Data!AJ114</f>
        <v/>
      </c>
      <c r="Q115" s="5">
        <f>Data!AK114</f>
        <v/>
      </c>
      <c r="R115" s="5">
        <f>Data!AL114</f>
        <v/>
      </c>
    </row>
    <row r="116">
      <c r="A116" s="5">
        <f>Data!A115</f>
        <v/>
      </c>
      <c r="B116" s="5">
        <f>Data!B115</f>
        <v/>
      </c>
      <c r="C116" s="5">
        <f>Data!C115</f>
        <v/>
      </c>
      <c r="D116" s="5">
        <f>Data!I115</f>
        <v/>
      </c>
      <c r="E116" s="5">
        <f>Data!J115</f>
        <v/>
      </c>
      <c r="F116" s="5">
        <f>Data!H115</f>
        <v/>
      </c>
      <c r="G116" s="5">
        <f>SUM(Data!Q115:Data!Y115)</f>
        <v/>
      </c>
      <c r="H116" s="5">
        <f>Data!Z115</f>
        <v/>
      </c>
      <c r="I116" s="5">
        <f>Data!AB115</f>
        <v/>
      </c>
      <c r="J116" s="5">
        <f>Data!AD115</f>
        <v/>
      </c>
      <c r="K116" s="5">
        <f>Data!AE115</f>
        <v/>
      </c>
      <c r="L116" s="5">
        <f>Data!AF115</f>
        <v/>
      </c>
      <c r="M116" s="5">
        <f>Data!AG115</f>
        <v/>
      </c>
      <c r="N116" s="5">
        <f>Data!AH115</f>
        <v/>
      </c>
      <c r="O116" s="5">
        <f>Data!AI115</f>
        <v/>
      </c>
      <c r="P116" s="5">
        <f>Data!AJ115</f>
        <v/>
      </c>
      <c r="Q116" s="5">
        <f>Data!AK115</f>
        <v/>
      </c>
      <c r="R116" s="5">
        <f>Data!AL115</f>
        <v/>
      </c>
    </row>
    <row r="117">
      <c r="A117" s="5">
        <f>Data!A116</f>
        <v/>
      </c>
      <c r="B117" s="5">
        <f>Data!B116</f>
        <v/>
      </c>
      <c r="C117" s="5">
        <f>Data!C116</f>
        <v/>
      </c>
      <c r="D117" s="5">
        <f>Data!I116</f>
        <v/>
      </c>
      <c r="E117" s="5">
        <f>Data!J116</f>
        <v/>
      </c>
      <c r="F117" s="5">
        <f>Data!H116</f>
        <v/>
      </c>
      <c r="G117" s="5">
        <f>SUM(Data!Q116:Data!Y116)</f>
        <v/>
      </c>
      <c r="H117" s="5">
        <f>Data!Z116</f>
        <v/>
      </c>
      <c r="I117" s="5">
        <f>Data!AB116</f>
        <v/>
      </c>
      <c r="J117" s="5">
        <f>Data!AD116</f>
        <v/>
      </c>
      <c r="K117" s="5">
        <f>Data!AE116</f>
        <v/>
      </c>
      <c r="L117" s="5">
        <f>Data!AF116</f>
        <v/>
      </c>
      <c r="M117" s="5">
        <f>Data!AG116</f>
        <v/>
      </c>
      <c r="N117" s="5">
        <f>Data!AH116</f>
        <v/>
      </c>
      <c r="O117" s="5">
        <f>Data!AI116</f>
        <v/>
      </c>
      <c r="P117" s="5">
        <f>Data!AJ116</f>
        <v/>
      </c>
      <c r="Q117" s="5">
        <f>Data!AK116</f>
        <v/>
      </c>
      <c r="R117" s="5">
        <f>Data!AL116</f>
        <v/>
      </c>
    </row>
    <row r="118">
      <c r="A118" s="5">
        <f>Data!A117</f>
        <v/>
      </c>
      <c r="B118" s="5">
        <f>Data!B117</f>
        <v/>
      </c>
      <c r="C118" s="5">
        <f>Data!C117</f>
        <v/>
      </c>
      <c r="D118" s="5">
        <f>Data!I117</f>
        <v/>
      </c>
      <c r="E118" s="5">
        <f>Data!J117</f>
        <v/>
      </c>
      <c r="F118" s="5">
        <f>Data!H117</f>
        <v/>
      </c>
      <c r="G118" s="5">
        <f>SUM(Data!Q117:Data!Y117)</f>
        <v/>
      </c>
      <c r="H118" s="5">
        <f>Data!Z117</f>
        <v/>
      </c>
      <c r="I118" s="5">
        <f>Data!AB117</f>
        <v/>
      </c>
      <c r="J118" s="5">
        <f>Data!AD117</f>
        <v/>
      </c>
      <c r="K118" s="5">
        <f>Data!AE117</f>
        <v/>
      </c>
      <c r="L118" s="5">
        <f>Data!AF117</f>
        <v/>
      </c>
      <c r="M118" s="5">
        <f>Data!AG117</f>
        <v/>
      </c>
      <c r="N118" s="5">
        <f>Data!AH117</f>
        <v/>
      </c>
      <c r="O118" s="5">
        <f>Data!AI117</f>
        <v/>
      </c>
      <c r="P118" s="5">
        <f>Data!AJ117</f>
        <v/>
      </c>
      <c r="Q118" s="5">
        <f>Data!AK117</f>
        <v/>
      </c>
      <c r="R118" s="5">
        <f>Data!AL117</f>
        <v/>
      </c>
    </row>
    <row r="119">
      <c r="A119" s="5">
        <f>Data!A118</f>
        <v/>
      </c>
      <c r="B119" s="5">
        <f>Data!B118</f>
        <v/>
      </c>
      <c r="C119" s="5">
        <f>Data!C118</f>
        <v/>
      </c>
      <c r="D119" s="5">
        <f>Data!I118</f>
        <v/>
      </c>
      <c r="E119" s="5">
        <f>Data!J118</f>
        <v/>
      </c>
      <c r="F119" s="5">
        <f>Data!H118</f>
        <v/>
      </c>
      <c r="G119" s="5">
        <f>SUM(Data!Q118:Data!Y118)</f>
        <v/>
      </c>
      <c r="H119" s="5">
        <f>Data!Z118</f>
        <v/>
      </c>
      <c r="I119" s="5">
        <f>Data!AB118</f>
        <v/>
      </c>
      <c r="J119" s="5">
        <f>Data!AD118</f>
        <v/>
      </c>
      <c r="K119" s="5">
        <f>Data!AE118</f>
        <v/>
      </c>
      <c r="L119" s="5">
        <f>Data!AF118</f>
        <v/>
      </c>
      <c r="M119" s="5">
        <f>Data!AG118</f>
        <v/>
      </c>
      <c r="N119" s="5">
        <f>Data!AH118</f>
        <v/>
      </c>
      <c r="O119" s="5">
        <f>Data!AI118</f>
        <v/>
      </c>
      <c r="P119" s="5">
        <f>Data!AJ118</f>
        <v/>
      </c>
      <c r="Q119" s="5">
        <f>Data!AK118</f>
        <v/>
      </c>
      <c r="R119" s="5">
        <f>Data!AL118</f>
        <v/>
      </c>
    </row>
    <row r="120">
      <c r="A120" s="5">
        <f>Data!A119</f>
        <v/>
      </c>
      <c r="B120" s="5">
        <f>Data!B119</f>
        <v/>
      </c>
      <c r="C120" s="5">
        <f>Data!C119</f>
        <v/>
      </c>
      <c r="D120" s="5">
        <f>Data!I119</f>
        <v/>
      </c>
      <c r="E120" s="5">
        <f>Data!J119</f>
        <v/>
      </c>
      <c r="F120" s="5">
        <f>Data!H119</f>
        <v/>
      </c>
      <c r="G120" s="5">
        <f>SUM(Data!Q119:Data!Y119)</f>
        <v/>
      </c>
      <c r="H120" s="5">
        <f>Data!Z119</f>
        <v/>
      </c>
      <c r="I120" s="5">
        <f>Data!AB119</f>
        <v/>
      </c>
      <c r="J120" s="5">
        <f>Data!AD119</f>
        <v/>
      </c>
      <c r="K120" s="5">
        <f>Data!AE119</f>
        <v/>
      </c>
      <c r="L120" s="5">
        <f>Data!AF119</f>
        <v/>
      </c>
      <c r="M120" s="5">
        <f>Data!AG119</f>
        <v/>
      </c>
      <c r="N120" s="5">
        <f>Data!AH119</f>
        <v/>
      </c>
      <c r="O120" s="5">
        <f>Data!AI119</f>
        <v/>
      </c>
      <c r="P120" s="5">
        <f>Data!AJ119</f>
        <v/>
      </c>
      <c r="Q120" s="5">
        <f>Data!AK119</f>
        <v/>
      </c>
      <c r="R120" s="5">
        <f>Data!AL119</f>
        <v/>
      </c>
    </row>
    <row r="121">
      <c r="A121" s="5">
        <f>Data!A120</f>
        <v/>
      </c>
      <c r="B121" s="5">
        <f>Data!B120</f>
        <v/>
      </c>
      <c r="C121" s="5">
        <f>Data!C120</f>
        <v/>
      </c>
      <c r="D121" s="5">
        <f>Data!I120</f>
        <v/>
      </c>
      <c r="E121" s="5">
        <f>Data!J120</f>
        <v/>
      </c>
      <c r="F121" s="5">
        <f>Data!H120</f>
        <v/>
      </c>
      <c r="G121" s="5">
        <f>SUM(Data!Q120:Data!Y120)</f>
        <v/>
      </c>
      <c r="H121" s="5">
        <f>Data!Z120</f>
        <v/>
      </c>
      <c r="I121" s="5">
        <f>Data!AB120</f>
        <v/>
      </c>
      <c r="J121" s="5">
        <f>Data!AD120</f>
        <v/>
      </c>
      <c r="K121" s="5">
        <f>Data!AE120</f>
        <v/>
      </c>
      <c r="L121" s="5">
        <f>Data!AF120</f>
        <v/>
      </c>
      <c r="M121" s="5">
        <f>Data!AG120</f>
        <v/>
      </c>
      <c r="N121" s="5">
        <f>Data!AH120</f>
        <v/>
      </c>
      <c r="O121" s="5">
        <f>Data!AI120</f>
        <v/>
      </c>
      <c r="P121" s="5">
        <f>Data!AJ120</f>
        <v/>
      </c>
      <c r="Q121" s="5">
        <f>Data!AK120</f>
        <v/>
      </c>
      <c r="R121" s="5">
        <f>Data!AL120</f>
        <v/>
      </c>
    </row>
    <row r="122">
      <c r="A122" s="5">
        <f>Data!A121</f>
        <v/>
      </c>
      <c r="B122" s="5">
        <f>Data!B121</f>
        <v/>
      </c>
      <c r="C122" s="5">
        <f>Data!C121</f>
        <v/>
      </c>
      <c r="D122" s="5">
        <f>Data!I121</f>
        <v/>
      </c>
      <c r="E122" s="5">
        <f>Data!J121</f>
        <v/>
      </c>
      <c r="F122" s="5">
        <f>Data!H121</f>
        <v/>
      </c>
      <c r="G122" s="5">
        <f>SUM(Data!Q121:Data!Y121)</f>
        <v/>
      </c>
      <c r="H122" s="5">
        <f>Data!Z121</f>
        <v/>
      </c>
      <c r="I122" s="5">
        <f>Data!AB121</f>
        <v/>
      </c>
      <c r="J122" s="5">
        <f>Data!AD121</f>
        <v/>
      </c>
      <c r="K122" s="5">
        <f>Data!AE121</f>
        <v/>
      </c>
      <c r="L122" s="5">
        <f>Data!AF121</f>
        <v/>
      </c>
      <c r="M122" s="5">
        <f>Data!AG121</f>
        <v/>
      </c>
      <c r="N122" s="5">
        <f>Data!AH121</f>
        <v/>
      </c>
      <c r="O122" s="5">
        <f>Data!AI121</f>
        <v/>
      </c>
      <c r="P122" s="5">
        <f>Data!AJ121</f>
        <v/>
      </c>
      <c r="Q122" s="5">
        <f>Data!AK121</f>
        <v/>
      </c>
      <c r="R122" s="5">
        <f>Data!AL121</f>
        <v/>
      </c>
    </row>
    <row r="123">
      <c r="A123" s="5">
        <f>Data!A122</f>
        <v/>
      </c>
      <c r="B123" s="5">
        <f>Data!B122</f>
        <v/>
      </c>
      <c r="C123" s="5">
        <f>Data!C122</f>
        <v/>
      </c>
      <c r="D123" s="5">
        <f>Data!I122</f>
        <v/>
      </c>
      <c r="E123" s="5">
        <f>Data!J122</f>
        <v/>
      </c>
      <c r="F123" s="5">
        <f>Data!H122</f>
        <v/>
      </c>
      <c r="G123" s="5">
        <f>SUM(Data!Q122:Data!Y122)</f>
        <v/>
      </c>
      <c r="H123" s="5">
        <f>Data!Z122</f>
        <v/>
      </c>
      <c r="I123" s="5">
        <f>Data!AB122</f>
        <v/>
      </c>
      <c r="J123" s="5">
        <f>Data!AD122</f>
        <v/>
      </c>
      <c r="K123" s="5">
        <f>Data!AE122</f>
        <v/>
      </c>
      <c r="L123" s="5">
        <f>Data!AF122</f>
        <v/>
      </c>
      <c r="M123" s="5">
        <f>Data!AG122</f>
        <v/>
      </c>
      <c r="N123" s="5">
        <f>Data!AH122</f>
        <v/>
      </c>
      <c r="O123" s="5">
        <f>Data!AI122</f>
        <v/>
      </c>
      <c r="P123" s="5">
        <f>Data!AJ122</f>
        <v/>
      </c>
      <c r="Q123" s="5">
        <f>Data!AK122</f>
        <v/>
      </c>
      <c r="R123" s="5">
        <f>Data!AL122</f>
        <v/>
      </c>
    </row>
    <row r="124">
      <c r="A124" s="5">
        <f>Data!A123</f>
        <v/>
      </c>
      <c r="B124" s="5">
        <f>Data!B123</f>
        <v/>
      </c>
      <c r="C124" s="5">
        <f>Data!C123</f>
        <v/>
      </c>
      <c r="D124" s="5">
        <f>Data!I123</f>
        <v/>
      </c>
      <c r="E124" s="5">
        <f>Data!J123</f>
        <v/>
      </c>
      <c r="F124" s="5">
        <f>Data!H123</f>
        <v/>
      </c>
      <c r="G124" s="5">
        <f>SUM(Data!Q123:Data!Y123)</f>
        <v/>
      </c>
      <c r="H124" s="5">
        <f>Data!Z123</f>
        <v/>
      </c>
      <c r="I124" s="5">
        <f>Data!AB123</f>
        <v/>
      </c>
      <c r="J124" s="5">
        <f>Data!AD123</f>
        <v/>
      </c>
      <c r="K124" s="5">
        <f>Data!AE123</f>
        <v/>
      </c>
      <c r="L124" s="5">
        <f>Data!AF123</f>
        <v/>
      </c>
      <c r="M124" s="5">
        <f>Data!AG123</f>
        <v/>
      </c>
      <c r="N124" s="5">
        <f>Data!AH123</f>
        <v/>
      </c>
      <c r="O124" s="5">
        <f>Data!AI123</f>
        <v/>
      </c>
      <c r="P124" s="5">
        <f>Data!AJ123</f>
        <v/>
      </c>
      <c r="Q124" s="5">
        <f>Data!AK123</f>
        <v/>
      </c>
      <c r="R124" s="5">
        <f>Data!AL123</f>
        <v/>
      </c>
    </row>
    <row r="125">
      <c r="A125" s="5">
        <f>Data!A124</f>
        <v/>
      </c>
      <c r="B125" s="5">
        <f>Data!B124</f>
        <v/>
      </c>
      <c r="C125" s="5">
        <f>Data!C124</f>
        <v/>
      </c>
      <c r="D125" s="5">
        <f>Data!I124</f>
        <v/>
      </c>
      <c r="E125" s="5">
        <f>Data!J124</f>
        <v/>
      </c>
      <c r="F125" s="5">
        <f>Data!H124</f>
        <v/>
      </c>
      <c r="G125" s="5">
        <f>SUM(Data!Q124:Data!Y124)</f>
        <v/>
      </c>
      <c r="H125" s="5">
        <f>Data!Z124</f>
        <v/>
      </c>
      <c r="I125" s="5">
        <f>Data!AB124</f>
        <v/>
      </c>
      <c r="J125" s="5">
        <f>Data!AD124</f>
        <v/>
      </c>
      <c r="K125" s="5">
        <f>Data!AE124</f>
        <v/>
      </c>
      <c r="L125" s="5">
        <f>Data!AF124</f>
        <v/>
      </c>
      <c r="M125" s="5">
        <f>Data!AG124</f>
        <v/>
      </c>
      <c r="N125" s="5">
        <f>Data!AH124</f>
        <v/>
      </c>
      <c r="O125" s="5">
        <f>Data!AI124</f>
        <v/>
      </c>
      <c r="P125" s="5">
        <f>Data!AJ124</f>
        <v/>
      </c>
      <c r="Q125" s="5">
        <f>Data!AK124</f>
        <v/>
      </c>
      <c r="R125" s="5">
        <f>Data!AL124</f>
        <v/>
      </c>
    </row>
    <row r="126">
      <c r="A126" s="5">
        <f>Data!A125</f>
        <v/>
      </c>
      <c r="B126" s="5">
        <f>Data!B125</f>
        <v/>
      </c>
      <c r="C126" s="5">
        <f>Data!C125</f>
        <v/>
      </c>
      <c r="D126" s="5">
        <f>Data!I125</f>
        <v/>
      </c>
      <c r="E126" s="5">
        <f>Data!J125</f>
        <v/>
      </c>
      <c r="F126" s="5">
        <f>Data!H125</f>
        <v/>
      </c>
      <c r="G126" s="5">
        <f>SUM(Data!Q125:Data!Y125)</f>
        <v/>
      </c>
      <c r="H126" s="5">
        <f>Data!Z125</f>
        <v/>
      </c>
      <c r="I126" s="5">
        <f>Data!AB125</f>
        <v/>
      </c>
      <c r="J126" s="5">
        <f>Data!AD125</f>
        <v/>
      </c>
      <c r="K126" s="5">
        <f>Data!AE125</f>
        <v/>
      </c>
      <c r="L126" s="5">
        <f>Data!AF125</f>
        <v/>
      </c>
      <c r="M126" s="5">
        <f>Data!AG125</f>
        <v/>
      </c>
      <c r="N126" s="5">
        <f>Data!AH125</f>
        <v/>
      </c>
      <c r="O126" s="5">
        <f>Data!AI125</f>
        <v/>
      </c>
      <c r="P126" s="5">
        <f>Data!AJ125</f>
        <v/>
      </c>
      <c r="Q126" s="5">
        <f>Data!AK125</f>
        <v/>
      </c>
      <c r="R126" s="5">
        <f>Data!AL125</f>
        <v/>
      </c>
    </row>
    <row r="127">
      <c r="A127" s="5">
        <f>Data!A126</f>
        <v/>
      </c>
      <c r="B127" s="5">
        <f>Data!B126</f>
        <v/>
      </c>
      <c r="C127" s="5">
        <f>Data!C126</f>
        <v/>
      </c>
      <c r="D127" s="5">
        <f>Data!I126</f>
        <v/>
      </c>
      <c r="E127" s="5">
        <f>Data!J126</f>
        <v/>
      </c>
      <c r="F127" s="5">
        <f>Data!H126</f>
        <v/>
      </c>
      <c r="G127" s="5">
        <f>SUM(Data!Q126:Data!Y126)</f>
        <v/>
      </c>
      <c r="H127" s="5">
        <f>Data!Z126</f>
        <v/>
      </c>
      <c r="I127" s="5">
        <f>Data!AB126</f>
        <v/>
      </c>
      <c r="J127" s="5">
        <f>Data!AD126</f>
        <v/>
      </c>
      <c r="K127" s="5">
        <f>Data!AE126</f>
        <v/>
      </c>
      <c r="L127" s="5">
        <f>Data!AF126</f>
        <v/>
      </c>
      <c r="M127" s="5">
        <f>Data!AG126</f>
        <v/>
      </c>
      <c r="N127" s="5">
        <f>Data!AH126</f>
        <v/>
      </c>
      <c r="O127" s="5">
        <f>Data!AI126</f>
        <v/>
      </c>
      <c r="P127" s="5">
        <f>Data!AJ126</f>
        <v/>
      </c>
      <c r="Q127" s="5">
        <f>Data!AK126</f>
        <v/>
      </c>
      <c r="R127" s="5">
        <f>Data!AL126</f>
        <v/>
      </c>
    </row>
    <row r="128">
      <c r="A128" s="5">
        <f>Data!A127</f>
        <v/>
      </c>
      <c r="B128" s="5">
        <f>Data!B127</f>
        <v/>
      </c>
      <c r="C128" s="5">
        <f>Data!C127</f>
        <v/>
      </c>
      <c r="D128" s="5">
        <f>Data!I127</f>
        <v/>
      </c>
      <c r="E128" s="5">
        <f>Data!J127</f>
        <v/>
      </c>
      <c r="F128" s="5">
        <f>Data!H127</f>
        <v/>
      </c>
      <c r="G128" s="5">
        <f>SUM(Data!Q127:Data!Y127)</f>
        <v/>
      </c>
      <c r="H128" s="5">
        <f>Data!Z127</f>
        <v/>
      </c>
      <c r="I128" s="5">
        <f>Data!AB127</f>
        <v/>
      </c>
      <c r="J128" s="5">
        <f>Data!AD127</f>
        <v/>
      </c>
      <c r="K128" s="5">
        <f>Data!AE127</f>
        <v/>
      </c>
      <c r="L128" s="5">
        <f>Data!AF127</f>
        <v/>
      </c>
      <c r="M128" s="5">
        <f>Data!AG127</f>
        <v/>
      </c>
      <c r="N128" s="5">
        <f>Data!AH127</f>
        <v/>
      </c>
      <c r="O128" s="5">
        <f>Data!AI127</f>
        <v/>
      </c>
      <c r="P128" s="5">
        <f>Data!AJ127</f>
        <v/>
      </c>
      <c r="Q128" s="5">
        <f>Data!AK127</f>
        <v/>
      </c>
      <c r="R128" s="5">
        <f>Data!AL127</f>
        <v/>
      </c>
    </row>
    <row r="129">
      <c r="A129" s="8" t="inlineStr">
        <is>
          <t>TOTAL</t>
        </is>
      </c>
      <c r="B129" s="8" t="n"/>
      <c r="C129" s="8" t="n"/>
      <c r="D129" s="8" t="n"/>
      <c r="E129" s="8" t="n"/>
      <c r="F129" s="8" t="n"/>
      <c r="G129" s="8">
        <f>SUM(G4:G128)</f>
        <v/>
      </c>
      <c r="H129" s="8">
        <f>SUM(H4:H128)</f>
        <v/>
      </c>
      <c r="I129" s="8">
        <f>SUM(I4:I128)</f>
        <v/>
      </c>
      <c r="J129" s="8">
        <f>SUM(J4:J128)</f>
        <v/>
      </c>
      <c r="K129" s="8">
        <f>SUM(K4:K128)</f>
        <v/>
      </c>
      <c r="L129" s="8">
        <f>SUM(L4:L128)</f>
        <v/>
      </c>
      <c r="M129" s="8">
        <f>SUM(M4:M128)</f>
        <v/>
      </c>
      <c r="N129" s="8">
        <f>SUM(N4:N128)</f>
        <v/>
      </c>
      <c r="O129" s="8">
        <f>SUM(O4:O128)</f>
        <v/>
      </c>
      <c r="P129" s="8">
        <f>SUM(P4:P128)</f>
        <v/>
      </c>
      <c r="Q129" s="8">
        <f>SUM(Q4:Q128)</f>
        <v/>
      </c>
      <c r="R129" s="8">
        <f>SUM(R4:R128)</f>
        <v/>
      </c>
    </row>
    <row r="131">
      <c r="A131" s="6" t="inlineStr">
        <is>
          <t>NOTE: 1 row(s) highlighted above have NO Pickup Name (Pickup code also blank) — verify the pickup depot for BK No: HASLS22260900416</t>
        </is>
      </c>
    </row>
  </sheetData>
  <autoFilter ref="A3:R128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5" t="inlineStr">
        <is>
          <t>BKK</t>
        </is>
      </c>
      <c r="B3" s="5" t="inlineStr">
        <is>
          <t>BKK01+BKK04</t>
        </is>
      </c>
      <c r="C3" s="5" t="inlineStr">
        <is>
          <t>PAT TERMINAL 1 &amp; 2 (PORT AUTHORITY OF THAILAND)</t>
        </is>
      </c>
      <c r="D3" s="9">
        <f>COUNTIF(Data!$I:$I,"BKK01")+COUNTIF(Data!$I:$I,"BKK04")</f>
        <v/>
      </c>
      <c r="E3" s="9">
        <f>SUMIF(Data!$I:$I,"BKK01",Data!$AD:$AD)+SUMIF(Data!$I:$I,"BKK04",Data!$AD:$AD)</f>
        <v/>
      </c>
      <c r="F3" s="9">
        <f>SUMIF(Data!$I:$I,"BKK01",Data!$AE:$AE)+SUMIF(Data!$I:$I,"BKK04",Data!$AE:$AE)</f>
        <v/>
      </c>
      <c r="G3" s="9">
        <f>SUMIF(Data!$I:$I,"BKK01",Data!$AF:$AF)+SUMIF(Data!$I:$I,"BKK04",Data!$AF:$AF)</f>
        <v/>
      </c>
      <c r="H3" s="9">
        <f>SUMIF(Data!$I:$I,"BKK01",Data!$AG:$AG)+SUMIF(Data!$I:$I,"BKK04",Data!$AG:$AG)</f>
        <v/>
      </c>
      <c r="I3" s="9">
        <f>SUMIF(Data!$I:$I,"BKK01",Data!$AH:$AH)+SUMIF(Data!$I:$I,"BKK04",Data!$AH:$AH)</f>
        <v/>
      </c>
      <c r="J3" s="9">
        <f>SUMIF(Data!$I:$I,"BKK01",Data!$AI:$AI)+SUMIF(Data!$I:$I,"BKK04",Data!$AI:$AI)</f>
        <v/>
      </c>
      <c r="K3" s="9">
        <f>SUMIF(Data!$I:$I,"BKK01",Data!$AJ:$AJ)+SUMIF(Data!$I:$I,"BKK04",Data!$AJ:$AJ)</f>
        <v/>
      </c>
      <c r="L3" s="9">
        <f>SUMIF(Data!$I:$I,"BKK01",Data!$AK:$AK)+SUMIF(Data!$I:$I,"BKK04",Data!$AK:$AK)</f>
        <v/>
      </c>
      <c r="M3" s="9">
        <f>SUMIF(Data!$I:$I,"BKK01",Data!$AL:$AL)+SUMIF(Data!$I:$I,"BKK04",Data!$AL:$AL)</f>
        <v/>
      </c>
      <c r="N3" s="9">
        <f>SUM(E3:M3)</f>
        <v/>
      </c>
    </row>
    <row r="4">
      <c r="A4" s="5" t="inlineStr">
        <is>
          <t>BKK</t>
        </is>
      </c>
      <c r="B4" s="5" t="inlineStr">
        <is>
          <t>BKK25</t>
        </is>
      </c>
      <c r="C4" s="5" t="inlineStr">
        <is>
          <t>Smart Logistics Service (Thailand ) Co.,Ltd.</t>
        </is>
      </c>
      <c r="D4" s="9">
        <f>COUNTIF(Data!$I:$I,"BKK25")</f>
        <v/>
      </c>
      <c r="E4" s="9">
        <f>SUMIF(Data!$I:$I,"BKK25",Data!$AD:$AD)</f>
        <v/>
      </c>
      <c r="F4" s="9">
        <f>SUMIF(Data!$I:$I,"BKK25",Data!$AE:$AE)</f>
        <v/>
      </c>
      <c r="G4" s="9">
        <f>SUMIF(Data!$I:$I,"BKK25",Data!$AF:$AF)</f>
        <v/>
      </c>
      <c r="H4" s="9">
        <f>SUMIF(Data!$I:$I,"BKK25",Data!$AG:$AG)</f>
        <v/>
      </c>
      <c r="I4" s="9">
        <f>SUMIF(Data!$I:$I,"BKK25",Data!$AH:$AH)</f>
        <v/>
      </c>
      <c r="J4" s="9">
        <f>SUMIF(Data!$I:$I,"BKK25",Data!$AI:$AI)</f>
        <v/>
      </c>
      <c r="K4" s="9">
        <f>SUMIF(Data!$I:$I,"BKK25",Data!$AJ:$AJ)</f>
        <v/>
      </c>
      <c r="L4" s="9">
        <f>SUMIF(Data!$I:$I,"BKK25",Data!$AK:$AK)</f>
        <v/>
      </c>
      <c r="M4" s="9">
        <f>SUMIF(Data!$I:$I,"BKK25",Data!$AL:$AL)</f>
        <v/>
      </c>
      <c r="N4" s="9">
        <f>SUM(E4:M4)</f>
        <v/>
      </c>
    </row>
    <row r="5">
      <c r="A5" s="5" t="inlineStr">
        <is>
          <t>BKK</t>
        </is>
      </c>
      <c r="B5" s="5" t="inlineStr">
        <is>
          <t>BKK27</t>
        </is>
      </c>
      <c r="C5" s="5" t="inlineStr">
        <is>
          <t>B.C. DEPOT CO.,LTD. ( Bang-Na KM.18)</t>
        </is>
      </c>
      <c r="D5" s="9">
        <f>COUNTIF(Data!$I:$I,"BKK27")</f>
        <v/>
      </c>
      <c r="E5" s="9">
        <f>SUMIF(Data!$I:$I,"BKK27",Data!$AD:$AD)</f>
        <v/>
      </c>
      <c r="F5" s="9">
        <f>SUMIF(Data!$I:$I,"BKK27",Data!$AE:$AE)</f>
        <v/>
      </c>
      <c r="G5" s="9">
        <f>SUMIF(Data!$I:$I,"BKK27",Data!$AF:$AF)</f>
        <v/>
      </c>
      <c r="H5" s="9">
        <f>SUMIF(Data!$I:$I,"BKK27",Data!$AG:$AG)</f>
        <v/>
      </c>
      <c r="I5" s="9">
        <f>SUMIF(Data!$I:$I,"BKK27",Data!$AH:$AH)</f>
        <v/>
      </c>
      <c r="J5" s="9">
        <f>SUMIF(Data!$I:$I,"BKK27",Data!$AI:$AI)</f>
        <v/>
      </c>
      <c r="K5" s="9">
        <f>SUMIF(Data!$I:$I,"BKK27",Data!$AJ:$AJ)</f>
        <v/>
      </c>
      <c r="L5" s="9">
        <f>SUMIF(Data!$I:$I,"BKK27",Data!$AK:$AK)</f>
        <v/>
      </c>
      <c r="M5" s="9">
        <f>SUMIF(Data!$I:$I,"BKK27",Data!$AL:$AL)</f>
        <v/>
      </c>
      <c r="N5" s="9">
        <f>SUM(E5:M5)</f>
        <v/>
      </c>
    </row>
    <row r="6">
      <c r="A6" s="5" t="inlineStr">
        <is>
          <t>LCH</t>
        </is>
      </c>
      <c r="B6" s="5" t="inlineStr">
        <is>
          <t>LCH27</t>
        </is>
      </c>
      <c r="C6" s="5" t="inlineStr">
        <is>
          <t>HAST Logistics Co.,Ltd.</t>
        </is>
      </c>
      <c r="D6" s="9">
        <f>COUNTIF(Data!$I:$I,"LCH27")</f>
        <v/>
      </c>
      <c r="E6" s="9">
        <f>SUMIF(Data!$I:$I,"LCH27",Data!$AD:$AD)</f>
        <v/>
      </c>
      <c r="F6" s="9">
        <f>SUMIF(Data!$I:$I,"LCH27",Data!$AE:$AE)</f>
        <v/>
      </c>
      <c r="G6" s="9">
        <f>SUMIF(Data!$I:$I,"LCH27",Data!$AF:$AF)</f>
        <v/>
      </c>
      <c r="H6" s="9">
        <f>SUMIF(Data!$I:$I,"LCH27",Data!$AG:$AG)</f>
        <v/>
      </c>
      <c r="I6" s="9">
        <f>SUMIF(Data!$I:$I,"LCH27",Data!$AH:$AH)</f>
        <v/>
      </c>
      <c r="J6" s="9">
        <f>SUMIF(Data!$I:$I,"LCH27",Data!$AI:$AI)</f>
        <v/>
      </c>
      <c r="K6" s="9">
        <f>SUMIF(Data!$I:$I,"LCH27",Data!$AJ:$AJ)</f>
        <v/>
      </c>
      <c r="L6" s="9">
        <f>SUMIF(Data!$I:$I,"LCH27",Data!$AK:$AK)</f>
        <v/>
      </c>
      <c r="M6" s="9">
        <f>SUMIF(Data!$I:$I,"LCH27",Data!$AL:$AL)</f>
        <v/>
      </c>
      <c r="N6" s="9">
        <f>SUM(E6:M6)</f>
        <v/>
      </c>
    </row>
    <row r="7">
      <c r="A7" s="5" t="inlineStr">
        <is>
          <t>LCH</t>
        </is>
      </c>
      <c r="B7" s="5" t="inlineStr">
        <is>
          <t>LCH28</t>
        </is>
      </c>
      <c r="C7" s="5" t="inlineStr">
        <is>
          <t>CELLO</t>
        </is>
      </c>
      <c r="D7" s="9">
        <f>COUNTIF(Data!$I:$I,"LCH28")</f>
        <v/>
      </c>
      <c r="E7" s="9">
        <f>SUMIF(Data!$I:$I,"LCH28",Data!$AD:$AD)</f>
        <v/>
      </c>
      <c r="F7" s="9">
        <f>SUMIF(Data!$I:$I,"LCH28",Data!$AE:$AE)</f>
        <v/>
      </c>
      <c r="G7" s="9">
        <f>SUMIF(Data!$I:$I,"LCH28",Data!$AF:$AF)</f>
        <v/>
      </c>
      <c r="H7" s="9">
        <f>SUMIF(Data!$I:$I,"LCH28",Data!$AG:$AG)</f>
        <v/>
      </c>
      <c r="I7" s="9">
        <f>SUMIF(Data!$I:$I,"LCH28",Data!$AH:$AH)</f>
        <v/>
      </c>
      <c r="J7" s="9">
        <f>SUMIF(Data!$I:$I,"LCH28",Data!$AI:$AI)</f>
        <v/>
      </c>
      <c r="K7" s="9">
        <f>SUMIF(Data!$I:$I,"LCH28",Data!$AJ:$AJ)</f>
        <v/>
      </c>
      <c r="L7" s="9">
        <f>SUMIF(Data!$I:$I,"LCH28",Data!$AK:$AK)</f>
        <v/>
      </c>
      <c r="M7" s="9">
        <f>SUMIF(Data!$I:$I,"LCH28",Data!$AL:$AL)</f>
        <v/>
      </c>
      <c r="N7" s="9">
        <f>SUM(E7:M7)</f>
        <v/>
      </c>
    </row>
    <row r="8">
      <c r="A8" s="5" t="inlineStr">
        <is>
          <t>LCH</t>
        </is>
      </c>
      <c r="B8" s="5" t="inlineStr">
        <is>
          <t>LCHY5</t>
        </is>
      </c>
      <c r="C8" s="5" t="inlineStr">
        <is>
          <t>PW DEPOT CO., LTD.</t>
        </is>
      </c>
      <c r="D8" s="9">
        <f>COUNTIF(Data!$I:$I,"LCHY5")</f>
        <v/>
      </c>
      <c r="E8" s="9">
        <f>SUMIF(Data!$I:$I,"LCHY5",Data!$AD:$AD)</f>
        <v/>
      </c>
      <c r="F8" s="9">
        <f>SUMIF(Data!$I:$I,"LCHY5",Data!$AE:$AE)</f>
        <v/>
      </c>
      <c r="G8" s="9">
        <f>SUMIF(Data!$I:$I,"LCHY5",Data!$AF:$AF)</f>
        <v/>
      </c>
      <c r="H8" s="9">
        <f>SUMIF(Data!$I:$I,"LCHY5",Data!$AG:$AG)</f>
        <v/>
      </c>
      <c r="I8" s="9">
        <f>SUMIF(Data!$I:$I,"LCHY5",Data!$AH:$AH)</f>
        <v/>
      </c>
      <c r="J8" s="9">
        <f>SUMIF(Data!$I:$I,"LCHY5",Data!$AI:$AI)</f>
        <v/>
      </c>
      <c r="K8" s="9">
        <f>SUMIF(Data!$I:$I,"LCHY5",Data!$AJ:$AJ)</f>
        <v/>
      </c>
      <c r="L8" s="9">
        <f>SUMIF(Data!$I:$I,"LCHY5",Data!$AK:$AK)</f>
        <v/>
      </c>
      <c r="M8" s="9">
        <f>SUMIF(Data!$I:$I,"LCHY5",Data!$AL:$AL)</f>
        <v/>
      </c>
      <c r="N8" s="9">
        <f>SUM(E8:M8)</f>
        <v/>
      </c>
    </row>
    <row r="9">
      <c r="A9" s="8" t="inlineStr">
        <is>
          <t>TOTAL</t>
        </is>
      </c>
      <c r="B9" s="8" t="n"/>
      <c r="C9" s="8" t="n"/>
      <c r="D9" s="10">
        <f>SUM(D3:D8)</f>
        <v/>
      </c>
      <c r="E9" s="10">
        <f>SUM(E3:E8)</f>
        <v/>
      </c>
      <c r="F9" s="10">
        <f>SUM(F3:F8)</f>
        <v/>
      </c>
      <c r="G9" s="10">
        <f>SUM(G3:G8)</f>
        <v/>
      </c>
      <c r="H9" s="10">
        <f>SUM(H3:H8)</f>
        <v/>
      </c>
      <c r="I9" s="10">
        <f>SUM(I3:I8)</f>
        <v/>
      </c>
      <c r="J9" s="10">
        <f>SUM(J3:J8)</f>
        <v/>
      </c>
      <c r="K9" s="10">
        <f>SUM(K3:K8)</f>
        <v/>
      </c>
      <c r="L9" s="10">
        <f>SUM(L3:L8)</f>
        <v/>
      </c>
      <c r="M9" s="10">
        <f>SUM(M3:M8)</f>
        <v/>
      </c>
      <c r="N9" s="10">
        <f>SUM(N3:N8)</f>
        <v/>
      </c>
    </row>
    <row r="12">
      <c r="C12" s="11" t="inlineStr">
        <is>
          <t>Group</t>
        </is>
      </c>
      <c r="D12" s="11" t="inlineStr">
        <is>
          <t>Number of Records</t>
        </is>
      </c>
      <c r="E12" s="11" t="inlineStr">
        <is>
          <t>GP22</t>
        </is>
      </c>
      <c r="F12" s="11" t="inlineStr">
        <is>
          <t>GP42</t>
        </is>
      </c>
      <c r="G12" s="11" t="inlineStr">
        <is>
          <t>GP45</t>
        </is>
      </c>
      <c r="H12" s="11" t="inlineStr">
        <is>
          <t>RE22</t>
        </is>
      </c>
      <c r="I12" s="11" t="inlineStr">
        <is>
          <t>RE45</t>
        </is>
      </c>
      <c r="J12" s="11" t="inlineStr">
        <is>
          <t>UT22</t>
        </is>
      </c>
      <c r="K12" s="11" t="inlineStr">
        <is>
          <t>UT42</t>
        </is>
      </c>
      <c r="L12" s="11" t="inlineStr">
        <is>
          <t>PC22</t>
        </is>
      </c>
      <c r="M12" s="11" t="inlineStr">
        <is>
          <t>PC42</t>
        </is>
      </c>
      <c r="N12" s="11" t="inlineStr">
        <is>
          <t>Total Containers</t>
        </is>
      </c>
    </row>
    <row r="13">
      <c r="C13" s="11" t="inlineStr">
        <is>
          <t>BKK</t>
        </is>
      </c>
      <c r="D13" s="12">
        <f>COUNTIF(Data!$AC:$AC,"BKK")</f>
        <v/>
      </c>
      <c r="E13" s="12">
        <f>SUMIF(Data!$AC:$AC,"BKK",Data!$AD:$AD)</f>
        <v/>
      </c>
      <c r="F13" s="12">
        <f>SUMIF(Data!$AC:$AC,"BKK",Data!$AE:$AE)</f>
        <v/>
      </c>
      <c r="G13" s="12">
        <f>SUMIF(Data!$AC:$AC,"BKK",Data!$AF:$AF)</f>
        <v/>
      </c>
      <c r="H13" s="12">
        <f>SUMIF(Data!$AC:$AC,"BKK",Data!$AG:$AG)</f>
        <v/>
      </c>
      <c r="I13" s="12">
        <f>SUMIF(Data!$AC:$AC,"BKK",Data!$AH:$AH)</f>
        <v/>
      </c>
      <c r="J13" s="12">
        <f>SUMIF(Data!$AC:$AC,"BKK",Data!$AI:$AI)</f>
        <v/>
      </c>
      <c r="K13" s="12">
        <f>SUMIF(Data!$AC:$AC,"BKK",Data!$AJ:$AJ)</f>
        <v/>
      </c>
      <c r="L13" s="12">
        <f>SUMIF(Data!$AC:$AC,"BKK",Data!$AK:$AK)</f>
        <v/>
      </c>
      <c r="M13" s="12">
        <f>SUMIF(Data!$AC:$AC,"BKK",Data!$AL:$AL)</f>
        <v/>
      </c>
      <c r="N13" s="12">
        <f>SUM(E13:M13)</f>
        <v/>
      </c>
    </row>
    <row r="14">
      <c r="C14" s="11" t="inlineStr">
        <is>
          <t>LCH</t>
        </is>
      </c>
      <c r="D14" s="12">
        <f>COUNTIF(Data!$AC:$AC,"LCH")</f>
        <v/>
      </c>
      <c r="E14" s="12">
        <f>SUMIF(Data!$AC:$AC,"LCH",Data!$AD:$AD)</f>
        <v/>
      </c>
      <c r="F14" s="12">
        <f>SUMIF(Data!$AC:$AC,"LCH",Data!$AE:$AE)</f>
        <v/>
      </c>
      <c r="G14" s="12">
        <f>SUMIF(Data!$AC:$AC,"LCH",Data!$AF:$AF)</f>
        <v/>
      </c>
      <c r="H14" s="12">
        <f>SUMIF(Data!$AC:$AC,"LCH",Data!$AG:$AG)</f>
        <v/>
      </c>
      <c r="I14" s="12">
        <f>SUMIF(Data!$AC:$AC,"LCH",Data!$AH:$AH)</f>
        <v/>
      </c>
      <c r="J14" s="12">
        <f>SUMIF(Data!$AC:$AC,"LCH",Data!$AI:$AI)</f>
        <v/>
      </c>
      <c r="K14" s="12">
        <f>SUMIF(Data!$AC:$AC,"LCH",Data!$AJ:$AJ)</f>
        <v/>
      </c>
      <c r="L14" s="12">
        <f>SUMIF(Data!$AC:$AC,"LCH",Data!$AK:$AK)</f>
        <v/>
      </c>
      <c r="M14" s="12">
        <f>SUMIF(Data!$AC:$AC,"LCH",Data!$AL:$AL)</f>
        <v/>
      </c>
      <c r="N14" s="12">
        <f>SUM(E14:M14)</f>
        <v/>
      </c>
    </row>
    <row r="15">
      <c r="C15" s="8" t="inlineStr">
        <is>
          <t>GRAND TOTAL</t>
        </is>
      </c>
      <c r="D15" s="10">
        <f>SUM(D13:D14)</f>
        <v/>
      </c>
      <c r="E15" s="10">
        <f>SUM(E13:E14)</f>
        <v/>
      </c>
      <c r="F15" s="10">
        <f>SUM(F13:F14)</f>
        <v/>
      </c>
      <c r="G15" s="10">
        <f>SUM(G13:G14)</f>
        <v/>
      </c>
      <c r="H15" s="10">
        <f>SUM(H13:H14)</f>
        <v/>
      </c>
      <c r="I15" s="10">
        <f>SUM(I13:I14)</f>
        <v/>
      </c>
      <c r="J15" s="10">
        <f>SUM(J13:J14)</f>
        <v/>
      </c>
      <c r="K15" s="10">
        <f>SUM(K13:K14)</f>
        <v/>
      </c>
      <c r="L15" s="10">
        <f>SUM(L13:L14)</f>
        <v/>
      </c>
      <c r="M15" s="10">
        <f>SUM(M13:M14)</f>
        <v/>
      </c>
      <c r="N15" s="10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2026-09-17T10:54:42Z</dcterms:created>
  <dcterms:modified xmlns:dcterms="http://purl.org/dc/terms/" xmlns:xsi="http://www.w3.org/2001/XMLSchema-instance" xsi:type="dcterms:W3CDTF">2026-09-17T10:54:43Z</dcterms:modified>
</cp:coreProperties>
</file>