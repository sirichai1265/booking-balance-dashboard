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'Data'!$A$2:$AL$126</definedName>
    <definedName name="_xlnm._FilterDatabase" localSheetId="1" hidden="1">'Balance Summary'!$A$3:$R$127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9-15-PD.xls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202609211300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20260914</t>
        </is>
      </c>
      <c r="L3" s="4" t="inlineStr">
        <is>
          <t>MERCURIAL LOGISTICS  CO.,LTD</t>
        </is>
      </c>
      <c r="M3" s="4" t="inlineStr">
        <is>
          <t>UENO FINE CHEMICALS INDUSTRY (THAILAND) LTD.</t>
        </is>
      </c>
      <c r="N3" s="4" t="inlineStr">
        <is>
          <t>MALTITOL SYRUP</t>
        </is>
      </c>
      <c r="O3" s="4" t="inlineStr">
        <is>
          <t>Req food grade container due to commodity is food stuff.</t>
        </is>
      </c>
      <c r="P3" s="4" t="inlineStr">
        <is>
          <t>CY-RTN : 14-14/08/25026</t>
        </is>
      </c>
      <c r="Q3" s="4" t="n">
        <v>2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HASLS22260801247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202609221600</t>
        </is>
      </c>
      <c r="E4" s="4" t="n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20260915</t>
        </is>
      </c>
      <c r="L4" s="4" t="inlineStr">
        <is>
          <t>EXPEDITORS (THAILAND) LTD.</t>
        </is>
      </c>
      <c r="M4" s="4" t="inlineStr">
        <is>
          <t>NEOCOSMED CO., LTD.</t>
        </is>
      </c>
      <c r="N4" s="4" t="inlineStr">
        <is>
          <t>TOOTHPASTE</t>
        </is>
      </c>
      <c r="O4" s="4" t="inlineStr">
        <is>
          <t>GOOD AND CLEAN CONTAINER</t>
        </is>
      </c>
      <c r="P4" s="4" t="inlineStr">
        <is>
          <t xml:space="preserve">Pickup : 2026-09-15, Return : 2026-09-16 </t>
        </is>
      </c>
      <c r="Q4" s="4" t="n">
        <v>0</v>
      </c>
      <c r="R4" s="4" t="n">
        <v>0</v>
      </c>
      <c r="S4" s="4" t="n">
        <v>4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HASLS22260801252</t>
        </is>
      </c>
      <c r="B5" s="4" t="inlineStr">
        <is>
          <t>KJT</t>
        </is>
      </c>
      <c r="C5" s="4" t="inlineStr">
        <is>
          <t>2610N</t>
        </is>
      </c>
      <c r="D5" s="4" t="inlineStr">
        <is>
          <t>202609220800</t>
        </is>
      </c>
      <c r="E5" s="4" t="n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20'x4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20260910</t>
        </is>
      </c>
      <c r="L5" s="4" t="inlineStr">
        <is>
          <t>DSV AIR &amp; SEA LTD.</t>
        </is>
      </c>
      <c r="M5" s="4" t="inlineStr">
        <is>
          <t>CHEVRON (THAILAND) LIMITED</t>
        </is>
      </c>
      <c r="N5" s="4" t="inlineStr">
        <is>
          <t>LUBE OIL</t>
        </is>
      </c>
      <c r="O5" s="4" t="inlineStr">
        <is>
          <t>Req. Container condition  GRADE B+ CNTR / CLEAN CNTR WITH GOOD CONDITION / NO SMELL/NODAMAGES / STRONG &amp; SMOOTH FLOOR / NO NAILS / LOAD UNDERDECK</t>
        </is>
      </c>
      <c r="P5" s="4" t="inlineStr">
        <is>
          <t xml:space="preserve">Pickup : 2026-09-10, Return : 2026-09-11  (1ST RTN 11/09 W/O RENT) 
 </t>
        </is>
      </c>
      <c r="Q5" s="4" t="n">
        <v>4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2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HASLS22260801423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202609271700</t>
        </is>
      </c>
      <c r="E6" s="4" t="n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20260915</t>
        </is>
      </c>
      <c r="L6" s="4" t="inlineStr">
        <is>
          <t>DMU LOGISTICS (THAILAND) CO.,LTD</t>
        </is>
      </c>
      <c r="M6" s="4" t="inlineStr">
        <is>
          <t>TAKO FOODS INDUSTRY CO., LTD.</t>
        </is>
      </c>
      <c r="N6" s="4" t="inlineStr">
        <is>
          <t>COCONUT WATER</t>
        </is>
      </c>
      <c r="O6" s="4" t="inlineStr">
        <is>
          <t>GOOD AND CLEAN CONTAINER</t>
        </is>
      </c>
      <c r="P6" s="4" t="inlineStr">
        <is>
          <t>Pickup : 2026-09-15, Return : 2026-09-17</t>
        </is>
      </c>
      <c r="Q6" s="4" t="n">
        <v>2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HASLS22260801587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20260912</t>
        </is>
      </c>
      <c r="L7" s="4" t="inlineStr">
        <is>
          <t>KTC GLOBAL LOGISTICS CO., LTD.</t>
        </is>
      </c>
      <c r="M7" s="4" t="inlineStr">
        <is>
          <t>MEDIFOODS (THAILAND) CO., LTD.</t>
        </is>
      </c>
      <c r="N7" s="4" t="inlineStr">
        <is>
          <t>ORGANIC JASMINE RICE FLOUR 120MESH</t>
        </is>
      </c>
      <c r="O7" s="4" t="inlineStr">
        <is>
          <t>GOOD &amp; CLEAN CONTAINER</t>
        </is>
      </c>
      <c r="P7" s="4" t="inlineStr">
        <is>
          <t>Pickup : 2026-09-17, Return : 2026-09-17 Paperless Code 2835
Closing Time LKB 2026-09-19 @ 23.59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HASLS22260801612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n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20260908</t>
        </is>
      </c>
      <c r="L8" s="4" t="inlineStr">
        <is>
          <t>ONE WORLD LOGISTICS AND FREIGHT CO., LTD.</t>
        </is>
      </c>
      <c r="M8" s="4" t="inlineStr">
        <is>
          <t>DUNI (THAILAND) CO., LTD.</t>
        </is>
      </c>
      <c r="N8" s="4" t="inlineStr">
        <is>
          <t xml:space="preserve">PAPER NAPKIN </t>
        </is>
      </c>
      <c r="O8" s="4" t="inlineStr">
        <is>
          <t>REQ. GOOD GRADE CONTAINER</t>
        </is>
      </c>
      <c r="P8" s="4" t="inlineStr">
        <is>
          <t>Pickup : 2026-09-08, Return : 2026-09-09</t>
        </is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HASLS22260801626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20260915</t>
        </is>
      </c>
      <c r="L9" s="4" t="inlineStr">
        <is>
          <t>SONIC INTERFREIGHT PUBLIC COMPANY LIMITED</t>
        </is>
      </c>
      <c r="M9" s="4" t="inlineStr">
        <is>
          <t>THAI ASIA METAL AND TECHNO INDUSTRY CO., LTD.</t>
        </is>
      </c>
      <c r="N9" s="4" t="inlineStr">
        <is>
          <t>PIPE</t>
        </is>
      </c>
      <c r="O9" s="4" t="inlineStr">
        <is>
          <t>GOOD &amp; CLEAN CONT. NO SMELL</t>
        </is>
      </c>
      <c r="P9" s="4" t="inlineStr">
        <is>
          <t>Pickup : 2026-09-15, Return : 2026-09-16</t>
        </is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HASLS22260801726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202609221600</t>
        </is>
      </c>
      <c r="E10" s="4" t="n"/>
      <c r="F10" s="4" t="inlineStr">
        <is>
          <t>THBKK</t>
        </is>
      </c>
      <c r="G10" s="4" t="inlineStr">
        <is>
          <t>KRKAN</t>
        </is>
      </c>
      <c r="H10" s="4" t="inlineStr">
        <is>
          <t xml:space="preserve">40Hx1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20260912</t>
        </is>
      </c>
      <c r="L10" s="4" t="inlineStr">
        <is>
          <t>HARPERS SEA FREIGHT CO., LTD.</t>
        </is>
      </c>
      <c r="M10" s="4" t="inlineStr">
        <is>
          <t>THAI ASAHI CO., LTD.</t>
        </is>
      </c>
      <c r="N10" s="4" t="inlineStr">
        <is>
          <t xml:space="preserve">POTATO STARCH </t>
        </is>
      </c>
      <c r="O10" s="4" t="inlineStr">
        <is>
          <t>Grade A and food grade container</t>
        </is>
      </c>
      <c r="P10" s="4" t="inlineStr">
        <is>
          <t xml:space="preserve">Pickup : 2026-09-12, Return : 2026-09-17 </t>
        </is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HASLS22260801774</t>
        </is>
      </c>
      <c r="B11" s="4" t="inlineStr">
        <is>
          <t>KMTP</t>
        </is>
      </c>
      <c r="C11" s="4" t="inlineStr">
        <is>
          <t>2611N</t>
        </is>
      </c>
      <c r="D11" s="4" t="inlineStr">
        <is>
          <t>202609200900</t>
        </is>
      </c>
      <c r="E11" s="4" t="n"/>
      <c r="F11" s="4" t="inlineStr">
        <is>
          <t>THBKK</t>
        </is>
      </c>
      <c r="G11" s="4" t="inlineStr">
        <is>
          <t>CNXMN</t>
        </is>
      </c>
      <c r="H11" s="4" t="inlineStr">
        <is>
          <t xml:space="preserve">40Hx4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20260915</t>
        </is>
      </c>
      <c r="L11" s="4" t="inlineStr">
        <is>
          <t>DMU LOGISTICS (THAILAND) CO.,LTD</t>
        </is>
      </c>
      <c r="M11" s="4" t="inlineStr">
        <is>
          <t>COSMOS BREWERY (THAILAND) CO.,LTD.</t>
        </is>
      </c>
      <c r="N11" s="4" t="inlineStr">
        <is>
          <t>CHANG SODA WATER</t>
        </is>
      </c>
      <c r="O11" s="4" t="inlineStr">
        <is>
          <t>RQST GOOD CLEAN &amp; DRY CONT.</t>
        </is>
      </c>
      <c r="P11" s="4" t="inlineStr">
        <is>
          <t>CY-RTN : 15-16/09/2026</t>
        </is>
      </c>
      <c r="Q11" s="4" t="n">
        <v>0</v>
      </c>
      <c r="R11" s="4" t="n">
        <v>0</v>
      </c>
      <c r="S11" s="4" t="n">
        <v>4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3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HASLS22260801815</t>
        </is>
      </c>
      <c r="B12" s="4" t="inlineStr">
        <is>
          <t>SWBT</t>
        </is>
      </c>
      <c r="C12" s="4" t="inlineStr">
        <is>
          <t>2615N</t>
        </is>
      </c>
      <c r="D12" s="4" t="inlineStr">
        <is>
          <t>202609211300</t>
        </is>
      </c>
      <c r="E12" s="4" t="n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20'x2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20260915</t>
        </is>
      </c>
      <c r="L12" s="4" t="inlineStr">
        <is>
          <t>SEA FLEXI LOGISTICS CO.,LTD.</t>
        </is>
      </c>
      <c r="M12" s="4" t="inlineStr">
        <is>
          <t>THANAKORN VEGETABLE OIL PRODUCTS CO., LTD.</t>
        </is>
      </c>
      <c r="N12" s="4" t="inlineStr">
        <is>
          <t>LECITHIN</t>
        </is>
      </c>
      <c r="O12" s="4" t="inlineStr">
        <is>
          <t>** APPROVED BY GHL DD.25/08/2026** *FLEXIBAG ONDECK*
Survey : 2026-09-15, Pickup : 2026-09-16 REQUEST STRONG, CLEAN, FOOD GRADE CONTAINER</t>
        </is>
      </c>
      <c r="P12" s="4" t="inlineStr">
        <is>
          <t>** APPROVED BY GHL DD.25/08/2026** *FLEXIBAG ONDECK*
Survey : 2026-09-15 Pickup : 2026-09-16, Return : 2026-09-17</t>
        </is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HASLS22260801914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202609230900</t>
        </is>
      </c>
      <c r="E13" s="4" t="n"/>
      <c r="F13" s="4" t="inlineStr">
        <is>
          <t>THBKK</t>
        </is>
      </c>
      <c r="G13" s="4" t="inlineStr">
        <is>
          <t>KRPTK</t>
        </is>
      </c>
      <c r="H13" s="4" t="inlineStr">
        <is>
          <t xml:space="preserve">20'x33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20260915</t>
        </is>
      </c>
      <c r="L13" s="4" t="inlineStr">
        <is>
          <t>DP WORLD LOGISTICS SOLUTIONS (THAILAND) COMPANY LIMITED</t>
        </is>
      </c>
      <c r="M13" s="4" t="inlineStr">
        <is>
          <t>DP WORLD LOGISTICS SOLUTIONS (THAILAND) COMPANY LIMITED</t>
        </is>
      </c>
      <c r="N13" s="4" t="inlineStr">
        <is>
          <t>SOYBEAN OIL</t>
        </is>
      </c>
      <c r="O13" s="4" t="inlineStr">
        <is>
          <t>** APPROVAL MR.KIM GEON WOOK DD.25/08/2026  ** *FLEXIBAG ONDECK*
Servey: 15/09/2026, Pickup : 16/09/2026</t>
        </is>
      </c>
      <c r="P13" s="4" t="inlineStr">
        <is>
          <t xml:space="preserve">** APPROVAL MR.KIM GEON WOOK DD.25/08/2026  ** *FLEXIBAG ONDECK*
Servey: 15/09/2026, Pickup : 16/09/2026, Return : 17-18/09/2026 [1ST RTN 19/09/2026 W/O RENT] </t>
        </is>
      </c>
      <c r="Q13" s="4" t="n">
        <v>33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HASLS22260801939</t>
        </is>
      </c>
      <c r="B14" s="4" t="inlineStr">
        <is>
          <t>SWBT</t>
        </is>
      </c>
      <c r="C14" s="4" t="inlineStr">
        <is>
          <t>2615N</t>
        </is>
      </c>
      <c r="D14" s="4" t="inlineStr">
        <is>
          <t>202609211300</t>
        </is>
      </c>
      <c r="E14" s="4" t="n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40Hx1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20260905</t>
        </is>
      </c>
      <c r="L14" s="4" t="inlineStr">
        <is>
          <t>QUANTERM LOGISTICS (THAILAND) CO., LTD.</t>
        </is>
      </c>
      <c r="M14" s="4" t="inlineStr">
        <is>
          <t>VISTA DISTRIBUTION CO.,LTD.</t>
        </is>
      </c>
      <c r="N14" s="4" t="inlineStr">
        <is>
          <t>SNACK</t>
        </is>
      </c>
      <c r="O14" s="4" t="inlineStr">
        <is>
          <t>GOOD AND CLEAN CONTAINER</t>
        </is>
      </c>
      <c r="P14" s="4" t="inlineStr">
        <is>
          <t>Pickup : 2026-09-05, Return : 2026-09-07 (1ST RTN DD: 13/09/26 WO/RENT)</t>
        </is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HASLS22260802240</t>
        </is>
      </c>
      <c r="B15" s="4" t="inlineStr">
        <is>
          <t>KMTP</t>
        </is>
      </c>
      <c r="C15" s="4" t="inlineStr">
        <is>
          <t>2611N</t>
        </is>
      </c>
      <c r="D15" s="4" t="inlineStr">
        <is>
          <t>202609200900</t>
        </is>
      </c>
      <c r="E15" s="4" t="n"/>
      <c r="F15" s="4" t="inlineStr">
        <is>
          <t>THBKK</t>
        </is>
      </c>
      <c r="G15" s="4" t="inlineStr">
        <is>
          <t>CNXMN</t>
        </is>
      </c>
      <c r="H15" s="4" t="inlineStr">
        <is>
          <t xml:space="preserve">20'x6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20260912</t>
        </is>
      </c>
      <c r="L15" s="4" t="inlineStr">
        <is>
          <t>MARCH LOGISTICS CO., LTD.</t>
        </is>
      </c>
      <c r="M15" s="4" t="inlineStr">
        <is>
          <t>STARPRO STARCH (THAILAND) CO., LTD.</t>
        </is>
      </c>
      <c r="N15" s="4" t="inlineStr">
        <is>
          <t>STARCH</t>
        </is>
      </c>
      <c r="O15" s="4" t="inlineStr">
        <is>
          <t>GOOD AND CLEAN CONTAINER</t>
        </is>
      </c>
      <c r="P15" s="4" t="inlineStr">
        <is>
          <t xml:space="preserve">Pickup : 2026-09-12, Return : 2026-09-16 </t>
        </is>
      </c>
      <c r="Q15" s="4" t="n">
        <v>6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HASLS22260802265</t>
        </is>
      </c>
      <c r="B16" s="4" t="inlineStr">
        <is>
          <t>CMA</t>
        </is>
      </c>
      <c r="C16" s="4" t="inlineStr">
        <is>
          <t>2614N</t>
        </is>
      </c>
      <c r="D16" s="4" t="inlineStr">
        <is>
          <t>202609241200</t>
        </is>
      </c>
      <c r="E16" s="4" t="n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R40Hx1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20260914</t>
        </is>
      </c>
      <c r="L16" s="4" t="inlineStr">
        <is>
          <t>KWE-KINTETSU WORLD EXPRESS (THAILAND) CO., LTD.</t>
        </is>
      </c>
      <c r="M16" s="4" t="inlineStr">
        <is>
          <t>KIBUN (THAILAND) CO., LTD.</t>
        </is>
      </c>
      <c r="N16" s="4" t="inlineStr">
        <is>
          <t>FROZEN IMITATION CRAB MEAT</t>
        </is>
      </c>
      <c r="O16" s="4" t="inlineStr">
        <is>
          <t>(Temp -20.0 / Vent Close)  **REQ GOOD, CLEAN, NO LEAK AND GRADE A CONTAINER</t>
        </is>
      </c>
      <c r="P16" s="4" t="inlineStr">
        <is>
          <t>Pickup : 2026-09-19, Return : 2026-09-21 (Temp -20.0 / Vent Close) 
CLS TIME 22/09/26 @ 17.00 (1ST DATE RTN 21/09/2026 W/O RENT,ELECTRIC)</t>
        </is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1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HASLS22260802380</t>
        </is>
      </c>
      <c r="B17" s="4" t="inlineStr">
        <is>
          <t>KUS</t>
        </is>
      </c>
      <c r="C17" s="4" t="inlineStr">
        <is>
          <t>2615N</t>
        </is>
      </c>
      <c r="D17" s="4" t="inlineStr">
        <is>
          <t>202609222100</t>
        </is>
      </c>
      <c r="E17" s="4" t="n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40Hx1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20260903</t>
        </is>
      </c>
      <c r="L17" s="4" t="inlineStr">
        <is>
          <t>JGL WORLDWIDE (THAILAND) CO., LTD.</t>
        </is>
      </c>
      <c r="M17" s="4" t="inlineStr">
        <is>
          <t>ASIAN FOODS CO.,LTD.</t>
        </is>
      </c>
      <c r="N17" s="4" t="inlineStr">
        <is>
          <t xml:space="preserve">KRISPY ROLL </t>
        </is>
      </c>
      <c r="O17" s="4" t="inlineStr">
        <is>
          <t>GOOD AND CLEAN CONTAINER</t>
        </is>
      </c>
      <c r="P17" s="4" t="inlineStr">
        <is>
          <t>Pickup : 2026-09-03, Return : 2026-09-04 (1ST RTN DD: 17/09/26 WO/RENT)</t>
        </is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HASLS22260802434</t>
        </is>
      </c>
      <c r="B18" s="4" t="inlineStr">
        <is>
          <t>SWBT</t>
        </is>
      </c>
      <c r="C18" s="4" t="inlineStr">
        <is>
          <t>2615N</t>
        </is>
      </c>
      <c r="D18" s="4" t="inlineStr">
        <is>
          <t>202609211300</t>
        </is>
      </c>
      <c r="E18" s="4" t="n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40Hx1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20260914</t>
        </is>
      </c>
      <c r="L18" s="4" t="inlineStr">
        <is>
          <t>EAST-LINK CORPORATION CO., LTD.</t>
        </is>
      </c>
      <c r="M18" s="4" t="inlineStr">
        <is>
          <t>TNA INTERNATIONAL CO.,LTD.</t>
        </is>
      </c>
      <c r="N18" s="4" t="inlineStr">
        <is>
          <t>FERTILIZER</t>
        </is>
      </c>
      <c r="O18" s="4" t="inlineStr">
        <is>
          <t>RQS CLEAN &amp; GOOD CONTAINER CONDITION.</t>
        </is>
      </c>
      <c r="P18" s="4" t="inlineStr">
        <is>
          <t xml:space="preserve">Pickup : 2026-09-14, Return : 2026-09-14 </t>
        </is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HASLS22260802575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202609211000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R40Hx6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20260914</t>
        </is>
      </c>
      <c r="L19" s="4" t="inlineStr">
        <is>
          <t>SIAM I-LOGISTICS LTD.</t>
        </is>
      </c>
      <c r="M19" s="4" t="inlineStr">
        <is>
          <t>GOLDEN PRIZE CANNING CO., LTD.</t>
        </is>
      </c>
      <c r="N19" s="4" t="inlineStr">
        <is>
          <t>FROZEN TUNA</t>
        </is>
      </c>
      <c r="O19" s="4" t="inlineStr">
        <is>
          <t>(Temp -25.0℃ / Vent Close)
REQUEST GOOD AND CLEAN CONTAINER</t>
        </is>
      </c>
      <c r="P19" s="4" t="inlineStr">
        <is>
          <t>Pickup : 2026-09-14, Return : 2026-09-18 RF45REx6 (Temp -25.0 / Vent Close) 
Closing Time 2026-09-19 @ 18.00 ( 1ST RETUN 18/09 W/O RENT)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6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3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HASLS22260900005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202609211000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20'x1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20260915</t>
        </is>
      </c>
      <c r="L20" s="4" t="inlineStr">
        <is>
          <t>QUANTERM LOGISTICS (THAILAND) CO., LTD.</t>
        </is>
      </c>
      <c r="M20" s="4" t="inlineStr">
        <is>
          <t>ASAHIKASEI PLASTICS (THAILAND) CO., LTD.</t>
        </is>
      </c>
      <c r="N20" s="4" t="inlineStr">
        <is>
          <t>POLYAMIDE PLASTIC PELLET</t>
        </is>
      </c>
      <c r="O20" s="4" t="inlineStr">
        <is>
          <t>GOOD AND CLEAN CONTAINER</t>
        </is>
      </c>
      <c r="P20" s="4" t="inlineStr">
        <is>
          <t>Pickup : 2026-09-15, Return : 2026-09-16</t>
        </is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HASLS22260900075</t>
        </is>
      </c>
      <c r="B21" s="4" t="inlineStr">
        <is>
          <t>KMTP</t>
        </is>
      </c>
      <c r="C21" s="4" t="inlineStr">
        <is>
          <t>2611N</t>
        </is>
      </c>
      <c r="D21" s="4" t="inlineStr">
        <is>
          <t>202609200900</t>
        </is>
      </c>
      <c r="E21" s="4" t="n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20260914</t>
        </is>
      </c>
      <c r="L21" s="4" t="inlineStr">
        <is>
          <t>PRO 3 BUILD INTERNATIONAL CO., LTD.</t>
        </is>
      </c>
      <c r="M21" s="4" t="inlineStr">
        <is>
          <t>J &amp; B SIAM MARKETING CO.,LTD.</t>
        </is>
      </c>
      <c r="N21" s="4" t="inlineStr">
        <is>
          <t xml:space="preserve">FOODSTUFFS </t>
        </is>
      </c>
      <c r="O21" s="4" t="inlineStr">
        <is>
          <t>customer request container good grade for food stuff</t>
        </is>
      </c>
      <c r="P21" s="4" t="inlineStr">
        <is>
          <t xml:space="preserve">Pickup : 2026-09-14, Return : 2026-09-14 (1ST RTN 16/09 W/O RENT) 
 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HASLS22260900089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202609211000</t>
        </is>
      </c>
      <c r="E22" s="4" t="n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20260915</t>
        </is>
      </c>
      <c r="L22" s="4" t="inlineStr">
        <is>
          <t>ORCA FORWARD CO., LTD.</t>
        </is>
      </c>
      <c r="M22" s="4" t="inlineStr">
        <is>
          <t>SITTHINAN CO., LTD.</t>
        </is>
      </c>
      <c r="N22" s="4" t="inlineStr">
        <is>
          <t>MUNG BEAN STARCH</t>
        </is>
      </c>
      <c r="O22" s="4" t="inlineStr">
        <is>
          <t>GOOD AND CLEAN CONTAINER</t>
        </is>
      </c>
      <c r="P22" s="4" t="inlineStr">
        <is>
          <t>Pickup : 2026-09-15, Return : 2026-09-16 (1ST RETURN 16/09/26)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HASLS22260900134</t>
        </is>
      </c>
      <c r="B23" s="4" t="inlineStr">
        <is>
          <t>KJT</t>
        </is>
      </c>
      <c r="C23" s="4" t="inlineStr">
        <is>
          <t>2610N</t>
        </is>
      </c>
      <c r="D23" s="4" t="inlineStr">
        <is>
          <t>202609220800</t>
        </is>
      </c>
      <c r="E23" s="4" t="n"/>
      <c r="F23" s="4" t="inlineStr">
        <is>
          <t>THBKK</t>
        </is>
      </c>
      <c r="G23" s="4" t="inlineStr">
        <is>
          <t>HKHKG</t>
        </is>
      </c>
      <c r="H23" s="4" t="inlineStr">
        <is>
          <t xml:space="preserve">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20260912</t>
        </is>
      </c>
      <c r="L23" s="4" t="inlineStr">
        <is>
          <t>ACCORD PILOT LOGISTICS (THAILAND) CO., LTD.</t>
        </is>
      </c>
      <c r="M23" s="4" t="inlineStr">
        <is>
          <t>THAI PLASPAC PUBLIC CO.,LTD.</t>
        </is>
      </c>
      <c r="N23" s="4" t="inlineStr">
        <is>
          <t>PLASTIC CAP</t>
        </is>
      </c>
      <c r="O23" s="4" t="inlineStr">
        <is>
          <t>**REQUEST CLEAN AND GOOD CONTAINER</t>
        </is>
      </c>
      <c r="P23" s="4" t="inlineStr">
        <is>
          <t>Pickup : 2026-09-15, Return : 2026-09-16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HASLS22260900203</t>
        </is>
      </c>
      <c r="B24" s="4" t="inlineStr">
        <is>
          <t>SWBT</t>
        </is>
      </c>
      <c r="C24" s="4" t="inlineStr">
        <is>
          <t>2615N</t>
        </is>
      </c>
      <c r="D24" s="4" t="inlineStr">
        <is>
          <t>202609211300</t>
        </is>
      </c>
      <c r="E24" s="4" t="n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R40Hx4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20260915</t>
        </is>
      </c>
      <c r="L24" s="4" t="inlineStr">
        <is>
          <t>KODAI (THAILAND) CO., LTD.</t>
        </is>
      </c>
      <c r="M24" s="4" t="inlineStr">
        <is>
          <t>GLOBAL FROZEN FOOD (THAILAND) CO., LTD.</t>
        </is>
      </c>
      <c r="N24" s="4" t="inlineStr">
        <is>
          <t>FISH FROZEN</t>
        </is>
      </c>
      <c r="O24" s="4" t="inlineStr">
        <is>
          <t>(Temp -25.0℃ / Vent Close)</t>
        </is>
      </c>
      <c r="P24" s="4" t="inlineStr">
        <is>
          <t>Pickup : 2026-09-15, Return : 2026-09-17  (Temp -25.0 / Vent Close) 
CLS TIME 18/09/26 @23.59</t>
        </is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4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HASLS22260900295</t>
        </is>
      </c>
      <c r="B25" s="4" t="inlineStr">
        <is>
          <t>KJT</t>
        </is>
      </c>
      <c r="C25" s="4" t="inlineStr">
        <is>
          <t>2610N</t>
        </is>
      </c>
      <c r="D25" s="4" t="inlineStr">
        <is>
          <t>202609220800</t>
        </is>
      </c>
      <c r="E25" s="4" t="n"/>
      <c r="F25" s="4" t="inlineStr">
        <is>
          <t>THBKK</t>
        </is>
      </c>
      <c r="G25" s="4" t="inlineStr">
        <is>
          <t>TWKEL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20260914</t>
        </is>
      </c>
      <c r="L25" s="4" t="inlineStr">
        <is>
          <t>KTC GLOBAL LOGISTICS CO., LTD.</t>
        </is>
      </c>
      <c r="M25" s="4" t="inlineStr">
        <is>
          <t>DZQ CO.,LTD.</t>
        </is>
      </c>
      <c r="N25" s="4" t="inlineStr">
        <is>
          <t>FOODSTUFFS</t>
        </is>
      </c>
      <c r="O25" s="4" t="inlineStr">
        <is>
          <t>CONTAINER GOOD AND CLEAN</t>
        </is>
      </c>
      <c r="P25" s="4" t="inlineStr">
        <is>
          <t>Pickup : 2026-09-14, Return : 2026-09-15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HASLS22260900311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202609271400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20'x2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20260915</t>
        </is>
      </c>
      <c r="L26" s="4" t="inlineStr">
        <is>
          <t>RCL LOGISTICS CO., LTD.</t>
        </is>
      </c>
      <c r="M26" s="4" t="inlineStr">
        <is>
          <t>SMS CORPORATION CO., LTD.</t>
        </is>
      </c>
      <c r="N26" s="4" t="inlineStr">
        <is>
          <t>MODIFIED TAPIOCA STARCH</t>
        </is>
      </c>
      <c r="O26" s="4" t="inlineStr">
        <is>
          <t>FOOD GRADE CONTAINER / DO NOT RELEASE RED WALL CONTAINER</t>
        </is>
      </c>
      <c r="P26" s="4" t="inlineStr">
        <is>
          <t>Pickup : 2026-09-15, Return : 2026-09-17 *PAPERLESS CODE :2829*
CLS TIME AT SRP DD.19/09/2026 @ 23.00</t>
        </is>
      </c>
      <c r="Q26" s="4" t="n">
        <v>2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HASLS22260900775</t>
        </is>
      </c>
      <c r="B27" s="4" t="inlineStr">
        <is>
          <t>SWDN</t>
        </is>
      </c>
      <c r="C27" s="4" t="inlineStr">
        <is>
          <t>2610N</t>
        </is>
      </c>
      <c r="D27" s="4" t="inlineStr">
        <is>
          <t>202609300900</t>
        </is>
      </c>
      <c r="E27" s="4" t="n"/>
      <c r="F27" s="4" t="inlineStr">
        <is>
          <t>THBKK</t>
        </is>
      </c>
      <c r="G27" s="4" t="inlineStr">
        <is>
          <t>KRINC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20260915</t>
        </is>
      </c>
      <c r="L27" s="4" t="inlineStr">
        <is>
          <t>GATEWAY CONTAINER LINE CO., LTD.</t>
        </is>
      </c>
      <c r="M27" s="4" t="inlineStr">
        <is>
          <t>I-TAIL CORPORATION PUBLIC COMPANY LIMITED</t>
        </is>
      </c>
      <c r="N27" s="4" t="inlineStr">
        <is>
          <t>PET FOOD</t>
        </is>
      </c>
      <c r="O27" s="4" t="inlineStr">
        <is>
          <t>GOOD AND CLEAN CONTAINER</t>
        </is>
      </c>
      <c r="P27" s="4" t="inlineStr">
        <is>
          <t xml:space="preserve">Pickup : 2026-09-15, Return : 2026-09-16 (1ST RTN 25/09 W/O RENT) 
 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HASLS22260900857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202609241200</t>
        </is>
      </c>
      <c r="E28" s="4" t="n"/>
      <c r="F28" s="4" t="inlineStr">
        <is>
          <t>THBKK</t>
        </is>
      </c>
      <c r="G28" s="4" t="inlineStr">
        <is>
          <t>TWKEL</t>
        </is>
      </c>
      <c r="H28" s="4" t="inlineStr">
        <is>
          <t xml:space="preserve">20'x1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20260915</t>
        </is>
      </c>
      <c r="L28" s="4" t="inlineStr">
        <is>
          <t>YUSEN LOGISTICS (THAILAND) CO., LTD.</t>
        </is>
      </c>
      <c r="M28" s="4" t="inlineStr">
        <is>
          <t>YUSEN LOGISTICS (THAILAND) CO., LTD.</t>
        </is>
      </c>
      <c r="N28" s="4" t="inlineStr">
        <is>
          <t>PRINTING FOR INDUSTRY</t>
        </is>
      </c>
      <c r="O28" s="4" t="inlineStr">
        <is>
          <t>GOOD AND CLEAN CONTAINER</t>
        </is>
      </c>
      <c r="P28" s="4" t="inlineStr">
        <is>
          <t>Pickup : 2026-09-15, Return : 2026-05-15 (1ST RTN DD: 20/09/23 WO/RENT)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HASLS22260900991</t>
        </is>
      </c>
      <c r="B29" s="4" t="inlineStr">
        <is>
          <t>SWMM</t>
        </is>
      </c>
      <c r="C29" s="4" t="inlineStr">
        <is>
          <t>2609N</t>
        </is>
      </c>
      <c r="D29" s="4" t="inlineStr">
        <is>
          <t>202609230900</t>
        </is>
      </c>
      <c r="E29" s="4" t="n"/>
      <c r="F29" s="4" t="inlineStr">
        <is>
          <t>THBKK</t>
        </is>
      </c>
      <c r="G29" s="4" t="inlineStr">
        <is>
          <t>RUVVO</t>
        </is>
      </c>
      <c r="H29" s="4" t="inlineStr">
        <is>
          <t xml:space="preserve">20'x5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20260914</t>
        </is>
      </c>
      <c r="L29" s="4" t="inlineStr">
        <is>
          <t>RICELAND INTERNATIONAL LTD.</t>
        </is>
      </c>
      <c r="M29" s="4" t="inlineStr">
        <is>
          <t>RICELAND INTERNATIONAL LTD.</t>
        </is>
      </c>
      <c r="N29" s="4" t="inlineStr">
        <is>
          <t>Thai Parboiled Rice 100%</t>
        </is>
      </c>
      <c r="O29" s="4" t="inlineStr">
        <is>
          <t>RQST CNTR GRADE A &amp; CLEAN</t>
        </is>
      </c>
      <c r="P29" s="4" t="inlineStr">
        <is>
          <t xml:space="preserve">CY-RTN : 14-15/09/2026 (1ST RETURN CNTR DD.19/09/2026 WTIHOUT RENT**
RQST CNTR GRADE A &amp; CLEAN
</t>
        </is>
      </c>
      <c r="Q29" s="4" t="n">
        <v>5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HASLS22260900992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202609230900</t>
        </is>
      </c>
      <c r="E30" s="4" t="n"/>
      <c r="F30" s="4" t="inlineStr">
        <is>
          <t>THBKK</t>
        </is>
      </c>
      <c r="G30" s="4" t="inlineStr">
        <is>
          <t>RUVVO</t>
        </is>
      </c>
      <c r="H30" s="4" t="inlineStr">
        <is>
          <t xml:space="preserve">20'x5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20260914</t>
        </is>
      </c>
      <c r="L30" s="4" t="inlineStr">
        <is>
          <t>RICELAND INTERNATIONAL LTD.</t>
        </is>
      </c>
      <c r="M30" s="4" t="inlineStr">
        <is>
          <t>RICELAND INTERNATIONAL LTD.</t>
        </is>
      </c>
      <c r="N30" s="4" t="inlineStr">
        <is>
          <t>Thai White Rice 100%</t>
        </is>
      </c>
      <c r="O30" s="4" t="inlineStr">
        <is>
          <t>RQST CNTR GRADE A &amp; CLEAN</t>
        </is>
      </c>
      <c r="P30" s="4" t="inlineStr">
        <is>
          <t xml:space="preserve">CY-RTN : 14-15/09/2026 (1ST RETURN CNTR DD.19/09/2026 WTIHOUT RENT)
RQST CNTR GRADE A &amp; CLEAN
</t>
        </is>
      </c>
      <c r="Q30" s="4" t="n">
        <v>5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HASLS22260701890</t>
        </is>
      </c>
      <c r="B31" s="4" t="inlineStr">
        <is>
          <t>SWBT</t>
        </is>
      </c>
      <c r="C31" s="4" t="inlineStr">
        <is>
          <t>2615N</t>
        </is>
      </c>
      <c r="D31" s="4" t="inlineStr">
        <is>
          <t>202609220700</t>
        </is>
      </c>
      <c r="E31" s="4" t="n"/>
      <c r="F31" s="4" t="inlineStr">
        <is>
          <t>THLCH</t>
        </is>
      </c>
      <c r="G31" s="4" t="inlineStr">
        <is>
          <t>KRPTK</t>
        </is>
      </c>
      <c r="H31" s="4" t="inlineStr">
        <is>
          <t xml:space="preserve">40Hx1 </t>
        </is>
      </c>
      <c r="I31" s="4" t="inlineStr">
        <is>
          <t>LCH28</t>
        </is>
      </c>
      <c r="J31" s="4" t="inlineStr">
        <is>
          <t>CELLO</t>
        </is>
      </c>
      <c r="K31" s="4" t="inlineStr">
        <is>
          <t>20260912</t>
        </is>
      </c>
      <c r="L31" s="4" t="inlineStr">
        <is>
          <t>SDS-ACUTECH CO., LTD.</t>
        </is>
      </c>
      <c r="M31" s="4" t="inlineStr">
        <is>
          <t>TPV TECHNOLOGY (THAILAND) CO., LTD.</t>
        </is>
      </c>
      <c r="N31" s="4" t="inlineStr">
        <is>
          <t>MONITOR SCREEN</t>
        </is>
      </c>
      <c r="O31" s="4" t="inlineStr">
        <is>
          <t>GOOD AND CLEAN CONTAINER</t>
        </is>
      </c>
      <c r="P31" s="4" t="inlineStr">
        <is>
          <t xml:space="preserve">Pickup : 2026-09-12, Return : 2026-09-13 [1ST RTN 14/09/2026 W/O RENT]
** PLEASE CHECK OPEN GATE BEFORE RETURN CONTAINER ** </t>
        </is>
      </c>
      <c r="Q31" s="4" t="n">
        <v>0</v>
      </c>
      <c r="R31" s="4" t="n">
        <v>0</v>
      </c>
      <c r="S31" s="4" t="n">
        <v>1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HASLS22260802485</t>
        </is>
      </c>
      <c r="B32" s="4" t="inlineStr">
        <is>
          <t>SWVG</t>
        </is>
      </c>
      <c r="C32" s="4" t="inlineStr">
        <is>
          <t>2612N</t>
        </is>
      </c>
      <c r="D32" s="4" t="inlineStr">
        <is>
          <t>202610031830</t>
        </is>
      </c>
      <c r="E32" s="4" t="n"/>
      <c r="F32" s="4" t="inlineStr">
        <is>
          <t>THLCH</t>
        </is>
      </c>
      <c r="G32" s="4" t="inlineStr">
        <is>
          <t>JPIYM</t>
        </is>
      </c>
      <c r="H32" s="4" t="inlineStr">
        <is>
          <t xml:space="preserve">20'x2 </t>
        </is>
      </c>
      <c r="I32" s="4" t="inlineStr">
        <is>
          <t>LCH28</t>
        </is>
      </c>
      <c r="J32" s="4" t="inlineStr">
        <is>
          <t>CELLO</t>
        </is>
      </c>
      <c r="K32" s="4" t="inlineStr">
        <is>
          <t>20260914</t>
        </is>
      </c>
      <c r="L32" s="4" t="inlineStr">
        <is>
          <t>WHA GC LOGISTICS COMPANY LIMITED</t>
        </is>
      </c>
      <c r="M32" s="4" t="inlineStr">
        <is>
          <t>PTT GLOBAL CHEMICAL PUBLIC COMPANY LIMITED</t>
        </is>
      </c>
      <c r="N32" s="4" t="inlineStr">
        <is>
          <t>RESIN</t>
        </is>
      </c>
      <c r="O32" s="4" t="inlineStr">
        <is>
          <t>GOOD AND CLEAN CTNR</t>
        </is>
      </c>
      <c r="P32" s="4" t="inlineStr">
        <is>
          <t xml:space="preserve">CY-RTN 14-27/09/26 </t>
        </is>
      </c>
      <c r="Q32" s="4" t="n">
        <v>2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HASLS22260901089</t>
        </is>
      </c>
      <c r="B33" s="4" t="inlineStr">
        <is>
          <t>SWVG</t>
        </is>
      </c>
      <c r="C33" s="4" t="inlineStr">
        <is>
          <t>2612N</t>
        </is>
      </c>
      <c r="D33" s="4" t="inlineStr">
        <is>
          <t>202610031830</t>
        </is>
      </c>
      <c r="E33" s="4" t="n"/>
      <c r="F33" s="4" t="inlineStr">
        <is>
          <t>THLCH</t>
        </is>
      </c>
      <c r="G33" s="4" t="inlineStr">
        <is>
          <t>JPIYM</t>
        </is>
      </c>
      <c r="H33" s="4" t="inlineStr">
        <is>
          <t xml:space="preserve">20'x1 </t>
        </is>
      </c>
      <c r="I33" s="4" t="inlineStr">
        <is>
          <t>LCH28</t>
        </is>
      </c>
      <c r="J33" s="4" t="inlineStr">
        <is>
          <t>CELLO</t>
        </is>
      </c>
      <c r="K33" s="4" t="inlineStr">
        <is>
          <t>20260914</t>
        </is>
      </c>
      <c r="L33" s="4" t="inlineStr">
        <is>
          <t>WHA GC LOGISTICS COMPANY LIMITED</t>
        </is>
      </c>
      <c r="M33" s="4" t="inlineStr">
        <is>
          <t>PTT GLOBAL CHEMICAL PUBLIC COMPANY LIMITED</t>
        </is>
      </c>
      <c r="N33" s="4" t="inlineStr">
        <is>
          <t>RESIN</t>
        </is>
      </c>
      <c r="O33" s="4" t="inlineStr">
        <is>
          <t>GOOD AND CLEAN CTNR</t>
        </is>
      </c>
      <c r="P33" s="4" t="inlineStr">
        <is>
          <t xml:space="preserve">CY-RTN 14-27/09/26 </t>
        </is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HASLS22260700701</t>
        </is>
      </c>
      <c r="B34" s="4" t="inlineStr">
        <is>
          <t>ICVY</t>
        </is>
      </c>
      <c r="C34" s="4" t="inlineStr">
        <is>
          <t>2607S</t>
        </is>
      </c>
      <c r="D34" s="4" t="inlineStr">
        <is>
          <t>202609210500</t>
        </is>
      </c>
      <c r="E34" s="4" t="n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20260817</t>
        </is>
      </c>
      <c r="L34" s="4" t="inlineStr">
        <is>
          <t>L.A.1 CO.,LTD.</t>
        </is>
      </c>
      <c r="M34" s="4" t="inlineStr">
        <is>
          <t>TANATEX CHEMICALS (THAILAND) CO., LTD.</t>
        </is>
      </c>
      <c r="N34" s="4" t="inlineStr">
        <is>
          <t>CHEMICALS PRODUCT (NON DG)</t>
        </is>
      </c>
      <c r="O34" s="4" t="inlineStr">
        <is>
          <t>REQUEST :  CONTAINER MAX GROSS 32.50 TONS</t>
        </is>
      </c>
      <c r="P34" s="4" t="inlineStr">
        <is>
          <t>Pickup : 2026-08-17, Return : 2026-08-18</t>
        </is>
      </c>
      <c r="Q34" s="4" t="n">
        <v>0</v>
      </c>
      <c r="R34" s="4" t="n">
        <v>0</v>
      </c>
      <c r="S34" s="4" t="n">
        <v>1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HASLS22260701405</t>
        </is>
      </c>
      <c r="B35" s="4" t="inlineStr">
        <is>
          <t>SWIC</t>
        </is>
      </c>
      <c r="C35" s="4" t="inlineStr">
        <is>
          <t>2610N</t>
        </is>
      </c>
      <c r="D35" s="4" t="inlineStr">
        <is>
          <t>202609220200</t>
        </is>
      </c>
      <c r="E35" s="4" t="n"/>
      <c r="F35" s="4" t="inlineStr">
        <is>
          <t>THLCH</t>
        </is>
      </c>
      <c r="G35" s="4" t="inlineStr">
        <is>
          <t>VNSGN</t>
        </is>
      </c>
      <c r="H35" s="4" t="inlineStr">
        <is>
          <t xml:space="preserve">40Hx4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20260909</t>
        </is>
      </c>
      <c r="L35" s="4" t="inlineStr">
        <is>
          <t>WHA GC LOGISTICS COMPANY LIMITED</t>
        </is>
      </c>
      <c r="M35" s="4" t="inlineStr">
        <is>
          <t>PTT GLOBAL CHEMICAL PUBLIC COMPANY LIMITED</t>
        </is>
      </c>
      <c r="N35" s="4" t="inlineStr">
        <is>
          <t>RESIN</t>
        </is>
      </c>
      <c r="O35" s="4" t="inlineStr">
        <is>
          <t>GOOD AND CLEAN CTNR</t>
        </is>
      </c>
      <c r="P35" s="4" t="inlineStr">
        <is>
          <t xml:space="preserve">CY-RTN : 09-13/09/2026
*PLS CHECK OPEN GATE BEFORE RETURN CTNR*
</t>
        </is>
      </c>
      <c r="Q35" s="4" t="n">
        <v>0</v>
      </c>
      <c r="R35" s="4" t="n">
        <v>0</v>
      </c>
      <c r="S35" s="4" t="n">
        <v>4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HASLS22260800573</t>
        </is>
      </c>
      <c r="B36" s="4" t="inlineStr">
        <is>
          <t>DJCF</t>
        </is>
      </c>
      <c r="C36" s="4" t="inlineStr">
        <is>
          <t>0151N</t>
        </is>
      </c>
      <c r="D36" s="4" t="inlineStr">
        <is>
          <t>202609201300</t>
        </is>
      </c>
      <c r="E36" s="4" t="n"/>
      <c r="F36" s="4" t="inlineStr">
        <is>
          <t>THLCH</t>
        </is>
      </c>
      <c r="G36" s="4" t="inlineStr">
        <is>
          <t>KRPUS</t>
        </is>
      </c>
      <c r="H36" s="4" t="inlineStr">
        <is>
          <t xml:space="preserve">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20260905</t>
        </is>
      </c>
      <c r="L36" s="4" t="inlineStr">
        <is>
          <t>TRUE MARINE CO., LTD.</t>
        </is>
      </c>
      <c r="M36" s="4" t="inlineStr">
        <is>
          <t>INOAC (THAILAND) CO., LTD.</t>
        </is>
      </c>
      <c r="N36" s="4" t="inlineStr">
        <is>
          <t>POLYURETHANE FOAM</t>
        </is>
      </c>
      <c r="O36" s="4" t="inlineStr">
        <is>
          <t>**REQUEST GOOD AND CLEAN CONTAINER**</t>
        </is>
      </c>
      <c r="P36" s="4" t="inlineStr">
        <is>
          <t>Pickup : 2026-09-05, Return : 2026-09-07 // FM SWSR 2610N BY HAL DD.07/09
(1ST RETURN 14/09 W/O RENT)</t>
        </is>
      </c>
      <c r="Q36" s="4" t="n">
        <v>0</v>
      </c>
      <c r="R36" s="4" t="n">
        <v>0</v>
      </c>
      <c r="S36" s="4" t="n">
        <v>1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HASLS22260801481</t>
        </is>
      </c>
      <c r="B37" s="4" t="inlineStr">
        <is>
          <t>NSSJ</t>
        </is>
      </c>
      <c r="C37" s="4" t="inlineStr">
        <is>
          <t>2607S</t>
        </is>
      </c>
      <c r="D37" s="4" t="inlineStr">
        <is>
          <t>202609220800</t>
        </is>
      </c>
      <c r="E37" s="4" t="n"/>
      <c r="F37" s="4" t="inlineStr">
        <is>
          <t>THLCH</t>
        </is>
      </c>
      <c r="G37" s="4" t="inlineStr">
        <is>
          <t>IDJKT</t>
        </is>
      </c>
      <c r="H37" s="4" t="inlineStr">
        <is>
          <t xml:space="preserve">20'x1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20260904</t>
        </is>
      </c>
      <c r="L37" s="4" t="inlineStr">
        <is>
          <t>UBE CHEMICALS (ASIA) PUBLIC COMPANY LIMITED</t>
        </is>
      </c>
      <c r="M37" s="4" t="inlineStr">
        <is>
          <t>UBE CHEMICALS (ASIA) PUBLIC COMPANY LIMITED</t>
        </is>
      </c>
      <c r="N37" s="4" t="inlineStr">
        <is>
          <t xml:space="preserve">POLYAMIDE RESIN </t>
        </is>
      </c>
      <c r="O37" s="4" t="inlineStr">
        <is>
          <t>GOOD AND CLEAN CONTAINER</t>
        </is>
      </c>
      <c r="P37" s="4" t="inlineStr">
        <is>
          <t>CY-RTN :04-05/09/2026
**CHANGED FM VSL."KMSU 2606S" BY K.HATAIPACH DD.20/8/26**</t>
        </is>
      </c>
      <c r="Q37" s="4" t="n">
        <v>1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HASLS22260801601</t>
        </is>
      </c>
      <c r="B38" s="4" t="inlineStr">
        <is>
          <t>KJT</t>
        </is>
      </c>
      <c r="C38" s="4" t="inlineStr">
        <is>
          <t>2610N</t>
        </is>
      </c>
      <c r="D38" s="4" t="inlineStr">
        <is>
          <t>202609230100</t>
        </is>
      </c>
      <c r="E38" s="4" t="n"/>
      <c r="F38" s="4" t="inlineStr">
        <is>
          <t>THLCH</t>
        </is>
      </c>
      <c r="G38" s="4" t="inlineStr">
        <is>
          <t>HKHKG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20260912</t>
        </is>
      </c>
      <c r="L38" s="4" t="inlineStr">
        <is>
          <t>DYNAMIC INTERTRANSPORT CO., LTD.</t>
        </is>
      </c>
      <c r="M38" s="4" t="inlineStr">
        <is>
          <t>CP-MEIJI CO., LTD.</t>
        </is>
      </c>
      <c r="N38" s="4" t="inlineStr">
        <is>
          <t>FRESH MILK AND MILK PRODUCT</t>
        </is>
      </c>
      <c r="O38" s="4" t="inlineStr">
        <is>
          <t>(Temp +0.0℃ / Vent Close) 
REQUEST : CLEAN AND GOOD CONTAINER FOR MILK PRODUCT</t>
        </is>
      </c>
      <c r="P38" s="4" t="inlineStr">
        <is>
          <t>Pickup : 2026-09-12, Return : 2026-09-13 (Temp +0.0 / Vent Close) 
CLS TIME 14/09/26 @18.00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HASLS22260801673</t>
        </is>
      </c>
      <c r="B39" s="4" t="inlineStr">
        <is>
          <t>KJT</t>
        </is>
      </c>
      <c r="C39" s="4" t="inlineStr">
        <is>
          <t>2610N</t>
        </is>
      </c>
      <c r="D39" s="4" t="inlineStr">
        <is>
          <t>202609230100</t>
        </is>
      </c>
      <c r="E39" s="4" t="n"/>
      <c r="F39" s="4" t="inlineStr">
        <is>
          <t>THLCH</t>
        </is>
      </c>
      <c r="G39" s="4" t="inlineStr">
        <is>
          <t>CNSHK</t>
        </is>
      </c>
      <c r="H39" s="4" t="inlineStr">
        <is>
          <t xml:space="preserve">R40Hx1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20260905</t>
        </is>
      </c>
      <c r="L39" s="4" t="inlineStr">
        <is>
          <t>POSTMAN (THAILAND) CO.,LTD.</t>
        </is>
      </c>
      <c r="M39" s="4" t="inlineStr">
        <is>
          <t>POSTMAN (THAILAND) CO.,LTD.</t>
        </is>
      </c>
      <c r="N39" s="4" t="inlineStr">
        <is>
          <t>FRESH COCONUT</t>
        </is>
      </c>
      <c r="O39" s="4" t="inlineStr">
        <is>
          <t>RF45REx1 (Temp +2.0℃ / Vent 10% Open)</t>
        </is>
      </c>
      <c r="P39" s="4" t="inlineStr">
        <is>
          <t>Pickup : 2026-09-05, Return : 2026-09-13 RF45REx1 (Temp +2.0 / Vent 10% Open) 
CLS TIME : 14/09/2026 @23.59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HASLS22260801674</t>
        </is>
      </c>
      <c r="B40" s="4" t="inlineStr">
        <is>
          <t>KJT</t>
        </is>
      </c>
      <c r="C40" s="4" t="inlineStr">
        <is>
          <t>2610N</t>
        </is>
      </c>
      <c r="D40" s="4" t="inlineStr">
        <is>
          <t>202609230100</t>
        </is>
      </c>
      <c r="E40" s="4" t="n"/>
      <c r="F40" s="4" t="inlineStr">
        <is>
          <t>THLCH</t>
        </is>
      </c>
      <c r="G40" s="4" t="inlineStr">
        <is>
          <t>CNSHK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20260905</t>
        </is>
      </c>
      <c r="L40" s="4" t="inlineStr">
        <is>
          <t>POSTMAN (THAILAND) CO.,LTD.</t>
        </is>
      </c>
      <c r="M40" s="4" t="inlineStr">
        <is>
          <t>POSTMAN (THAILAND) CO.,LTD.</t>
        </is>
      </c>
      <c r="N40" s="4" t="inlineStr">
        <is>
          <t>FRESH COCONUT</t>
        </is>
      </c>
      <c r="O40" s="4" t="inlineStr">
        <is>
          <t>RF45REx1 (Temp +2.0℃ / Vent 10% Open)</t>
        </is>
      </c>
      <c r="P40" s="4" t="inlineStr">
        <is>
          <t>Pickup : 2026-09-05, Return : 2026-09-13 RF45REx1 (Temp +2.0 / Vent 10% Open) 
CLS TIME : 14/09/2026 @23.59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HASLS22260801675</t>
        </is>
      </c>
      <c r="B41" s="4" t="inlineStr">
        <is>
          <t>KJT</t>
        </is>
      </c>
      <c r="C41" s="4" t="inlineStr">
        <is>
          <t>2610N</t>
        </is>
      </c>
      <c r="D41" s="4" t="inlineStr">
        <is>
          <t>202609230100</t>
        </is>
      </c>
      <c r="E41" s="4" t="n"/>
      <c r="F41" s="4" t="inlineStr">
        <is>
          <t>THLCH</t>
        </is>
      </c>
      <c r="G41" s="4" t="inlineStr">
        <is>
          <t>CNSHK</t>
        </is>
      </c>
      <c r="H41" s="4" t="inlineStr">
        <is>
          <t xml:space="preserve">R40Hx1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20260905</t>
        </is>
      </c>
      <c r="L41" s="4" t="inlineStr">
        <is>
          <t>POSTMAN (THAILAND) CO.,LTD.</t>
        </is>
      </c>
      <c r="M41" s="4" t="inlineStr">
        <is>
          <t>POSTMAN (THAILAND) CO.,LTD.</t>
        </is>
      </c>
      <c r="N41" s="4" t="inlineStr">
        <is>
          <t>FRESH COCONUT</t>
        </is>
      </c>
      <c r="O41" s="4" t="inlineStr">
        <is>
          <t>RF45REx1 (Temp +2.0℃ / Vent 10% Open)</t>
        </is>
      </c>
      <c r="P41" s="4" t="inlineStr">
        <is>
          <t>Pickup : 2026-09-05, Return : 2026-09-13 RF45REx1 (Temp +2.0 / Vent 10% Open) 
CLS TIME : 14/09/2026 @23.59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HASLS22260801677</t>
        </is>
      </c>
      <c r="B42" s="4" t="inlineStr">
        <is>
          <t>CMA</t>
        </is>
      </c>
      <c r="C42" s="4" t="inlineStr">
        <is>
          <t>2614N</t>
        </is>
      </c>
      <c r="D42" s="4" t="inlineStr">
        <is>
          <t>202609250500</t>
        </is>
      </c>
      <c r="E42" s="4" t="n"/>
      <c r="F42" s="4" t="inlineStr">
        <is>
          <t>THLCH</t>
        </is>
      </c>
      <c r="G42" s="4" t="inlineStr">
        <is>
          <t>CNSHK</t>
        </is>
      </c>
      <c r="H42" s="4" t="inlineStr">
        <is>
          <t xml:space="preserve">R40Hx1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20260907</t>
        </is>
      </c>
      <c r="L42" s="4" t="inlineStr">
        <is>
          <t>POSTMAN (THAILAND) CO.,LTD.</t>
        </is>
      </c>
      <c r="M42" s="4" t="inlineStr">
        <is>
          <t>POSTMAN (THAILAND) CO.,LTD.</t>
        </is>
      </c>
      <c r="N42" s="4" t="inlineStr">
        <is>
          <t>FRESH COCONUT</t>
        </is>
      </c>
      <c r="O42" s="4" t="inlineStr">
        <is>
          <t>RF45REx1 (Temp +2.0℃ / Vent 10% Open)</t>
        </is>
      </c>
      <c r="P42" s="4" t="inlineStr">
        <is>
          <t xml:space="preserve">Pickup : 2026-09-07, Return : 2026-09-15 RF45REx1 (Temp +2.0 / Vent 10% Open) 
CLS TIME : 21/09/2026 @22.00 [1ST RTN 18/09/2026 W/O ELECTRIC] </t>
        </is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1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HASLS22260801679</t>
        </is>
      </c>
      <c r="B43" s="4" t="inlineStr">
        <is>
          <t>CMA</t>
        </is>
      </c>
      <c r="C43" s="4" t="inlineStr">
        <is>
          <t>2614N</t>
        </is>
      </c>
      <c r="D43" s="4" t="inlineStr">
        <is>
          <t>202609250500</t>
        </is>
      </c>
      <c r="E43" s="4" t="n"/>
      <c r="F43" s="4" t="inlineStr">
        <is>
          <t>THLCH</t>
        </is>
      </c>
      <c r="G43" s="4" t="inlineStr">
        <is>
          <t>CNSHK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20260907</t>
        </is>
      </c>
      <c r="L43" s="4" t="inlineStr">
        <is>
          <t>POSTMAN (THAILAND) CO.,LTD.</t>
        </is>
      </c>
      <c r="M43" s="4" t="inlineStr">
        <is>
          <t>POSTMAN (THAILAND) CO.,LTD.</t>
        </is>
      </c>
      <c r="N43" s="4" t="inlineStr">
        <is>
          <t>FRESH COCONUT</t>
        </is>
      </c>
      <c r="O43" s="4" t="inlineStr">
        <is>
          <t>RF45REx1 (Temp +2.0℃ / Vent 10% Open)</t>
        </is>
      </c>
      <c r="P43" s="4" t="inlineStr">
        <is>
          <t xml:space="preserve">Pickup : 2026-09-07, Return : 2026-09-15 RF45REx1 (Temp +2.0 / Vent 10% Open) 
CLS TIME : 21/09/2026 @22.00 [1ST RTN 18/09/2026 W/O ELECTRIC]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HASLS22260801681</t>
        </is>
      </c>
      <c r="B44" s="4" t="inlineStr">
        <is>
          <t>CMA</t>
        </is>
      </c>
      <c r="C44" s="4" t="inlineStr">
        <is>
          <t>2614N</t>
        </is>
      </c>
      <c r="D44" s="4" t="inlineStr">
        <is>
          <t>202609250500</t>
        </is>
      </c>
      <c r="E44" s="4" t="n"/>
      <c r="F44" s="4" t="inlineStr">
        <is>
          <t>THLCH</t>
        </is>
      </c>
      <c r="G44" s="4" t="inlineStr">
        <is>
          <t>CNSHK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20260907</t>
        </is>
      </c>
      <c r="L44" s="4" t="inlineStr">
        <is>
          <t>POSTMAN (THAILAND) CO.,LTD.</t>
        </is>
      </c>
      <c r="M44" s="4" t="inlineStr">
        <is>
          <t>POSTMAN (THAILAND) CO.,LTD.</t>
        </is>
      </c>
      <c r="N44" s="4" t="inlineStr">
        <is>
          <t>FRESH COCONUT</t>
        </is>
      </c>
      <c r="O44" s="4" t="inlineStr">
        <is>
          <t>RF45REx1 (Temp +2.0℃ / Vent 10% Open)</t>
        </is>
      </c>
      <c r="P44" s="4" t="inlineStr">
        <is>
          <t xml:space="preserve">Pickup : 2026-09-07, Return : 2026-09-15 RF45REx1 (Temp +2.0 / Vent 10% Open) 
CLS TIME : 21/09/2026 @22.00 [1ST RTN 18/09/2026 W/O ELECTRIC]  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HASLS22260801684</t>
        </is>
      </c>
      <c r="B45" s="4" t="inlineStr">
        <is>
          <t>SWAT</t>
        </is>
      </c>
      <c r="C45" s="4" t="inlineStr">
        <is>
          <t>2610N</t>
        </is>
      </c>
      <c r="D45" s="4" t="inlineStr">
        <is>
          <t>202610041300</t>
        </is>
      </c>
      <c r="E45" s="4" t="n"/>
      <c r="F45" s="4" t="inlineStr">
        <is>
          <t>THLCH</t>
        </is>
      </c>
      <c r="G45" s="4" t="inlineStr">
        <is>
          <t>CNSHK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20260914</t>
        </is>
      </c>
      <c r="L45" s="4" t="inlineStr">
        <is>
          <t>POSTMAN (THAILAND) CO.,LTD.</t>
        </is>
      </c>
      <c r="M45" s="4" t="inlineStr">
        <is>
          <t>POSTMAN (THAILAND) CO.,LTD.</t>
        </is>
      </c>
      <c r="N45" s="4" t="inlineStr">
        <is>
          <t>FRESH COCONUT</t>
        </is>
      </c>
      <c r="O45" s="4" t="inlineStr">
        <is>
          <t>RF45REx1 (Temp +2.0℃ / Vent 10% Open)</t>
        </is>
      </c>
      <c r="P45" s="4" t="inlineStr">
        <is>
          <t xml:space="preserve">Pickup : 2026-09-14, Return : 2026-09-23 RF45REx1 (Temp +2.0 / Vent 10% Open) 
CLS TIME : 24/09/2026 @23.59 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HASLS22260801685</t>
        </is>
      </c>
      <c r="B46" s="4" t="inlineStr">
        <is>
          <t>SWAT</t>
        </is>
      </c>
      <c r="C46" s="4" t="inlineStr">
        <is>
          <t>2610N</t>
        </is>
      </c>
      <c r="D46" s="4" t="inlineStr">
        <is>
          <t>202610041300</t>
        </is>
      </c>
      <c r="E46" s="4" t="n"/>
      <c r="F46" s="4" t="inlineStr">
        <is>
          <t>THLCH</t>
        </is>
      </c>
      <c r="G46" s="4" t="inlineStr">
        <is>
          <t>CNSHK</t>
        </is>
      </c>
      <c r="H46" s="4" t="inlineStr">
        <is>
          <t xml:space="preserve">R40Hx1 </t>
        </is>
      </c>
      <c r="I46" s="4" t="inlineStr">
        <is>
          <t>LCH27</t>
        </is>
      </c>
      <c r="J46" s="4" t="inlineStr">
        <is>
          <t xml:space="preserve">HAST Logistics Co.,Ltd. </t>
        </is>
      </c>
      <c r="K46" s="4" t="inlineStr">
        <is>
          <t>20260914</t>
        </is>
      </c>
      <c r="L46" s="4" t="inlineStr">
        <is>
          <t>POSTMAN (THAILAND) CO.,LTD.</t>
        </is>
      </c>
      <c r="M46" s="4" t="inlineStr">
        <is>
          <t>POSTMAN (THAILAND) CO.,LTD.</t>
        </is>
      </c>
      <c r="N46" s="4" t="inlineStr">
        <is>
          <t>FRESH COCONUT</t>
        </is>
      </c>
      <c r="O46" s="4" t="inlineStr">
        <is>
          <t>RF45REx1 (Temp +2.0℃ / Vent 10% Open)</t>
        </is>
      </c>
      <c r="P46" s="4" t="inlineStr">
        <is>
          <t xml:space="preserve">Pickup : 2026-09-14, Return : 2026-09-23 RF45REx1 (Temp +2.0 / Vent 10% Open) 
CLS TIME : 24/09/2026 @23.59 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1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HASLS22260801686</t>
        </is>
      </c>
      <c r="B47" s="4" t="inlineStr">
        <is>
          <t>SWAT</t>
        </is>
      </c>
      <c r="C47" s="4" t="inlineStr">
        <is>
          <t>2610N</t>
        </is>
      </c>
      <c r="D47" s="4" t="inlineStr">
        <is>
          <t>202610041300</t>
        </is>
      </c>
      <c r="E47" s="4" t="n"/>
      <c r="F47" s="4" t="inlineStr">
        <is>
          <t>THLCH</t>
        </is>
      </c>
      <c r="G47" s="4" t="inlineStr">
        <is>
          <t>CNSHK</t>
        </is>
      </c>
      <c r="H47" s="4" t="inlineStr">
        <is>
          <t xml:space="preserve">R40Hx1 </t>
        </is>
      </c>
      <c r="I47" s="4" t="inlineStr">
        <is>
          <t>LCH27</t>
        </is>
      </c>
      <c r="J47" s="4" t="inlineStr">
        <is>
          <t xml:space="preserve">HAST Logistics Co.,Ltd. </t>
        </is>
      </c>
      <c r="K47" s="4" t="inlineStr">
        <is>
          <t>20260914</t>
        </is>
      </c>
      <c r="L47" s="4" t="inlineStr">
        <is>
          <t>POSTMAN (THAILAND) CO.,LTD.</t>
        </is>
      </c>
      <c r="M47" s="4" t="inlineStr">
        <is>
          <t>POSTMAN (THAILAND) CO.,LTD.</t>
        </is>
      </c>
      <c r="N47" s="4" t="inlineStr">
        <is>
          <t>FRESH COCONUT</t>
        </is>
      </c>
      <c r="O47" s="4" t="inlineStr">
        <is>
          <t>RF45REx1 (Temp +2.0℃ / Vent 10% Open)</t>
        </is>
      </c>
      <c r="P47" s="4" t="inlineStr">
        <is>
          <t xml:space="preserve">Pickup : 2026-09-14, Return : 2026-09-23 RF45REx1 (Temp +2.0 / Vent 10% Open) 
CLS TIME : 24/09/2026 @23.59 </t>
        </is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1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HASLS22260900107</t>
        </is>
      </c>
      <c r="B48" s="4" t="inlineStr">
        <is>
          <t>HAB</t>
        </is>
      </c>
      <c r="C48" s="4" t="inlineStr">
        <is>
          <t>2612N</t>
        </is>
      </c>
      <c r="D48" s="4" t="inlineStr">
        <is>
          <t>202610251430</t>
        </is>
      </c>
      <c r="E48" s="4" t="n"/>
      <c r="F48" s="4" t="inlineStr">
        <is>
          <t>THLCH</t>
        </is>
      </c>
      <c r="G48" s="4" t="inlineStr">
        <is>
          <t>CNSHA</t>
        </is>
      </c>
      <c r="H48" s="4" t="inlineStr">
        <is>
          <t xml:space="preserve">20'x10 </t>
        </is>
      </c>
      <c r="I48" s="4" t="inlineStr">
        <is>
          <t>LCH27</t>
        </is>
      </c>
      <c r="J48" s="4" t="inlineStr">
        <is>
          <t xml:space="preserve">HAST Logistics Co.,Ltd. </t>
        </is>
      </c>
      <c r="K48" s="4" t="inlineStr">
        <is>
          <t>20260914</t>
        </is>
      </c>
      <c r="L48" s="4" t="inlineStr">
        <is>
          <t>INTENTION FREIGHT CO., LTD.</t>
        </is>
      </c>
      <c r="M48" s="4" t="inlineStr">
        <is>
          <t>EIAM THONGCHAI INDUSTRY CO.,LTD.</t>
        </is>
      </c>
      <c r="N48" s="4" t="inlineStr">
        <is>
          <t>STARCH</t>
        </is>
      </c>
      <c r="O48" s="4" t="inlineStr">
        <is>
          <t>REQ : FOOD GRADE CONTAINER CLEAR &amp;DRY NO OIL NO RUSTY</t>
        </is>
      </c>
      <c r="P48" s="4" t="inlineStr">
        <is>
          <t>Pickup : 2026-09-14, Return : 2026-09-16</t>
        </is>
      </c>
      <c r="Q48" s="4" t="n">
        <v>10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HASLS22260900237</t>
        </is>
      </c>
      <c r="B49" s="4" t="inlineStr">
        <is>
          <t>NSSJ</t>
        </is>
      </c>
      <c r="C49" s="4" t="inlineStr">
        <is>
          <t>2607S</t>
        </is>
      </c>
      <c r="D49" s="4" t="inlineStr">
        <is>
          <t>202609220800</t>
        </is>
      </c>
      <c r="E49" s="4" t="n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40Hx1 </t>
        </is>
      </c>
      <c r="I49" s="4" t="inlineStr">
        <is>
          <t>LCH27</t>
        </is>
      </c>
      <c r="J49" s="4" t="inlineStr">
        <is>
          <t xml:space="preserve">HAST Logistics Co.,Ltd. </t>
        </is>
      </c>
      <c r="K49" s="4" t="inlineStr">
        <is>
          <t>20260914</t>
        </is>
      </c>
      <c r="L49" s="4" t="inlineStr">
        <is>
          <t>MAINFREIGHT LOGISTICS (THAILAND) CO., LTD.</t>
        </is>
      </c>
      <c r="M49" s="4" t="inlineStr">
        <is>
          <t>ECOLAB LIMITED</t>
        </is>
      </c>
      <c r="N49" s="4" t="inlineStr">
        <is>
          <t>QUATERNARY AMMONIUM COMPOUND DRM</t>
        </is>
      </c>
      <c r="O49" s="4" t="inlineStr">
        <is>
          <t>APPROVAL BY Mr.LEE MINHA DD.07/09/2026 (CLS 8 / UN 2920) Request good and clean container</t>
        </is>
      </c>
      <c r="P49" s="4" t="inlineStr">
        <is>
          <t xml:space="preserve">APPROVAL BY Mr.LEE MINHA DD.07/09/2026 (CLS 8 / UN 2920) 
Pickup : 2026-09-14, Return : 2026-09-15 DG45GPx1 (CLS 8 / UN 2920) </t>
        </is>
      </c>
      <c r="Q49" s="4" t="n">
        <v>0</v>
      </c>
      <c r="R49" s="4" t="n">
        <v>0</v>
      </c>
      <c r="S49" s="4" t="n">
        <v>1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HASLS22260900238</t>
        </is>
      </c>
      <c r="B50" s="4" t="inlineStr">
        <is>
          <t>NSSJ</t>
        </is>
      </c>
      <c r="C50" s="4" t="inlineStr">
        <is>
          <t>2607S</t>
        </is>
      </c>
      <c r="D50" s="4" t="inlineStr">
        <is>
          <t>202609220800</t>
        </is>
      </c>
      <c r="E50" s="4" t="n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40Hx1 </t>
        </is>
      </c>
      <c r="I50" s="4" t="inlineStr">
        <is>
          <t>LCH27</t>
        </is>
      </c>
      <c r="J50" s="4" t="inlineStr">
        <is>
          <t xml:space="preserve">HAST Logistics Co.,Ltd. </t>
        </is>
      </c>
      <c r="K50" s="4" t="inlineStr">
        <is>
          <t>20260914</t>
        </is>
      </c>
      <c r="L50" s="4" t="inlineStr">
        <is>
          <t>MAINFREIGHT LOGISTICS (THAILAND) CO., LTD.</t>
        </is>
      </c>
      <c r="M50" s="4" t="inlineStr">
        <is>
          <t>ECOLAB LIMITED</t>
        </is>
      </c>
      <c r="N50" s="4" t="inlineStr">
        <is>
          <t>FLOOR CLEANER</t>
        </is>
      </c>
      <c r="O50" s="4" t="inlineStr">
        <is>
          <t>Request good and clean container</t>
        </is>
      </c>
      <c r="P50" s="4" t="inlineStr">
        <is>
          <t>Pickup : 2026-09-14, Return : 2026-09-15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HASLS22260900358</t>
        </is>
      </c>
      <c r="B51" s="4" t="inlineStr">
        <is>
          <t>SWIC</t>
        </is>
      </c>
      <c r="C51" s="4" t="inlineStr">
        <is>
          <t>2610N</t>
        </is>
      </c>
      <c r="D51" s="4" t="inlineStr">
        <is>
          <t>202609220200</t>
        </is>
      </c>
      <c r="E51" s="4" t="n"/>
      <c r="F51" s="4" t="inlineStr">
        <is>
          <t>THLCH</t>
        </is>
      </c>
      <c r="G51" s="4" t="inlineStr">
        <is>
          <t>VNSGN</t>
        </is>
      </c>
      <c r="H51" s="4" t="inlineStr">
        <is>
          <t xml:space="preserve">20'x1 </t>
        </is>
      </c>
      <c r="I51" s="4" t="inlineStr">
        <is>
          <t>LCH27</t>
        </is>
      </c>
      <c r="J51" s="4" t="inlineStr">
        <is>
          <t xml:space="preserve">HAST Logistics Co.,Ltd. </t>
        </is>
      </c>
      <c r="K51" s="4" t="inlineStr">
        <is>
          <t>20260909</t>
        </is>
      </c>
      <c r="L51" s="4" t="inlineStr">
        <is>
          <t>WORLDLINK SHIPPING CO., LTD.</t>
        </is>
      </c>
      <c r="M51" s="4" t="inlineStr">
        <is>
          <t>QUAKER HOUGHTON (THAILAND) CO., LTD.</t>
        </is>
      </c>
      <c r="N51" s="4" t="inlineStr">
        <is>
          <t>LUBRICANT</t>
        </is>
      </c>
      <c r="O51" s="4" t="inlineStr">
        <is>
          <t>REQUEST CONTAINER GRADE  A OR B</t>
        </is>
      </c>
      <c r="P51" s="4" t="inlineStr">
        <is>
          <t>Pickup : 2026-09-09, Return : 2026-09-10 (1ST RTN DD: 19/09/26 WO/RENT)
**CHECK OPENGATE BEFORE RETURN CNTR**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HASLS22260900623</t>
        </is>
      </c>
      <c r="B52" s="4" t="inlineStr">
        <is>
          <t>KJT</t>
        </is>
      </c>
      <c r="C52" s="4" t="inlineStr">
        <is>
          <t>2610N</t>
        </is>
      </c>
      <c r="D52" s="4" t="inlineStr">
        <is>
          <t>202609230100</t>
        </is>
      </c>
      <c r="E52" s="4" t="n"/>
      <c r="F52" s="4" t="inlineStr">
        <is>
          <t>THLCH</t>
        </is>
      </c>
      <c r="G52" s="4" t="inlineStr">
        <is>
          <t>HKHKG</t>
        </is>
      </c>
      <c r="H52" s="4" t="inlineStr">
        <is>
          <t xml:space="preserve">20'x1 </t>
        </is>
      </c>
      <c r="I52" s="4" t="inlineStr">
        <is>
          <t>LCH27</t>
        </is>
      </c>
      <c r="J52" s="4" t="inlineStr">
        <is>
          <t xml:space="preserve">HAST Logistics Co.,Ltd. </t>
        </is>
      </c>
      <c r="K52" s="4" t="inlineStr">
        <is>
          <t>20260912</t>
        </is>
      </c>
      <c r="L52" s="4" t="inlineStr">
        <is>
          <t>MORRISON EXPRESS CORP (THAILAND)LTD.</t>
        </is>
      </c>
      <c r="M52" s="4" t="inlineStr">
        <is>
          <t>WESTERN DIGITAL STORAGE TECHNOLOGIES (THAILAND) LTD.</t>
        </is>
      </c>
      <c r="N52" s="4" t="inlineStr">
        <is>
          <t>BOXBLUE BOX</t>
        </is>
      </c>
      <c r="O52" s="4" t="inlineStr">
        <is>
          <t>GOOD AND CLEAN CONTAINER</t>
        </is>
      </c>
      <c r="P52" s="4" t="inlineStr">
        <is>
          <t xml:space="preserve">Pickup : 2026-09-12, Return : 2026-09-14 (1ST RTN 15/09 W/O RENT) 
 </t>
        </is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HASLS22260901032</t>
        </is>
      </c>
      <c r="B53" s="4" t="inlineStr">
        <is>
          <t>KMSU</t>
        </is>
      </c>
      <c r="C53" s="4" t="inlineStr">
        <is>
          <t>2607S</t>
        </is>
      </c>
      <c r="D53" s="4" t="inlineStr">
        <is>
          <t>202609271100</t>
        </is>
      </c>
      <c r="E53" s="4" t="n"/>
      <c r="F53" s="4" t="inlineStr">
        <is>
          <t>THLCH</t>
        </is>
      </c>
      <c r="G53" s="4" t="inlineStr">
        <is>
          <t>IDJKT</t>
        </is>
      </c>
      <c r="H53" s="4" t="inlineStr">
        <is>
          <t xml:space="preserve">R40Hx1 </t>
        </is>
      </c>
      <c r="I53" s="4" t="inlineStr">
        <is>
          <t>LCH27</t>
        </is>
      </c>
      <c r="J53" s="4" t="inlineStr">
        <is>
          <t xml:space="preserve">HAST Logistics Co.,Ltd. </t>
        </is>
      </c>
      <c r="K53" s="4" t="inlineStr">
        <is>
          <t>20260915</t>
        </is>
      </c>
      <c r="L53" s="4" t="inlineStr">
        <is>
          <t>INTER FRESH CO., LTD.</t>
        </is>
      </c>
      <c r="M53" s="4" t="inlineStr">
        <is>
          <t>INTER FRESH CO., LTD.</t>
        </is>
      </c>
      <c r="N53" s="4" t="inlineStr">
        <is>
          <t xml:space="preserve">FRESH LONGAN (TEMP +2.0 / VENT 30%) </t>
        </is>
      </c>
      <c r="O53" s="4" t="inlineStr">
        <is>
          <t>(Temp +2.0℃ / Vent 30% Open) STAR COOL</t>
        </is>
      </c>
      <c r="P53" s="4" t="inlineStr">
        <is>
          <t>Pickup : 2026-09-15, Return : 2026-09-15  (Temp +2.0 / Vent 30% Open) 
Closing Time 2026-09-30 @ 15.00 (1ST RETUN 29/09 W/O RENT)</t>
        </is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1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HASLS22260901033</t>
        </is>
      </c>
      <c r="B54" s="4" t="inlineStr">
        <is>
          <t>KMSU</t>
        </is>
      </c>
      <c r="C54" s="4" t="inlineStr">
        <is>
          <t>2607S</t>
        </is>
      </c>
      <c r="D54" s="4" t="inlineStr">
        <is>
          <t>202609271100</t>
        </is>
      </c>
      <c r="E54" s="4" t="n"/>
      <c r="F54" s="4" t="inlineStr">
        <is>
          <t>THLCH</t>
        </is>
      </c>
      <c r="G54" s="4" t="inlineStr">
        <is>
          <t>IDJKT</t>
        </is>
      </c>
      <c r="H54" s="4" t="inlineStr">
        <is>
          <t xml:space="preserve">R40Hx1 </t>
        </is>
      </c>
      <c r="I54" s="4" t="inlineStr">
        <is>
          <t>LCH27</t>
        </is>
      </c>
      <c r="J54" s="4" t="inlineStr">
        <is>
          <t xml:space="preserve">HAST Logistics Co.,Ltd. </t>
        </is>
      </c>
      <c r="K54" s="4" t="inlineStr">
        <is>
          <t>20260915</t>
        </is>
      </c>
      <c r="L54" s="4" t="inlineStr">
        <is>
          <t>INTER FRESH CO., LTD.</t>
        </is>
      </c>
      <c r="M54" s="4" t="inlineStr">
        <is>
          <t>INTER FRESH CO., LTD.</t>
        </is>
      </c>
      <c r="N54" s="4" t="inlineStr">
        <is>
          <t xml:space="preserve">FRESH LONGAN (TEMP +2.0 / VENT 30%) </t>
        </is>
      </c>
      <c r="O54" s="4" t="inlineStr">
        <is>
          <t>(Temp +2.0℃ / Vent 30% Open) Request for new container and We don't accept STAR COOL brand reefer containers.</t>
        </is>
      </c>
      <c r="P54" s="4" t="inlineStr">
        <is>
          <t>Pickup : 2026-09-15, Return : 2026-09-29 (Temp +2.0 / Vent 30% Open) 
Closing Time 2026-09-30 @ 15.00 (1ST RETUN 29/09 W/O RENT)</t>
        </is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1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HASLS22260901034</t>
        </is>
      </c>
      <c r="B55" s="4" t="inlineStr">
        <is>
          <t>KMSU</t>
        </is>
      </c>
      <c r="C55" s="4" t="inlineStr">
        <is>
          <t>2607S</t>
        </is>
      </c>
      <c r="D55" s="4" t="inlineStr">
        <is>
          <t>202609271100</t>
        </is>
      </c>
      <c r="E55" s="4" t="n"/>
      <c r="F55" s="4" t="inlineStr">
        <is>
          <t>THLCH</t>
        </is>
      </c>
      <c r="G55" s="4" t="inlineStr">
        <is>
          <t>IDJKT</t>
        </is>
      </c>
      <c r="H55" s="4" t="inlineStr">
        <is>
          <t xml:space="preserve">R40Hx1 </t>
        </is>
      </c>
      <c r="I55" s="4" t="inlineStr">
        <is>
          <t>LCH27</t>
        </is>
      </c>
      <c r="J55" s="4" t="inlineStr">
        <is>
          <t xml:space="preserve">HAST Logistics Co.,Ltd. </t>
        </is>
      </c>
      <c r="K55" s="4" t="inlineStr">
        <is>
          <t>20260915</t>
        </is>
      </c>
      <c r="L55" s="4" t="inlineStr">
        <is>
          <t>INTER FRESH CO., LTD.</t>
        </is>
      </c>
      <c r="M55" s="4" t="inlineStr">
        <is>
          <t>INTER FRESH CO., LTD.</t>
        </is>
      </c>
      <c r="N55" s="4" t="inlineStr">
        <is>
          <t xml:space="preserve">FRESH LONGAN (TEMP +2.0 / VENT 30%) </t>
        </is>
      </c>
      <c r="O55" s="4" t="inlineStr">
        <is>
          <t>(Temp+ 2.0℃ / Vent 30% Open) Request for new container and We don't accept STAR COOL brand reefer containers.</t>
        </is>
      </c>
      <c r="P55" s="4" t="inlineStr">
        <is>
          <t>Pickup : 2026-09-15, Return : 2026-09-28 (Temp +2.0 / Vent 30% Open) 
Closing Time 2026-09-30 @ 15.00 (1ST RETUN 29/09 W/O RENT)</t>
        </is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1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HASLS22260900416</t>
        </is>
      </c>
      <c r="B56" s="4" t="inlineStr">
        <is>
          <t>DJCF</t>
        </is>
      </c>
      <c r="C56" s="4" t="inlineStr">
        <is>
          <t>0151N</t>
        </is>
      </c>
      <c r="D56" s="4" t="inlineStr">
        <is>
          <t>202609201300</t>
        </is>
      </c>
      <c r="E56" s="4" t="n"/>
      <c r="F56" s="4" t="inlineStr">
        <is>
          <t>THLCH</t>
        </is>
      </c>
      <c r="G56" s="4" t="inlineStr">
        <is>
          <t>VNSGN</t>
        </is>
      </c>
      <c r="H56" s="4" t="inlineStr">
        <is>
          <t xml:space="preserve">40Hx1 </t>
        </is>
      </c>
      <c r="I56" s="4" t="n"/>
      <c r="J56" s="4" t="n"/>
      <c r="K56" s="4" t="inlineStr">
        <is>
          <t>20260915</t>
        </is>
      </c>
      <c r="L56" s="4" t="inlineStr">
        <is>
          <t>QUANTERM LOGISTICS (THAILAND) CO., LTD.</t>
        </is>
      </c>
      <c r="M56" s="4" t="inlineStr">
        <is>
          <t>AMPLUSCHEM CO., LTD.</t>
        </is>
      </c>
      <c r="N56" s="4" t="inlineStr">
        <is>
          <t>BLACK PEPPER GRIND</t>
        </is>
      </c>
      <c r="O56" s="4" t="inlineStr">
        <is>
          <t>GOOD AND CLEAN CONTAINER</t>
        </is>
      </c>
      <c r="P56" s="4" t="inlineStr">
        <is>
          <t xml:space="preserve"> Return : 2026-09-15</t>
        </is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HASLS22260801228</t>
        </is>
      </c>
      <c r="B57" s="4" t="inlineStr">
        <is>
          <t>KMTP</t>
        </is>
      </c>
      <c r="C57" s="4" t="inlineStr">
        <is>
          <t>2611N</t>
        </is>
      </c>
      <c r="D57" s="4" t="inlineStr">
        <is>
          <t>202609200900</t>
        </is>
      </c>
      <c r="E57" s="4" t="n"/>
      <c r="F57" s="4" t="inlineStr">
        <is>
          <t>THBKK</t>
        </is>
      </c>
      <c r="G57" s="4" t="inlineStr">
        <is>
          <t>HKHKG</t>
        </is>
      </c>
      <c r="H57" s="4" t="inlineStr">
        <is>
          <t xml:space="preserve">40Hx1 </t>
        </is>
      </c>
      <c r="I57" s="4" t="inlineStr">
        <is>
          <t>BKK04</t>
        </is>
      </c>
      <c r="J57" s="4" t="inlineStr">
        <is>
          <t>PAT TERMINAL 1 (PORT AUTHORITY OF THAILAND)</t>
        </is>
      </c>
      <c r="K57" s="4" t="inlineStr">
        <is>
          <t>20260911</t>
        </is>
      </c>
      <c r="L57" s="4" t="inlineStr">
        <is>
          <t>THE M CORP GLOBAL CO., LTD.</t>
        </is>
      </c>
      <c r="M57" s="4" t="inlineStr">
        <is>
          <t>THE M CORP GLOBAL CO., LTD.</t>
        </is>
      </c>
      <c r="N57" s="4" t="inlineStr">
        <is>
          <t>GENERAL CARGO (CONSOL)</t>
        </is>
      </c>
      <c r="O57" s="4" t="inlineStr">
        <is>
          <t>CONSOL</t>
        </is>
      </c>
      <c r="P57" s="4" t="inlineStr">
        <is>
          <t>Pickup : 2026-09-11, Return : 2026-09-12 CONSOL</t>
        </is>
      </c>
      <c r="Q57" s="4" t="n">
        <v>0</v>
      </c>
      <c r="R57" s="4" t="n">
        <v>0</v>
      </c>
      <c r="S57" s="4" t="n">
        <v>1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HASLS22260801996</t>
        </is>
      </c>
      <c r="B58" s="4" t="inlineStr">
        <is>
          <t>KMGY</t>
        </is>
      </c>
      <c r="C58" s="4" t="inlineStr">
        <is>
          <t>2610N</t>
        </is>
      </c>
      <c r="D58" s="4" t="inlineStr">
        <is>
          <t>202609271700</t>
        </is>
      </c>
      <c r="E58" s="4" t="n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40Hx1 </t>
        </is>
      </c>
      <c r="I58" s="4" t="inlineStr">
        <is>
          <t>BKK04</t>
        </is>
      </c>
      <c r="J58" s="4" t="inlineStr">
        <is>
          <t>PAT TERMINAL 1 (PORT AUTHORITY OF THAILAND)</t>
        </is>
      </c>
      <c r="K58" s="4" t="inlineStr">
        <is>
          <t>20260911</t>
        </is>
      </c>
      <c r="L58" s="4" t="inlineStr">
        <is>
          <t>ACCORD PILOT LOGISTICS (THAILAND) CO., LTD.</t>
        </is>
      </c>
      <c r="M58" s="4" t="inlineStr">
        <is>
          <t>ACCORD PILOT LOGISTICS (THAILAND) CO., LTD.</t>
        </is>
      </c>
      <c r="N58" s="4" t="inlineStr">
        <is>
          <t>GENERAL CARGO (CONSOL)</t>
        </is>
      </c>
      <c r="O58" s="4" t="inlineStr">
        <is>
          <t>CONSOL</t>
        </is>
      </c>
      <c r="P58" s="4" t="inlineStr">
        <is>
          <t>Pickup : 2026-09-11, Return : 2026-09-11 CONSOL 
[1ST CY DATE : 17/09/2026 W/O RENT]</t>
        </is>
      </c>
      <c r="Q58" s="4" t="n">
        <v>0</v>
      </c>
      <c r="R58" s="4" t="n">
        <v>0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HASLS22260801208</t>
        </is>
      </c>
      <c r="B59" s="4" t="inlineStr">
        <is>
          <t>KJT</t>
        </is>
      </c>
      <c r="C59" s="4" t="inlineStr">
        <is>
          <t>2610N</t>
        </is>
      </c>
      <c r="D59" s="4" t="inlineStr">
        <is>
          <t>202609220800</t>
        </is>
      </c>
      <c r="E59" s="4" t="n"/>
      <c r="F59" s="4" t="inlineStr">
        <is>
          <t>THBKK</t>
        </is>
      </c>
      <c r="G59" s="4" t="inlineStr">
        <is>
          <t>HKHKG</t>
        </is>
      </c>
      <c r="H59" s="4" t="inlineStr">
        <is>
          <t xml:space="preserve">40Hx3 </t>
        </is>
      </c>
      <c r="I59" s="4" t="inlineStr">
        <is>
          <t>BKK01</t>
        </is>
      </c>
      <c r="J59" s="4" t="inlineStr">
        <is>
          <t>PAT TERMINAL 2 (PORT AUTHORITY OF THAILAND)</t>
        </is>
      </c>
      <c r="K59" s="4" t="inlineStr">
        <is>
          <t>20260914</t>
        </is>
      </c>
      <c r="L59" s="4" t="inlineStr">
        <is>
          <t>PILOT CONSOLIDATOR CO., LTD.</t>
        </is>
      </c>
      <c r="M59" s="4" t="inlineStr">
        <is>
          <t>PILOT CONSOLIDATOR CO., LTD.</t>
        </is>
      </c>
      <c r="N59" s="4" t="inlineStr">
        <is>
          <t>GENERAL CARGO (CONSOL)</t>
        </is>
      </c>
      <c r="O59" s="4" t="inlineStr">
        <is>
          <t>CONSOL</t>
        </is>
      </c>
      <c r="P59" s="4" t="inlineStr">
        <is>
          <t>Pickup : 2026-09-14, Return : 2026-09-15 CONSOL</t>
        </is>
      </c>
      <c r="Q59" s="4" t="n">
        <v>0</v>
      </c>
      <c r="R59" s="4" t="n">
        <v>0</v>
      </c>
      <c r="S59" s="4" t="n">
        <v>3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HASLS22260801441</t>
        </is>
      </c>
      <c r="B60" s="4" t="inlineStr">
        <is>
          <t>KJT</t>
        </is>
      </c>
      <c r="C60" s="4" t="inlineStr">
        <is>
          <t>2610N</t>
        </is>
      </c>
      <c r="D60" s="4" t="inlineStr">
        <is>
          <t>202609220800</t>
        </is>
      </c>
      <c r="E60" s="4" t="n"/>
      <c r="F60" s="4" t="inlineStr">
        <is>
          <t>THBKK</t>
        </is>
      </c>
      <c r="G60" s="4" t="inlineStr">
        <is>
          <t>KRPUS</t>
        </is>
      </c>
      <c r="H60" s="4" t="inlineStr">
        <is>
          <t xml:space="preserve">40Hx1 20'x1 </t>
        </is>
      </c>
      <c r="I60" s="4" t="inlineStr">
        <is>
          <t>BKK01</t>
        </is>
      </c>
      <c r="J60" s="4" t="inlineStr">
        <is>
          <t>PAT TERMINAL 2 (PORT AUTHORITY OF THAILAND)</t>
        </is>
      </c>
      <c r="K60" s="4" t="inlineStr">
        <is>
          <t>20260910</t>
        </is>
      </c>
      <c r="L60" s="4" t="inlineStr">
        <is>
          <t>GATEWAY CONTAINER LINE CO., LTD.</t>
        </is>
      </c>
      <c r="M60" s="4" t="inlineStr">
        <is>
          <t>GATEWAY CONTAINER LINE CO., LTD.</t>
        </is>
      </c>
      <c r="N60" s="4" t="inlineStr">
        <is>
          <t>GENERAL CARGO (CONSOL)</t>
        </is>
      </c>
      <c r="O60" s="4" t="inlineStr">
        <is>
          <t>CONSOL</t>
        </is>
      </c>
      <c r="P60" s="4" t="inlineStr">
        <is>
          <t>Pickup : 2026-09-10, Return : 2026-09-11 CONSOL</t>
        </is>
      </c>
      <c r="Q60" s="4" t="n">
        <v>1</v>
      </c>
      <c r="R60" s="4" t="n">
        <v>0</v>
      </c>
      <c r="S60" s="4" t="n">
        <v>1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HASLS22260801482</t>
        </is>
      </c>
      <c r="B61" s="4" t="inlineStr">
        <is>
          <t>KJT</t>
        </is>
      </c>
      <c r="C61" s="4" t="inlineStr">
        <is>
          <t>2610N</t>
        </is>
      </c>
      <c r="D61" s="4" t="inlineStr">
        <is>
          <t>202609220800</t>
        </is>
      </c>
      <c r="E61" s="4" t="n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20'x3 </t>
        </is>
      </c>
      <c r="I61" s="4" t="inlineStr">
        <is>
          <t>BKK01</t>
        </is>
      </c>
      <c r="J61" s="4" t="inlineStr">
        <is>
          <t>PAT TERMINAL 2 (PORT AUTHORITY OF THAILAND)</t>
        </is>
      </c>
      <c r="K61" s="4" t="inlineStr">
        <is>
          <t>20260915</t>
        </is>
      </c>
      <c r="L61" s="4" t="inlineStr">
        <is>
          <t>OASIS LOGISTICS CO., LTD.</t>
        </is>
      </c>
      <c r="M61" s="4" t="inlineStr">
        <is>
          <t>KAEN CHAROEN CO.,LTD.</t>
        </is>
      </c>
      <c r="N61" s="4" t="inlineStr">
        <is>
          <t xml:space="preserve">TAPIOCA STARCH </t>
        </is>
      </c>
      <c r="O61" s="4" t="inlineStr">
        <is>
          <t>GOOD AND CLEAN CONTAINER</t>
        </is>
      </c>
      <c r="P61" s="4" t="inlineStr">
        <is>
          <t xml:space="preserve">STUFFING CARGO @PAT (SPORTLIGHT TOWER NO.2) DD.15/09/26 CLS TIME CFS DD.15/09/26 - 17:00HRS.
</t>
        </is>
      </c>
      <c r="Q61" s="4" t="n">
        <v>3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HASLS22260900186</t>
        </is>
      </c>
      <c r="B62" s="4" t="inlineStr">
        <is>
          <t>KMTP</t>
        </is>
      </c>
      <c r="C62" s="4" t="inlineStr">
        <is>
          <t>2611N</t>
        </is>
      </c>
      <c r="D62" s="4" t="inlineStr">
        <is>
          <t>202609200900</t>
        </is>
      </c>
      <c r="E62" s="4" t="n"/>
      <c r="F62" s="4" t="inlineStr">
        <is>
          <t>THBKK</t>
        </is>
      </c>
      <c r="G62" s="4" t="inlineStr">
        <is>
          <t>HKHKG</t>
        </is>
      </c>
      <c r="H62" s="4" t="inlineStr">
        <is>
          <t xml:space="preserve">40Hx1 </t>
        </is>
      </c>
      <c r="I62" s="4" t="inlineStr">
        <is>
          <t>BKK01</t>
        </is>
      </c>
      <c r="J62" s="4" t="inlineStr">
        <is>
          <t>PAT TERMINAL 2 (PORT AUTHORITY OF THAILAND)</t>
        </is>
      </c>
      <c r="K62" s="4" t="inlineStr">
        <is>
          <t>20260915</t>
        </is>
      </c>
      <c r="L62" s="4" t="inlineStr">
        <is>
          <t>ASIA FORWARDING (THAILAND) LTD.</t>
        </is>
      </c>
      <c r="M62" s="4" t="inlineStr">
        <is>
          <t>ASIA FORWARDING (THAILAND) LTD.</t>
        </is>
      </c>
      <c r="N62" s="4" t="inlineStr">
        <is>
          <t>GENERAL CARGO (CONSOL)</t>
        </is>
      </c>
      <c r="O62" s="4" t="inlineStr">
        <is>
          <t>(CONSOL)</t>
        </is>
      </c>
      <c r="P62" s="4" t="inlineStr">
        <is>
          <t>CY-RTN : 15-16/09/2026 (CONSOL)</t>
        </is>
      </c>
      <c r="Q62" s="4" t="n">
        <v>0</v>
      </c>
      <c r="R62" s="4" t="n">
        <v>0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HASLS22260900309</t>
        </is>
      </c>
      <c r="B63" s="4" t="inlineStr">
        <is>
          <t>KMTP</t>
        </is>
      </c>
      <c r="C63" s="4" t="inlineStr">
        <is>
          <t>2611N</t>
        </is>
      </c>
      <c r="D63" s="4" t="inlineStr">
        <is>
          <t>202609200900</t>
        </is>
      </c>
      <c r="E63" s="4" t="n"/>
      <c r="F63" s="4" t="inlineStr">
        <is>
          <t>THBKK</t>
        </is>
      </c>
      <c r="G63" s="4" t="inlineStr">
        <is>
          <t>HKHKG</t>
        </is>
      </c>
      <c r="H63" s="4" t="inlineStr">
        <is>
          <t xml:space="preserve">40Hx4 </t>
        </is>
      </c>
      <c r="I63" s="4" t="inlineStr">
        <is>
          <t>BKK01</t>
        </is>
      </c>
      <c r="J63" s="4" t="inlineStr">
        <is>
          <t>PAT TERMINAL 2 (PORT AUTHORITY OF THAILAND)</t>
        </is>
      </c>
      <c r="K63" s="4" t="inlineStr">
        <is>
          <t>20260915</t>
        </is>
      </c>
      <c r="L63" s="4" t="inlineStr">
        <is>
          <t>ECU WORLDWIDE (THAILAND) CO., LTD.</t>
        </is>
      </c>
      <c r="M63" s="4" t="inlineStr">
        <is>
          <t>ECU WORLDWIDE (THAILAND) CO., LTD.</t>
        </is>
      </c>
      <c r="N63" s="4" t="inlineStr">
        <is>
          <t>GENERAL CARGO (CONSOL)</t>
        </is>
      </c>
      <c r="O63" s="4" t="inlineStr">
        <is>
          <t>CONSOL</t>
        </is>
      </c>
      <c r="P63" s="4" t="inlineStr">
        <is>
          <t>Pickup : 2026-09-15, Return : 2026-09-16 CONSOL</t>
        </is>
      </c>
      <c r="Q63" s="4" t="n">
        <v>0</v>
      </c>
      <c r="R63" s="4" t="n">
        <v>0</v>
      </c>
      <c r="S63" s="4" t="n">
        <v>4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HASLS22260701768</t>
        </is>
      </c>
      <c r="B64" s="4" t="inlineStr">
        <is>
          <t>TBN</t>
        </is>
      </c>
      <c r="C64" s="4" t="inlineStr">
        <is>
          <t>001</t>
        </is>
      </c>
      <c r="D64" s="4" t="n"/>
      <c r="E64" s="4" t="n"/>
      <c r="F64" s="4" t="inlineStr">
        <is>
          <t>THLCH</t>
        </is>
      </c>
      <c r="G64" s="4" t="inlineStr">
        <is>
          <t>JPYKK</t>
        </is>
      </c>
      <c r="H64" s="4" t="inlineStr">
        <is>
          <t xml:space="preserve">20'x2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20260805</t>
        </is>
      </c>
      <c r="L64" s="4" t="inlineStr">
        <is>
          <t>DOW CHEMICAL THAILAND LTD.</t>
        </is>
      </c>
      <c r="M64" s="4" t="inlineStr">
        <is>
          <t>DOW CHEMICAL THAILAND LTD.</t>
        </is>
      </c>
      <c r="N64" s="4" t="inlineStr">
        <is>
          <t>RESIN</t>
        </is>
      </c>
      <c r="O64" s="4" t="inlineStr">
        <is>
          <t>RQST CNTR SEABULK &amp; GRADE A</t>
        </is>
      </c>
      <c r="P64" s="4" t="inlineStr">
        <is>
          <t>CY CNTR DD.05/08/2026 RQST CNTR SEABULK &amp; GRADE A</t>
        </is>
      </c>
      <c r="Q64" s="4" t="n">
        <v>2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1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HASLS22260701770</t>
        </is>
      </c>
      <c r="B65" s="4" t="inlineStr">
        <is>
          <t>TBN</t>
        </is>
      </c>
      <c r="C65" s="4" t="inlineStr">
        <is>
          <t>001</t>
        </is>
      </c>
      <c r="D65" s="4" t="n"/>
      <c r="E65" s="4" t="n"/>
      <c r="F65" s="4" t="inlineStr">
        <is>
          <t>THLCH</t>
        </is>
      </c>
      <c r="G65" s="4" t="inlineStr">
        <is>
          <t>JPYKK</t>
        </is>
      </c>
      <c r="H65" s="4" t="inlineStr">
        <is>
          <t xml:space="preserve">20'x5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20260806</t>
        </is>
      </c>
      <c r="L65" s="4" t="inlineStr">
        <is>
          <t>DOW CHEMICAL THAILAND LTD.</t>
        </is>
      </c>
      <c r="M65" s="4" t="inlineStr">
        <is>
          <t>DOW CHEMICAL THAILAND LTD.</t>
        </is>
      </c>
      <c r="N65" s="4" t="inlineStr">
        <is>
          <t>RESIN</t>
        </is>
      </c>
      <c r="O65" s="4" t="inlineStr">
        <is>
          <t>RQST CNTR SEABULK &amp; GRADE A</t>
        </is>
      </c>
      <c r="P65" s="4" t="inlineStr">
        <is>
          <t>CY CNTR DD.06/08/2026 RQST CNTR SEABULK &amp; GRADE A</t>
        </is>
      </c>
      <c r="Q65" s="4" t="n">
        <v>5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4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HASLS22260800165</t>
        </is>
      </c>
      <c r="B66" s="4" t="inlineStr">
        <is>
          <t>TBN</t>
        </is>
      </c>
      <c r="C66" s="4" t="inlineStr">
        <is>
          <t>001</t>
        </is>
      </c>
      <c r="D66" s="4" t="n"/>
      <c r="E66" s="4" t="n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20'x4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20260813</t>
        </is>
      </c>
      <c r="L66" s="4" t="inlineStr">
        <is>
          <t>DOW CHEMICAL THAILAND LTD.</t>
        </is>
      </c>
      <c r="M66" s="4" t="inlineStr">
        <is>
          <t>DOW CHEMICAL THAILAND LTD.</t>
        </is>
      </c>
      <c r="N66" s="4" t="inlineStr">
        <is>
          <t>RESIN</t>
        </is>
      </c>
      <c r="O66" s="4" t="inlineStr">
        <is>
          <t>RQST CNTR SEABULK &amp; GRADE A</t>
        </is>
      </c>
      <c r="P66" s="4" t="inlineStr">
        <is>
          <t>CY CNTR DD.13/08/2026 RQST CNTR SEABULK &amp; GRADE A</t>
        </is>
      </c>
      <c r="Q66" s="4" t="n">
        <v>4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1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HASLS22260800462</t>
        </is>
      </c>
      <c r="B67" s="4" t="inlineStr">
        <is>
          <t>KMTP</t>
        </is>
      </c>
      <c r="C67" s="4" t="inlineStr">
        <is>
          <t>2611N</t>
        </is>
      </c>
      <c r="D67" s="4" t="inlineStr">
        <is>
          <t>202609202300</t>
        </is>
      </c>
      <c r="E67" s="4" t="n"/>
      <c r="F67" s="4" t="inlineStr">
        <is>
          <t>THLCH</t>
        </is>
      </c>
      <c r="G67" s="4" t="inlineStr">
        <is>
          <t>HKHKG</t>
        </is>
      </c>
      <c r="H67" s="4" t="inlineStr">
        <is>
          <t xml:space="preserve">40Hx1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20260915</t>
        </is>
      </c>
      <c r="L67" s="4" t="inlineStr">
        <is>
          <t>ELIJAH INTER FREIGHT CO., LTD.</t>
        </is>
      </c>
      <c r="M67" s="4" t="inlineStr">
        <is>
          <t>THAI LOTTE CO., LTD.</t>
        </is>
      </c>
      <c r="N67" s="4" t="inlineStr">
        <is>
          <t>BISCUITS</t>
        </is>
      </c>
      <c r="O67" s="4" t="inlineStr">
        <is>
          <t>REQUEST CONTAINER GRADE A</t>
        </is>
      </c>
      <c r="P67" s="4" t="inlineStr">
        <is>
          <t>Pickup : 2026-09-15, Return : 2026-09-15</t>
        </is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HASLS22260800514</t>
        </is>
      </c>
      <c r="B68" s="4" t="inlineStr">
        <is>
          <t>KXM</t>
        </is>
      </c>
      <c r="C68" s="4" t="inlineStr">
        <is>
          <t>2608S</t>
        </is>
      </c>
      <c r="D68" s="4" t="inlineStr">
        <is>
          <t>202610110000</t>
        </is>
      </c>
      <c r="E68" s="4" t="n"/>
      <c r="F68" s="4" t="inlineStr">
        <is>
          <t>THLCH</t>
        </is>
      </c>
      <c r="G68" s="4" t="inlineStr">
        <is>
          <t>IDJKT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20260915</t>
        </is>
      </c>
      <c r="L68" s="4" t="inlineStr">
        <is>
          <t>THAI POLYCARBONATE CO., LTD.</t>
        </is>
      </c>
      <c r="M68" s="4" t="inlineStr">
        <is>
          <t>THAI POLYCARBONATE CO., LTD.</t>
        </is>
      </c>
      <c r="N68" s="4" t="inlineStr">
        <is>
          <t>POLYCARBONATE RESIN , HS CODEIS 3907.40</t>
        </is>
      </c>
      <c r="O68" s="4" t="inlineStr">
        <is>
          <t>,PLEASE PROVIDE GOOD AND CLEAN CONTAINER, NO RUST, NO HOLE, NO SMELL WITH STRONG FLOORBOARD (LOAD BY FORKLIFT) AND BULLET SEAL TO THIS SHIPMENT</t>
        </is>
      </c>
      <c r="P68" s="4" t="inlineStr">
        <is>
          <t>Pickup : 2026-09-15, Return : 2026-09-17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HASLS22260800578</t>
        </is>
      </c>
      <c r="B69" s="4" t="inlineStr">
        <is>
          <t>PGPO</t>
        </is>
      </c>
      <c r="C69" s="4" t="inlineStr">
        <is>
          <t>2611N</t>
        </is>
      </c>
      <c r="D69" s="4" t="inlineStr">
        <is>
          <t>202609230900</t>
        </is>
      </c>
      <c r="E69" s="4" t="n"/>
      <c r="F69" s="4" t="inlineStr">
        <is>
          <t>THLCH</t>
        </is>
      </c>
      <c r="G69" s="4" t="inlineStr">
        <is>
          <t>KRPUS</t>
        </is>
      </c>
      <c r="H69" s="4" t="inlineStr">
        <is>
          <t xml:space="preserve">40Hx1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20260915</t>
        </is>
      </c>
      <c r="L69" s="4" t="inlineStr">
        <is>
          <t>TRUE MARINE CO., LTD.</t>
        </is>
      </c>
      <c r="M69" s="4" t="inlineStr">
        <is>
          <t>INOAC (THAILAND) CO., LTD.</t>
        </is>
      </c>
      <c r="N69" s="4" t="inlineStr">
        <is>
          <t>POLYURETHANE FOAM</t>
        </is>
      </c>
      <c r="O69" s="4" t="inlineStr">
        <is>
          <t>**REQUEST GOOD AND CLEAN CONTAINER</t>
        </is>
      </c>
      <c r="P69" s="4" t="inlineStr">
        <is>
          <t>Pickup : 2026-09-15, Return : 2026-09-16</t>
        </is>
      </c>
      <c r="Q69" s="4" t="n">
        <v>0</v>
      </c>
      <c r="R69" s="4" t="n">
        <v>0</v>
      </c>
      <c r="S69" s="4" t="n">
        <v>1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HASLS22260800857</t>
        </is>
      </c>
      <c r="B70" s="4" t="inlineStr">
        <is>
          <t>PGPO</t>
        </is>
      </c>
      <c r="C70" s="4" t="inlineStr">
        <is>
          <t>2611N</t>
        </is>
      </c>
      <c r="D70" s="4" t="inlineStr">
        <is>
          <t>202609230900</t>
        </is>
      </c>
      <c r="E70" s="4" t="n"/>
      <c r="F70" s="4" t="inlineStr">
        <is>
          <t>THLCH</t>
        </is>
      </c>
      <c r="G70" s="4" t="inlineStr">
        <is>
          <t>KRPTK</t>
        </is>
      </c>
      <c r="H70" s="4" t="inlineStr">
        <is>
          <t xml:space="preserve">40Hx8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20260914</t>
        </is>
      </c>
      <c r="L70" s="4" t="inlineStr">
        <is>
          <t>SAMSUNG SDS GLOBAL SCL (THAILAND) CO.,LTD.</t>
        </is>
      </c>
      <c r="M70" s="4" t="inlineStr">
        <is>
          <t>THAI SAMSUNG ELECTRONICS CO., LTD.</t>
        </is>
      </c>
      <c r="N70" s="4" t="inlineStr">
        <is>
          <t>WASHING MATCHINE</t>
        </is>
      </c>
      <c r="O70" s="4" t="inlineStr">
        <is>
          <t>*No containers with cut and patch marks inside*
GOOD CLEAN CONTIANER NO BLEAM (ELECTRONICS GOODS)</t>
        </is>
      </c>
      <c r="P70" s="4" t="inlineStr">
        <is>
          <t>Pickup : 2026-09-14, Return : 2026-09-15</t>
        </is>
      </c>
      <c r="Q70" s="4" t="n">
        <v>0</v>
      </c>
      <c r="R70" s="4" t="n">
        <v>0</v>
      </c>
      <c r="S70" s="4" t="n">
        <v>8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HASLS22260801168</t>
        </is>
      </c>
      <c r="B71" s="4" t="inlineStr">
        <is>
          <t>SWBT</t>
        </is>
      </c>
      <c r="C71" s="4" t="inlineStr">
        <is>
          <t>2615N</t>
        </is>
      </c>
      <c r="D71" s="4" t="inlineStr">
        <is>
          <t>202609220700</t>
        </is>
      </c>
      <c r="E71" s="4" t="n"/>
      <c r="F71" s="4" t="inlineStr">
        <is>
          <t>THLCH</t>
        </is>
      </c>
      <c r="G71" s="4" t="inlineStr">
        <is>
          <t>KRINC</t>
        </is>
      </c>
      <c r="H71" s="4" t="inlineStr">
        <is>
          <t xml:space="preserve">40Hx1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20260915</t>
        </is>
      </c>
      <c r="L71" s="4" t="inlineStr">
        <is>
          <t>SINTOP INTERNATIONAL (THAILAND) CO., LTD.</t>
        </is>
      </c>
      <c r="M71" s="4" t="inlineStr">
        <is>
          <t>W.A. RUBBERMATE CO., LTD.</t>
        </is>
      </c>
      <c r="N71" s="4" t="inlineStr">
        <is>
          <t>DISPOSABLE GLOVES</t>
        </is>
      </c>
      <c r="O71" s="4" t="inlineStr">
        <is>
          <t>GOOD AND CLEAN CONTAINER</t>
        </is>
      </c>
      <c r="P71" s="4" t="inlineStr">
        <is>
          <t>Pickup : 2026-09-15, Return : 2026-09-17
**CHECK OPENGATE BEFORE RETURN CNTR**</t>
        </is>
      </c>
      <c r="Q71" s="4" t="n">
        <v>0</v>
      </c>
      <c r="R71" s="4" t="n">
        <v>0</v>
      </c>
      <c r="S71" s="4" t="n">
        <v>1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HASLS22260801535</t>
        </is>
      </c>
      <c r="B72" s="4" t="inlineStr">
        <is>
          <t>KJT</t>
        </is>
      </c>
      <c r="C72" s="4" t="inlineStr">
        <is>
          <t>2610N</t>
        </is>
      </c>
      <c r="D72" s="4" t="inlineStr">
        <is>
          <t>202609230100</t>
        </is>
      </c>
      <c r="E72" s="4" t="n"/>
      <c r="F72" s="4" t="inlineStr">
        <is>
          <t>THLCH</t>
        </is>
      </c>
      <c r="G72" s="4" t="inlineStr">
        <is>
          <t>HKHKG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20260914</t>
        </is>
      </c>
      <c r="L72" s="4" t="inlineStr">
        <is>
          <t>FAIR AND FAST COMPANY LIMITED</t>
        </is>
      </c>
      <c r="M72" s="4" t="inlineStr">
        <is>
          <t>PACIFIC SUGAR CORPORATION LIMITED</t>
        </is>
      </c>
      <c r="N72" s="4" t="inlineStr">
        <is>
          <t>Sugar</t>
        </is>
      </c>
      <c r="O72" s="4" t="inlineStr">
        <is>
          <t>RQST CONTAINER 30 TONS. // REQUEST GOOD AND CLEAN CONTAINER FOR FOOD</t>
        </is>
      </c>
      <c r="P72" s="4" t="inlineStr">
        <is>
          <t xml:space="preserve">Pickup : 2026-09-14, Return : 2026-09-15 
 ** PLEASE CHECK OPEN GATE BEFORE RETURN CNTR **
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HASLS22260801636</t>
        </is>
      </c>
      <c r="B73" s="4" t="inlineStr">
        <is>
          <t>KJT</t>
        </is>
      </c>
      <c r="C73" s="4" t="inlineStr">
        <is>
          <t>2610N</t>
        </is>
      </c>
      <c r="D73" s="4" t="inlineStr">
        <is>
          <t>202609230100</t>
        </is>
      </c>
      <c r="E73" s="4" t="n"/>
      <c r="F73" s="4" t="inlineStr">
        <is>
          <t>THLCH</t>
        </is>
      </c>
      <c r="G73" s="4" t="inlineStr">
        <is>
          <t>JPIWK</t>
        </is>
      </c>
      <c r="H73" s="4" t="inlineStr">
        <is>
          <t xml:space="preserve">20'x2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20260911</t>
        </is>
      </c>
      <c r="L73" s="4" t="inlineStr">
        <is>
          <t>SCGJWD LOGISTICS PUBLIC COMPANY LIMITED</t>
        </is>
      </c>
      <c r="M73" s="4" t="inlineStr">
        <is>
          <t>THAI POLYETHYLENE CO., LTD.</t>
        </is>
      </c>
      <c r="N73" s="4" t="inlineStr">
        <is>
          <t>RESIN</t>
        </is>
      </c>
      <c r="O73" s="4" t="inlineStr">
        <is>
          <t>RQST NO RED WALL CONTAINER,CLEAN CONTAINER NO OIL STAINS , NO RUSTY ,NO CUT OR HOLE</t>
        </is>
      </c>
      <c r="P73" s="4" t="inlineStr">
        <is>
          <t xml:space="preserve">CY-RTN : 11-14/09/2026
IVN : 3031060556
NO RED WALL CONTAINER,CLEAN CONTAINER NO OIL STAINS , NO RUSTY ,NO CUT OR HOLE    </t>
        </is>
      </c>
      <c r="Q73" s="4" t="n">
        <v>2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HASLS22260801908</t>
        </is>
      </c>
      <c r="B74" s="4" t="inlineStr">
        <is>
          <t>KJT</t>
        </is>
      </c>
      <c r="C74" s="4" t="inlineStr">
        <is>
          <t>2610N</t>
        </is>
      </c>
      <c r="D74" s="4" t="inlineStr">
        <is>
          <t>202609230100</t>
        </is>
      </c>
      <c r="E74" s="4" t="n"/>
      <c r="F74" s="4" t="inlineStr">
        <is>
          <t>THLCH</t>
        </is>
      </c>
      <c r="G74" s="4" t="inlineStr">
        <is>
          <t>JPOSA</t>
        </is>
      </c>
      <c r="H74" s="4" t="inlineStr">
        <is>
          <t xml:space="preserve">20'x1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20260910</t>
        </is>
      </c>
      <c r="L74" s="4" t="inlineStr">
        <is>
          <t>GLOBAL GREEN CHEMICALS PUBLIC COMPANY LIMITED</t>
        </is>
      </c>
      <c r="M74" s="4" t="inlineStr">
        <is>
          <t>GLOBAL GREEN CHEMICALS PUBLIC COMPANY LIMITED</t>
        </is>
      </c>
      <c r="N74" s="4" t="inlineStr">
        <is>
          <t xml:space="preserve">REFINED GLYCERINE 99.5% USP </t>
        </is>
      </c>
      <c r="O74" s="4" t="inlineStr">
        <is>
          <t>Stowage Under Deck Away from Boiler</t>
        </is>
      </c>
      <c r="P74" s="4" t="inlineStr">
        <is>
          <t>Pickup : 2026-09-10, Return : 2026-09-12 
** PLEASE CHECK OPEN GATE BEFORE RETURN CONTAINER **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HASLS22260801978</t>
        </is>
      </c>
      <c r="B75" s="4" t="inlineStr">
        <is>
          <t>NSSJ</t>
        </is>
      </c>
      <c r="C75" s="4" t="inlineStr">
        <is>
          <t>2607S</t>
        </is>
      </c>
      <c r="D75" s="4" t="inlineStr">
        <is>
          <t>202609220800</t>
        </is>
      </c>
      <c r="E75" s="4" t="n"/>
      <c r="F75" s="4" t="inlineStr">
        <is>
          <t>THLCH</t>
        </is>
      </c>
      <c r="G75" s="4" t="inlineStr">
        <is>
          <t>IDJKT</t>
        </is>
      </c>
      <c r="H75" s="4" t="inlineStr">
        <is>
          <t xml:space="preserve">40Hx2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20260908</t>
        </is>
      </c>
      <c r="L75" s="4" t="inlineStr">
        <is>
          <t>L.A.1 CO.,LTD.</t>
        </is>
      </c>
      <c r="M75" s="4" t="inlineStr">
        <is>
          <t>TANATEX CHEMICALS (THAILAND) CO., LTD.</t>
        </is>
      </c>
      <c r="N75" s="4" t="inlineStr">
        <is>
          <t>CHEMICALS PRODUCT (NON DG)</t>
        </is>
      </c>
      <c r="O75" s="4" t="inlineStr">
        <is>
          <t>REQUEST : CONTAINER MAX GROSS 32.50 TONS</t>
        </is>
      </c>
      <c r="P75" s="4" t="inlineStr">
        <is>
          <t>Pickup : 2026-09-08, Return : 2026-09-09</t>
        </is>
      </c>
      <c r="Q75" s="4" t="n">
        <v>0</v>
      </c>
      <c r="R75" s="4" t="n">
        <v>0</v>
      </c>
      <c r="S75" s="4" t="n">
        <v>2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HASLS22260801983</t>
        </is>
      </c>
      <c r="B76" s="4" t="inlineStr">
        <is>
          <t>NSSJ</t>
        </is>
      </c>
      <c r="C76" s="4" t="inlineStr">
        <is>
          <t>2607S</t>
        </is>
      </c>
      <c r="D76" s="4" t="inlineStr">
        <is>
          <t>202609220800</t>
        </is>
      </c>
      <c r="E76" s="4" t="n"/>
      <c r="F76" s="4" t="inlineStr">
        <is>
          <t>THLCH</t>
        </is>
      </c>
      <c r="G76" s="4" t="inlineStr">
        <is>
          <t>IDJKT</t>
        </is>
      </c>
      <c r="H76" s="4" t="inlineStr">
        <is>
          <t xml:space="preserve">20'x1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20260908</t>
        </is>
      </c>
      <c r="L76" s="4" t="inlineStr">
        <is>
          <t>L.A.1 CO.,LTD.</t>
        </is>
      </c>
      <c r="M76" s="4" t="inlineStr">
        <is>
          <t>TANATEX CHEMICALS (THAILAND) CO., LTD.</t>
        </is>
      </c>
      <c r="N76" s="4" t="inlineStr">
        <is>
          <t>CHEMICALS PRODUCT (NON DG)</t>
        </is>
      </c>
      <c r="O76" s="4" t="inlineStr">
        <is>
          <t>GOOD AND CLEAN CONTAINER</t>
        </is>
      </c>
      <c r="P76" s="4" t="inlineStr">
        <is>
          <t>Pickup : 2026-09-08, Return : 2026-09-09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HASLS22260801987</t>
        </is>
      </c>
      <c r="B77" s="4" t="inlineStr">
        <is>
          <t>KMSU</t>
        </is>
      </c>
      <c r="C77" s="4" t="inlineStr">
        <is>
          <t>2607S</t>
        </is>
      </c>
      <c r="D77" s="4" t="inlineStr">
        <is>
          <t>202609271100</t>
        </is>
      </c>
      <c r="E77" s="4" t="n"/>
      <c r="F77" s="4" t="inlineStr">
        <is>
          <t>THLCH</t>
        </is>
      </c>
      <c r="G77" s="4" t="inlineStr">
        <is>
          <t>IDJKT</t>
        </is>
      </c>
      <c r="H77" s="4" t="inlineStr">
        <is>
          <t xml:space="preserve">20'x2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20260822</t>
        </is>
      </c>
      <c r="L77" s="4" t="inlineStr">
        <is>
          <t>L.A.1 CO.,LTD.</t>
        </is>
      </c>
      <c r="M77" s="4" t="inlineStr">
        <is>
          <t>TANATEX CHEMICALS (THAILAND) CO., LTD.</t>
        </is>
      </c>
      <c r="N77" s="4" t="inlineStr">
        <is>
          <t>CHEMICALS PRODUCT (NON DG)</t>
        </is>
      </c>
      <c r="O77" s="4" t="inlineStr">
        <is>
          <t>GOOD AND CLEAN CONTAINER</t>
        </is>
      </c>
      <c r="P77" s="4" t="inlineStr">
        <is>
          <t>Pickup : 2026-08-22, Return : 2026-08-24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HASLS22260802065</t>
        </is>
      </c>
      <c r="B78" s="4" t="inlineStr">
        <is>
          <t>KJT</t>
        </is>
      </c>
      <c r="C78" s="4" t="inlineStr">
        <is>
          <t>2610N</t>
        </is>
      </c>
      <c r="D78" s="4" t="inlineStr">
        <is>
          <t>202609230100</t>
        </is>
      </c>
      <c r="E78" s="4" t="n"/>
      <c r="F78" s="4" t="inlineStr">
        <is>
          <t>THLCH</t>
        </is>
      </c>
      <c r="G78" s="4" t="inlineStr">
        <is>
          <t>HKHKG</t>
        </is>
      </c>
      <c r="H78" s="4" t="inlineStr">
        <is>
          <t xml:space="preserve">40Hx1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20260914</t>
        </is>
      </c>
      <c r="L78" s="4" t="inlineStr">
        <is>
          <t>YUSEN LOGISTICS (THAILAND) CO., LTD.</t>
        </is>
      </c>
      <c r="M78" s="4" t="inlineStr">
        <is>
          <t>ISUZU MOTORS INTERNATIONAL OPERATIONS (THAILAND) COMPANY LIMITED</t>
        </is>
      </c>
      <c r="N78" s="4" t="inlineStr">
        <is>
          <t>SPARE PARTS</t>
        </is>
      </c>
      <c r="O78" s="4" t="inlineStr">
        <is>
          <t>RQST GOOD CLEAN AND DRY CONTAINER GRADE 'A'</t>
        </is>
      </c>
      <c r="P78" s="4" t="inlineStr">
        <is>
          <t xml:space="preserve">Pickup : 2026-09-14, Return : 2026-09-17
** PLEASE CHECK OPEN GATE BEFORE RETURN CONTAINER ** </t>
        </is>
      </c>
      <c r="Q78" s="4" t="n">
        <v>0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HASLS22260802308</t>
        </is>
      </c>
      <c r="B79" s="4" t="inlineStr">
        <is>
          <t>KMGY</t>
        </is>
      </c>
      <c r="C79" s="4" t="inlineStr">
        <is>
          <t>2610N</t>
        </is>
      </c>
      <c r="D79" s="4" t="inlineStr">
        <is>
          <t>202609281000</t>
        </is>
      </c>
      <c r="E79" s="4" t="n"/>
      <c r="F79" s="4" t="inlineStr">
        <is>
          <t>THLCH</t>
        </is>
      </c>
      <c r="G79" s="4" t="inlineStr">
        <is>
          <t>CNXMN</t>
        </is>
      </c>
      <c r="H79" s="4" t="inlineStr">
        <is>
          <t xml:space="preserve">20'x1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20260915</t>
        </is>
      </c>
      <c r="L79" s="4" t="inlineStr">
        <is>
          <t>DOUBLE A (1991) PUBLIC COMPANY LIMITED</t>
        </is>
      </c>
      <c r="M79" s="4" t="inlineStr">
        <is>
          <t>DOUBLE A (1991) PUBLIC COMPANY LIMITED</t>
        </is>
      </c>
      <c r="N79" s="4" t="inlineStr">
        <is>
          <t>PAPER</t>
        </is>
      </c>
      <c r="O79" s="4" t="inlineStr">
        <is>
          <t>GOOD AND CLEAN CONTAINER</t>
        </is>
      </c>
      <c r="P79" s="4" t="inlineStr">
        <is>
          <t>CY-RTN : 15-18/09/2026*1ST RETURN CNTR DD.24/09/2026*
REF : PI-CN-TH-DA-26090094
FRT $ 35 , FREE TIME 21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HASLS22260802309</t>
        </is>
      </c>
      <c r="B80" s="4" t="inlineStr">
        <is>
          <t>KMGY</t>
        </is>
      </c>
      <c r="C80" s="4" t="inlineStr">
        <is>
          <t>2610N</t>
        </is>
      </c>
      <c r="D80" s="4" t="inlineStr">
        <is>
          <t>202609281000</t>
        </is>
      </c>
      <c r="E80" s="4" t="n"/>
      <c r="F80" s="4" t="inlineStr">
        <is>
          <t>THLCH</t>
        </is>
      </c>
      <c r="G80" s="4" t="inlineStr">
        <is>
          <t>CNXMN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20260915</t>
        </is>
      </c>
      <c r="L80" s="4" t="inlineStr">
        <is>
          <t>DOUBLE A (1991) PUBLIC COMPANY LIMITED</t>
        </is>
      </c>
      <c r="M80" s="4" t="inlineStr">
        <is>
          <t>DOUBLE A (1991) PUBLIC COMPANY LIMITED</t>
        </is>
      </c>
      <c r="N80" s="4" t="inlineStr">
        <is>
          <t>PAPER</t>
        </is>
      </c>
      <c r="O80" s="4" t="inlineStr">
        <is>
          <t>GOOD AND CLEAN CONTAINER</t>
        </is>
      </c>
      <c r="P80" s="4" t="inlineStr">
        <is>
          <t>CY-RTN : 15-18/09/2026 *1ST RETURN CNTR DD.24/09/2026*
REF : PI-CN-TH-DA-26090092
FRT $ 35 , FREE TIME 21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HASLS22260802314</t>
        </is>
      </c>
      <c r="B81" s="4" t="inlineStr">
        <is>
          <t>SWIC</t>
        </is>
      </c>
      <c r="C81" s="4" t="inlineStr">
        <is>
          <t>2610N</t>
        </is>
      </c>
      <c r="D81" s="4" t="inlineStr">
        <is>
          <t>202609220200</t>
        </is>
      </c>
      <c r="E81" s="4" t="n"/>
      <c r="F81" s="4" t="inlineStr">
        <is>
          <t>THLCH</t>
        </is>
      </c>
      <c r="G81" s="4" t="inlineStr">
        <is>
          <t>JPYKK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20260909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 xml:space="preserve">Pickup : 2026-09-09, Return : 2026-09-15 
** PLEASE CHECK OPEN GATE BEFORE RETURN CONTAINER ** 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HASLS22260802316</t>
        </is>
      </c>
      <c r="B82" s="4" t="inlineStr">
        <is>
          <t>SWIC</t>
        </is>
      </c>
      <c r="C82" s="4" t="inlineStr">
        <is>
          <t>2610N</t>
        </is>
      </c>
      <c r="D82" s="4" t="inlineStr">
        <is>
          <t>202609220200</t>
        </is>
      </c>
      <c r="E82" s="4" t="n"/>
      <c r="F82" s="4" t="inlineStr">
        <is>
          <t>THLCH</t>
        </is>
      </c>
      <c r="G82" s="4" t="inlineStr">
        <is>
          <t>JPYKK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20260909</t>
        </is>
      </c>
      <c r="L82" s="4" t="inlineStr">
        <is>
          <t>DOW CHEMICAL THAILAND LTD.</t>
        </is>
      </c>
      <c r="M82" s="4" t="inlineStr">
        <is>
          <t>SIAM POLYETHYLENE CO., LTD.</t>
        </is>
      </c>
      <c r="N82" s="4" t="inlineStr">
        <is>
          <t>RESIN</t>
        </is>
      </c>
      <c r="O82" s="4" t="inlineStr">
        <is>
          <t>1X20' SEABULK</t>
        </is>
      </c>
      <c r="P82" s="4" t="inlineStr">
        <is>
          <t xml:space="preserve">Pickup : 2026-09-09, Return : 2026-09-15
** PLEASE CHECK OPEN GATE BEFORE RETURN CONTAINER **  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HASLS22260802317</t>
        </is>
      </c>
      <c r="B83" s="4" t="inlineStr">
        <is>
          <t>SWIC</t>
        </is>
      </c>
      <c r="C83" s="4" t="inlineStr">
        <is>
          <t>2610N</t>
        </is>
      </c>
      <c r="D83" s="4" t="inlineStr">
        <is>
          <t>202609220200</t>
        </is>
      </c>
      <c r="E83" s="4" t="n"/>
      <c r="F83" s="4" t="inlineStr">
        <is>
          <t>THLCH</t>
        </is>
      </c>
      <c r="G83" s="4" t="inlineStr">
        <is>
          <t>JPYKK</t>
        </is>
      </c>
      <c r="H83" s="4" t="inlineStr">
        <is>
          <t xml:space="preserve">20'x1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20260909</t>
        </is>
      </c>
      <c r="L83" s="4" t="inlineStr">
        <is>
          <t>DOW CHEMICAL THAILAND LTD.</t>
        </is>
      </c>
      <c r="M83" s="4" t="inlineStr">
        <is>
          <t>SIAM POLYETHYLENE CO., LTD.</t>
        </is>
      </c>
      <c r="N83" s="4" t="inlineStr">
        <is>
          <t>RESIN</t>
        </is>
      </c>
      <c r="O83" s="4" t="inlineStr">
        <is>
          <t>1X20' SEABULK</t>
        </is>
      </c>
      <c r="P83" s="4" t="inlineStr">
        <is>
          <t>Pickup : 2026-09-09, Return : 2026-09-15 
** PLEASE CHECK OPEN GATE BEFORE RETURN CONTAINER **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HASLS22260802319</t>
        </is>
      </c>
      <c r="B84" s="4" t="inlineStr">
        <is>
          <t>SWIC</t>
        </is>
      </c>
      <c r="C84" s="4" t="inlineStr">
        <is>
          <t>2610N</t>
        </is>
      </c>
      <c r="D84" s="4" t="inlineStr">
        <is>
          <t>202609220200</t>
        </is>
      </c>
      <c r="E84" s="4" t="n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20260909</t>
        </is>
      </c>
      <c r="L84" s="4" t="inlineStr">
        <is>
          <t>DOW CHEMICAL THAILAND LTD.</t>
        </is>
      </c>
      <c r="M84" s="4" t="inlineStr">
        <is>
          <t>SIAM POLYETHYLENE CO., LTD.</t>
        </is>
      </c>
      <c r="N84" s="4" t="inlineStr">
        <is>
          <t>RESIN</t>
        </is>
      </c>
      <c r="O84" s="4" t="inlineStr">
        <is>
          <t>1X20' SEABULK</t>
        </is>
      </c>
      <c r="P84" s="4" t="inlineStr">
        <is>
          <t xml:space="preserve">Pickup : 2026-09-09, Return : 2026-09-15
** PLEASE CHECK OPEN GATE BEFORE RETURN CONTAINER ** 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HASLS22260802321</t>
        </is>
      </c>
      <c r="B85" s="4" t="inlineStr">
        <is>
          <t>SWIC</t>
        </is>
      </c>
      <c r="C85" s="4" t="inlineStr">
        <is>
          <t>2610N</t>
        </is>
      </c>
      <c r="D85" s="4" t="inlineStr">
        <is>
          <t>202609220200</t>
        </is>
      </c>
      <c r="E85" s="4" t="n"/>
      <c r="F85" s="4" t="inlineStr">
        <is>
          <t>THLCH</t>
        </is>
      </c>
      <c r="G85" s="4" t="inlineStr">
        <is>
          <t>JPYKK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20260909</t>
        </is>
      </c>
      <c r="L85" s="4" t="inlineStr">
        <is>
          <t>DOW CHEMICAL THAILAND LTD.</t>
        </is>
      </c>
      <c r="M85" s="4" t="inlineStr">
        <is>
          <t>SIAM POLYETHYLENE CO., LTD.</t>
        </is>
      </c>
      <c r="N85" s="4" t="inlineStr">
        <is>
          <t>RESIN</t>
        </is>
      </c>
      <c r="O85" s="4" t="inlineStr">
        <is>
          <t>1X20' SEABULK</t>
        </is>
      </c>
      <c r="P85" s="4" t="inlineStr">
        <is>
          <t xml:space="preserve">Pickup : 2026-09-09, Return : 2026-09-15 
** PLEASE CHECK OPEN GATE BEFORE RETURN CONTAINER ** 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HASLS22260802322</t>
        </is>
      </c>
      <c r="B86" s="4" t="inlineStr">
        <is>
          <t>SWIC</t>
        </is>
      </c>
      <c r="C86" s="4" t="inlineStr">
        <is>
          <t>2610N</t>
        </is>
      </c>
      <c r="D86" s="4" t="inlineStr">
        <is>
          <t>202609220200</t>
        </is>
      </c>
      <c r="E86" s="4" t="n"/>
      <c r="F86" s="4" t="inlineStr">
        <is>
          <t>THLCH</t>
        </is>
      </c>
      <c r="G86" s="4" t="inlineStr">
        <is>
          <t>JPYKK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20260909</t>
        </is>
      </c>
      <c r="L86" s="4" t="inlineStr">
        <is>
          <t>DOW CHEMICAL THAILAND LTD.</t>
        </is>
      </c>
      <c r="M86" s="4" t="inlineStr">
        <is>
          <t>SIAM POLYETHYLENE CO., LTD.</t>
        </is>
      </c>
      <c r="N86" s="4" t="inlineStr">
        <is>
          <t>RESIN</t>
        </is>
      </c>
      <c r="O86" s="4" t="inlineStr">
        <is>
          <t>1X20' SEABULK</t>
        </is>
      </c>
      <c r="P86" s="4" t="inlineStr">
        <is>
          <t xml:space="preserve">Pickup : 2026-09-09, Return : 2026-09-15 
** PLEASE CHECK OPEN GATE BEFORE RETURN CONTAINER ** 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HASLS22260802323</t>
        </is>
      </c>
      <c r="B87" s="4" t="inlineStr">
        <is>
          <t>SWBT</t>
        </is>
      </c>
      <c r="C87" s="4" t="inlineStr">
        <is>
          <t>2615N</t>
        </is>
      </c>
      <c r="D87" s="4" t="inlineStr">
        <is>
          <t>202609220700</t>
        </is>
      </c>
      <c r="E87" s="4" t="n"/>
      <c r="F87" s="4" t="inlineStr">
        <is>
          <t>THLCH</t>
        </is>
      </c>
      <c r="G87" s="4" t="inlineStr">
        <is>
          <t>JPNGO</t>
        </is>
      </c>
      <c r="H87" s="4" t="inlineStr">
        <is>
          <t xml:space="preserve">20'x1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20260909</t>
        </is>
      </c>
      <c r="L87" s="4" t="inlineStr">
        <is>
          <t>DOW CHEMICAL THAILAND LTD.</t>
        </is>
      </c>
      <c r="M87" s="4" t="inlineStr">
        <is>
          <t>SIAM POLYETHYLENE CO., LTD.</t>
        </is>
      </c>
      <c r="N87" s="4" t="inlineStr">
        <is>
          <t>RESIN</t>
        </is>
      </c>
      <c r="O87" s="4" t="inlineStr">
        <is>
          <t>1X20' SEABULK</t>
        </is>
      </c>
      <c r="P87" s="4" t="inlineStr">
        <is>
          <t xml:space="preserve">Pickup : 2026-09-09, Return : 2026-09-15 
** PLEASE CHECK OPEN GATE BEFORE RETURN CONTAINER ** 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HASLS22260802325</t>
        </is>
      </c>
      <c r="B88" s="4" t="inlineStr">
        <is>
          <t>SWBT</t>
        </is>
      </c>
      <c r="C88" s="4" t="inlineStr">
        <is>
          <t>2615N</t>
        </is>
      </c>
      <c r="D88" s="4" t="inlineStr">
        <is>
          <t>202609220700</t>
        </is>
      </c>
      <c r="E88" s="4" t="n"/>
      <c r="F88" s="4" t="inlineStr">
        <is>
          <t>THLCH</t>
        </is>
      </c>
      <c r="G88" s="4" t="inlineStr">
        <is>
          <t>JPNGO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20260909</t>
        </is>
      </c>
      <c r="L88" s="4" t="inlineStr">
        <is>
          <t>DOW CHEMICAL THAILAND LTD.</t>
        </is>
      </c>
      <c r="M88" s="4" t="inlineStr">
        <is>
          <t>SIAM POLYETHYLENE CO., LTD.</t>
        </is>
      </c>
      <c r="N88" s="4" t="inlineStr">
        <is>
          <t>RESIN</t>
        </is>
      </c>
      <c r="O88" s="4" t="inlineStr">
        <is>
          <t>1X20' SEABULK</t>
        </is>
      </c>
      <c r="P88" s="4" t="inlineStr">
        <is>
          <t xml:space="preserve">Pickup : 2026-09-09, Return : 2026-09-15
** PLEASE CHECK OPEN GATE BEFORE RETURN CONTAINER ** 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HASLS22260802326</t>
        </is>
      </c>
      <c r="B89" s="4" t="inlineStr">
        <is>
          <t>SWBT</t>
        </is>
      </c>
      <c r="C89" s="4" t="inlineStr">
        <is>
          <t>2615N</t>
        </is>
      </c>
      <c r="D89" s="4" t="inlineStr">
        <is>
          <t>202609220700</t>
        </is>
      </c>
      <c r="E89" s="4" t="n"/>
      <c r="F89" s="4" t="inlineStr">
        <is>
          <t>THLCH</t>
        </is>
      </c>
      <c r="G89" s="4" t="inlineStr">
        <is>
          <t>JPNGO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20260909</t>
        </is>
      </c>
      <c r="L89" s="4" t="inlineStr">
        <is>
          <t>DOW CHEMICAL THAILAND LTD.</t>
        </is>
      </c>
      <c r="M89" s="4" t="inlineStr">
        <is>
          <t>SIAM POLYETHYLENE CO., LTD.</t>
        </is>
      </c>
      <c r="N89" s="4" t="inlineStr">
        <is>
          <t>RESIN</t>
        </is>
      </c>
      <c r="O89" s="4" t="inlineStr">
        <is>
          <t>1X20' SEABULK</t>
        </is>
      </c>
      <c r="P89" s="4" t="inlineStr">
        <is>
          <t xml:space="preserve">Pickup : 2026-09-09, Return : 2026-09-15
** PLEASE CHECK OPEN GATE BEFORE RETURN CONTAINER ** 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HASLS22260802387</t>
        </is>
      </c>
      <c r="B90" s="4" t="inlineStr">
        <is>
          <t>HAB</t>
        </is>
      </c>
      <c r="C90" s="4" t="inlineStr">
        <is>
          <t>2611N</t>
        </is>
      </c>
      <c r="D90" s="4" t="inlineStr">
        <is>
          <t>202609271400</t>
        </is>
      </c>
      <c r="E90" s="4" t="n"/>
      <c r="F90" s="4" t="inlineStr">
        <is>
          <t>THLCH</t>
        </is>
      </c>
      <c r="G90" s="4" t="inlineStr">
        <is>
          <t>CNSHA</t>
        </is>
      </c>
      <c r="H90" s="4" t="inlineStr">
        <is>
          <t xml:space="preserve">40Hx8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20260911</t>
        </is>
      </c>
      <c r="L90" s="4" t="inlineStr">
        <is>
          <t>SCGJWD LOGISTICS PUBLIC COMPANY LIMITED</t>
        </is>
      </c>
      <c r="M90" s="4" t="inlineStr">
        <is>
          <t>THAI POLYETHYLENE CO., LTD.</t>
        </is>
      </c>
      <c r="N90" s="4" t="inlineStr">
        <is>
          <t>RESIN</t>
        </is>
      </c>
      <c r="O90" s="4" t="inlineStr">
        <is>
          <t>REQ GOOD AND CLEAN CONT., NO OIL, NO RUSTY</t>
        </is>
      </c>
      <c r="P90" s="4" t="inlineStr">
        <is>
          <t xml:space="preserve">CY-RTN :11-15/09/2026 *INV : 3031061381*
REQ GOOD AND CLEAN CONT., NO OIL, NO RUSTY
</t>
        </is>
      </c>
      <c r="Q90" s="4" t="n">
        <v>0</v>
      </c>
      <c r="R90" s="4" t="n">
        <v>0</v>
      </c>
      <c r="S90" s="4" t="n">
        <v>8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HASLS22260802486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202609220200</t>
        </is>
      </c>
      <c r="E91" s="4" t="n"/>
      <c r="F91" s="4" t="inlineStr">
        <is>
          <t>THLCH</t>
        </is>
      </c>
      <c r="G91" s="4" t="inlineStr">
        <is>
          <t>JPYOK</t>
        </is>
      </c>
      <c r="H91" s="4" t="inlineStr">
        <is>
          <t xml:space="preserve">20'x1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20260915</t>
        </is>
      </c>
      <c r="L91" s="4" t="inlineStr">
        <is>
          <t>SAVINO DEL BENE (THAILAND) LTD.</t>
        </is>
      </c>
      <c r="M91" s="4" t="inlineStr">
        <is>
          <t>LOGISTICS CARGO EXPRESS CO., LTD.</t>
        </is>
      </c>
      <c r="N91" s="4" t="inlineStr">
        <is>
          <t>COOKWARE</t>
        </is>
      </c>
      <c r="O91" s="4" t="inlineStr">
        <is>
          <t>CONTAINER GOOD, CLEAN AND NO SMELL
HS</t>
        </is>
      </c>
      <c r="P91" s="4" t="inlineStr">
        <is>
          <t>Pickup : 2026-09-15, Return : 2026-09-16</t>
        </is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HASLS22260900122</t>
        </is>
      </c>
      <c r="B92" s="4" t="inlineStr">
        <is>
          <t>SWMM</t>
        </is>
      </c>
      <c r="C92" s="4" t="inlineStr">
        <is>
          <t>2609N</t>
        </is>
      </c>
      <c r="D92" s="4" t="inlineStr">
        <is>
          <t>202609240200</t>
        </is>
      </c>
      <c r="E92" s="4" t="n"/>
      <c r="F92" s="4" t="inlineStr">
        <is>
          <t>THLCH</t>
        </is>
      </c>
      <c r="G92" s="4" t="inlineStr">
        <is>
          <t>JPTYO</t>
        </is>
      </c>
      <c r="H92" s="4" t="inlineStr">
        <is>
          <t xml:space="preserve">20'x1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20260915</t>
        </is>
      </c>
      <c r="L92" s="4" t="inlineStr">
        <is>
          <t>WHA GC LOGISTICS COMPANY LIMITED</t>
        </is>
      </c>
      <c r="M92" s="4" t="inlineStr">
        <is>
          <t>PTT GLOBAL CHEMICAL PUBLIC COMPANY LIMITED</t>
        </is>
      </c>
      <c r="N92" s="4" t="inlineStr">
        <is>
          <t>RESIN</t>
        </is>
      </c>
      <c r="O92" s="4" t="inlineStr">
        <is>
          <t>REQUEST GRADE A CONTAIER + SURVEY EMPTY BEFORE PICK UP DD.15/09/26</t>
        </is>
      </c>
      <c r="P92" s="4" t="inlineStr">
        <is>
          <t>CY-RTN 15-17/09/26 (PR2610002351 )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HASLS22260900124</t>
        </is>
      </c>
      <c r="B93" s="4" t="inlineStr">
        <is>
          <t>SWMM</t>
        </is>
      </c>
      <c r="C93" s="4" t="inlineStr">
        <is>
          <t>2609N</t>
        </is>
      </c>
      <c r="D93" s="4" t="inlineStr">
        <is>
          <t>202609240200</t>
        </is>
      </c>
      <c r="E93" s="4" t="n"/>
      <c r="F93" s="4" t="inlineStr">
        <is>
          <t>THLCH</t>
        </is>
      </c>
      <c r="G93" s="4" t="inlineStr">
        <is>
          <t>JPTYO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20260915</t>
        </is>
      </c>
      <c r="L93" s="4" t="inlineStr">
        <is>
          <t>WHA GC LOGISTICS COMPANY LIMITED</t>
        </is>
      </c>
      <c r="M93" s="4" t="inlineStr">
        <is>
          <t>PTT GLOBAL CHEMICAL PUBLIC COMPANY LIMITED</t>
        </is>
      </c>
      <c r="N93" s="4" t="inlineStr">
        <is>
          <t>RESIN</t>
        </is>
      </c>
      <c r="O93" s="4" t="inlineStr">
        <is>
          <t>REQUEST GRADE A CONTAIER + SURVEY EMPTY BEFORE PICK UP DD.15/09/26</t>
        </is>
      </c>
      <c r="P93" s="4" t="inlineStr">
        <is>
          <t>CY-RTN 15-17/09/26 (PR2610002353 )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HASLS22260900125</t>
        </is>
      </c>
      <c r="B94" s="4" t="inlineStr">
        <is>
          <t>SWMM</t>
        </is>
      </c>
      <c r="C94" s="4" t="inlineStr">
        <is>
          <t>2609N</t>
        </is>
      </c>
      <c r="D94" s="4" t="inlineStr">
        <is>
          <t>202609240200</t>
        </is>
      </c>
      <c r="E94" s="4" t="n"/>
      <c r="F94" s="4" t="inlineStr">
        <is>
          <t>THLCH</t>
        </is>
      </c>
      <c r="G94" s="4" t="inlineStr">
        <is>
          <t>JPTYO</t>
        </is>
      </c>
      <c r="H94" s="4" t="inlineStr">
        <is>
          <t xml:space="preserve">20'x4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20260915</t>
        </is>
      </c>
      <c r="L94" s="4" t="inlineStr">
        <is>
          <t>WHA GC LOGISTICS COMPANY LIMITED</t>
        </is>
      </c>
      <c r="M94" s="4" t="inlineStr">
        <is>
          <t>PTT GLOBAL CHEMICAL PUBLIC COMPANY LIMITED</t>
        </is>
      </c>
      <c r="N94" s="4" t="inlineStr">
        <is>
          <t>RESIN</t>
        </is>
      </c>
      <c r="O94" s="4" t="inlineStr">
        <is>
          <t>REQUEST GRADE A CONTAIER + SURVEY EMPTY BEFORE PICK UP DD.15/09/26</t>
        </is>
      </c>
      <c r="P94" s="4" t="inlineStr">
        <is>
          <t>CY-RTN 15-17/09/26 (PR2610002352 )
**CHECK OPENGATE BEFORE RETURN CNTR**</t>
        </is>
      </c>
      <c r="Q94" s="4" t="n">
        <v>4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HASLS22260900173</t>
        </is>
      </c>
      <c r="B95" s="4" t="inlineStr">
        <is>
          <t>NSSJ</t>
        </is>
      </c>
      <c r="C95" s="4" t="inlineStr">
        <is>
          <t>2607S</t>
        </is>
      </c>
      <c r="D95" s="4" t="inlineStr">
        <is>
          <t>202609220800</t>
        </is>
      </c>
      <c r="E95" s="4" t="n"/>
      <c r="F95" s="4" t="inlineStr">
        <is>
          <t>THLCH</t>
        </is>
      </c>
      <c r="G95" s="4" t="inlineStr">
        <is>
          <t>IDJKT</t>
        </is>
      </c>
      <c r="H95" s="4" t="inlineStr">
        <is>
          <t xml:space="preserve">40Hx1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20260914</t>
        </is>
      </c>
      <c r="L95" s="4" t="inlineStr">
        <is>
          <t>MAINFREIGHT LOGISTICS (THAILAND) CO., LTD.</t>
        </is>
      </c>
      <c r="M95" s="4" t="inlineStr">
        <is>
          <t>NALCO INDUSTRIAL SERVICES (THAILAND) CO., LTD.</t>
        </is>
      </c>
      <c r="N95" s="4" t="inlineStr">
        <is>
          <t>IMDG SEGREGATION GROUP 1 - ACIDS</t>
        </is>
      </c>
      <c r="O95" s="4" t="inlineStr">
        <is>
          <t>APPROVAL BY Mr.LEE MINHA DD.07/09/2026 // DG CARGO (CLS 8 / UN 3264)  Request good and clean container</t>
        </is>
      </c>
      <c r="P95" s="4" t="inlineStr">
        <is>
          <t xml:space="preserve">APPROVAL BY Mr.LEE MINHA DD.07/09/2026 // DG CARGO (CLS 8 / UN 3264) 
Pickup : 2026-09-14, Return @ JWD : 2026-09-15 </t>
        </is>
      </c>
      <c r="Q95" s="4" t="n">
        <v>0</v>
      </c>
      <c r="R95" s="4" t="n">
        <v>0</v>
      </c>
      <c r="S95" s="4" t="n">
        <v>1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HASLS22260900276</t>
        </is>
      </c>
      <c r="B96" s="4" t="inlineStr">
        <is>
          <t>SWMM</t>
        </is>
      </c>
      <c r="C96" s="4" t="inlineStr">
        <is>
          <t>2609N</t>
        </is>
      </c>
      <c r="D96" s="4" t="inlineStr">
        <is>
          <t>202609240200</t>
        </is>
      </c>
      <c r="E96" s="4" t="n"/>
      <c r="F96" s="4" t="inlineStr">
        <is>
          <t>THLCH</t>
        </is>
      </c>
      <c r="G96" s="4" t="inlineStr">
        <is>
          <t>KRPUS</t>
        </is>
      </c>
      <c r="H96" s="4" t="inlineStr">
        <is>
          <t xml:space="preserve">20'x1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20260908</t>
        </is>
      </c>
      <c r="L96" s="4" t="inlineStr">
        <is>
          <t>UBE CHEMICALS (ASIA) PUBLIC COMPANY LIMITED</t>
        </is>
      </c>
      <c r="M96" s="4" t="inlineStr">
        <is>
          <t>UBE CHEMICALS (ASIA) PUBLIC COMPANY LIMITED</t>
        </is>
      </c>
      <c r="N96" s="4" t="inlineStr">
        <is>
          <t>POLYAMIDE RESIN</t>
        </is>
      </c>
      <c r="O96" s="4" t="inlineStr">
        <is>
          <t>RQST CNTR SOUND AND CLEAN</t>
        </is>
      </c>
      <c r="P96" s="4" t="inlineStr">
        <is>
          <t>CY-RTN : 08-10/09/2026
REF : SAP 2002054403
RQST CNTR SOUND AND CLEAN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HASLS22260900284</t>
        </is>
      </c>
      <c r="B97" s="4" t="inlineStr">
        <is>
          <t>SWIC</t>
        </is>
      </c>
      <c r="C97" s="4" t="inlineStr">
        <is>
          <t>2610N</t>
        </is>
      </c>
      <c r="D97" s="4" t="inlineStr">
        <is>
          <t>202609220200</t>
        </is>
      </c>
      <c r="E97" s="4" t="n"/>
      <c r="F97" s="4" t="inlineStr">
        <is>
          <t>THLCH</t>
        </is>
      </c>
      <c r="G97" s="4" t="inlineStr">
        <is>
          <t>JPHKT</t>
        </is>
      </c>
      <c r="H97" s="4" t="inlineStr">
        <is>
          <t xml:space="preserve">20'x1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20260914</t>
        </is>
      </c>
      <c r="L97" s="4" t="inlineStr">
        <is>
          <t>WHA GC LOGISTICS COMPANY LIMITED</t>
        </is>
      </c>
      <c r="M97" s="4" t="inlineStr">
        <is>
          <t>PTT GLOBAL CHEMICAL PUBLIC COMPANY LIMITED</t>
        </is>
      </c>
      <c r="N97" s="4" t="inlineStr">
        <is>
          <t>RESIN</t>
        </is>
      </c>
      <c r="O97" s="4" t="inlineStr">
        <is>
          <t>GOOD AND CLEAN CTNR</t>
        </is>
      </c>
      <c r="P97" s="4" t="inlineStr">
        <is>
          <t>CY-RTN 14-16/09/26 (PR2610001571)</t>
        </is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HASLS22260900293</t>
        </is>
      </c>
      <c r="B98" s="4" t="inlineStr">
        <is>
          <t>KUS</t>
        </is>
      </c>
      <c r="C98" s="4" t="inlineStr">
        <is>
          <t>2615N</t>
        </is>
      </c>
      <c r="D98" s="4" t="inlineStr">
        <is>
          <t>202609231500</t>
        </is>
      </c>
      <c r="E98" s="4" t="n"/>
      <c r="F98" s="4" t="inlineStr">
        <is>
          <t>THLCH</t>
        </is>
      </c>
      <c r="G98" s="4" t="inlineStr">
        <is>
          <t>JPTAK</t>
        </is>
      </c>
      <c r="H98" s="4" t="inlineStr">
        <is>
          <t xml:space="preserve">40Hx5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20260915</t>
        </is>
      </c>
      <c r="L98" s="4" t="inlineStr">
        <is>
          <t>DOW CHEMICAL THAILAND LTD.</t>
        </is>
      </c>
      <c r="M98" s="4" t="inlineStr">
        <is>
          <t>SIAM POLYETHYLENE CO., LTD.</t>
        </is>
      </c>
      <c r="N98" s="4" t="inlineStr">
        <is>
          <t>RESIN</t>
        </is>
      </c>
      <c r="O98" s="4" t="inlineStr">
        <is>
          <t>GOOD AND CLEAN CONTAINER</t>
        </is>
      </c>
      <c r="P98" s="4" t="inlineStr">
        <is>
          <t>Pickup : 2026-09-15, Return : 2026-09-19</t>
        </is>
      </c>
      <c r="Q98" s="4" t="n">
        <v>0</v>
      </c>
      <c r="R98" s="4" t="n">
        <v>0</v>
      </c>
      <c r="S98" s="4" t="n">
        <v>5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HASLS22260900318</t>
        </is>
      </c>
      <c r="B99" s="4" t="inlineStr">
        <is>
          <t>SWMM</t>
        </is>
      </c>
      <c r="C99" s="4" t="inlineStr">
        <is>
          <t>2609N</t>
        </is>
      </c>
      <c r="D99" s="4" t="inlineStr">
        <is>
          <t>202609240200</t>
        </is>
      </c>
      <c r="E99" s="4" t="n"/>
      <c r="F99" s="4" t="inlineStr">
        <is>
          <t>THLCH</t>
        </is>
      </c>
      <c r="G99" s="4" t="inlineStr">
        <is>
          <t>JPMIZ</t>
        </is>
      </c>
      <c r="H99" s="4" t="inlineStr">
        <is>
          <t xml:space="preserve">20'x2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20260915</t>
        </is>
      </c>
      <c r="L99" s="4" t="inlineStr">
        <is>
          <t>WHA GC LOGISTICS COMPANY LIMITED</t>
        </is>
      </c>
      <c r="M99" s="4" t="inlineStr">
        <is>
          <t>PTT GLOBAL CHEMICAL PUBLIC COMPANY LIMITED</t>
        </is>
      </c>
      <c r="N99" s="4" t="inlineStr">
        <is>
          <t>RESIN</t>
        </is>
      </c>
      <c r="O99" s="4" t="inlineStr">
        <is>
          <t>GOOD AND CLEAN CONTAINERS</t>
        </is>
      </c>
      <c r="P99" s="4" t="inlineStr">
        <is>
          <t>CY-RTN 15-17/09/26 (PR2610001367 )
*PLS CHECK OPEN GATE BEFORE RETURN CTNR*</t>
        </is>
      </c>
      <c r="Q99" s="4" t="n">
        <v>2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HASLS22260900436</t>
        </is>
      </c>
      <c r="B100" s="4" t="inlineStr">
        <is>
          <t>SWMM</t>
        </is>
      </c>
      <c r="C100" s="4" t="inlineStr">
        <is>
          <t>2609N</t>
        </is>
      </c>
      <c r="D100" s="4" t="inlineStr">
        <is>
          <t>202609240200</t>
        </is>
      </c>
      <c r="E100" s="4" t="n"/>
      <c r="F100" s="4" t="inlineStr">
        <is>
          <t>THLCH</t>
        </is>
      </c>
      <c r="G100" s="4" t="inlineStr">
        <is>
          <t>JPNGO</t>
        </is>
      </c>
      <c r="H100" s="4" t="inlineStr">
        <is>
          <t xml:space="preserve">20'x1 </t>
        </is>
      </c>
      <c r="I100" s="4" t="inlineStr">
        <is>
          <t>LCHY5</t>
        </is>
      </c>
      <c r="J100" s="4" t="inlineStr">
        <is>
          <t>PW DEPOT CO., LTD.</t>
        </is>
      </c>
      <c r="K100" s="4" t="inlineStr">
        <is>
          <t>20260914</t>
        </is>
      </c>
      <c r="L100" s="4" t="inlineStr">
        <is>
          <t>DOW CHEMICAL THAILAND LTD.</t>
        </is>
      </c>
      <c r="M100" s="4" t="inlineStr">
        <is>
          <t>SIAM POLYETHYLENE CO., LTD.</t>
        </is>
      </c>
      <c r="N100" s="4" t="inlineStr">
        <is>
          <t>RESIN</t>
        </is>
      </c>
      <c r="O100" s="4" t="inlineStr">
        <is>
          <t>1X20' SEABULK</t>
        </is>
      </c>
      <c r="P100" s="4" t="inlineStr">
        <is>
          <t>Pickup : 2026-09-14, Return : 2026-09-18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HASLS22260900443</t>
        </is>
      </c>
      <c r="B101" s="4" t="inlineStr">
        <is>
          <t>PGPO</t>
        </is>
      </c>
      <c r="C101" s="4" t="inlineStr">
        <is>
          <t>2611N</t>
        </is>
      </c>
      <c r="D101" s="4" t="inlineStr">
        <is>
          <t>202609230900</t>
        </is>
      </c>
      <c r="E101" s="4" t="n"/>
      <c r="F101" s="4" t="inlineStr">
        <is>
          <t>THLCH</t>
        </is>
      </c>
      <c r="G101" s="4" t="inlineStr">
        <is>
          <t>VNSGN</t>
        </is>
      </c>
      <c r="H101" s="4" t="inlineStr">
        <is>
          <t xml:space="preserve">40Hx1 </t>
        </is>
      </c>
      <c r="I101" s="4" t="inlineStr">
        <is>
          <t>LCHY5</t>
        </is>
      </c>
      <c r="J101" s="4" t="inlineStr">
        <is>
          <t>PW DEPOT CO., LTD.</t>
        </is>
      </c>
      <c r="K101" s="4" t="inlineStr">
        <is>
          <t>20260914</t>
        </is>
      </c>
      <c r="L101" s="4" t="inlineStr">
        <is>
          <t>KORCHINA FREIGHT (THAILAND) CO., LTD.</t>
        </is>
      </c>
      <c r="M101" s="4" t="inlineStr">
        <is>
          <t>BRIDGESTONE TIRE MANUFACTURING (THAILAND) CO.,LTD.</t>
        </is>
      </c>
      <c r="N101" s="4" t="inlineStr">
        <is>
          <t>STEEL BOBBINS / PALLET</t>
        </is>
      </c>
      <c r="O101" s="4" t="inlineStr">
        <is>
          <t>GOOD AND CLEAN CONTAINER</t>
        </is>
      </c>
      <c r="P101" s="4" t="inlineStr">
        <is>
          <t>Pickup : 2026-09-14, Return : 2026-09-14 (1ST RTN DD: 17/09/26 WO/RENT)
**CHECK OPENGATE BEFORE RETURN CNTR**</t>
        </is>
      </c>
      <c r="Q101" s="4" t="n">
        <v>0</v>
      </c>
      <c r="R101" s="4" t="n">
        <v>0</v>
      </c>
      <c r="S101" s="4" t="n">
        <v>1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HASLS22260900452</t>
        </is>
      </c>
      <c r="B102" s="4" t="inlineStr">
        <is>
          <t>SWMM</t>
        </is>
      </c>
      <c r="C102" s="4" t="inlineStr">
        <is>
          <t>2609N</t>
        </is>
      </c>
      <c r="D102" s="4" t="inlineStr">
        <is>
          <t>202609240200</t>
        </is>
      </c>
      <c r="E102" s="4" t="n"/>
      <c r="F102" s="4" t="inlineStr">
        <is>
          <t>THLCH</t>
        </is>
      </c>
      <c r="G102" s="4" t="inlineStr">
        <is>
          <t>JPYKK</t>
        </is>
      </c>
      <c r="H102" s="4" t="inlineStr">
        <is>
          <t xml:space="preserve">20'x1 </t>
        </is>
      </c>
      <c r="I102" s="4" t="inlineStr">
        <is>
          <t>LCHY5</t>
        </is>
      </c>
      <c r="J102" s="4" t="inlineStr">
        <is>
          <t>PW DEPOT CO., LTD.</t>
        </is>
      </c>
      <c r="K102" s="4" t="inlineStr">
        <is>
          <t>20260915</t>
        </is>
      </c>
      <c r="L102" s="4" t="inlineStr">
        <is>
          <t>DOW CHEMICAL THAILAND LTD.</t>
        </is>
      </c>
      <c r="M102" s="4" t="inlineStr">
        <is>
          <t>SIAM POLYETHYLENE CO., LTD.</t>
        </is>
      </c>
      <c r="N102" s="4" t="inlineStr">
        <is>
          <t>RESIN</t>
        </is>
      </c>
      <c r="O102" s="4" t="inlineStr">
        <is>
          <t>1X20' SEABULK</t>
        </is>
      </c>
      <c r="P102" s="4" t="inlineStr">
        <is>
          <t>Pickup : 2026-09-15, Return : 2026-09-19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HASLS22260900453</t>
        </is>
      </c>
      <c r="B103" s="4" t="inlineStr">
        <is>
          <t>SWMM</t>
        </is>
      </c>
      <c r="C103" s="4" t="inlineStr">
        <is>
          <t>2609N</t>
        </is>
      </c>
      <c r="D103" s="4" t="inlineStr">
        <is>
          <t>202609240200</t>
        </is>
      </c>
      <c r="E103" s="4" t="n"/>
      <c r="F103" s="4" t="inlineStr">
        <is>
          <t>THLCH</t>
        </is>
      </c>
      <c r="G103" s="4" t="inlineStr">
        <is>
          <t>JPYKK</t>
        </is>
      </c>
      <c r="H103" s="4" t="inlineStr">
        <is>
          <t xml:space="preserve">20'x1 </t>
        </is>
      </c>
      <c r="I103" s="4" t="inlineStr">
        <is>
          <t>LCHY5</t>
        </is>
      </c>
      <c r="J103" s="4" t="inlineStr">
        <is>
          <t>PW DEPOT CO., LTD.</t>
        </is>
      </c>
      <c r="K103" s="4" t="inlineStr">
        <is>
          <t>20260915</t>
        </is>
      </c>
      <c r="L103" s="4" t="inlineStr">
        <is>
          <t>DOW CHEMICAL THAILAND LTD.</t>
        </is>
      </c>
      <c r="M103" s="4" t="inlineStr">
        <is>
          <t>SIAM POLYETHYLENE CO., LTD.</t>
        </is>
      </c>
      <c r="N103" s="4" t="inlineStr">
        <is>
          <t>RESIN</t>
        </is>
      </c>
      <c r="O103" s="4" t="inlineStr">
        <is>
          <t>1X20' SEABULK</t>
        </is>
      </c>
      <c r="P103" s="4" t="inlineStr">
        <is>
          <t>Pickup : 2026-09-15, Return : 2026-09-19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HASLS22260900454</t>
        </is>
      </c>
      <c r="B104" s="4" t="inlineStr">
        <is>
          <t>SWMM</t>
        </is>
      </c>
      <c r="C104" s="4" t="inlineStr">
        <is>
          <t>2609N</t>
        </is>
      </c>
      <c r="D104" s="4" t="inlineStr">
        <is>
          <t>202609240200</t>
        </is>
      </c>
      <c r="E104" s="4" t="n"/>
      <c r="F104" s="4" t="inlineStr">
        <is>
          <t>THLCH</t>
        </is>
      </c>
      <c r="G104" s="4" t="inlineStr">
        <is>
          <t>JPYKK</t>
        </is>
      </c>
      <c r="H104" s="4" t="inlineStr">
        <is>
          <t xml:space="preserve">20'x1 </t>
        </is>
      </c>
      <c r="I104" s="4" t="inlineStr">
        <is>
          <t>LCHY5</t>
        </is>
      </c>
      <c r="J104" s="4" t="inlineStr">
        <is>
          <t>PW DEPOT CO., LTD.</t>
        </is>
      </c>
      <c r="K104" s="4" t="inlineStr">
        <is>
          <t>20260915</t>
        </is>
      </c>
      <c r="L104" s="4" t="inlineStr">
        <is>
          <t>DOW CHEMICAL THAILAND LTD.</t>
        </is>
      </c>
      <c r="M104" s="4" t="inlineStr">
        <is>
          <t>SIAM POLYETHYLENE CO., LTD.</t>
        </is>
      </c>
      <c r="N104" s="4" t="inlineStr">
        <is>
          <t>RESIN</t>
        </is>
      </c>
      <c r="O104" s="4" t="inlineStr">
        <is>
          <t>1X20' SEABULK1X20' SEABULK</t>
        </is>
      </c>
      <c r="P104" s="4" t="inlineStr">
        <is>
          <t>Pickup : 2026-09-15, Return : 2026-09-19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HASLS22260900455</t>
        </is>
      </c>
      <c r="B105" s="4" t="inlineStr">
        <is>
          <t>SWMM</t>
        </is>
      </c>
      <c r="C105" s="4" t="inlineStr">
        <is>
          <t>2609N</t>
        </is>
      </c>
      <c r="D105" s="4" t="inlineStr">
        <is>
          <t>202609240200</t>
        </is>
      </c>
      <c r="E105" s="4" t="n"/>
      <c r="F105" s="4" t="inlineStr">
        <is>
          <t>THLCH</t>
        </is>
      </c>
      <c r="G105" s="4" t="inlineStr">
        <is>
          <t>JPYKK</t>
        </is>
      </c>
      <c r="H105" s="4" t="inlineStr">
        <is>
          <t xml:space="preserve">20'x1 </t>
        </is>
      </c>
      <c r="I105" s="4" t="inlineStr">
        <is>
          <t>LCHY5</t>
        </is>
      </c>
      <c r="J105" s="4" t="inlineStr">
        <is>
          <t>PW DEPOT CO., LTD.</t>
        </is>
      </c>
      <c r="K105" s="4" t="inlineStr">
        <is>
          <t>20260915</t>
        </is>
      </c>
      <c r="L105" s="4" t="inlineStr">
        <is>
          <t>DOW CHEMICAL THAILAND LTD.</t>
        </is>
      </c>
      <c r="M105" s="4" t="inlineStr">
        <is>
          <t>SIAM POLYETHYLENE CO., LTD.</t>
        </is>
      </c>
      <c r="N105" s="4" t="inlineStr">
        <is>
          <t>RESIN</t>
        </is>
      </c>
      <c r="O105" s="4" t="inlineStr">
        <is>
          <t>1X20' SEABULK</t>
        </is>
      </c>
      <c r="P105" s="4" t="inlineStr">
        <is>
          <t>Pickup : 2026-09-15, Return : 2026-09-19</t>
        </is>
      </c>
      <c r="Q105" s="4" t="n">
        <v>1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HASLS22260900457</t>
        </is>
      </c>
      <c r="B106" s="4" t="inlineStr">
        <is>
          <t>SWMM</t>
        </is>
      </c>
      <c r="C106" s="4" t="inlineStr">
        <is>
          <t>2609N</t>
        </is>
      </c>
      <c r="D106" s="4" t="inlineStr">
        <is>
          <t>202609240200</t>
        </is>
      </c>
      <c r="E106" s="4" t="n"/>
      <c r="F106" s="4" t="inlineStr">
        <is>
          <t>THLCH</t>
        </is>
      </c>
      <c r="G106" s="4" t="inlineStr">
        <is>
          <t>JPYKK</t>
        </is>
      </c>
      <c r="H106" s="4" t="inlineStr">
        <is>
          <t xml:space="preserve">20'x1 </t>
        </is>
      </c>
      <c r="I106" s="4" t="inlineStr">
        <is>
          <t>LCHY5</t>
        </is>
      </c>
      <c r="J106" s="4" t="inlineStr">
        <is>
          <t>PW DEPOT CO., LTD.</t>
        </is>
      </c>
      <c r="K106" s="4" t="inlineStr">
        <is>
          <t>20260915</t>
        </is>
      </c>
      <c r="L106" s="4" t="inlineStr">
        <is>
          <t>DOW CHEMICAL THAILAND LTD.</t>
        </is>
      </c>
      <c r="M106" s="4" t="inlineStr">
        <is>
          <t>SIAM POLYETHYLENE CO., LTD.</t>
        </is>
      </c>
      <c r="N106" s="4" t="inlineStr">
        <is>
          <t>RESIN</t>
        </is>
      </c>
      <c r="O106" s="4" t="inlineStr">
        <is>
          <t>1X20' SEABULK</t>
        </is>
      </c>
      <c r="P106" s="4" t="inlineStr">
        <is>
          <t>Pickup : 2026-09-15, Return : 2026-09-19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HASLS22260900484</t>
        </is>
      </c>
      <c r="B107" s="4" t="inlineStr">
        <is>
          <t>PGPO</t>
        </is>
      </c>
      <c r="C107" s="4" t="inlineStr">
        <is>
          <t>2611N</t>
        </is>
      </c>
      <c r="D107" s="4" t="inlineStr">
        <is>
          <t>202609230900</t>
        </is>
      </c>
      <c r="E107" s="4" t="n"/>
      <c r="F107" s="4" t="inlineStr">
        <is>
          <t>THLCH</t>
        </is>
      </c>
      <c r="G107" s="4" t="inlineStr">
        <is>
          <t>KRPTK</t>
        </is>
      </c>
      <c r="H107" s="4" t="inlineStr">
        <is>
          <t xml:space="preserve">40Hx8 </t>
        </is>
      </c>
      <c r="I107" s="4" t="inlineStr">
        <is>
          <t>LCHY5</t>
        </is>
      </c>
      <c r="J107" s="4" t="inlineStr">
        <is>
          <t>PW DEPOT CO., LTD.</t>
        </is>
      </c>
      <c r="K107" s="4" t="inlineStr">
        <is>
          <t>20260914</t>
        </is>
      </c>
      <c r="L107" s="4" t="inlineStr">
        <is>
          <t>SAMSUNG SDS GLOBAL SCL (THAILAND) CO.,LTD.</t>
        </is>
      </c>
      <c r="M107" s="4" t="inlineStr">
        <is>
          <t>THAI SAMSUNG ELECTRONICS CO., LTD.</t>
        </is>
      </c>
      <c r="N107" s="4" t="inlineStr">
        <is>
          <t>WASHING MATCHINE</t>
        </is>
      </c>
      <c r="O107" s="4" t="inlineStr">
        <is>
          <t>*No containers with cut and patch marks inside*
GOOD CLEAN CONTIANER NO BLEAM (ELECTRONICS GOODS)</t>
        </is>
      </c>
      <c r="P107" s="4" t="inlineStr">
        <is>
          <t>Pickup : 2026-09-14, Return : 2026-09-15</t>
        </is>
      </c>
      <c r="Q107" s="4" t="n">
        <v>0</v>
      </c>
      <c r="R107" s="4" t="n">
        <v>0</v>
      </c>
      <c r="S107" s="4" t="n">
        <v>8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HASLS22260801418</t>
        </is>
      </c>
      <c r="B108" s="4" t="inlineStr">
        <is>
          <t>KMTP</t>
        </is>
      </c>
      <c r="C108" s="4" t="inlineStr">
        <is>
          <t>2611N</t>
        </is>
      </c>
      <c r="D108" s="4" t="inlineStr">
        <is>
          <t>202609200900</t>
        </is>
      </c>
      <c r="E108" s="4" t="n"/>
      <c r="F108" s="4" t="inlineStr">
        <is>
          <t>THBKK</t>
        </is>
      </c>
      <c r="G108" s="4" t="inlineStr">
        <is>
          <t>CNXMN</t>
        </is>
      </c>
      <c r="H108" s="4" t="inlineStr">
        <is>
          <t xml:space="preserve">40Hx3 </t>
        </is>
      </c>
      <c r="I108" s="4" t="inlineStr">
        <is>
          <t>BKK25</t>
        </is>
      </c>
      <c r="J108" s="4" t="inlineStr">
        <is>
          <t xml:space="preserve">Smart Logistics Service (Thailand ) Co.,Ltd. </t>
        </is>
      </c>
      <c r="K108" s="4" t="inlineStr">
        <is>
          <t>20260915</t>
        </is>
      </c>
      <c r="L108" s="4" t="inlineStr">
        <is>
          <t>FULL WELL FREIGHT (THAILAND) CO., LTD.</t>
        </is>
      </c>
      <c r="M108" s="4" t="inlineStr">
        <is>
          <t>YEARRAKARN CO., LTD.</t>
        </is>
      </c>
      <c r="N108" s="4" t="inlineStr">
        <is>
          <t xml:space="preserve">NON-DAIRY CERAMER </t>
        </is>
      </c>
      <c r="O108" s="4" t="inlineStr">
        <is>
          <t>Request: Food Grade Container Only</t>
        </is>
      </c>
      <c r="P108" s="4" t="inlineStr">
        <is>
          <t xml:space="preserve">Pickup : 2026-09-15, Return : 2026-09-16 (1ST RTN 16/09 W/O RENT) </t>
        </is>
      </c>
      <c r="Q108" s="4" t="n">
        <v>0</v>
      </c>
      <c r="R108" s="4" t="n">
        <v>0</v>
      </c>
      <c r="S108" s="4" t="n">
        <v>3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HASLS22260801963</t>
        </is>
      </c>
      <c r="B109" s="4" t="inlineStr">
        <is>
          <t>PGPO</t>
        </is>
      </c>
      <c r="C109" s="4" t="inlineStr">
        <is>
          <t>2611N</t>
        </is>
      </c>
      <c r="D109" s="4" t="inlineStr">
        <is>
          <t>202609221600</t>
        </is>
      </c>
      <c r="E109" s="4" t="n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20'x10 </t>
        </is>
      </c>
      <c r="I109" s="4" t="inlineStr">
        <is>
          <t>BKK25</t>
        </is>
      </c>
      <c r="J109" s="4" t="inlineStr">
        <is>
          <t xml:space="preserve">Smart Logistics Service (Thailand ) Co.,Ltd. </t>
        </is>
      </c>
      <c r="K109" s="4" t="inlineStr">
        <is>
          <t>20260915</t>
        </is>
      </c>
      <c r="L109" s="4" t="inlineStr">
        <is>
          <t>SCGJWD LOGISTICS PUBLIC COMPANY LIMITED</t>
        </is>
      </c>
      <c r="M109" s="4" t="inlineStr">
        <is>
          <t>SCG INTERNATIONAL CORPORATION CO., LTD.</t>
        </is>
      </c>
      <c r="N109" s="4" t="inlineStr">
        <is>
          <t>WHITE CLINKER</t>
        </is>
      </c>
      <c r="O109" s="4" t="inlineStr">
        <is>
          <t>Container clean, No Oil, No Rust and Loading by Forklift</t>
        </is>
      </c>
      <c r="P109" s="4" t="inlineStr">
        <is>
          <t>CY-RTN 15-16/09 = 5x20’
CY-RTN 16-17/09 = 5x20’ (26IHWCL76)</t>
        </is>
      </c>
      <c r="Q109" s="4" t="n">
        <v>10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4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HASLS22260802334</t>
        </is>
      </c>
      <c r="B110" s="4" t="inlineStr">
        <is>
          <t>SWIC</t>
        </is>
      </c>
      <c r="C110" s="4" t="inlineStr">
        <is>
          <t>2610N</t>
        </is>
      </c>
      <c r="D110" s="4" t="inlineStr">
        <is>
          <t>202609211000</t>
        </is>
      </c>
      <c r="E110" s="4" t="n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20'x6 </t>
        </is>
      </c>
      <c r="I110" s="4" t="inlineStr">
        <is>
          <t>BKK25</t>
        </is>
      </c>
      <c r="J110" s="4" t="inlineStr">
        <is>
          <t xml:space="preserve">Smart Logistics Service (Thailand ) Co.,Ltd. </t>
        </is>
      </c>
      <c r="K110" s="4" t="inlineStr">
        <is>
          <t>20260914</t>
        </is>
      </c>
      <c r="L110" s="4" t="inlineStr">
        <is>
          <t>EAST-LINK CORPORATION CO., LTD.</t>
        </is>
      </c>
      <c r="M110" s="4" t="inlineStr">
        <is>
          <t>SUKASAEM WATTANA CO.,LTD.</t>
        </is>
      </c>
      <c r="N110" s="4" t="inlineStr">
        <is>
          <t>TILE ADHESIVE AND TILE GROUT</t>
        </is>
      </c>
      <c r="O110" s="4" t="inlineStr">
        <is>
          <t>RQS CLEAN &amp; GOOD CONTAINER CONDITION.</t>
        </is>
      </c>
      <c r="P110" s="4" t="inlineStr">
        <is>
          <t>Pickup : 2026-09-14, Return : 2026-09-14</t>
        </is>
      </c>
      <c r="Q110" s="4" t="n">
        <v>6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HASLS22260802514</t>
        </is>
      </c>
      <c r="B111" s="4" t="inlineStr">
        <is>
          <t>HAB</t>
        </is>
      </c>
      <c r="C111" s="4" t="inlineStr">
        <is>
          <t>2611N</t>
        </is>
      </c>
      <c r="D111" s="4" t="inlineStr">
        <is>
          <t>202609271400</t>
        </is>
      </c>
      <c r="E111" s="4" t="inlineStr">
        <is>
          <t>THSRP</t>
        </is>
      </c>
      <c r="F111" s="4" t="inlineStr">
        <is>
          <t>THLCH</t>
        </is>
      </c>
      <c r="G111" s="4" t="inlineStr">
        <is>
          <t>CNSHA</t>
        </is>
      </c>
      <c r="H111" s="4" t="inlineStr">
        <is>
          <t xml:space="preserve">40Hx1 </t>
        </is>
      </c>
      <c r="I111" s="4" t="inlineStr">
        <is>
          <t>BKK25</t>
        </is>
      </c>
      <c r="J111" s="4" t="inlineStr">
        <is>
          <t xml:space="preserve">Smart Logistics Service (Thailand ) Co.,Ltd. </t>
        </is>
      </c>
      <c r="K111" s="4" t="inlineStr">
        <is>
          <t>20260915</t>
        </is>
      </c>
      <c r="L111" s="4" t="inlineStr">
        <is>
          <t>GRAND INTERNATIONAL LOGISTICS  CO.,LTD.</t>
        </is>
      </c>
      <c r="M111" s="4" t="inlineStr">
        <is>
          <t>TOYOX ASIA (THAILAND) CO., LTD.</t>
        </is>
      </c>
      <c r="N111" s="4" t="inlineStr">
        <is>
          <t>TOYOX PRESSURE HOSES</t>
        </is>
      </c>
      <c r="O111" s="4" t="inlineStr">
        <is>
          <t>REQ. GOOD AND CLEAN CONTAINER</t>
        </is>
      </c>
      <c r="P111" s="4" t="inlineStr">
        <is>
          <t>Pickup : 2026-09-15, Return SRP : 2026-09-16 [PAPERLESS CODE 2829]
CLS TIME 22/09/26 @23.00 (1ST RTN DD: 19/09/26 WO/RENT)</t>
        </is>
      </c>
      <c r="Q111" s="4" t="n">
        <v>0</v>
      </c>
      <c r="R111" s="4" t="n">
        <v>0</v>
      </c>
      <c r="S111" s="4" t="n">
        <v>1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HASLS22260802526</t>
        </is>
      </c>
      <c r="B112" s="4" t="inlineStr">
        <is>
          <t>SWIC</t>
        </is>
      </c>
      <c r="C112" s="4" t="inlineStr">
        <is>
          <t>2610N</t>
        </is>
      </c>
      <c r="D112" s="4" t="inlineStr">
        <is>
          <t>202609211000</t>
        </is>
      </c>
      <c r="E112" s="4" t="n"/>
      <c r="F112" s="4" t="inlineStr">
        <is>
          <t>THBKK</t>
        </is>
      </c>
      <c r="G112" s="4" t="inlineStr">
        <is>
          <t>VNSGN</t>
        </is>
      </c>
      <c r="H112" s="4" t="inlineStr">
        <is>
          <t xml:space="preserve">20'x1 </t>
        </is>
      </c>
      <c r="I112" s="4" t="inlineStr">
        <is>
          <t>BKK25</t>
        </is>
      </c>
      <c r="J112" s="4" t="inlineStr">
        <is>
          <t xml:space="preserve">Smart Logistics Service (Thailand ) Co.,Ltd. </t>
        </is>
      </c>
      <c r="K112" s="4" t="inlineStr">
        <is>
          <t>20260914</t>
        </is>
      </c>
      <c r="L112" s="4" t="inlineStr">
        <is>
          <t>METROPOLITAN LOGISTICS CO., LTD.</t>
        </is>
      </c>
      <c r="M112" s="4" t="inlineStr">
        <is>
          <t>NUMWATTANA PACK &amp; PRINT CO., LTD.</t>
        </is>
      </c>
      <c r="N112" s="4" t="inlineStr">
        <is>
          <t>STEEL PLATE</t>
        </is>
      </c>
      <c r="O112" s="4" t="inlineStr">
        <is>
          <t>Request Good and No Leakage Container / UPGRADE CNTR 30 TONS</t>
        </is>
      </c>
      <c r="P112" s="4" t="inlineStr">
        <is>
          <t>Pickup : 2026-09-14, Return : 2026-09-15 (1ST RETURN 18/09/26)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HASLS22260802581</t>
        </is>
      </c>
      <c r="B113" s="4" t="inlineStr">
        <is>
          <t>KJT</t>
        </is>
      </c>
      <c r="C113" s="4" t="inlineStr">
        <is>
          <t>2610N</t>
        </is>
      </c>
      <c r="D113" s="4" t="inlineStr">
        <is>
          <t>202609220800</t>
        </is>
      </c>
      <c r="E113" s="4" t="n"/>
      <c r="F113" s="4" t="inlineStr">
        <is>
          <t>THBKK</t>
        </is>
      </c>
      <c r="G113" s="4" t="inlineStr">
        <is>
          <t>TWKEL</t>
        </is>
      </c>
      <c r="H113" s="4" t="inlineStr">
        <is>
          <t xml:space="preserve">40Hx1 </t>
        </is>
      </c>
      <c r="I113" s="4" t="inlineStr">
        <is>
          <t>BKK25</t>
        </is>
      </c>
      <c r="J113" s="4" t="inlineStr">
        <is>
          <t xml:space="preserve">Smart Logistics Service (Thailand ) Co.,Ltd. </t>
        </is>
      </c>
      <c r="K113" s="4" t="inlineStr">
        <is>
          <t>20260911</t>
        </is>
      </c>
      <c r="L113" s="4" t="inlineStr">
        <is>
          <t>INDIGO LINE CO., LTD.</t>
        </is>
      </c>
      <c r="M113" s="4" t="inlineStr">
        <is>
          <t>CHANG YI TRADING CO.,L TD</t>
        </is>
      </c>
      <c r="N113" s="4" t="inlineStr">
        <is>
          <t xml:space="preserve">FOODSTUFFS </t>
        </is>
      </c>
      <c r="O113" s="4" t="inlineStr">
        <is>
          <t>REUQEST CONTIANER GOOD CONDITION FOR FOODSTUFF</t>
        </is>
      </c>
      <c r="P113" s="4" t="inlineStr">
        <is>
          <t xml:space="preserve">Pickup : 2026-09-11, Return : 2026-09-12 (1ST 14/09 RETURN W/O RENT) </t>
        </is>
      </c>
      <c r="Q113" s="4" t="n">
        <v>0</v>
      </c>
      <c r="R113" s="4" t="n">
        <v>0</v>
      </c>
      <c r="S113" s="4" t="n">
        <v>1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HASLS22260802598</t>
        </is>
      </c>
      <c r="B114" s="4" t="inlineStr">
        <is>
          <t>SWIC</t>
        </is>
      </c>
      <c r="C114" s="4" t="inlineStr">
        <is>
          <t>2610N</t>
        </is>
      </c>
      <c r="D114" s="4" t="inlineStr">
        <is>
          <t>202609220200</t>
        </is>
      </c>
      <c r="E114" s="4" t="n"/>
      <c r="F114" s="4" t="inlineStr">
        <is>
          <t>THLCH</t>
        </is>
      </c>
      <c r="G114" s="4" t="inlineStr">
        <is>
          <t>JPIYM</t>
        </is>
      </c>
      <c r="H114" s="4" t="inlineStr">
        <is>
          <t xml:space="preserve">40Hx4 </t>
        </is>
      </c>
      <c r="I114" s="4" t="inlineStr">
        <is>
          <t>BKK25</t>
        </is>
      </c>
      <c r="J114" s="4" t="inlineStr">
        <is>
          <t xml:space="preserve">Smart Logistics Service (Thailand ) Co.,Ltd. </t>
        </is>
      </c>
      <c r="K114" s="4" t="inlineStr">
        <is>
          <t>20260911</t>
        </is>
      </c>
      <c r="L114" s="4" t="inlineStr">
        <is>
          <t>SCGJWD LOGISTICS PUBLIC COMPANY LIMITED</t>
        </is>
      </c>
      <c r="M114" s="4" t="inlineStr">
        <is>
          <t>THAI POLYETHYLENE CO., LTD.</t>
        </is>
      </c>
      <c r="N114" s="4" t="inlineStr">
        <is>
          <t>RESIN</t>
        </is>
      </c>
      <c r="O114" s="4" t="inlineStr">
        <is>
          <t>RESIN-PALLET,NO RED WALL CONTAINER,CLEAN CONTAINER NO OIL STAINS , NO RUSTY ,NO CUT OR HOLE</t>
        </is>
      </c>
      <c r="P114" s="4" t="inlineStr">
        <is>
          <t>[FIX]CY-RTN 11-14/09/26 (  INV  3031061262 )
*PLS CHECK OPEN GATE BEFORE RETURN CTNR*</t>
        </is>
      </c>
      <c r="Q114" s="4" t="n">
        <v>0</v>
      </c>
      <c r="R114" s="4" t="n">
        <v>0</v>
      </c>
      <c r="S114" s="4" t="n">
        <v>4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HASLS22260900108</t>
        </is>
      </c>
      <c r="B115" s="4" t="inlineStr">
        <is>
          <t>CMA</t>
        </is>
      </c>
      <c r="C115" s="4" t="inlineStr">
        <is>
          <t>2614N</t>
        </is>
      </c>
      <c r="D115" s="4" t="inlineStr">
        <is>
          <t>202609241200</t>
        </is>
      </c>
      <c r="E115" s="4" t="n"/>
      <c r="F115" s="4" t="inlineStr">
        <is>
          <t>THBKK</t>
        </is>
      </c>
      <c r="G115" s="4" t="inlineStr">
        <is>
          <t>TWKEL</t>
        </is>
      </c>
      <c r="H115" s="4" t="inlineStr">
        <is>
          <t xml:space="preserve">40Hx1 </t>
        </is>
      </c>
      <c r="I115" s="4" t="inlineStr">
        <is>
          <t>BKK25</t>
        </is>
      </c>
      <c r="J115" s="4" t="inlineStr">
        <is>
          <t xml:space="preserve">Smart Logistics Service (Thailand ) Co.,Ltd. </t>
        </is>
      </c>
      <c r="K115" s="4" t="inlineStr">
        <is>
          <t>20260915</t>
        </is>
      </c>
      <c r="L115" s="4" t="inlineStr">
        <is>
          <t>TARA LOGISTICS CO., LTD.</t>
        </is>
      </c>
      <c r="M115" s="4" t="inlineStr">
        <is>
          <t>YEARRAKARN CO., LTD.</t>
        </is>
      </c>
      <c r="N115" s="4" t="inlineStr">
        <is>
          <t>NON-DAIRY CERAMER</t>
        </is>
      </c>
      <c r="O115" s="4" t="inlineStr">
        <is>
          <t>FOOD GRADE CONTAINER</t>
        </is>
      </c>
      <c r="P115" s="4" t="inlineStr">
        <is>
          <t>Pickup : 2026-09-15, Return : 2026-09-16 (1ST RTN DD: 20/09/26 WO/RENT)</t>
        </is>
      </c>
      <c r="Q115" s="4" t="n">
        <v>0</v>
      </c>
      <c r="R115" s="4" t="n">
        <v>0</v>
      </c>
      <c r="S115" s="4" t="n">
        <v>1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HASLS22260900113</t>
        </is>
      </c>
      <c r="B116" s="4" t="inlineStr">
        <is>
          <t>HAB</t>
        </is>
      </c>
      <c r="C116" s="4" t="inlineStr">
        <is>
          <t>2611N</t>
        </is>
      </c>
      <c r="D116" s="4" t="inlineStr">
        <is>
          <t>202609271400</t>
        </is>
      </c>
      <c r="E116" s="4" t="inlineStr">
        <is>
          <t>THSRP</t>
        </is>
      </c>
      <c r="F116" s="4" t="inlineStr">
        <is>
          <t>THLCH</t>
        </is>
      </c>
      <c r="G116" s="4" t="inlineStr">
        <is>
          <t>CNSHA</t>
        </is>
      </c>
      <c r="H116" s="4" t="inlineStr">
        <is>
          <t xml:space="preserve">20'x1 </t>
        </is>
      </c>
      <c r="I116" s="4" t="inlineStr">
        <is>
          <t>BKK25</t>
        </is>
      </c>
      <c r="J116" s="4" t="inlineStr">
        <is>
          <t xml:space="preserve">Smart Logistics Service (Thailand ) Co.,Ltd. </t>
        </is>
      </c>
      <c r="K116" s="4" t="inlineStr">
        <is>
          <t>20260914</t>
        </is>
      </c>
      <c r="L116" s="4" t="inlineStr">
        <is>
          <t>DYNAMIC INTERTRANSPORT CO., LTD.</t>
        </is>
      </c>
      <c r="M116" s="4" t="inlineStr">
        <is>
          <t>RIVER KWAI INTERNATIONAL FOOD INDUSTRY CO., LTD.</t>
        </is>
      </c>
      <c r="N116" s="4" t="inlineStr">
        <is>
          <t>CANNED SWEET CORN</t>
        </is>
      </c>
      <c r="O116" s="4" t="inlineStr">
        <is>
          <t>REQUEST CLEAN CONTAINER</t>
        </is>
      </c>
      <c r="P116" s="4" t="inlineStr">
        <is>
          <t xml:space="preserve">Pickup : 2026-09-14, Return @SRP : 2026-09-15 (PAPERLESS CODE : 2829)
CLS TIME @SRP : 18/09/2026 @22.00  </t>
        </is>
      </c>
      <c r="Q116" s="4" t="n">
        <v>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HASLS22260900142</t>
        </is>
      </c>
      <c r="B117" s="4" t="inlineStr">
        <is>
          <t>SWIC</t>
        </is>
      </c>
      <c r="C117" s="4" t="inlineStr">
        <is>
          <t>2610N</t>
        </is>
      </c>
      <c r="D117" s="4" t="inlineStr">
        <is>
          <t>202609211000</t>
        </is>
      </c>
      <c r="E117" s="4" t="n"/>
      <c r="F117" s="4" t="inlineStr">
        <is>
          <t>THBKK</t>
        </is>
      </c>
      <c r="G117" s="4" t="inlineStr">
        <is>
          <t>JPSDJ</t>
        </is>
      </c>
      <c r="H117" s="4" t="inlineStr">
        <is>
          <t xml:space="preserve">40Hx3 </t>
        </is>
      </c>
      <c r="I117" s="4" t="inlineStr">
        <is>
          <t>BKK25</t>
        </is>
      </c>
      <c r="J117" s="4" t="inlineStr">
        <is>
          <t xml:space="preserve">Smart Logistics Service (Thailand ) Co.,Ltd. </t>
        </is>
      </c>
      <c r="K117" s="4" t="inlineStr">
        <is>
          <t>20260914</t>
        </is>
      </c>
      <c r="L117" s="4" t="inlineStr">
        <is>
          <t>TRANSCONTAINER LOGISTICS (THAILAND) CO., LTD.</t>
        </is>
      </c>
      <c r="M117" s="4" t="inlineStr">
        <is>
          <t>K-MUCH INDUSTRY CO.,LTD.</t>
        </is>
      </c>
      <c r="N117" s="4" t="inlineStr">
        <is>
          <t>ANIMAL FEED</t>
        </is>
      </c>
      <c r="O117" s="4" t="inlineStr">
        <is>
          <t>GOOD AND CLEAN CONTAINER</t>
        </is>
      </c>
      <c r="P117" s="4" t="inlineStr">
        <is>
          <t xml:space="preserve">Pickup : 2026-09-14, Return : 2026-09-15 </t>
        </is>
      </c>
      <c r="Q117" s="4" t="n">
        <v>0</v>
      </c>
      <c r="R117" s="4" t="n">
        <v>0</v>
      </c>
      <c r="S117" s="4" t="n">
        <v>3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HASLS22260900183</t>
        </is>
      </c>
      <c r="B118" s="4" t="inlineStr">
        <is>
          <t>KUS</t>
        </is>
      </c>
      <c r="C118" s="4" t="inlineStr">
        <is>
          <t>2615N</t>
        </is>
      </c>
      <c r="D118" s="4" t="inlineStr">
        <is>
          <t>202609222100</t>
        </is>
      </c>
      <c r="E118" s="4" t="n"/>
      <c r="F118" s="4" t="inlineStr">
        <is>
          <t>THBKK</t>
        </is>
      </c>
      <c r="G118" s="4" t="inlineStr">
        <is>
          <t>JPMIZ</t>
        </is>
      </c>
      <c r="H118" s="4" t="inlineStr">
        <is>
          <t xml:space="preserve">20'x30 </t>
        </is>
      </c>
      <c r="I118" s="4" t="inlineStr">
        <is>
          <t>BKK25</t>
        </is>
      </c>
      <c r="J118" s="4" t="inlineStr">
        <is>
          <t xml:space="preserve">Smart Logistics Service (Thailand ) Co.,Ltd. </t>
        </is>
      </c>
      <c r="K118" s="4" t="inlineStr">
        <is>
          <t>20260912</t>
        </is>
      </c>
      <c r="L118" s="4" t="inlineStr">
        <is>
          <t>THAI KAWANISHI LIMITED</t>
        </is>
      </c>
      <c r="M118" s="4" t="inlineStr">
        <is>
          <t>THAI QUALITY STARCH CO.,LTD.</t>
        </is>
      </c>
      <c r="N118" s="4" t="inlineStr">
        <is>
          <t>NATIVE TAPIOCA STARCH</t>
        </is>
      </c>
      <c r="O118" s="4" t="inlineStr">
        <is>
          <t>REQUEST FOOD GRADE / SMOOTH FLOOR / N O SMELL / UNDER DECK</t>
        </is>
      </c>
      <c r="P118" s="4" t="inlineStr">
        <is>
          <t xml:space="preserve">Pickup : 2026-09-12 = 6X20'GP, Pickup : 2026-09-14 = 24X20'GP  
Return : 2026-09-15 </t>
        </is>
      </c>
      <c r="Q118" s="4" t="n">
        <v>30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24</v>
      </c>
      <c r="AA118" s="4" t="n">
        <v>10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HASLS22260900236</t>
        </is>
      </c>
      <c r="B119" s="4" t="inlineStr">
        <is>
          <t>KMTP</t>
        </is>
      </c>
      <c r="C119" s="4" t="inlineStr">
        <is>
          <t>2611N</t>
        </is>
      </c>
      <c r="D119" s="4" t="inlineStr">
        <is>
          <t>202609200900</t>
        </is>
      </c>
      <c r="E119" s="4" t="n"/>
      <c r="F119" s="4" t="inlineStr">
        <is>
          <t>THBKK</t>
        </is>
      </c>
      <c r="G119" s="4" t="inlineStr">
        <is>
          <t>HKHKG</t>
        </is>
      </c>
      <c r="H119" s="4" t="inlineStr">
        <is>
          <t xml:space="preserve">20'x1 </t>
        </is>
      </c>
      <c r="I119" s="4" t="inlineStr">
        <is>
          <t>BKK25</t>
        </is>
      </c>
      <c r="J119" s="4" t="inlineStr">
        <is>
          <t xml:space="preserve">Smart Logistics Service (Thailand ) Co.,Ltd. </t>
        </is>
      </c>
      <c r="K119" s="4" t="inlineStr">
        <is>
          <t>20260914</t>
        </is>
      </c>
      <c r="L119" s="4" t="inlineStr">
        <is>
          <t>CARGO CARE LOGISTICS CO., LTD.</t>
        </is>
      </c>
      <c r="M119" s="4" t="inlineStr">
        <is>
          <t>RIVER KWAI INTERNATIONAL FOOD INDUSTRY CO., LTD.</t>
        </is>
      </c>
      <c r="N119" s="4" t="inlineStr">
        <is>
          <t>SWEET CORN</t>
        </is>
      </c>
      <c r="O119" s="4" t="inlineStr">
        <is>
          <t>Good and Clean Container (Food Grade)
(No leaks, no odors, and no oil stains.)</t>
        </is>
      </c>
      <c r="P119" s="4" t="inlineStr">
        <is>
          <t>Pickup : 2026-09-14, Return : 2026-09-16</t>
        </is>
      </c>
      <c r="Q119" s="4" t="n">
        <v>1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HASLS22260900267</t>
        </is>
      </c>
      <c r="B120" s="4" t="inlineStr">
        <is>
          <t>SWIC</t>
        </is>
      </c>
      <c r="C120" s="4" t="inlineStr">
        <is>
          <t>2610N</t>
        </is>
      </c>
      <c r="D120" s="4" t="inlineStr">
        <is>
          <t>202609211000</t>
        </is>
      </c>
      <c r="E120" s="4" t="n"/>
      <c r="F120" s="4" t="inlineStr">
        <is>
          <t>THBKK</t>
        </is>
      </c>
      <c r="G120" s="4" t="inlineStr">
        <is>
          <t>VNSGN</t>
        </is>
      </c>
      <c r="H120" s="4" t="inlineStr">
        <is>
          <t xml:space="preserve">20'x1 </t>
        </is>
      </c>
      <c r="I120" s="4" t="inlineStr">
        <is>
          <t>BKK25</t>
        </is>
      </c>
      <c r="J120" s="4" t="inlineStr">
        <is>
          <t xml:space="preserve">Smart Logistics Service (Thailand ) Co.,Ltd. </t>
        </is>
      </c>
      <c r="K120" s="4" t="inlineStr">
        <is>
          <t>20260915</t>
        </is>
      </c>
      <c r="L120" s="4" t="inlineStr">
        <is>
          <t>GROWTH ON LOGISTICS CO., LTD.</t>
        </is>
      </c>
      <c r="M120" s="4" t="inlineStr">
        <is>
          <t>SCG (THAILAND) CO., LTD.</t>
        </is>
      </c>
      <c r="N120" s="4" t="inlineStr">
        <is>
          <t>VALVE</t>
        </is>
      </c>
      <c r="O120" s="4" t="inlineStr">
        <is>
          <t>GOOD AND CLEAN CONTAINER</t>
        </is>
      </c>
      <c r="P120" s="4" t="inlineStr">
        <is>
          <t>Pickup : 2026-09-15, Return : 2026-09-16</t>
        </is>
      </c>
      <c r="Q120" s="4" t="n">
        <v>1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HASLS22260900421</t>
        </is>
      </c>
      <c r="B121" s="4" t="inlineStr">
        <is>
          <t>KMGY</t>
        </is>
      </c>
      <c r="C121" s="4" t="inlineStr">
        <is>
          <t>2610N</t>
        </is>
      </c>
      <c r="D121" s="4" t="inlineStr">
        <is>
          <t>202609271700</t>
        </is>
      </c>
      <c r="E121" s="4" t="n"/>
      <c r="F121" s="4" t="inlineStr">
        <is>
          <t>THBKK</t>
        </is>
      </c>
      <c r="G121" s="4" t="inlineStr">
        <is>
          <t>HKHKG</t>
        </is>
      </c>
      <c r="H121" s="4" t="inlineStr">
        <is>
          <t xml:space="preserve">20'x1 </t>
        </is>
      </c>
      <c r="I121" s="4" t="inlineStr">
        <is>
          <t>BKK25</t>
        </is>
      </c>
      <c r="J121" s="4" t="inlineStr">
        <is>
          <t xml:space="preserve">Smart Logistics Service (Thailand ) Co.,Ltd. </t>
        </is>
      </c>
      <c r="K121" s="4" t="inlineStr">
        <is>
          <t>20260908</t>
        </is>
      </c>
      <c r="L121" s="4" t="inlineStr">
        <is>
          <t>SEASKY SHIPPING (THAILAND) CO., LTD</t>
        </is>
      </c>
      <c r="M121" s="4" t="inlineStr">
        <is>
          <t>GIMSAN INTERNATIONAL CO.,LTD.</t>
        </is>
      </c>
      <c r="N121" s="4" t="inlineStr">
        <is>
          <t>OTC MEDICINE</t>
        </is>
      </c>
      <c r="O121" s="4" t="inlineStr">
        <is>
          <t>GOOD AND CLEAN CONTAINER</t>
        </is>
      </c>
      <c r="P121" s="4" t="inlineStr">
        <is>
          <t>Pickup : 2026-09-08, Return : 2026-09-11 (1ST RTN DD : 18/09/26 WO/RENT)</t>
        </is>
      </c>
      <c r="Q121" s="4" t="n">
        <v>1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HASLS22260900505</t>
        </is>
      </c>
      <c r="B122" s="4" t="inlineStr">
        <is>
          <t>DJCF</t>
        </is>
      </c>
      <c r="C122" s="4" t="inlineStr">
        <is>
          <t>0151N</t>
        </is>
      </c>
      <c r="D122" s="4" t="inlineStr">
        <is>
          <t>202609191900</t>
        </is>
      </c>
      <c r="E122" s="4" t="n"/>
      <c r="F122" s="4" t="inlineStr">
        <is>
          <t>THBKK</t>
        </is>
      </c>
      <c r="G122" s="4" t="inlineStr">
        <is>
          <t>VNSGN</t>
        </is>
      </c>
      <c r="H122" s="4" t="inlineStr">
        <is>
          <t xml:space="preserve">20'x1 </t>
        </is>
      </c>
      <c r="I122" s="4" t="inlineStr">
        <is>
          <t>BKK25</t>
        </is>
      </c>
      <c r="J122" s="4" t="inlineStr">
        <is>
          <t xml:space="preserve">Smart Logistics Service (Thailand ) Co.,Ltd. </t>
        </is>
      </c>
      <c r="K122" s="4" t="inlineStr">
        <is>
          <t>20260914</t>
        </is>
      </c>
      <c r="L122" s="4" t="inlineStr">
        <is>
          <t>SIAM NISTRANS CO.,LTD.</t>
        </is>
      </c>
      <c r="M122" s="4" t="inlineStr">
        <is>
          <t>KITZ (THAILAND) LTD</t>
        </is>
      </c>
      <c r="N122" s="4" t="inlineStr">
        <is>
          <t>VALVE</t>
        </is>
      </c>
      <c r="O122" s="4" t="inlineStr">
        <is>
          <t>Request good and clean container</t>
        </is>
      </c>
      <c r="P122" s="4" t="inlineStr">
        <is>
          <t>Pickup : 2026-09-14, Return : 2026-09-14</t>
        </is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HASLS22260900527</t>
        </is>
      </c>
      <c r="B123" s="4" t="inlineStr">
        <is>
          <t>HAB</t>
        </is>
      </c>
      <c r="C123" s="4" t="inlineStr">
        <is>
          <t>2611N</t>
        </is>
      </c>
      <c r="D123" s="4" t="inlineStr">
        <is>
          <t>202609271400</t>
        </is>
      </c>
      <c r="E123" s="4" t="inlineStr">
        <is>
          <t>THSRP</t>
        </is>
      </c>
      <c r="F123" s="4" t="inlineStr">
        <is>
          <t>THLCH</t>
        </is>
      </c>
      <c r="G123" s="4" t="inlineStr">
        <is>
          <t>CNSHA</t>
        </is>
      </c>
      <c r="H123" s="4" t="inlineStr">
        <is>
          <t xml:space="preserve">20'x4 </t>
        </is>
      </c>
      <c r="I123" s="4" t="inlineStr">
        <is>
          <t>BKK25</t>
        </is>
      </c>
      <c r="J123" s="4" t="inlineStr">
        <is>
          <t xml:space="preserve">Smart Logistics Service (Thailand ) Co.,Ltd. </t>
        </is>
      </c>
      <c r="K123" s="4" t="inlineStr">
        <is>
          <t>20260915</t>
        </is>
      </c>
      <c r="L123" s="4" t="inlineStr">
        <is>
          <t>RCL LOGISTICS CO., LTD.</t>
        </is>
      </c>
      <c r="M123" s="4" t="inlineStr">
        <is>
          <t>SMS CORPORATION CO., LTD.</t>
        </is>
      </c>
      <c r="N123" s="4" t="inlineStr">
        <is>
          <t>MODIFIED TAPIOCA STARCH</t>
        </is>
      </c>
      <c r="O123" s="4" t="inlineStr">
        <is>
          <t>FOOD GRADE CONTAINER / DO NOT RELEAESE RED WALL CONTAINER</t>
        </is>
      </c>
      <c r="P123" s="4" t="inlineStr">
        <is>
          <t xml:space="preserve">Pickup : 2026-09-15, Return @SRP : 2026-09-17 (PAPERLESS CODE : 2829)
CLS TIME @SRP : 19/09/2026 @22.00 </t>
        </is>
      </c>
      <c r="Q123" s="4" t="n">
        <v>4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HASLS22260900541</t>
        </is>
      </c>
      <c r="B124" s="4" t="inlineStr">
        <is>
          <t>PGPO</t>
        </is>
      </c>
      <c r="C124" s="4" t="inlineStr">
        <is>
          <t>2612N</t>
        </is>
      </c>
      <c r="D124" s="4" t="inlineStr">
        <is>
          <t>202610131500</t>
        </is>
      </c>
      <c r="E124" s="4" t="n"/>
      <c r="F124" s="4" t="inlineStr">
        <is>
          <t>THBKK</t>
        </is>
      </c>
      <c r="G124" s="4" t="inlineStr">
        <is>
          <t>VNSGN</t>
        </is>
      </c>
      <c r="H124" s="4" t="inlineStr">
        <is>
          <t xml:space="preserve">20'x2 </t>
        </is>
      </c>
      <c r="I124" s="4" t="inlineStr">
        <is>
          <t>BKK25</t>
        </is>
      </c>
      <c r="J124" s="4" t="inlineStr">
        <is>
          <t xml:space="preserve">Smart Logistics Service (Thailand ) Co.,Ltd. </t>
        </is>
      </c>
      <c r="K124" s="4" t="inlineStr">
        <is>
          <t>20260908</t>
        </is>
      </c>
      <c r="L124" s="4" t="inlineStr">
        <is>
          <t>MERCURIAL LOGISTICS  CO.,LTD</t>
        </is>
      </c>
      <c r="M124" s="4" t="inlineStr">
        <is>
          <t>UENO FINE CHEMICALS INDUSTRY (THAILAND) LTD.</t>
        </is>
      </c>
      <c r="N124" s="4" t="inlineStr">
        <is>
          <t>MALTITOL SYRUP</t>
        </is>
      </c>
      <c r="O124" s="4" t="inlineStr">
        <is>
          <t>GOOD AND CLEAN CONTAINER</t>
        </is>
      </c>
      <c r="P124" s="4" t="inlineStr">
        <is>
          <t>Pickup : 2026-09-08, Return : 2026-09-09</t>
        </is>
      </c>
      <c r="Q124" s="4" t="n">
        <v>2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HASLS22260900591</t>
        </is>
      </c>
      <c r="B125" s="4" t="inlineStr">
        <is>
          <t>SWAL</t>
        </is>
      </c>
      <c r="C125" s="4" t="inlineStr">
        <is>
          <t>2609N</t>
        </is>
      </c>
      <c r="D125" s="4" t="inlineStr">
        <is>
          <t>202610191500</t>
        </is>
      </c>
      <c r="E125" s="4" t="n"/>
      <c r="F125" s="4" t="inlineStr">
        <is>
          <t>THBKK</t>
        </is>
      </c>
      <c r="G125" s="4" t="inlineStr">
        <is>
          <t>KRINC</t>
        </is>
      </c>
      <c r="H125" s="4" t="inlineStr">
        <is>
          <t xml:space="preserve">20'x25 </t>
        </is>
      </c>
      <c r="I125" s="4" t="inlineStr">
        <is>
          <t>BKK25</t>
        </is>
      </c>
      <c r="J125" s="4" t="inlineStr">
        <is>
          <t xml:space="preserve">Smart Logistics Service (Thailand ) Co.,Ltd. </t>
        </is>
      </c>
      <c r="K125" s="4" t="inlineStr">
        <is>
          <t>20260912</t>
        </is>
      </c>
      <c r="L125" s="4" t="inlineStr">
        <is>
          <t>DP WORLD LOGISTICS SOLUTIONS (THAILAND) COMPANY LIMITED</t>
        </is>
      </c>
      <c r="M125" s="4" t="inlineStr">
        <is>
          <t>DP WORLD LOGISTICS SOLUTIONS (THAILAND) COMPANY LIMITED</t>
        </is>
      </c>
      <c r="N125" s="4" t="inlineStr">
        <is>
          <t>SOYBEAN OIL</t>
        </is>
      </c>
      <c r="O125" s="4" t="inlineStr">
        <is>
          <t>**DO NOT RELEASE CNTR WAIT APPROVE** *FLEXIBAG* SERVEY 2026-10-12</t>
        </is>
      </c>
      <c r="P125" s="4" t="inlineStr">
        <is>
          <t>**DO NOT RELEASE CNTR WAIT APPROVE** *FLEXIBAG*
SERVEY 2026-10-12 , Pickup : 2026-09-14, Return : 2026-09-15</t>
        </is>
      </c>
      <c r="Q125" s="4" t="n">
        <v>25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HASLS22260901039</t>
        </is>
      </c>
      <c r="B126" s="4" t="inlineStr">
        <is>
          <t>DJCF</t>
        </is>
      </c>
      <c r="C126" s="4" t="inlineStr">
        <is>
          <t>0152N</t>
        </is>
      </c>
      <c r="D126" s="4" t="inlineStr">
        <is>
          <t>202610101900</t>
        </is>
      </c>
      <c r="E126" s="4" t="n"/>
      <c r="F126" s="4" t="inlineStr">
        <is>
          <t>THBKK</t>
        </is>
      </c>
      <c r="G126" s="4" t="inlineStr">
        <is>
          <t>JPMYJ</t>
        </is>
      </c>
      <c r="H126" s="4" t="inlineStr">
        <is>
          <t xml:space="preserve">40Hx1 </t>
        </is>
      </c>
      <c r="I126" s="4" t="inlineStr">
        <is>
          <t>BKK25</t>
        </is>
      </c>
      <c r="J126" s="4" t="inlineStr">
        <is>
          <t xml:space="preserve">Smart Logistics Service (Thailand ) Co.,Ltd. </t>
        </is>
      </c>
      <c r="K126" s="4" t="inlineStr">
        <is>
          <t>20260905</t>
        </is>
      </c>
      <c r="L126" s="4" t="inlineStr">
        <is>
          <t>C.P. INTERTRADE CO., LTD.</t>
        </is>
      </c>
      <c r="M126" s="4" t="inlineStr">
        <is>
          <t>PERFECT COMPANION GROUP CO., LTD.</t>
        </is>
      </c>
      <c r="N126" s="4" t="inlineStr">
        <is>
          <t>PET FOOD</t>
        </is>
      </c>
      <c r="O126" s="4" t="inlineStr">
        <is>
          <t>GOOD AND CLEAN CONTAINER</t>
        </is>
      </c>
      <c r="P126" s="4" t="inlineStr">
        <is>
          <t>Pickup : 2026-09-05, Return : 2026-09-07</t>
        </is>
      </c>
      <c r="Q126" s="4" t="n">
        <v>0</v>
      </c>
      <c r="R126" s="4" t="n">
        <v>0</v>
      </c>
      <c r="S126" s="4" t="n">
        <v>1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</sheetData>
  <autoFilter ref="A2:AL126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6" t="inlineStr">
        <is>
          <t>TOTAL</t>
        </is>
      </c>
      <c r="B128" s="6" t="n"/>
      <c r="C128" s="6" t="n"/>
      <c r="D128" s="6" t="n"/>
      <c r="E128" s="6" t="n"/>
      <c r="F128" s="6" t="n"/>
      <c r="G128" s="6">
        <f>SUM(G4:G127)</f>
        <v/>
      </c>
      <c r="H128" s="6">
        <f>SUM(H4:H127)</f>
        <v/>
      </c>
      <c r="I128" s="6">
        <f>SUM(I4:I127)</f>
        <v/>
      </c>
      <c r="J128" s="6">
        <f>SUM(J4:J127)</f>
        <v/>
      </c>
      <c r="K128" s="6">
        <f>SUM(K4:K127)</f>
        <v/>
      </c>
      <c r="L128" s="6">
        <f>SUM(L4:L127)</f>
        <v/>
      </c>
      <c r="M128" s="6">
        <f>SUM(M4:M127)</f>
        <v/>
      </c>
      <c r="N128" s="6">
        <f>SUM(N4:N127)</f>
        <v/>
      </c>
      <c r="O128" s="6">
        <f>SUM(O4:O127)</f>
        <v/>
      </c>
      <c r="P128" s="6">
        <f>SUM(P4:P127)</f>
        <v/>
      </c>
      <c r="Q128" s="6">
        <f>SUM(Q4:Q127)</f>
        <v/>
      </c>
      <c r="R128" s="6">
        <f>SUM(R4:R127)</f>
        <v/>
      </c>
    </row>
  </sheetData>
  <autoFilter ref="A3:R127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4" t="inlineStr">
        <is>
          <t>OTHER</t>
        </is>
      </c>
      <c r="B9" s="4" t="inlineStr">
        <is>
          <t>None</t>
        </is>
      </c>
      <c r="C9" s="4" t="inlineStr">
        <is>
          <t>None</t>
        </is>
      </c>
      <c r="D9" s="7">
        <f>COUNTIF(Data!$I:$I,"None")</f>
        <v/>
      </c>
      <c r="E9" s="7">
        <f>SUMIF(Data!$I:$I,"None",Data!$AD:$AD)</f>
        <v/>
      </c>
      <c r="F9" s="7">
        <f>SUMIF(Data!$I:$I,"None",Data!$AE:$AE)</f>
        <v/>
      </c>
      <c r="G9" s="7">
        <f>SUMIF(Data!$I:$I,"None",Data!$AF:$AF)</f>
        <v/>
      </c>
      <c r="H9" s="7">
        <f>SUMIF(Data!$I:$I,"None",Data!$AG:$AG)</f>
        <v/>
      </c>
      <c r="I9" s="7">
        <f>SUMIF(Data!$I:$I,"None",Data!$AH:$AH)</f>
        <v/>
      </c>
      <c r="J9" s="7">
        <f>SUMIF(Data!$I:$I,"None",Data!$AI:$AI)</f>
        <v/>
      </c>
      <c r="K9" s="7">
        <f>SUMIF(Data!$I:$I,"None",Data!$AJ:$AJ)</f>
        <v/>
      </c>
      <c r="L9" s="7">
        <f>SUMIF(Data!$I:$I,"None",Data!$AK:$AK)</f>
        <v/>
      </c>
      <c r="M9" s="7">
        <f>SUMIF(Data!$I:$I,"None",Data!$AL:$AL)</f>
        <v/>
      </c>
      <c r="N9" s="7">
        <f>SUM(E9:M9)</f>
        <v/>
      </c>
    </row>
    <row r="10">
      <c r="A10" s="6" t="inlineStr">
        <is>
          <t>TOTAL</t>
        </is>
      </c>
      <c r="B10" s="6" t="n"/>
      <c r="C10" s="6" t="n"/>
      <c r="D10" s="8">
        <f>SUM(D3:D9)</f>
        <v/>
      </c>
      <c r="E10" s="8">
        <f>SUM(E3:E9)</f>
        <v/>
      </c>
      <c r="F10" s="8">
        <f>SUM(F3:F9)</f>
        <v/>
      </c>
      <c r="G10" s="8">
        <f>SUM(G3:G9)</f>
        <v/>
      </c>
      <c r="H10" s="8">
        <f>SUM(H3:H9)</f>
        <v/>
      </c>
      <c r="I10" s="8">
        <f>SUM(I3:I9)</f>
        <v/>
      </c>
      <c r="J10" s="8">
        <f>SUM(J3:J9)</f>
        <v/>
      </c>
      <c r="K10" s="8">
        <f>SUM(K3:K9)</f>
        <v/>
      </c>
      <c r="L10" s="8">
        <f>SUM(L3:L9)</f>
        <v/>
      </c>
      <c r="M10" s="8">
        <f>SUM(M3:M9)</f>
        <v/>
      </c>
      <c r="N10" s="8">
        <f>SUM(N3:N9)</f>
        <v/>
      </c>
    </row>
    <row r="13">
      <c r="C13" s="9" t="inlineStr">
        <is>
          <t>Group</t>
        </is>
      </c>
      <c r="D13" s="9" t="inlineStr">
        <is>
          <t>Number of Records</t>
        </is>
      </c>
      <c r="E13" s="9" t="inlineStr">
        <is>
          <t>GP22</t>
        </is>
      </c>
      <c r="F13" s="9" t="inlineStr">
        <is>
          <t>GP42</t>
        </is>
      </c>
      <c r="G13" s="9" t="inlineStr">
        <is>
          <t>GP45</t>
        </is>
      </c>
      <c r="H13" s="9" t="inlineStr">
        <is>
          <t>RE22</t>
        </is>
      </c>
      <c r="I13" s="9" t="inlineStr">
        <is>
          <t>RE45</t>
        </is>
      </c>
      <c r="J13" s="9" t="inlineStr">
        <is>
          <t>UT22</t>
        </is>
      </c>
      <c r="K13" s="9" t="inlineStr">
        <is>
          <t>UT42</t>
        </is>
      </c>
      <c r="L13" s="9" t="inlineStr">
        <is>
          <t>PC22</t>
        </is>
      </c>
      <c r="M13" s="9" t="inlineStr">
        <is>
          <t>PC42</t>
        </is>
      </c>
      <c r="N13" s="9" t="inlineStr">
        <is>
          <t>Total Containers</t>
        </is>
      </c>
    </row>
    <row r="14">
      <c r="C14" s="9" t="inlineStr">
        <is>
          <t>BKK</t>
        </is>
      </c>
      <c r="D14" s="10">
        <f>COUNTIF(Data!$AC:$AC,"BKK")</f>
        <v/>
      </c>
      <c r="E14" s="10">
        <f>SUMIF(Data!$AC:$AC,"BKK",Data!$AD:$AD)</f>
        <v/>
      </c>
      <c r="F14" s="10">
        <f>SUMIF(Data!$AC:$AC,"BKK",Data!$AE:$AE)</f>
        <v/>
      </c>
      <c r="G14" s="10">
        <f>SUMIF(Data!$AC:$AC,"BKK",Data!$AF:$AF)</f>
        <v/>
      </c>
      <c r="H14" s="10">
        <f>SUMIF(Data!$AC:$AC,"BKK",Data!$AG:$AG)</f>
        <v/>
      </c>
      <c r="I14" s="10">
        <f>SUMIF(Data!$AC:$AC,"BKK",Data!$AH:$AH)</f>
        <v/>
      </c>
      <c r="J14" s="10">
        <f>SUMIF(Data!$AC:$AC,"BKK",Data!$AI:$AI)</f>
        <v/>
      </c>
      <c r="K14" s="10">
        <f>SUMIF(Data!$AC:$AC,"BKK",Data!$AJ:$AJ)</f>
        <v/>
      </c>
      <c r="L14" s="10">
        <f>SUMIF(Data!$AC:$AC,"BKK",Data!$AK:$AK)</f>
        <v/>
      </c>
      <c r="M14" s="10">
        <f>SUMIF(Data!$AC:$AC,"BKK",Data!$AL:$AL)</f>
        <v/>
      </c>
      <c r="N14" s="10">
        <f>SUM(E14:M14)</f>
        <v/>
      </c>
    </row>
    <row r="15">
      <c r="C15" s="9" t="inlineStr">
        <is>
          <t>LCH</t>
        </is>
      </c>
      <c r="D15" s="10">
        <f>COUNTIF(Data!$AC:$AC,"LCH")</f>
        <v/>
      </c>
      <c r="E15" s="10">
        <f>SUMIF(Data!$AC:$AC,"LCH",Data!$AD:$AD)</f>
        <v/>
      </c>
      <c r="F15" s="10">
        <f>SUMIF(Data!$AC:$AC,"LCH",Data!$AE:$AE)</f>
        <v/>
      </c>
      <c r="G15" s="10">
        <f>SUMIF(Data!$AC:$AC,"LCH",Data!$AF:$AF)</f>
        <v/>
      </c>
      <c r="H15" s="10">
        <f>SUMIF(Data!$AC:$AC,"LCH",Data!$AG:$AG)</f>
        <v/>
      </c>
      <c r="I15" s="10">
        <f>SUMIF(Data!$AC:$AC,"LCH",Data!$AH:$AH)</f>
        <v/>
      </c>
      <c r="J15" s="10">
        <f>SUMIF(Data!$AC:$AC,"LCH",Data!$AI:$AI)</f>
        <v/>
      </c>
      <c r="K15" s="10">
        <f>SUMIF(Data!$AC:$AC,"LCH",Data!$AJ:$AJ)</f>
        <v/>
      </c>
      <c r="L15" s="10">
        <f>SUMIF(Data!$AC:$AC,"LCH",Data!$AK:$AK)</f>
        <v/>
      </c>
      <c r="M15" s="10">
        <f>SUMIF(Data!$AC:$AC,"LCH",Data!$AL:$AL)</f>
        <v/>
      </c>
      <c r="N15" s="10">
        <f>SUM(E15:M15)</f>
        <v/>
      </c>
    </row>
    <row r="16">
      <c r="C16" s="6" t="inlineStr">
        <is>
          <t>GRAND TOTAL</t>
        </is>
      </c>
      <c r="D16" s="8">
        <f>SUM(D14:D15)</f>
        <v/>
      </c>
      <c r="E16" s="8">
        <f>SUM(E14:E15)</f>
        <v/>
      </c>
      <c r="F16" s="8">
        <f>SUM(F14:F15)</f>
        <v/>
      </c>
      <c r="G16" s="8">
        <f>SUM(G14:G15)</f>
        <v/>
      </c>
      <c r="H16" s="8">
        <f>SUM(H14:H15)</f>
        <v/>
      </c>
      <c r="I16" s="8">
        <f>SUM(I14:I15)</f>
        <v/>
      </c>
      <c r="J16" s="8">
        <f>SUM(J14:J15)</f>
        <v/>
      </c>
      <c r="K16" s="8">
        <f>SUM(K14:K15)</f>
        <v/>
      </c>
      <c r="L16" s="8">
        <f>SUM(L14:L15)</f>
        <v/>
      </c>
      <c r="M16" s="8">
        <f>SUM(M14:M15)</f>
        <v/>
      </c>
      <c r="N16" s="8">
        <f>SUM(N14:N15)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2026-09-16T07:38:58Z</dcterms:created>
  <dcterms:modified xmlns:dcterms="http://purl.org/dc/terms/" xmlns:xsi="http://www.w3.org/2001/XMLSchema-instance" xsi:type="dcterms:W3CDTF">2026-09-16T07:38:58Z</dcterms:modified>
</cp:coreProperties>
</file>