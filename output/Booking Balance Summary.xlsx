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'Data'!$A$2:$AL$116</definedName>
    <definedName name="_xlnm._FilterDatabase" localSheetId="1" hidden="1">'Balance Summary'!$A$3:$R$117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10-20-PD - Copy.xls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HASLS22260900492</t>
        </is>
      </c>
      <c r="B3" s="4" t="inlineStr">
        <is>
          <t>NSSJ</t>
        </is>
      </c>
      <c r="C3" s="4" t="inlineStr">
        <is>
          <t>2608S</t>
        </is>
      </c>
      <c r="D3" s="4" t="inlineStr">
        <is>
          <t>202610290200</t>
        </is>
      </c>
      <c r="E3" s="4" t="inlineStr">
        <is>
          <t>THLKR</t>
        </is>
      </c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40Hx1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20261017</t>
        </is>
      </c>
      <c r="L3" s="4" t="inlineStr">
        <is>
          <t>ACCORD PILOT LOGISTICS (THAILAND) CO., LTD.</t>
        </is>
      </c>
      <c r="M3" s="4" t="inlineStr">
        <is>
          <t>THAI PLASPAC PUBLIC CO.,LTD.</t>
        </is>
      </c>
      <c r="N3" s="4" t="inlineStr">
        <is>
          <t>PLASTIC CAP</t>
        </is>
      </c>
      <c r="O3" s="4" t="inlineStr">
        <is>
          <t>**REQUEST CLEAN AND GOOD CONTAINER</t>
        </is>
      </c>
      <c r="P3" s="4" t="inlineStr">
        <is>
          <t>Pickup : 2026-10-20, Return : 2026-10-21 Paperless Code 2835
Closing Time LKB 2026-10-25 @ 17.00</t>
        </is>
      </c>
      <c r="Q3" s="4" t="n">
        <v>0</v>
      </c>
      <c r="R3" s="4" t="n">
        <v>0</v>
      </c>
      <c r="S3" s="4" t="n">
        <v>1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HASLS22260901189</t>
        </is>
      </c>
      <c r="B4" s="4" t="inlineStr">
        <is>
          <t>KMSU</t>
        </is>
      </c>
      <c r="C4" s="4" t="inlineStr">
        <is>
          <t>2608S</t>
        </is>
      </c>
      <c r="D4" s="4" t="inlineStr">
        <is>
          <t>202611012100</t>
        </is>
      </c>
      <c r="E4" s="4" t="inlineStr">
        <is>
          <t>THLKR</t>
        </is>
      </c>
      <c r="F4" s="4" t="inlineStr">
        <is>
          <t>THLCH</t>
        </is>
      </c>
      <c r="G4" s="4" t="inlineStr">
        <is>
          <t>IDJKT</t>
        </is>
      </c>
      <c r="H4" s="4" t="inlineStr">
        <is>
          <t xml:space="preserve">20'x4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20261020</t>
        </is>
      </c>
      <c r="L4" s="4" t="inlineStr">
        <is>
          <t>SCGJWD LOGISTICS PUBLIC COMPANY LIMITED</t>
        </is>
      </c>
      <c r="M4" s="4" t="inlineStr">
        <is>
          <t>NORITAKE SCG PLASTER CO., LTD.</t>
        </is>
      </c>
      <c r="N4" s="4" t="inlineStr">
        <is>
          <t>MOULDING PLASTER</t>
        </is>
      </c>
      <c r="O4" s="4" t="inlineStr">
        <is>
          <t>Request good and clean cont., no oil, no rusty</t>
        </is>
      </c>
      <c r="P4" s="4" t="inlineStr">
        <is>
          <t xml:space="preserve">CY-RTN : 20-22/10/2026 (PAPERLESS CODE 2835)
CLS TIME AT LKR DD.23/10/2026 @ 12.00
Request good and clean cont., no oil, no rusty </t>
        </is>
      </c>
      <c r="Q4" s="4" t="n">
        <v>4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HASLS22260901383</t>
        </is>
      </c>
      <c r="B5" s="4" t="inlineStr">
        <is>
          <t>KMBK</t>
        </is>
      </c>
      <c r="C5" s="4" t="inlineStr">
        <is>
          <t>2612N</t>
        </is>
      </c>
      <c r="D5" s="4" t="inlineStr">
        <is>
          <t>202610260700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20'x10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20261020</t>
        </is>
      </c>
      <c r="L5" s="4" t="inlineStr">
        <is>
          <t>SCGJWD LOGISTICS PUBLIC COMPANY LIMITED</t>
        </is>
      </c>
      <c r="M5" s="4" t="inlineStr">
        <is>
          <t>SCG INTERNATIONAL CORPORATION CO., LTD.</t>
        </is>
      </c>
      <c r="N5" s="4" t="inlineStr">
        <is>
          <t>WHITE CLINKER</t>
        </is>
      </c>
      <c r="O5" s="4" t="inlineStr">
        <is>
          <t>GOOD AND CLEAN CONTAINER</t>
        </is>
      </c>
      <c r="P5" s="4" t="inlineStr">
        <is>
          <t>CY-RTN :20-21/10/2026
CLS TIME DD.22/10/2026 @ 17.00Hrs.
REF : 26IHWCL92</t>
        </is>
      </c>
      <c r="Q5" s="4" t="n">
        <v>10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8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HASLS22260901723</t>
        </is>
      </c>
      <c r="B6" s="4" t="inlineStr">
        <is>
          <t>HAHM</t>
        </is>
      </c>
      <c r="C6" s="4" t="inlineStr">
        <is>
          <t>2612N</t>
        </is>
      </c>
      <c r="D6" s="4" t="inlineStr">
        <is>
          <t>202610271500</t>
        </is>
      </c>
      <c r="E6" s="4" t="inlineStr"/>
      <c r="F6" s="4" t="inlineStr">
        <is>
          <t>THBKK</t>
        </is>
      </c>
      <c r="G6" s="4" t="inlineStr">
        <is>
          <t>KRKAN</t>
        </is>
      </c>
      <c r="H6" s="4" t="inlineStr">
        <is>
          <t xml:space="preserve">40Hx4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20261020</t>
        </is>
      </c>
      <c r="L6" s="4" t="inlineStr">
        <is>
          <t>HARPERS SEA FREIGHT CO., LTD.</t>
        </is>
      </c>
      <c r="M6" s="4" t="inlineStr">
        <is>
          <t>THAI ASAHI CO., LTD.</t>
        </is>
      </c>
      <c r="N6" s="4" t="inlineStr">
        <is>
          <t xml:space="preserve">POTATO STARCH </t>
        </is>
      </c>
      <c r="O6" s="4" t="inlineStr">
        <is>
          <t>Grade A and food grade container</t>
        </is>
      </c>
      <c r="P6" s="4" t="inlineStr">
        <is>
          <t>Pickup : 2026-10-20, Return : 2026-10-22  (EXTEND CLOSING 24/10/26 @23.59)</t>
        </is>
      </c>
      <c r="Q6" s="4" t="n">
        <v>0</v>
      </c>
      <c r="R6" s="4" t="n">
        <v>0</v>
      </c>
      <c r="S6" s="4" t="n">
        <v>4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HASLS22260902010</t>
        </is>
      </c>
      <c r="B7" s="4" t="inlineStr">
        <is>
          <t>SWDN</t>
        </is>
      </c>
      <c r="C7" s="4" t="inlineStr">
        <is>
          <t>2611N</t>
        </is>
      </c>
      <c r="D7" s="4" t="inlineStr">
        <is>
          <t>202610312100</t>
        </is>
      </c>
      <c r="E7" s="4" t="inlineStr"/>
      <c r="F7" s="4" t="inlineStr">
        <is>
          <t>THBKK</t>
        </is>
      </c>
      <c r="G7" s="4" t="inlineStr">
        <is>
          <t>HKHKG</t>
        </is>
      </c>
      <c r="H7" s="4" t="inlineStr">
        <is>
          <t xml:space="preserve">20'x1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20260926</t>
        </is>
      </c>
      <c r="L7" s="4" t="inlineStr">
        <is>
          <t>YUSEN LOGISTICS (THAILAND) CO., LTD.</t>
        </is>
      </c>
      <c r="M7" s="4" t="inlineStr">
        <is>
          <t>COSMOS BREWERY (THAILAND) CO.,LTD.</t>
        </is>
      </c>
      <c r="N7" s="4" t="inlineStr">
        <is>
          <t xml:space="preserve">BOTTLED CHANG BEER </t>
        </is>
      </c>
      <c r="O7" s="4" t="inlineStr">
        <is>
          <t>REQ. GOOD, CLEAN &amp; DRY GRADE A CONTAINER. PLEASE DO NOT CHANGE VESSEL AND PAPERLESS CODE</t>
        </is>
      </c>
      <c r="P7" s="4" t="inlineStr">
        <is>
          <t>Pickup : 2026-09-26, Return : 2026-09-27</t>
        </is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HASLS22260902116</t>
        </is>
      </c>
      <c r="B8" s="4" t="inlineStr">
        <is>
          <t>NSSJ</t>
        </is>
      </c>
      <c r="C8" s="4" t="inlineStr">
        <is>
          <t>2608S</t>
        </is>
      </c>
      <c r="D8" s="4" t="inlineStr">
        <is>
          <t>202610290200</t>
        </is>
      </c>
      <c r="E8" s="4" t="inlineStr">
        <is>
          <t>THLKR</t>
        </is>
      </c>
      <c r="F8" s="4" t="inlineStr">
        <is>
          <t>THLCH</t>
        </is>
      </c>
      <c r="G8" s="4" t="inlineStr">
        <is>
          <t>IDJKT</t>
        </is>
      </c>
      <c r="H8" s="4" t="inlineStr">
        <is>
          <t xml:space="preserve">20'x1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20261020</t>
        </is>
      </c>
      <c r="L8" s="4" t="inlineStr">
        <is>
          <t>ACCORD PILOT LOGISTICS (THAILAND) CO., LTD.</t>
        </is>
      </c>
      <c r="M8" s="4" t="inlineStr">
        <is>
          <t>THAI PLASPAC PUBLIC CO.,LTD.</t>
        </is>
      </c>
      <c r="N8" s="4" t="inlineStr">
        <is>
          <t>PLATIC CAP</t>
        </is>
      </c>
      <c r="O8" s="4" t="inlineStr">
        <is>
          <t>**REQUEST CLEAN AND GOOD CONTAINER**
**REQUEST FREE TIME 14 DAYS COMBINE AT DESTINATION**</t>
        </is>
      </c>
      <c r="P8" s="4" t="inlineStr">
        <is>
          <t>Pickup : 2026-10-20, Return : 2026-10-21 Paperless Code 2835
Closing Time LKB 2026-10-25 @ 17.00</t>
        </is>
      </c>
      <c r="Q8" s="4" t="n">
        <v>1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HASLS22260902534</t>
        </is>
      </c>
      <c r="B9" s="4" t="inlineStr">
        <is>
          <t>KMSU</t>
        </is>
      </c>
      <c r="C9" s="4" t="inlineStr">
        <is>
          <t>2608S</t>
        </is>
      </c>
      <c r="D9" s="4" t="inlineStr">
        <is>
          <t>202611012100</t>
        </is>
      </c>
      <c r="E9" s="4" t="inlineStr">
        <is>
          <t>THLKR</t>
        </is>
      </c>
      <c r="F9" s="4" t="inlineStr">
        <is>
          <t>THLCH</t>
        </is>
      </c>
      <c r="G9" s="4" t="inlineStr">
        <is>
          <t>IDJKT</t>
        </is>
      </c>
      <c r="H9" s="4" t="inlineStr">
        <is>
          <t xml:space="preserve">20'x2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20261020</t>
        </is>
      </c>
      <c r="L9" s="4" t="inlineStr">
        <is>
          <t>SCGJWD LOGISTICS PUBLIC COMPANY LIMITED</t>
        </is>
      </c>
      <c r="M9" s="4" t="inlineStr">
        <is>
          <t>NORITAKE SCG PLASTER CO., LTD.</t>
        </is>
      </c>
      <c r="N9" s="4" t="inlineStr">
        <is>
          <t>MOULDING PLASTER</t>
        </is>
      </c>
      <c r="O9" s="4" t="inlineStr">
        <is>
          <t>good and clean cont., no oil, no rusty</t>
        </is>
      </c>
      <c r="P9" s="4" t="inlineStr">
        <is>
          <t>CY-RTN : 20-22/10/2026 Paperless Code 2835
Closing Time LKB 2026-10-24 @ 23.59 // REF : ** PT Indoporcelain  **</t>
        </is>
      </c>
      <c r="Q9" s="4" t="n">
        <v>2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HASLS22260902697</t>
        </is>
      </c>
      <c r="B10" s="4" t="inlineStr">
        <is>
          <t>KMSU</t>
        </is>
      </c>
      <c r="C10" s="4" t="inlineStr">
        <is>
          <t>2608S</t>
        </is>
      </c>
      <c r="D10" s="4" t="inlineStr">
        <is>
          <t>202611012100</t>
        </is>
      </c>
      <c r="E10" s="4" t="inlineStr">
        <is>
          <t>THLKR</t>
        </is>
      </c>
      <c r="F10" s="4" t="inlineStr">
        <is>
          <t>THLCH</t>
        </is>
      </c>
      <c r="G10" s="4" t="inlineStr">
        <is>
          <t>IDJKT</t>
        </is>
      </c>
      <c r="H10" s="4" t="inlineStr">
        <is>
          <t xml:space="preserve">20'x1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20261020</t>
        </is>
      </c>
      <c r="L10" s="4" t="inlineStr">
        <is>
          <t>LESCHACO (THAILAND) LTD.</t>
        </is>
      </c>
      <c r="M10" s="4" t="inlineStr">
        <is>
          <t>ORFFA (THAILAND) COMPANY LIMITED</t>
        </is>
      </c>
      <c r="N10" s="4" t="inlineStr">
        <is>
          <t>EXCENTIAL SELENIUM</t>
        </is>
      </c>
      <c r="O10" s="4" t="inlineStr">
        <is>
          <t>REQUEST CONTAINR GOOD AND CLEAN</t>
        </is>
      </c>
      <c r="P10" s="4" t="inlineStr">
        <is>
          <t>Pickup : 2026-10-20, Return : 2026-10-21  Paperless Code 2835
Closing Time LKB 2026-10-28 @ 23.59</t>
        </is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HASLS22260902798</t>
        </is>
      </c>
      <c r="B11" s="4" t="inlineStr">
        <is>
          <t>KMSU</t>
        </is>
      </c>
      <c r="C11" s="4" t="inlineStr">
        <is>
          <t>2608S</t>
        </is>
      </c>
      <c r="D11" s="4" t="inlineStr">
        <is>
          <t>202611012100</t>
        </is>
      </c>
      <c r="E11" s="4" t="inlineStr">
        <is>
          <t>THLKR</t>
        </is>
      </c>
      <c r="F11" s="4" t="inlineStr">
        <is>
          <t>THLCH</t>
        </is>
      </c>
      <c r="G11" s="4" t="inlineStr">
        <is>
          <t>IDJKT</t>
        </is>
      </c>
      <c r="H11" s="4" t="inlineStr">
        <is>
          <t xml:space="preserve">20'x1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20261020</t>
        </is>
      </c>
      <c r="L11" s="4" t="inlineStr">
        <is>
          <t>LESCHACO (THAILAND) LTD.</t>
        </is>
      </c>
      <c r="M11" s="4" t="inlineStr">
        <is>
          <t>ORFFA (THAILAND) COMPANY LIMITED</t>
        </is>
      </c>
      <c r="N11" s="4" t="inlineStr">
        <is>
          <t>EXCENTIAL SELENIUM</t>
        </is>
      </c>
      <c r="O11" s="4" t="inlineStr">
        <is>
          <t>REQUEST CONTAINR GOOD AND CLEAN</t>
        </is>
      </c>
      <c r="P11" s="4" t="inlineStr">
        <is>
          <t>Pickup : 2026-10-20, Return : 2026-10-21 Paperless Code 2835
Closing Time LKB 2026-10-28 @ 23.59</t>
        </is>
      </c>
      <c r="Q11" s="4" t="n">
        <v>1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HASLS22260902837</t>
        </is>
      </c>
      <c r="B12" s="4" t="inlineStr">
        <is>
          <t>HAHM</t>
        </is>
      </c>
      <c r="C12" s="4" t="inlineStr">
        <is>
          <t>2612N</t>
        </is>
      </c>
      <c r="D12" s="4" t="inlineStr">
        <is>
          <t>202610271500</t>
        </is>
      </c>
      <c r="E12" s="4" t="inlineStr"/>
      <c r="F12" s="4" t="inlineStr">
        <is>
          <t>THBKK</t>
        </is>
      </c>
      <c r="G12" s="4" t="inlineStr">
        <is>
          <t>VNSGN</t>
        </is>
      </c>
      <c r="H12" s="4" t="inlineStr">
        <is>
          <t xml:space="preserve">40Hx2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20261016</t>
        </is>
      </c>
      <c r="L12" s="4" t="inlineStr">
        <is>
          <t>METROPOLITAN LOGISTICS CO., LTD.</t>
        </is>
      </c>
      <c r="M12" s="4" t="inlineStr">
        <is>
          <t>MEGAKLEEN PRODUCT CO.,LTD</t>
        </is>
      </c>
      <c r="N12" s="4" t="inlineStr">
        <is>
          <t>JET LIQUID</t>
        </is>
      </c>
      <c r="O12" s="4" t="inlineStr">
        <is>
          <t>Request CNTR 32.5 TONS / Request Good and No Leakage Container</t>
        </is>
      </c>
      <c r="P12" s="4" t="inlineStr">
        <is>
          <t>Pickup : 2026-10-16, Return : 2026-10-17 *1ST RETURN CNTR DD.18/10/2026 WIHTOUT RENT*</t>
        </is>
      </c>
      <c r="Q12" s="4" t="n">
        <v>0</v>
      </c>
      <c r="R12" s="4" t="n">
        <v>0</v>
      </c>
      <c r="S12" s="4" t="n">
        <v>2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HASLS22261000459</t>
        </is>
      </c>
      <c r="B13" s="4" t="inlineStr">
        <is>
          <t>HAHM</t>
        </is>
      </c>
      <c r="C13" s="4" t="inlineStr">
        <is>
          <t>2612N</t>
        </is>
      </c>
      <c r="D13" s="4" t="inlineStr">
        <is>
          <t>202610271500</t>
        </is>
      </c>
      <c r="E13" s="4" t="inlineStr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40Hx10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20261019</t>
        </is>
      </c>
      <c r="L13" s="4" t="inlineStr">
        <is>
          <t>BIRLA CARBON (THAILAND) PUBLIC COMPANY LIMITED</t>
        </is>
      </c>
      <c r="M13" s="4" t="inlineStr">
        <is>
          <t>BIRLA CARBON (THAILAND) PUBLIC COMPANY LIMITED</t>
        </is>
      </c>
      <c r="N13" s="4" t="inlineStr">
        <is>
          <t>CABON BLACK</t>
        </is>
      </c>
      <c r="O13" s="4" t="inlineStr">
        <is>
          <t>**Clean container / No rust / No hole / No sharp surface inside areas in container.</t>
        </is>
      </c>
      <c r="P13" s="4" t="inlineStr">
        <is>
          <t>Pickup : 2026-10-19, Return : 2026-10-20 (1ST RTN DD: 22/10/26 WO/RENT)</t>
        </is>
      </c>
      <c r="Q13" s="4" t="n">
        <v>0</v>
      </c>
      <c r="R13" s="4" t="n">
        <v>0</v>
      </c>
      <c r="S13" s="4" t="n">
        <v>10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HASLS22261000623</t>
        </is>
      </c>
      <c r="B14" s="4" t="inlineStr">
        <is>
          <t>SWIC</t>
        </is>
      </c>
      <c r="C14" s="4" t="inlineStr">
        <is>
          <t>2612N</t>
        </is>
      </c>
      <c r="D14" s="4" t="inlineStr">
        <is>
          <t>202611100000</t>
        </is>
      </c>
      <c r="E14" s="4" t="inlineStr"/>
      <c r="F14" s="4" t="inlineStr">
        <is>
          <t>THBKK</t>
        </is>
      </c>
      <c r="G14" s="4" t="inlineStr">
        <is>
          <t>JPTHS</t>
        </is>
      </c>
      <c r="H14" s="4" t="inlineStr">
        <is>
          <t xml:space="preserve">40Hx1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20261016</t>
        </is>
      </c>
      <c r="L14" s="4" t="inlineStr">
        <is>
          <t>UNIQUE INTERNATIONAL FORWARDING CO., LTD.</t>
        </is>
      </c>
      <c r="M14" s="4" t="inlineStr">
        <is>
          <t>BIRLA CARBON (THAILAND) PUBLIC COMPANY LIMITED</t>
        </is>
      </c>
      <c r="N14" s="4" t="inlineStr">
        <is>
          <t>CARBON BLACK (NON DG)</t>
        </is>
      </c>
      <c r="O14" s="4" t="inlineStr">
        <is>
          <t>CLEAN CONTAINER GRADE A</t>
        </is>
      </c>
      <c r="P14" s="4" t="inlineStr">
        <is>
          <t>[FIX]Pickup : 2026-10-16, Return : 2026-10-17</t>
        </is>
      </c>
      <c r="Q14" s="4" t="n">
        <v>0</v>
      </c>
      <c r="R14" s="4" t="n">
        <v>0</v>
      </c>
      <c r="S14" s="4" t="n">
        <v>1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HASLS22261000672</t>
        </is>
      </c>
      <c r="B15" s="4" t="inlineStr">
        <is>
          <t>HAB</t>
        </is>
      </c>
      <c r="C15" s="4" t="inlineStr">
        <is>
          <t>2612N</t>
        </is>
      </c>
      <c r="D15" s="4" t="inlineStr">
        <is>
          <t>202610282300</t>
        </is>
      </c>
      <c r="E15" s="4" t="inlineStr">
        <is>
          <t>THSRP</t>
        </is>
      </c>
      <c r="F15" s="4" t="inlineStr">
        <is>
          <t>THLCH</t>
        </is>
      </c>
      <c r="G15" s="4" t="inlineStr">
        <is>
          <t>CNSHA</t>
        </is>
      </c>
      <c r="H15" s="4" t="inlineStr">
        <is>
          <t xml:space="preserve">40'x1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20261019</t>
        </is>
      </c>
      <c r="L15" s="4" t="inlineStr">
        <is>
          <t>SUN-OCEAN GLOBAL SUPPLY CHAIN CO., LTD.</t>
        </is>
      </c>
      <c r="M15" s="4" t="inlineStr">
        <is>
          <t>BJC GLASS PREMIUM COMPANY LIMITED</t>
        </is>
      </c>
      <c r="N15" s="4" t="inlineStr">
        <is>
          <t>GLASS BOTTLE</t>
        </is>
      </c>
      <c r="O15" s="4" t="inlineStr">
        <is>
          <t>NEED GOOD CONTAINER</t>
        </is>
      </c>
      <c r="P15" s="4" t="inlineStr">
        <is>
          <t>Pickup : 2026-10-19, Return SRP : 2026-10-21 [PAPERLESS CODE 2829]
CLS TIME 22/10/26 @12.00</t>
        </is>
      </c>
      <c r="Q15" s="4" t="n">
        <v>0</v>
      </c>
      <c r="R15" s="4" t="n">
        <v>1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HASLS22261000726</t>
        </is>
      </c>
      <c r="B16" s="4" t="inlineStr">
        <is>
          <t>KMBK</t>
        </is>
      </c>
      <c r="C16" s="4" t="inlineStr">
        <is>
          <t>2612N</t>
        </is>
      </c>
      <c r="D16" s="4" t="inlineStr">
        <is>
          <t>202610260700</t>
        </is>
      </c>
      <c r="E16" s="4" t="inlineStr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40Hx1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20261019</t>
        </is>
      </c>
      <c r="L16" s="4" t="inlineStr">
        <is>
          <t>FIRST-CLASS LOGISTICS CO., LTD.</t>
        </is>
      </c>
      <c r="M16" s="4" t="inlineStr">
        <is>
          <t>TRILLION INDUSTRIES LIMITED</t>
        </is>
      </c>
      <c r="N16" s="4" t="inlineStr">
        <is>
          <t>PART MACHINE</t>
        </is>
      </c>
      <c r="O16" s="4" t="inlineStr">
        <is>
          <t>GOOD AND CLEAN CONTAINER</t>
        </is>
      </c>
      <c r="P16" s="4" t="inlineStr">
        <is>
          <t>Pickup : 2026-10-19, Return : 2026-10-20</t>
        </is>
      </c>
      <c r="Q16" s="4" t="n">
        <v>0</v>
      </c>
      <c r="R16" s="4" t="n">
        <v>0</v>
      </c>
      <c r="S16" s="4" t="n">
        <v>1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HASLS22261000931</t>
        </is>
      </c>
      <c r="B17" s="4" t="inlineStr">
        <is>
          <t>KMBK</t>
        </is>
      </c>
      <c r="C17" s="4" t="inlineStr">
        <is>
          <t>2612N</t>
        </is>
      </c>
      <c r="D17" s="4" t="inlineStr">
        <is>
          <t>202610260700</t>
        </is>
      </c>
      <c r="E17" s="4" t="inlineStr"/>
      <c r="F17" s="4" t="inlineStr">
        <is>
          <t>THBKK</t>
        </is>
      </c>
      <c r="G17" s="4" t="inlineStr">
        <is>
          <t>VNSGN</t>
        </is>
      </c>
      <c r="H17" s="4" t="inlineStr">
        <is>
          <t xml:space="preserve">40Hx2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20261020</t>
        </is>
      </c>
      <c r="L17" s="4" t="inlineStr">
        <is>
          <t>CAPRICORN LOGISTICS CO., LTD.</t>
        </is>
      </c>
      <c r="M17" s="4" t="inlineStr">
        <is>
          <t>OTANI RADIAL CO., LTD.</t>
        </is>
      </c>
      <c r="N17" s="4" t="inlineStr">
        <is>
          <t>TIRES</t>
        </is>
      </c>
      <c r="O17" s="4" t="inlineStr">
        <is>
          <t>REQUEST CONTAINER GOOD GRADE</t>
        </is>
      </c>
      <c r="P17" s="4" t="inlineStr">
        <is>
          <t>Pickup : 2026-10-20, Return : 2026-10-21</t>
        </is>
      </c>
      <c r="Q17" s="4" t="n">
        <v>0</v>
      </c>
      <c r="R17" s="4" t="n">
        <v>0</v>
      </c>
      <c r="S17" s="4" t="n">
        <v>2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1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HASLS22261001005</t>
        </is>
      </c>
      <c r="B18" s="4" t="inlineStr">
        <is>
          <t>KMGY</t>
        </is>
      </c>
      <c r="C18" s="4" t="inlineStr">
        <is>
          <t>2611N</t>
        </is>
      </c>
      <c r="D18" s="4" t="inlineStr">
        <is>
          <t>202610240200</t>
        </is>
      </c>
      <c r="E18" s="4" t="inlineStr"/>
      <c r="F18" s="4" t="inlineStr">
        <is>
          <t>THBKK</t>
        </is>
      </c>
      <c r="G18" s="4" t="inlineStr">
        <is>
          <t>HKHKG</t>
        </is>
      </c>
      <c r="H18" s="4" t="inlineStr">
        <is>
          <t xml:space="preserve">20'x1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20261020</t>
        </is>
      </c>
      <c r="L18" s="4" t="inlineStr">
        <is>
          <t>KTC GLOBAL LOGISTICS CO., LTD.</t>
        </is>
      </c>
      <c r="M18" s="4" t="inlineStr">
        <is>
          <t>J &amp; B SIAM MARKETING CO.,LTD.</t>
        </is>
      </c>
      <c r="N18" s="4" t="inlineStr">
        <is>
          <t>FOODSTUFFS</t>
        </is>
      </c>
      <c r="O18" s="4" t="inlineStr">
        <is>
          <t>GOOD &amp; CLEAN CONTAINER</t>
        </is>
      </c>
      <c r="P18" s="4" t="inlineStr">
        <is>
          <t xml:space="preserve">Pickup : 2026-10-20, Return : 2026-10-21 // EXTEND CLS TIME 21/10 @23.59 
 </t>
        </is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HASLS22261001026</t>
        </is>
      </c>
      <c r="B19" s="4" t="inlineStr">
        <is>
          <t>NSSJ</t>
        </is>
      </c>
      <c r="C19" s="4" t="inlineStr">
        <is>
          <t>2608S</t>
        </is>
      </c>
      <c r="D19" s="4" t="inlineStr">
        <is>
          <t>202610290200</t>
        </is>
      </c>
      <c r="E19" s="4" t="inlineStr">
        <is>
          <t>THLKR</t>
        </is>
      </c>
      <c r="F19" s="4" t="inlineStr">
        <is>
          <t>THLCH</t>
        </is>
      </c>
      <c r="G19" s="4" t="inlineStr">
        <is>
          <t>IDJKT</t>
        </is>
      </c>
      <c r="H19" s="4" t="inlineStr">
        <is>
          <t xml:space="preserve">20'x1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20261020</t>
        </is>
      </c>
      <c r="L19" s="4" t="inlineStr">
        <is>
          <t>NIPPON EXPRESS LOGISTICS (THAILAND) CO., LTD.</t>
        </is>
      </c>
      <c r="M19" s="4" t="inlineStr">
        <is>
          <t>THAI TORAY SYNTHETICS  CO., LTD.</t>
        </is>
      </c>
      <c r="N19" s="4" t="inlineStr">
        <is>
          <t>PLASTIC RESIN HS CODE 391110</t>
        </is>
      </c>
      <c r="O19" s="4" t="inlineStr">
        <is>
          <t>REQ.CONTAINER MUST BE IN GOOD CONDITION,NO HOLES,NO EXCESSIVE SPLINTERS ON THE FLOOR,NO HUMIDITY,THE FLOOR IS NOT SAGGING,THE FLOOR IS NOT SAGGING</t>
        </is>
      </c>
      <c r="P19" s="4" t="inlineStr">
        <is>
          <t>Pickup : 2026-10-20, Return : 2026-10-21 Paperless Code 2835
ClosingTime LKB 2026-10-22 @ 12.00</t>
        </is>
      </c>
      <c r="Q19" s="4" t="n">
        <v>1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HASLS22261001079</t>
        </is>
      </c>
      <c r="B20" s="4" t="inlineStr">
        <is>
          <t>HMVY</t>
        </is>
      </c>
      <c r="C20" s="4" t="inlineStr">
        <is>
          <t>2609N</t>
        </is>
      </c>
      <c r="D20" s="4" t="inlineStr">
        <is>
          <t>202610271300</t>
        </is>
      </c>
      <c r="E20" s="4" t="inlineStr">
        <is>
          <t>THSRP</t>
        </is>
      </c>
      <c r="F20" s="4" t="inlineStr">
        <is>
          <t>THLCH</t>
        </is>
      </c>
      <c r="G20" s="4" t="inlineStr">
        <is>
          <t>CNSHA</t>
        </is>
      </c>
      <c r="H20" s="4" t="inlineStr">
        <is>
          <t xml:space="preserve">40Hx1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20261020</t>
        </is>
      </c>
      <c r="L20" s="4" t="inlineStr">
        <is>
          <t>CARGO NETWORK DELIVERY (THAILAND) CO., LTD.</t>
        </is>
      </c>
      <c r="M20" s="4" t="inlineStr">
        <is>
          <t>DOCKWEILER ASIA CO., LTD.</t>
        </is>
      </c>
      <c r="N20" s="4" t="inlineStr">
        <is>
          <t>STAINLESS STEEL TUBE</t>
        </is>
      </c>
      <c r="O20" s="4" t="inlineStr">
        <is>
          <t>GOOD AND CLEAN CONTAINER</t>
        </is>
      </c>
      <c r="P20" s="4" t="inlineStr">
        <is>
          <t>Pickup : 2026-10-20, Return SRP : 2026-10-21 [PAPERLESS CODE 2829]
CLS TIME 24/10/26 @18.00 (1ST RTN DD: 21/10/26 WO/RENT)</t>
        </is>
      </c>
      <c r="Q20" s="4" t="n">
        <v>0</v>
      </c>
      <c r="R20" s="4" t="n">
        <v>0</v>
      </c>
      <c r="S20" s="4" t="n">
        <v>1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HASLS22261001105</t>
        </is>
      </c>
      <c r="B21" s="4" t="inlineStr">
        <is>
          <t>SWMM</t>
        </is>
      </c>
      <c r="C21" s="4" t="inlineStr">
        <is>
          <t>2610N</t>
        </is>
      </c>
      <c r="D21" s="4" t="inlineStr">
        <is>
          <t>202610251730</t>
        </is>
      </c>
      <c r="E21" s="4" t="inlineStr"/>
      <c r="F21" s="4" t="inlineStr">
        <is>
          <t>THLCH</t>
        </is>
      </c>
      <c r="G21" s="4" t="inlineStr">
        <is>
          <t>VNSGN</t>
        </is>
      </c>
      <c r="H21" s="4" t="inlineStr">
        <is>
          <t xml:space="preserve">20'x1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20261019</t>
        </is>
      </c>
      <c r="L21" s="4" t="inlineStr">
        <is>
          <t>MJ LOGISTICS (THAILAND) CO., LTD.</t>
        </is>
      </c>
      <c r="M21" s="4" t="inlineStr">
        <is>
          <t>JONG STIT CO., LTD.</t>
        </is>
      </c>
      <c r="N21" s="4" t="inlineStr">
        <is>
          <t>FABRIC</t>
        </is>
      </c>
      <c r="O21" s="4" t="inlineStr">
        <is>
          <t>GOOD AND CLEAN CONTAINER</t>
        </is>
      </c>
      <c r="P21" s="4" t="inlineStr">
        <is>
          <t>Pickup : 2026-10-19, Return : 2026-10-19</t>
        </is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HASLS22261001272</t>
        </is>
      </c>
      <c r="B22" s="4" t="inlineStr">
        <is>
          <t>HAHM</t>
        </is>
      </c>
      <c r="C22" s="4" t="inlineStr">
        <is>
          <t>2612N</t>
        </is>
      </c>
      <c r="D22" s="4" t="inlineStr">
        <is>
          <t>202610271500</t>
        </is>
      </c>
      <c r="E22" s="4" t="inlineStr"/>
      <c r="F22" s="4" t="inlineStr">
        <is>
          <t>THBKK</t>
        </is>
      </c>
      <c r="G22" s="4" t="inlineStr">
        <is>
          <t>VNSGN</t>
        </is>
      </c>
      <c r="H22" s="4" t="inlineStr">
        <is>
          <t xml:space="preserve">40Hx1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20261020</t>
        </is>
      </c>
      <c r="L22" s="4" t="inlineStr">
        <is>
          <t>SDS-ACUTECH CO., LTD.</t>
        </is>
      </c>
      <c r="M22" s="4" t="inlineStr">
        <is>
          <t>APEX CIRCUIT (THAILAND) CO., LTD.</t>
        </is>
      </c>
      <c r="N22" s="4" t="inlineStr">
        <is>
          <t>PRINTED CIRCUIT BOARD</t>
        </is>
      </c>
      <c r="O22" s="4" t="inlineStr">
        <is>
          <t>GOOD AND CLEAN CONTAINER</t>
        </is>
      </c>
      <c r="P22" s="4" t="inlineStr">
        <is>
          <t>Pickup : 2026-10-20, Return : 2026-10-22</t>
        </is>
      </c>
      <c r="Q22" s="4" t="n">
        <v>0</v>
      </c>
      <c r="R22" s="4" t="n">
        <v>0</v>
      </c>
      <c r="S22" s="4" t="n">
        <v>1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HASLS22261001306</t>
        </is>
      </c>
      <c r="B23" s="4" t="inlineStr">
        <is>
          <t>HMVY</t>
        </is>
      </c>
      <c r="C23" s="4" t="inlineStr">
        <is>
          <t>2609N</t>
        </is>
      </c>
      <c r="D23" s="4" t="inlineStr">
        <is>
          <t>202610271300</t>
        </is>
      </c>
      <c r="E23" s="4" t="inlineStr">
        <is>
          <t>THSRP</t>
        </is>
      </c>
      <c r="F23" s="4" t="inlineStr">
        <is>
          <t>THLCH</t>
        </is>
      </c>
      <c r="G23" s="4" t="inlineStr">
        <is>
          <t>CNSHA</t>
        </is>
      </c>
      <c r="H23" s="4" t="inlineStr">
        <is>
          <t xml:space="preserve">40Hx1 20'x1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20261020</t>
        </is>
      </c>
      <c r="L23" s="4" t="inlineStr">
        <is>
          <t>EXPEDITORS (THAILAND) LTD.</t>
        </is>
      </c>
      <c r="M23" s="4" t="inlineStr">
        <is>
          <t>AVERY DENNISON (THAILAND) LTD.</t>
        </is>
      </c>
      <c r="N23" s="4" t="inlineStr">
        <is>
          <t>SELF ADHESIVE MATERIAL</t>
        </is>
      </c>
      <c r="O23" s="4" t="inlineStr">
        <is>
          <t>Special Remark : Request well clean and dry cntrs ,</t>
        </is>
      </c>
      <c r="P23" s="4" t="inlineStr">
        <is>
          <t>Pickup : 2026-10-20, Return : 2026-10-21 PAPERLESS CODE 2829]
CLS TIME 24/10/26 @18.00 (1ST RTN DD: 21/10/26 WO/RENT)</t>
        </is>
      </c>
      <c r="Q23" s="4" t="n">
        <v>1</v>
      </c>
      <c r="R23" s="4" t="n">
        <v>0</v>
      </c>
      <c r="S23" s="4" t="n">
        <v>1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HASLS22261001309</t>
        </is>
      </c>
      <c r="B24" s="4" t="inlineStr">
        <is>
          <t>HMVY</t>
        </is>
      </c>
      <c r="C24" s="4" t="inlineStr">
        <is>
          <t>2609N</t>
        </is>
      </c>
      <c r="D24" s="4" t="inlineStr">
        <is>
          <t>202610271300</t>
        </is>
      </c>
      <c r="E24" s="4" t="inlineStr">
        <is>
          <t>THSRP</t>
        </is>
      </c>
      <c r="F24" s="4" t="inlineStr">
        <is>
          <t>THLCH</t>
        </is>
      </c>
      <c r="G24" s="4" t="inlineStr">
        <is>
          <t>CNSHA</t>
        </is>
      </c>
      <c r="H24" s="4" t="inlineStr">
        <is>
          <t xml:space="preserve">20'x1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20261020</t>
        </is>
      </c>
      <c r="L24" s="4" t="inlineStr">
        <is>
          <t>YUSEN LOGISTICS (THAILAND) CO., LTD.</t>
        </is>
      </c>
      <c r="M24" s="4" t="inlineStr">
        <is>
          <t>YUSEN LOGISTICS (THAILAND) CO.,LTD.</t>
        </is>
      </c>
      <c r="N24" s="4" t="inlineStr">
        <is>
          <t>PRINTER FOR INDUSTRY</t>
        </is>
      </c>
      <c r="O24" s="4" t="inlineStr">
        <is>
          <t>GOOD AND CLEAN CONTAINER</t>
        </is>
      </c>
      <c r="P24" s="4" t="inlineStr">
        <is>
          <t>Pickup : 2026-10-20, Return SRP : 2026-10-21 [PAPERLESS CODE 2829]
CLS TIME 24/10/26 @18.00</t>
        </is>
      </c>
      <c r="Q24" s="4" t="n">
        <v>1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HASLS22261001354</t>
        </is>
      </c>
      <c r="B25" s="4" t="inlineStr">
        <is>
          <t>HMVY</t>
        </is>
      </c>
      <c r="C25" s="4" t="inlineStr">
        <is>
          <t>2609N</t>
        </is>
      </c>
      <c r="D25" s="4" t="inlineStr">
        <is>
          <t>202610271300</t>
        </is>
      </c>
      <c r="E25" s="4" t="inlineStr">
        <is>
          <t>THSRP</t>
        </is>
      </c>
      <c r="F25" s="4" t="inlineStr">
        <is>
          <t>THLCH</t>
        </is>
      </c>
      <c r="G25" s="4" t="inlineStr">
        <is>
          <t>CNSHA</t>
        </is>
      </c>
      <c r="H25" s="4" t="inlineStr">
        <is>
          <t xml:space="preserve">40Hx2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20261020</t>
        </is>
      </c>
      <c r="L25" s="4" t="inlineStr">
        <is>
          <t>THAIGO LOGISTICS CO.,LTD</t>
        </is>
      </c>
      <c r="M25" s="4" t="inlineStr">
        <is>
          <t>THAIGO LOGISTICS CO.,LTD</t>
        </is>
      </c>
      <c r="N25" s="4" t="inlineStr">
        <is>
          <t>PC/ABS RECYCLE PELLET</t>
        </is>
      </c>
      <c r="O25" s="4" t="inlineStr">
        <is>
          <t>RQST CNTR 32.5 TONS // 40'HQ</t>
        </is>
      </c>
      <c r="P25" s="4" t="inlineStr">
        <is>
          <t>Pickup : 2026-10-20, Return SRP : 2026-10-21 [PAPERLESS CODE 2829]
CLS TIME 24/10/26 @18.00</t>
        </is>
      </c>
      <c r="Q25" s="4" t="n">
        <v>0</v>
      </c>
      <c r="R25" s="4" t="n">
        <v>0</v>
      </c>
      <c r="S25" s="4" t="n">
        <v>2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HASLS22261001378</t>
        </is>
      </c>
      <c r="B26" s="4" t="inlineStr">
        <is>
          <t>HMVY</t>
        </is>
      </c>
      <c r="C26" s="4" t="inlineStr">
        <is>
          <t>2609N</t>
        </is>
      </c>
      <c r="D26" s="4" t="inlineStr">
        <is>
          <t>202610271300</t>
        </is>
      </c>
      <c r="E26" s="4" t="inlineStr">
        <is>
          <t>THSRP</t>
        </is>
      </c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40Hx1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20261020</t>
        </is>
      </c>
      <c r="L26" s="4" t="inlineStr">
        <is>
          <t>JINWINS LOGISTICS CO.,LTD</t>
        </is>
      </c>
      <c r="M26" s="4" t="inlineStr">
        <is>
          <t>VAST OCEAN CO., LTD.</t>
        </is>
      </c>
      <c r="N26" s="4" t="inlineStr">
        <is>
          <t>POM RECYCLE PELLET</t>
        </is>
      </c>
      <c r="O26" s="4" t="inlineStr">
        <is>
          <t>RQST CNTR 32.5 TONS // 40'HQ</t>
        </is>
      </c>
      <c r="P26" s="4" t="inlineStr">
        <is>
          <t>Pickup : 2026-10-20, Return SRP : 2026-10-21 [PAPERLESS CODE 2829]
CLS TIME 24/10/26 @18.00</t>
        </is>
      </c>
      <c r="Q26" s="4" t="n">
        <v>0</v>
      </c>
      <c r="R26" s="4" t="n">
        <v>0</v>
      </c>
      <c r="S26" s="4" t="n">
        <v>1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HASLS22261001582</t>
        </is>
      </c>
      <c r="B27" s="4" t="inlineStr">
        <is>
          <t>KMBK</t>
        </is>
      </c>
      <c r="C27" s="4" t="inlineStr">
        <is>
          <t>2613N</t>
        </is>
      </c>
      <c r="D27" s="4" t="inlineStr">
        <is>
          <t>202611160000</t>
        </is>
      </c>
      <c r="E27" s="4" t="inlineStr"/>
      <c r="F27" s="4" t="inlineStr">
        <is>
          <t>THBKK</t>
        </is>
      </c>
      <c r="G27" s="4" t="inlineStr">
        <is>
          <t>VNSGN</t>
        </is>
      </c>
      <c r="H27" s="4" t="inlineStr">
        <is>
          <t xml:space="preserve">20'x1 </t>
        </is>
      </c>
      <c r="I27" s="4" t="inlineStr">
        <is>
          <t>BKK27</t>
        </is>
      </c>
      <c r="J27" s="4" t="inlineStr">
        <is>
          <t>B.C. DEPOT CO.,LTD. ( Bang-Na KM.18)</t>
        </is>
      </c>
      <c r="K27" s="4" t="inlineStr">
        <is>
          <t>20261012</t>
        </is>
      </c>
      <c r="L27" s="4" t="inlineStr">
        <is>
          <t>ALLIANZ GLOBAL LOGISTICS CO.,LTD.</t>
        </is>
      </c>
      <c r="M27" s="4" t="inlineStr">
        <is>
          <t>BANPONG TAPIOCA FLOUR INDUSTRIAL CO., LTD.</t>
        </is>
      </c>
      <c r="N27" s="4" t="inlineStr">
        <is>
          <t xml:space="preserve">FOOD FLOUR </t>
        </is>
      </c>
      <c r="O27" s="4" t="inlineStr">
        <is>
          <t>GOOD AND CLEAN CONTAINER</t>
        </is>
      </c>
      <c r="P27" s="4" t="inlineStr">
        <is>
          <t>Pickup : 2026-10-12, Return : 2026-10-13</t>
        </is>
      </c>
      <c r="Q27" s="4" t="n">
        <v>1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HASLS22261001584</t>
        </is>
      </c>
      <c r="B28" s="4" t="inlineStr">
        <is>
          <t>DJCF</t>
        </is>
      </c>
      <c r="C28" s="4" t="inlineStr">
        <is>
          <t>0154N</t>
        </is>
      </c>
      <c r="D28" s="4" t="inlineStr">
        <is>
          <t>202611230900</t>
        </is>
      </c>
      <c r="E28" s="4" t="inlineStr"/>
      <c r="F28" s="4" t="inlineStr">
        <is>
          <t>THBKK</t>
        </is>
      </c>
      <c r="G28" s="4" t="inlineStr">
        <is>
          <t>VNSGN</t>
        </is>
      </c>
      <c r="H28" s="4" t="inlineStr">
        <is>
          <t xml:space="preserve">20'x1 </t>
        </is>
      </c>
      <c r="I28" s="4" t="inlineStr">
        <is>
          <t>BKK27</t>
        </is>
      </c>
      <c r="J28" s="4" t="inlineStr">
        <is>
          <t>B.C. DEPOT CO.,LTD. ( Bang-Na KM.18)</t>
        </is>
      </c>
      <c r="K28" s="4" t="inlineStr">
        <is>
          <t>20261020</t>
        </is>
      </c>
      <c r="L28" s="4" t="inlineStr">
        <is>
          <t>ALLIANZ GLOBAL LOGISTICS CO.,LTD.</t>
        </is>
      </c>
      <c r="M28" s="4" t="inlineStr">
        <is>
          <t>BANPONG TAPIOCA FLOUR INDUSTRIAL CO., LTD.</t>
        </is>
      </c>
      <c r="N28" s="4" t="inlineStr">
        <is>
          <t xml:space="preserve">FOOD FLOUR </t>
        </is>
      </c>
      <c r="O28" s="4" t="inlineStr">
        <is>
          <t>GOOD AND CLEAN CONTAINER</t>
        </is>
      </c>
      <c r="P28" s="4" t="inlineStr">
        <is>
          <t>Pickup : 2026-10-20, Return : 2026-10-21</t>
        </is>
      </c>
      <c r="Q28" s="4" t="n">
        <v>1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HASLS22260900975</t>
        </is>
      </c>
      <c r="B29" s="4" t="inlineStr">
        <is>
          <t>KMSU</t>
        </is>
      </c>
      <c r="C29" s="4" t="inlineStr">
        <is>
          <t>2608S</t>
        </is>
      </c>
      <c r="D29" s="4" t="inlineStr">
        <is>
          <t>202611012100</t>
        </is>
      </c>
      <c r="E29" s="4" t="inlineStr"/>
      <c r="F29" s="4" t="inlineStr">
        <is>
          <t>THLCH</t>
        </is>
      </c>
      <c r="G29" s="4" t="inlineStr">
        <is>
          <t>IDJKT</t>
        </is>
      </c>
      <c r="H29" s="4" t="inlineStr">
        <is>
          <t xml:space="preserve">20'x2 </t>
        </is>
      </c>
      <c r="I29" s="4" t="inlineStr">
        <is>
          <t>LCH28</t>
        </is>
      </c>
      <c r="J29" s="4" t="inlineStr">
        <is>
          <t>CELLO</t>
        </is>
      </c>
      <c r="K29" s="4" t="inlineStr">
        <is>
          <t>20260930</t>
        </is>
      </c>
      <c r="L29" s="4" t="inlineStr">
        <is>
          <t>L.A.1 CO.,LTD.</t>
        </is>
      </c>
      <c r="M29" s="4" t="inlineStr">
        <is>
          <t>TANATEX CHEMICALS (THAILAND) CO., LTD.</t>
        </is>
      </c>
      <c r="N29" s="4" t="inlineStr">
        <is>
          <t>CHEMICALS PRODUCT (NON DG)</t>
        </is>
      </c>
      <c r="O29" s="4" t="inlineStr">
        <is>
          <t>GOOD AND CLEAN CONTAINER</t>
        </is>
      </c>
      <c r="P29" s="4" t="inlineStr">
        <is>
          <t>Pickup : 2026-09-30, Return : 2026-10-01</t>
        </is>
      </c>
      <c r="Q29" s="4" t="n">
        <v>2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HASLS22261000031</t>
        </is>
      </c>
      <c r="B30" s="4" t="inlineStr">
        <is>
          <t>KMGY</t>
        </is>
      </c>
      <c r="C30" s="4" t="inlineStr">
        <is>
          <t>2611N</t>
        </is>
      </c>
      <c r="D30" s="4" t="inlineStr">
        <is>
          <t>202610241900</t>
        </is>
      </c>
      <c r="E30" s="4" t="inlineStr"/>
      <c r="F30" s="4" t="inlineStr">
        <is>
          <t>THLCH</t>
        </is>
      </c>
      <c r="G30" s="4" t="inlineStr">
        <is>
          <t>KRINC</t>
        </is>
      </c>
      <c r="H30" s="4" t="inlineStr">
        <is>
          <t xml:space="preserve">40Hx1 </t>
        </is>
      </c>
      <c r="I30" s="4" t="inlineStr">
        <is>
          <t>LCH28</t>
        </is>
      </c>
      <c r="J30" s="4" t="inlineStr">
        <is>
          <t>CELLO</t>
        </is>
      </c>
      <c r="K30" s="4" t="inlineStr">
        <is>
          <t>20261020</t>
        </is>
      </c>
      <c r="L30" s="4" t="inlineStr">
        <is>
          <t>KWE-KINTETSU WORLD EXPRESS (THAILAND) CO., LTD.</t>
        </is>
      </c>
      <c r="M30" s="4" t="inlineStr">
        <is>
          <t>ASIAN HONDA MOTOR CO., LTD.</t>
        </is>
      </c>
      <c r="N30" s="4" t="inlineStr">
        <is>
          <t>SPARE PARTS FOR HONDA MOTORCYCLES,SPARE PARTS FOR HONDA AUTOMOBILES</t>
        </is>
      </c>
      <c r="O30" s="4" t="inlineStr">
        <is>
          <t>**APPROVAL BY MR.JEONG-YONG UM DD.14/10/2026** DG45GPx1 (CLS 8 / UN 2800)</t>
        </is>
      </c>
      <c r="P30" s="4" t="inlineStr">
        <is>
          <t>**APPROVAL BY MR.JEONG-YONG UM DD.14/10/2026** DG45GPx1 (CLS 8 / UN 2800) 
Pickup : 2026-10-20, Return : 2026-10-21</t>
        </is>
      </c>
      <c r="Q30" s="4" t="n">
        <v>0</v>
      </c>
      <c r="R30" s="4" t="n">
        <v>0</v>
      </c>
      <c r="S30" s="4" t="n">
        <v>1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HASLS22261000207</t>
        </is>
      </c>
      <c r="B31" s="4" t="inlineStr">
        <is>
          <t>HMVY</t>
        </is>
      </c>
      <c r="C31" s="4" t="inlineStr">
        <is>
          <t>2609N</t>
        </is>
      </c>
      <c r="D31" s="4" t="inlineStr">
        <is>
          <t>202610271300</t>
        </is>
      </c>
      <c r="E31" s="4" t="inlineStr"/>
      <c r="F31" s="4" t="inlineStr">
        <is>
          <t>THLCH</t>
        </is>
      </c>
      <c r="G31" s="4" t="inlineStr">
        <is>
          <t>JPIYM</t>
        </is>
      </c>
      <c r="H31" s="4" t="inlineStr">
        <is>
          <t xml:space="preserve">20'x1 </t>
        </is>
      </c>
      <c r="I31" s="4" t="inlineStr">
        <is>
          <t>LCH28</t>
        </is>
      </c>
      <c r="J31" s="4" t="inlineStr">
        <is>
          <t>CELLO</t>
        </is>
      </c>
      <c r="K31" s="4" t="inlineStr">
        <is>
          <t>20261007</t>
        </is>
      </c>
      <c r="L31" s="4" t="inlineStr">
        <is>
          <t>WHA GC LOGISTICS COMPANY LIMITED</t>
        </is>
      </c>
      <c r="M31" s="4" t="inlineStr">
        <is>
          <t>PTT GLOBAL CHEMICAL PUBLIC COMPANY LIMITED</t>
        </is>
      </c>
      <c r="N31" s="4" t="inlineStr">
        <is>
          <t>RESIN</t>
        </is>
      </c>
      <c r="O31" s="4" t="inlineStr">
        <is>
          <t>GOOD AND CLEAN CTNR</t>
        </is>
      </c>
      <c r="P31" s="4" t="inlineStr">
        <is>
          <t>[FIX]CY-RTN 07-12/10/26 (1ST RETURN 14/10/26)</t>
        </is>
      </c>
      <c r="Q31" s="4" t="n">
        <v>1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HASLS22260901938</t>
        </is>
      </c>
      <c r="B32" s="4" t="inlineStr">
        <is>
          <t>SWVG</t>
        </is>
      </c>
      <c r="C32" s="4" t="inlineStr">
        <is>
          <t>2613N</t>
        </is>
      </c>
      <c r="D32" s="4" t="inlineStr">
        <is>
          <t>202610290800</t>
        </is>
      </c>
      <c r="E32" s="4" t="inlineStr"/>
      <c r="F32" s="4" t="inlineStr">
        <is>
          <t>THLCH</t>
        </is>
      </c>
      <c r="G32" s="4" t="inlineStr">
        <is>
          <t>CNXMN</t>
        </is>
      </c>
      <c r="H32" s="4" t="inlineStr">
        <is>
          <t xml:space="preserve">R40Hx1 </t>
        </is>
      </c>
      <c r="I32" s="4" t="inlineStr">
        <is>
          <t>LCH27</t>
        </is>
      </c>
      <c r="J32" s="4" t="inlineStr">
        <is>
          <t xml:space="preserve">HAST Logistics Co.,Ltd. </t>
        </is>
      </c>
      <c r="K32" s="4" t="inlineStr">
        <is>
          <t>20261020</t>
        </is>
      </c>
      <c r="L32" s="4" t="inlineStr">
        <is>
          <t>POSTMAN (THAILAND) CO.,LTD.</t>
        </is>
      </c>
      <c r="M32" s="4" t="inlineStr">
        <is>
          <t>POSTMAN (THAILAND) CO.,LTD.</t>
        </is>
      </c>
      <c r="N32" s="4" t="inlineStr">
        <is>
          <t>FRESH LONGAN</t>
        </is>
      </c>
      <c r="O32" s="4" t="inlineStr">
        <is>
          <t>RF45REx1 (Temp +2.0℃ / Vent 15% Open)</t>
        </is>
      </c>
      <c r="P32" s="4" t="inlineStr">
        <is>
          <t xml:space="preserve">Pickup : 2026-10-20, Return : 2026-10-28 (Temp +2.0℃ / Vent 15% Open)
 CLS TIME 29/10 @23.59 </t>
        </is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1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HASLS22260901941</t>
        </is>
      </c>
      <c r="B33" s="4" t="inlineStr">
        <is>
          <t>SWDN</t>
        </is>
      </c>
      <c r="C33" s="4" t="inlineStr">
        <is>
          <t>2611N</t>
        </is>
      </c>
      <c r="D33" s="4" t="inlineStr">
        <is>
          <t>202611011500</t>
        </is>
      </c>
      <c r="E33" s="4" t="inlineStr"/>
      <c r="F33" s="4" t="inlineStr">
        <is>
          <t>THLCH</t>
        </is>
      </c>
      <c r="G33" s="4" t="inlineStr">
        <is>
          <t>CNXMN</t>
        </is>
      </c>
      <c r="H33" s="4" t="inlineStr">
        <is>
          <t xml:space="preserve">R40Hx1 </t>
        </is>
      </c>
      <c r="I33" s="4" t="inlineStr">
        <is>
          <t>LCH27</t>
        </is>
      </c>
      <c r="J33" s="4" t="inlineStr">
        <is>
          <t xml:space="preserve">HAST Logistics Co.,Ltd. </t>
        </is>
      </c>
      <c r="K33" s="4" t="inlineStr">
        <is>
          <t>20261014</t>
        </is>
      </c>
      <c r="L33" s="4" t="inlineStr">
        <is>
          <t>POSTMAN (THAILAND) CO.,LTD.</t>
        </is>
      </c>
      <c r="M33" s="4" t="inlineStr">
        <is>
          <t>POSTMAN (THAILAND) CO.,LTD.</t>
        </is>
      </c>
      <c r="N33" s="4" t="inlineStr">
        <is>
          <t>FRESH LONGAN</t>
        </is>
      </c>
      <c r="O33" s="4" t="inlineStr">
        <is>
          <t>RF45REx1 (Temp +2.0℃ / Vent 15% Open)</t>
        </is>
      </c>
      <c r="P33" s="4" t="inlineStr">
        <is>
          <t xml:space="preserve">Pickup : 2026-10-14, Return : 2026-10-22 (Temp +2.0℃ / Vent 15% Open)
 CLS TIME 24/10 @05.00 </t>
        </is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1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HASLS22260902293</t>
        </is>
      </c>
      <c r="B34" s="4" t="inlineStr">
        <is>
          <t>KMSU</t>
        </is>
      </c>
      <c r="C34" s="4" t="inlineStr">
        <is>
          <t>2608S</t>
        </is>
      </c>
      <c r="D34" s="4" t="inlineStr">
        <is>
          <t>202611012100</t>
        </is>
      </c>
      <c r="E34" s="4" t="inlineStr"/>
      <c r="F34" s="4" t="inlineStr">
        <is>
          <t>THLCH</t>
        </is>
      </c>
      <c r="G34" s="4" t="inlineStr">
        <is>
          <t>IDJKT</t>
        </is>
      </c>
      <c r="H34" s="4" t="inlineStr">
        <is>
          <t xml:space="preserve">R40Hx1 </t>
        </is>
      </c>
      <c r="I34" s="4" t="inlineStr">
        <is>
          <t>LCH27</t>
        </is>
      </c>
      <c r="J34" s="4" t="inlineStr">
        <is>
          <t xml:space="preserve">HAST Logistics Co.,Ltd. </t>
        </is>
      </c>
      <c r="K34" s="4" t="inlineStr">
        <is>
          <t>20261019</t>
        </is>
      </c>
      <c r="L34" s="4" t="inlineStr">
        <is>
          <t>INTER FRESH CO., LTD.</t>
        </is>
      </c>
      <c r="M34" s="4" t="inlineStr">
        <is>
          <t>INTER FRESH CO., LTD.</t>
        </is>
      </c>
      <c r="N34" s="4" t="inlineStr">
        <is>
          <t xml:space="preserve">FRESH LONGAN (TEMP +2.0 / VENT 30%) </t>
        </is>
      </c>
      <c r="O34" s="4" t="inlineStr">
        <is>
          <t>(Temp +2.0℃ / Vent 30% Open) 
Request for new container and We don't accept STAR COOL brand reefer containers.</t>
        </is>
      </c>
      <c r="P34" s="4" t="inlineStr">
        <is>
          <t>Pickup : 2026-10-19, Return : 2026-10-26  (Temp +2.0 / Vent 30% Open) 
Closing Timr 2026-10-26 @ 18.00</t>
        </is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1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HASLS22260902294</t>
        </is>
      </c>
      <c r="B35" s="4" t="inlineStr">
        <is>
          <t>KMSU</t>
        </is>
      </c>
      <c r="C35" s="4" t="inlineStr">
        <is>
          <t>2608S</t>
        </is>
      </c>
      <c r="D35" s="4" t="inlineStr">
        <is>
          <t>202611012100</t>
        </is>
      </c>
      <c r="E35" s="4" t="inlineStr"/>
      <c r="F35" s="4" t="inlineStr">
        <is>
          <t>THLCH</t>
        </is>
      </c>
      <c r="G35" s="4" t="inlineStr">
        <is>
          <t>IDJKT</t>
        </is>
      </c>
      <c r="H35" s="4" t="inlineStr">
        <is>
          <t xml:space="preserve">R40Hx1 </t>
        </is>
      </c>
      <c r="I35" s="4" t="inlineStr">
        <is>
          <t>LCH27</t>
        </is>
      </c>
      <c r="J35" s="4" t="inlineStr">
        <is>
          <t xml:space="preserve">HAST Logistics Co.,Ltd. </t>
        </is>
      </c>
      <c r="K35" s="4" t="inlineStr">
        <is>
          <t>20261019</t>
        </is>
      </c>
      <c r="L35" s="4" t="inlineStr">
        <is>
          <t>INTER FRESH CO., LTD.</t>
        </is>
      </c>
      <c r="M35" s="4" t="inlineStr">
        <is>
          <t>INTER FRESH CO., LTD.</t>
        </is>
      </c>
      <c r="N35" s="4" t="inlineStr">
        <is>
          <t xml:space="preserve">FRESH LONGAN (TEMP +2.0 / VENT 30%) </t>
        </is>
      </c>
      <c r="O35" s="4" t="inlineStr">
        <is>
          <t>(Temp +2.0℃ / Vent 30% Open) 
Request for new container and We don't accept STAR COOL brand reefer containers.</t>
        </is>
      </c>
      <c r="P35" s="4" t="inlineStr">
        <is>
          <t>Pickup : 2026-10-19, Return : 2026-10-26 (Temp +2.0 / Vent 30% Open) 
Closing Timr 2026-10-26 @ 18.00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HASLS22260902643</t>
        </is>
      </c>
      <c r="B36" s="4" t="inlineStr">
        <is>
          <t>HAB</t>
        </is>
      </c>
      <c r="C36" s="4" t="inlineStr">
        <is>
          <t>2612N</t>
        </is>
      </c>
      <c r="D36" s="4" t="inlineStr">
        <is>
          <t>202610282300</t>
        </is>
      </c>
      <c r="E36" s="4" t="inlineStr"/>
      <c r="F36" s="4" t="inlineStr">
        <is>
          <t>THLCH</t>
        </is>
      </c>
      <c r="G36" s="4" t="inlineStr">
        <is>
          <t>CNSHA</t>
        </is>
      </c>
      <c r="H36" s="4" t="inlineStr">
        <is>
          <t xml:space="preserve">40Hx1 </t>
        </is>
      </c>
      <c r="I36" s="4" t="inlineStr">
        <is>
          <t>LCH27</t>
        </is>
      </c>
      <c r="J36" s="4" t="inlineStr">
        <is>
          <t xml:space="preserve">HAST Logistics Co.,Ltd. </t>
        </is>
      </c>
      <c r="K36" s="4" t="inlineStr">
        <is>
          <t>20261019</t>
        </is>
      </c>
      <c r="L36" s="4" t="inlineStr">
        <is>
          <t>RHENUS LOGISTICS CO., LTD.</t>
        </is>
      </c>
      <c r="M36" s="4" t="inlineStr">
        <is>
          <t>GROHE SIAM LIMITED</t>
        </is>
      </c>
      <c r="N36" s="4" t="inlineStr">
        <is>
          <t>SANITARY WARE</t>
        </is>
      </c>
      <c r="O36" s="4" t="inlineStr">
        <is>
          <t>Request dry, Strong floor and good container condition</t>
        </is>
      </c>
      <c r="P36" s="4" t="inlineStr">
        <is>
          <t xml:space="preserve">Pickup : 2026-10-19, Return : 2026-10-21 
 ** PLEASE CHECK OPEN GATE BEFORE RETURN CNTR **
</t>
        </is>
      </c>
      <c r="Q36" s="4" t="n">
        <v>0</v>
      </c>
      <c r="R36" s="4" t="n">
        <v>0</v>
      </c>
      <c r="S36" s="4" t="n">
        <v>1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HASLS22260902847</t>
        </is>
      </c>
      <c r="B37" s="4" t="inlineStr">
        <is>
          <t>KMBK</t>
        </is>
      </c>
      <c r="C37" s="4" t="inlineStr">
        <is>
          <t>2612N</t>
        </is>
      </c>
      <c r="D37" s="4" t="inlineStr">
        <is>
          <t>202610262300</t>
        </is>
      </c>
      <c r="E37" s="4" t="inlineStr"/>
      <c r="F37" s="4" t="inlineStr">
        <is>
          <t>THLCH</t>
        </is>
      </c>
      <c r="G37" s="4" t="inlineStr">
        <is>
          <t>VNSGN</t>
        </is>
      </c>
      <c r="H37" s="4" t="inlineStr">
        <is>
          <t xml:space="preserve">40Hx4 </t>
        </is>
      </c>
      <c r="I37" s="4" t="inlineStr">
        <is>
          <t>LCH27</t>
        </is>
      </c>
      <c r="J37" s="4" t="inlineStr">
        <is>
          <t xml:space="preserve">HAST Logistics Co.,Ltd. </t>
        </is>
      </c>
      <c r="K37" s="4" t="inlineStr">
        <is>
          <t>20261019</t>
        </is>
      </c>
      <c r="L37" s="4" t="inlineStr">
        <is>
          <t>WHA GC LOGISTICS COMPANY LIMITED</t>
        </is>
      </c>
      <c r="M37" s="4" t="inlineStr">
        <is>
          <t>PTT GLOBAL CHEMICAL PUBLIC COMPANY LIMITED</t>
        </is>
      </c>
      <c r="N37" s="4" t="inlineStr">
        <is>
          <t>RESIN</t>
        </is>
      </c>
      <c r="O37" s="4" t="inlineStr">
        <is>
          <t>GOOD AND CLEAN CTNR</t>
        </is>
      </c>
      <c r="P37" s="4" t="inlineStr">
        <is>
          <t>CY-RTN 19-22/10/26 (PR2610003804)
*PLS CHECK OPEN GATE BEFORE RETURN CTNR*</t>
        </is>
      </c>
      <c r="Q37" s="4" t="n">
        <v>0</v>
      </c>
      <c r="R37" s="4" t="n">
        <v>0</v>
      </c>
      <c r="S37" s="4" t="n">
        <v>4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HASLS22261000128</t>
        </is>
      </c>
      <c r="B38" s="4" t="inlineStr">
        <is>
          <t>NSSJ</t>
        </is>
      </c>
      <c r="C38" s="4" t="inlineStr">
        <is>
          <t>2608S</t>
        </is>
      </c>
      <c r="D38" s="4" t="inlineStr">
        <is>
          <t>202610290200</t>
        </is>
      </c>
      <c r="E38" s="4" t="inlineStr"/>
      <c r="F38" s="4" t="inlineStr">
        <is>
          <t>THLCH</t>
        </is>
      </c>
      <c r="G38" s="4" t="inlineStr">
        <is>
          <t>IDJKT</t>
        </is>
      </c>
      <c r="H38" s="4" t="inlineStr">
        <is>
          <t xml:space="preserve">20'x4 </t>
        </is>
      </c>
      <c r="I38" s="4" t="inlineStr">
        <is>
          <t>LCH27</t>
        </is>
      </c>
      <c r="J38" s="4" t="inlineStr">
        <is>
          <t xml:space="preserve">HAST Logistics Co.,Ltd. </t>
        </is>
      </c>
      <c r="K38" s="4" t="inlineStr">
        <is>
          <t>20261019</t>
        </is>
      </c>
      <c r="L38" s="4" t="inlineStr">
        <is>
          <t>SONIC INTERFREIGHT PUBLIC COMPANY LIMITED</t>
        </is>
      </c>
      <c r="M38" s="4" t="inlineStr">
        <is>
          <t>PTT OIL AND RETAIL BUSINESS PUBLIC COMPANY LIMITED</t>
        </is>
      </c>
      <c r="N38" s="4" t="inlineStr">
        <is>
          <t>Building / Equipment</t>
        </is>
      </c>
      <c r="O38" s="4" t="inlineStr">
        <is>
          <t>GOOD AND CLEAN CONTAINER</t>
        </is>
      </c>
      <c r="P38" s="4" t="inlineStr">
        <is>
          <t>Pickup : 2026-10-19, Return : 2026-10-20</t>
        </is>
      </c>
      <c r="Q38" s="4" t="n">
        <v>4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2</v>
      </c>
      <c r="AA38" s="4" t="n">
        <v>1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HASLS22261000195</t>
        </is>
      </c>
      <c r="B39" s="4" t="inlineStr">
        <is>
          <t>NSSJ</t>
        </is>
      </c>
      <c r="C39" s="4" t="inlineStr">
        <is>
          <t>2608S</t>
        </is>
      </c>
      <c r="D39" s="4" t="inlineStr">
        <is>
          <t>202610290200</t>
        </is>
      </c>
      <c r="E39" s="4" t="inlineStr"/>
      <c r="F39" s="4" t="inlineStr">
        <is>
          <t>THLCH</t>
        </is>
      </c>
      <c r="G39" s="4" t="inlineStr">
        <is>
          <t>IDJKT</t>
        </is>
      </c>
      <c r="H39" s="4" t="inlineStr">
        <is>
          <t xml:space="preserve">20'x1 </t>
        </is>
      </c>
      <c r="I39" s="4" t="inlineStr">
        <is>
          <t>LCH27</t>
        </is>
      </c>
      <c r="J39" s="4" t="inlineStr">
        <is>
          <t xml:space="preserve">HAST Logistics Co.,Ltd. </t>
        </is>
      </c>
      <c r="K39" s="4" t="inlineStr">
        <is>
          <t>20261020</t>
        </is>
      </c>
      <c r="L39" s="4" t="inlineStr">
        <is>
          <t>YUSEN LOGISTICS (THAILAND) CO., LTD.</t>
        </is>
      </c>
      <c r="M39" s="4" t="inlineStr">
        <is>
          <t>PACIFIC SUGAR CORPORATION LIMITED</t>
        </is>
      </c>
      <c r="N39" s="4" t="inlineStr">
        <is>
          <t>REFINED SUGAR</t>
        </is>
      </c>
      <c r="O39" s="4" t="inlineStr">
        <is>
          <t>Food grade</t>
        </is>
      </c>
      <c r="P39" s="4" t="inlineStr">
        <is>
          <t>Pickup : 2026-10-20, Return : 2026-10-21</t>
        </is>
      </c>
      <c r="Q39" s="4" t="n">
        <v>1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HASLS22261000237</t>
        </is>
      </c>
      <c r="B40" s="4" t="inlineStr">
        <is>
          <t>NSSJ</t>
        </is>
      </c>
      <c r="C40" s="4" t="inlineStr">
        <is>
          <t>2608S</t>
        </is>
      </c>
      <c r="D40" s="4" t="inlineStr">
        <is>
          <t>202610290200</t>
        </is>
      </c>
      <c r="E40" s="4" t="inlineStr"/>
      <c r="F40" s="4" t="inlineStr">
        <is>
          <t>THLCH</t>
        </is>
      </c>
      <c r="G40" s="4" t="inlineStr">
        <is>
          <t>IDJKT</t>
        </is>
      </c>
      <c r="H40" s="4" t="inlineStr">
        <is>
          <t xml:space="preserve">R40Hx1 </t>
        </is>
      </c>
      <c r="I40" s="4" t="inlineStr">
        <is>
          <t>LCH27</t>
        </is>
      </c>
      <c r="J40" s="4" t="inlineStr">
        <is>
          <t xml:space="preserve">HAST Logistics Co.,Ltd. </t>
        </is>
      </c>
      <c r="K40" s="4" t="inlineStr">
        <is>
          <t>20261012</t>
        </is>
      </c>
      <c r="L40" s="4" t="inlineStr">
        <is>
          <t>BE 1ST ALLIANCE CO., LTD.</t>
        </is>
      </c>
      <c r="M40" s="4" t="inlineStr">
        <is>
          <t>SUCCESS IMPORT &amp; EXPORT CO., LTD.</t>
        </is>
      </c>
      <c r="N40" s="4" t="inlineStr">
        <is>
          <t>FRESH  LONGAN / +2'C VENT 15%</t>
        </is>
      </c>
      <c r="O40" s="4" t="inlineStr">
        <is>
          <t>(Temp 2.0℃ / Vent 15% Open)</t>
        </is>
      </c>
      <c r="P40" s="4" t="inlineStr">
        <is>
          <t>Pickup : 2026-10-21, Return : 2026-10-27  (Temp +2.0 / Vent 15% Open) 
Closing Time 2026-10-27 @ 12.00</t>
        </is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1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HASLS22261000239</t>
        </is>
      </c>
      <c r="B41" s="4" t="inlineStr">
        <is>
          <t>NSSJ</t>
        </is>
      </c>
      <c r="C41" s="4" t="inlineStr">
        <is>
          <t>2608S</t>
        </is>
      </c>
      <c r="D41" s="4" t="inlineStr">
        <is>
          <t>202610290200</t>
        </is>
      </c>
      <c r="E41" s="4" t="inlineStr"/>
      <c r="F41" s="4" t="inlineStr">
        <is>
          <t>THLCH</t>
        </is>
      </c>
      <c r="G41" s="4" t="inlineStr">
        <is>
          <t>IDJKT</t>
        </is>
      </c>
      <c r="H41" s="4" t="inlineStr">
        <is>
          <t xml:space="preserve">R40Hx1 </t>
        </is>
      </c>
      <c r="I41" s="4" t="inlineStr">
        <is>
          <t>LCH27</t>
        </is>
      </c>
      <c r="J41" s="4" t="inlineStr">
        <is>
          <t xml:space="preserve">HAST Logistics Co.,Ltd. </t>
        </is>
      </c>
      <c r="K41" s="4" t="inlineStr">
        <is>
          <t>20261012</t>
        </is>
      </c>
      <c r="L41" s="4" t="inlineStr">
        <is>
          <t>BE 1ST ALLIANCE CO., LTD.</t>
        </is>
      </c>
      <c r="M41" s="4" t="inlineStr">
        <is>
          <t>OK FRESH FRUITS (THAILAND) CO.,LTD.</t>
        </is>
      </c>
      <c r="N41" s="4" t="inlineStr">
        <is>
          <t>FRESH  LONGAN / +2'C VENT 15%</t>
        </is>
      </c>
      <c r="O41" s="4" t="inlineStr">
        <is>
          <t>(Temp +2.0℃ / Vent 15% Open)</t>
        </is>
      </c>
      <c r="P41" s="4" t="inlineStr">
        <is>
          <t>Pickup : 2026-10-21, Return : 2026-10-27  (Temp +2.0 / Vent 15% Open) 
Closing Time 2026-10-27 @ 12.00</t>
        </is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1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HASLS22261000240</t>
        </is>
      </c>
      <c r="B42" s="4" t="inlineStr">
        <is>
          <t>KMSU</t>
        </is>
      </c>
      <c r="C42" s="4" t="inlineStr">
        <is>
          <t>2608S</t>
        </is>
      </c>
      <c r="D42" s="4" t="inlineStr">
        <is>
          <t>202611012100</t>
        </is>
      </c>
      <c r="E42" s="4" t="inlineStr"/>
      <c r="F42" s="4" t="inlineStr">
        <is>
          <t>THLCH</t>
        </is>
      </c>
      <c r="G42" s="4" t="inlineStr">
        <is>
          <t>IDJKT</t>
        </is>
      </c>
      <c r="H42" s="4" t="inlineStr">
        <is>
          <t xml:space="preserve">R40Hx1 </t>
        </is>
      </c>
      <c r="I42" s="4" t="inlineStr">
        <is>
          <t>LCH27</t>
        </is>
      </c>
      <c r="J42" s="4" t="inlineStr">
        <is>
          <t xml:space="preserve">HAST Logistics Co.,Ltd. </t>
        </is>
      </c>
      <c r="K42" s="4" t="inlineStr">
        <is>
          <t>20261019</t>
        </is>
      </c>
      <c r="L42" s="4" t="inlineStr">
        <is>
          <t>BE 1ST ALLIANCE CO., LTD.</t>
        </is>
      </c>
      <c r="M42" s="4" t="inlineStr">
        <is>
          <t>SUCCESS IMPORT &amp; EXPORT CO., LTD.</t>
        </is>
      </c>
      <c r="N42" s="4" t="inlineStr">
        <is>
          <t>FRESH  LONGAN / +2'C VENT 15%</t>
        </is>
      </c>
      <c r="O42" s="4" t="inlineStr">
        <is>
          <t>(Temp +2.0 / Vent 10% Open)</t>
        </is>
      </c>
      <c r="P42" s="4" t="inlineStr">
        <is>
          <t>Pickup : 2026-10-19, Return : 2026-10-27  (Temp +2.0 / Vent 10% Open) 
Closing Time 2026-10-26 @ 23.59</t>
        </is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1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HASLS22261000241</t>
        </is>
      </c>
      <c r="B43" s="4" t="inlineStr">
        <is>
          <t>KMSU</t>
        </is>
      </c>
      <c r="C43" s="4" t="inlineStr">
        <is>
          <t>2608S</t>
        </is>
      </c>
      <c r="D43" s="4" t="inlineStr">
        <is>
          <t>202611012100</t>
        </is>
      </c>
      <c r="E43" s="4" t="inlineStr"/>
      <c r="F43" s="4" t="inlineStr">
        <is>
          <t>THLCH</t>
        </is>
      </c>
      <c r="G43" s="4" t="inlineStr">
        <is>
          <t>IDJKT</t>
        </is>
      </c>
      <c r="H43" s="4" t="inlineStr">
        <is>
          <t xml:space="preserve">R40Hx1 </t>
        </is>
      </c>
      <c r="I43" s="4" t="inlineStr">
        <is>
          <t>LCH27</t>
        </is>
      </c>
      <c r="J43" s="4" t="inlineStr">
        <is>
          <t xml:space="preserve">HAST Logistics Co.,Ltd. </t>
        </is>
      </c>
      <c r="K43" s="4" t="inlineStr">
        <is>
          <t>20261019</t>
        </is>
      </c>
      <c r="L43" s="4" t="inlineStr">
        <is>
          <t>BE 1ST ALLIANCE CO., LTD.</t>
        </is>
      </c>
      <c r="M43" s="4" t="inlineStr">
        <is>
          <t>SUCCESS IMPORT &amp; EXPORT CO., LTD.</t>
        </is>
      </c>
      <c r="N43" s="4" t="inlineStr">
        <is>
          <t>FRESH  LONGAN / +2'C VENT 15%</t>
        </is>
      </c>
      <c r="O43" s="4" t="inlineStr">
        <is>
          <t>(Temp +2.0 / Vent 10% Open)</t>
        </is>
      </c>
      <c r="P43" s="4" t="inlineStr">
        <is>
          <t>Pickup : 2026-10-19, Return : 2026-10-27 (Temp +2.0 / Vent 10% Open) 
Closing Time 2026-10-26 @ 23.59</t>
        </is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HASLS22261000242</t>
        </is>
      </c>
      <c r="B44" s="4" t="inlineStr">
        <is>
          <t>KMSU</t>
        </is>
      </c>
      <c r="C44" s="4" t="inlineStr">
        <is>
          <t>2608S</t>
        </is>
      </c>
      <c r="D44" s="4" t="inlineStr">
        <is>
          <t>202611012100</t>
        </is>
      </c>
      <c r="E44" s="4" t="inlineStr"/>
      <c r="F44" s="4" t="inlineStr">
        <is>
          <t>THLCH</t>
        </is>
      </c>
      <c r="G44" s="4" t="inlineStr">
        <is>
          <t>IDJKT</t>
        </is>
      </c>
      <c r="H44" s="4" t="inlineStr">
        <is>
          <t xml:space="preserve">R40Hx1 </t>
        </is>
      </c>
      <c r="I44" s="4" t="inlineStr">
        <is>
          <t>LCH27</t>
        </is>
      </c>
      <c r="J44" s="4" t="inlineStr">
        <is>
          <t xml:space="preserve">HAST Logistics Co.,Ltd. </t>
        </is>
      </c>
      <c r="K44" s="4" t="inlineStr">
        <is>
          <t>20261019</t>
        </is>
      </c>
      <c r="L44" s="4" t="inlineStr">
        <is>
          <t>BE 1ST ALLIANCE CO., LTD.</t>
        </is>
      </c>
      <c r="M44" s="4" t="inlineStr">
        <is>
          <t>OK FRESH FRUITS (THAILAND) CO.,LTD.</t>
        </is>
      </c>
      <c r="N44" s="4" t="inlineStr">
        <is>
          <t>FRESH  LONGAN / +2'C VENT 15%</t>
        </is>
      </c>
      <c r="O44" s="4" t="inlineStr">
        <is>
          <t>(Temp +2.0 / Vent 10% Open)</t>
        </is>
      </c>
      <c r="P44" s="4" t="inlineStr">
        <is>
          <t>Pickup : 2026-10-19, Return : 2026-10-27  (Temp +2.0 / Vent 10% Open) 
Closing Time 2026-10-26 @ 23.59</t>
        </is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1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HASLS22261000443</t>
        </is>
      </c>
      <c r="B45" s="4" t="inlineStr">
        <is>
          <t>NSSJ</t>
        </is>
      </c>
      <c r="C45" s="4" t="inlineStr">
        <is>
          <t>2608S</t>
        </is>
      </c>
      <c r="D45" s="4" t="inlineStr">
        <is>
          <t>202610290200</t>
        </is>
      </c>
      <c r="E45" s="4" t="inlineStr"/>
      <c r="F45" s="4" t="inlineStr">
        <is>
          <t>THLCH</t>
        </is>
      </c>
      <c r="G45" s="4" t="inlineStr">
        <is>
          <t>IDJKT</t>
        </is>
      </c>
      <c r="H45" s="4" t="inlineStr">
        <is>
          <t xml:space="preserve">R40Hx1 </t>
        </is>
      </c>
      <c r="I45" s="4" t="inlineStr">
        <is>
          <t>LCH27</t>
        </is>
      </c>
      <c r="J45" s="4" t="inlineStr">
        <is>
          <t xml:space="preserve">HAST Logistics Co.,Ltd. </t>
        </is>
      </c>
      <c r="K45" s="4" t="inlineStr">
        <is>
          <t>20261016</t>
        </is>
      </c>
      <c r="L45" s="4" t="inlineStr">
        <is>
          <t>PROGRESS SHIPPING - TRANSPORT CO., LTD.</t>
        </is>
      </c>
      <c r="M45" s="4" t="inlineStr">
        <is>
          <t>FRUIT PARADISE INTERNATIONAL TRADE CO.,LTD</t>
        </is>
      </c>
      <c r="N45" s="4" t="inlineStr">
        <is>
          <t>FRESH LONGAN (TEMP +2 VENT 15%)</t>
        </is>
      </c>
      <c r="O45" s="4" t="inlineStr">
        <is>
          <t>FRESH LONGAN 
TEMP +2 VENT 15%
REQUEST CONTAINER UPSIZE 34-35 TONS</t>
        </is>
      </c>
      <c r="P45" s="4" t="inlineStr">
        <is>
          <t>Pickup : 2026-10-16, Return : 2026-10-19 (Temp +2.0 / Vent 15%) 
Closing Time 2026-10-22 @ 12.00 (1ST RETURN 21/10 W/O RENT)</t>
        </is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1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HASLS22261000446</t>
        </is>
      </c>
      <c r="B46" s="4" t="inlineStr">
        <is>
          <t>NSSJ</t>
        </is>
      </c>
      <c r="C46" s="4" t="inlineStr">
        <is>
          <t>2608S</t>
        </is>
      </c>
      <c r="D46" s="4" t="inlineStr">
        <is>
          <t>202610290200</t>
        </is>
      </c>
      <c r="E46" s="4" t="inlineStr"/>
      <c r="F46" s="4" t="inlineStr">
        <is>
          <t>THLCH</t>
        </is>
      </c>
      <c r="G46" s="4" t="inlineStr">
        <is>
          <t>IDJKT</t>
        </is>
      </c>
      <c r="H46" s="4" t="inlineStr">
        <is>
          <t xml:space="preserve">R40Hx1 </t>
        </is>
      </c>
      <c r="I46" s="4" t="inlineStr">
        <is>
          <t>LCH27</t>
        </is>
      </c>
      <c r="J46" s="4" t="inlineStr">
        <is>
          <t xml:space="preserve">HAST Logistics Co.,Ltd. </t>
        </is>
      </c>
      <c r="K46" s="4" t="inlineStr">
        <is>
          <t>20261015</t>
        </is>
      </c>
      <c r="L46" s="4" t="inlineStr">
        <is>
          <t>PROGRESS SHIPPING - TRANSPORT CO., LTD.</t>
        </is>
      </c>
      <c r="M46" s="4" t="inlineStr">
        <is>
          <t>FRUIT PARADISE INTERNATIONAL TRADE CO.,LTD</t>
        </is>
      </c>
      <c r="N46" s="4" t="inlineStr">
        <is>
          <t>FRESH LONGAN (TEMP +2 VENT 15%)</t>
        </is>
      </c>
      <c r="O46" s="4" t="inlineStr">
        <is>
          <t>FRESH LONGAN 
TEMP +2 VENT 15%
REQUEST CONTAINER UPSIZE 34-35 TONS</t>
        </is>
      </c>
      <c r="P46" s="4" t="inlineStr">
        <is>
          <t>Pickup : 2026-10-15, Return : 2026-10-20(Temp +2.0 / Vent 15%) 
Closing Time 2026-10-22 @ 12.00 (1ST RETURN 21/10 W/O RENT)</t>
        </is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1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HASLS22261000447</t>
        </is>
      </c>
      <c r="B47" s="4" t="inlineStr">
        <is>
          <t>NSSJ</t>
        </is>
      </c>
      <c r="C47" s="4" t="inlineStr">
        <is>
          <t>2608S</t>
        </is>
      </c>
      <c r="D47" s="4" t="inlineStr">
        <is>
          <t>202610290200</t>
        </is>
      </c>
      <c r="E47" s="4" t="inlineStr"/>
      <c r="F47" s="4" t="inlineStr">
        <is>
          <t>THLCH</t>
        </is>
      </c>
      <c r="G47" s="4" t="inlineStr">
        <is>
          <t>IDJKT</t>
        </is>
      </c>
      <c r="H47" s="4" t="inlineStr">
        <is>
          <t xml:space="preserve">R40Hx1 </t>
        </is>
      </c>
      <c r="I47" s="4" t="inlineStr">
        <is>
          <t>LCH27</t>
        </is>
      </c>
      <c r="J47" s="4" t="inlineStr">
        <is>
          <t xml:space="preserve">HAST Logistics Co.,Ltd. </t>
        </is>
      </c>
      <c r="K47" s="4" t="inlineStr">
        <is>
          <t>20261016</t>
        </is>
      </c>
      <c r="L47" s="4" t="inlineStr">
        <is>
          <t>PROGRESS SHIPPING - TRANSPORT CO., LTD.</t>
        </is>
      </c>
      <c r="M47" s="4" t="inlineStr">
        <is>
          <t>PROGRESS SHIPPING - TRANSPORT CO., LTD.</t>
        </is>
      </c>
      <c r="N47" s="4" t="inlineStr">
        <is>
          <t>FRESH LONGAN (TEMP +2 VENT 15%)</t>
        </is>
      </c>
      <c r="O47" s="4" t="inlineStr">
        <is>
          <t>FRESH LONGAN 
TEMP +2 VENT 15%
REQUEST CONTAINER UPSIZE 34-35 TONS</t>
        </is>
      </c>
      <c r="P47" s="4" t="inlineStr">
        <is>
          <t>Pickup : 2026-10-16, Return : 2026-10-19 (Temp +2.0 / Vent 15%) 
Closing Time 2026-10-22 @ 12.00 (1ST RETURN 21/10 W/O RENT)</t>
        </is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1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HASLS22261000450</t>
        </is>
      </c>
      <c r="B48" s="4" t="inlineStr">
        <is>
          <t>NSSJ</t>
        </is>
      </c>
      <c r="C48" s="4" t="inlineStr">
        <is>
          <t>2608S</t>
        </is>
      </c>
      <c r="D48" s="4" t="inlineStr">
        <is>
          <t>202610290200</t>
        </is>
      </c>
      <c r="E48" s="4" t="inlineStr"/>
      <c r="F48" s="4" t="inlineStr">
        <is>
          <t>THLCH</t>
        </is>
      </c>
      <c r="G48" s="4" t="inlineStr">
        <is>
          <t>IDJKT</t>
        </is>
      </c>
      <c r="H48" s="4" t="inlineStr">
        <is>
          <t xml:space="preserve">R40Hx1 </t>
        </is>
      </c>
      <c r="I48" s="4" t="inlineStr">
        <is>
          <t>LCH27</t>
        </is>
      </c>
      <c r="J48" s="4" t="inlineStr">
        <is>
          <t xml:space="preserve">HAST Logistics Co.,Ltd. </t>
        </is>
      </c>
      <c r="K48" s="4" t="inlineStr">
        <is>
          <t>20261016</t>
        </is>
      </c>
      <c r="L48" s="4" t="inlineStr">
        <is>
          <t>PROGRESS SHIPPING - TRANSPORT CO., LTD.</t>
        </is>
      </c>
      <c r="M48" s="4" t="inlineStr">
        <is>
          <t>FRUIT PARADISE INTERNATIONAL TRADE CO.,LTD</t>
        </is>
      </c>
      <c r="N48" s="4" t="inlineStr">
        <is>
          <t>FRESH LONGAN (TEMP +2 VENT 15%)</t>
        </is>
      </c>
      <c r="O48" s="4" t="inlineStr">
        <is>
          <t>FRESH LONGAN 
TEMP +2 VENT 15%
REQUEST CONTAINER UPSIZE 34-35 TONS</t>
        </is>
      </c>
      <c r="P48" s="4" t="inlineStr">
        <is>
          <t>Pickup : 2026-10-16, Return : 2026-10-20 (Temp +2.0 / Vent 15%) 
Closing Time 2026-10-22 @ 12.00 (1ST RETURN 21/10 W/O RENT)</t>
        </is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1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HASLS22261000451</t>
        </is>
      </c>
      <c r="B49" s="4" t="inlineStr">
        <is>
          <t>NSSJ</t>
        </is>
      </c>
      <c r="C49" s="4" t="inlineStr">
        <is>
          <t>2608S</t>
        </is>
      </c>
      <c r="D49" s="4" t="inlineStr">
        <is>
          <t>202610290200</t>
        </is>
      </c>
      <c r="E49" s="4" t="inlineStr"/>
      <c r="F49" s="4" t="inlineStr">
        <is>
          <t>THLCH</t>
        </is>
      </c>
      <c r="G49" s="4" t="inlineStr">
        <is>
          <t>IDJKT</t>
        </is>
      </c>
      <c r="H49" s="4" t="inlineStr">
        <is>
          <t xml:space="preserve">R40Hx1 </t>
        </is>
      </c>
      <c r="I49" s="4" t="inlineStr">
        <is>
          <t>LCH27</t>
        </is>
      </c>
      <c r="J49" s="4" t="inlineStr">
        <is>
          <t xml:space="preserve">HAST Logistics Co.,Ltd. </t>
        </is>
      </c>
      <c r="K49" s="4" t="inlineStr">
        <is>
          <t>20261016</t>
        </is>
      </c>
      <c r="L49" s="4" t="inlineStr">
        <is>
          <t>PROGRESS SHIPPING - TRANSPORT CO., LTD.</t>
        </is>
      </c>
      <c r="M49" s="4" t="inlineStr">
        <is>
          <t>FRUIT PARADISE INTERNATIONAL TRADE CO.,LTD</t>
        </is>
      </c>
      <c r="N49" s="4" t="inlineStr">
        <is>
          <t>FRESH LONGAN (TEMP +2 VENT 15%)</t>
        </is>
      </c>
      <c r="O49" s="4" t="inlineStr">
        <is>
          <t>FRESH LONGAN 
TEMP +2 VENT 15%
REQUEST CONTAINER UPSIZE 34-35 TONS</t>
        </is>
      </c>
      <c r="P49" s="4" t="inlineStr">
        <is>
          <t>Pickup : 2026-10-16, Return : 2026-10-20 (Temp +2.0 / Vent 15%) 
Closing Time 2026-10-22 @ 12.00 (1ST RETURN 21/10 W/O RENT)</t>
        </is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1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HASLS22261000533</t>
        </is>
      </c>
      <c r="B50" s="4" t="inlineStr">
        <is>
          <t>NSSJ</t>
        </is>
      </c>
      <c r="C50" s="4" t="inlineStr">
        <is>
          <t>2608S</t>
        </is>
      </c>
      <c r="D50" s="4" t="inlineStr">
        <is>
          <t>202610290200</t>
        </is>
      </c>
      <c r="E50" s="4" t="inlineStr"/>
      <c r="F50" s="4" t="inlineStr">
        <is>
          <t>THLCH</t>
        </is>
      </c>
      <c r="G50" s="4" t="inlineStr">
        <is>
          <t>IDJKT</t>
        </is>
      </c>
      <c r="H50" s="4" t="inlineStr">
        <is>
          <t xml:space="preserve">20'x1 </t>
        </is>
      </c>
      <c r="I50" s="4" t="inlineStr">
        <is>
          <t>LCH27</t>
        </is>
      </c>
      <c r="J50" s="4" t="inlineStr">
        <is>
          <t xml:space="preserve">HAST Logistics Co.,Ltd. </t>
        </is>
      </c>
      <c r="K50" s="4" t="inlineStr">
        <is>
          <t>20261020</t>
        </is>
      </c>
      <c r="L50" s="4" t="inlineStr">
        <is>
          <t>THAI MFC CO., LTD.</t>
        </is>
      </c>
      <c r="M50" s="4" t="inlineStr">
        <is>
          <t>THAI MFC CO., LTD.</t>
        </is>
      </c>
      <c r="N50" s="4" t="inlineStr">
        <is>
          <t>MELAMINE MOULDING COMPOUND</t>
        </is>
      </c>
      <c r="O50" s="4" t="inlineStr">
        <is>
          <t>No damaged and clean container request</t>
        </is>
      </c>
      <c r="P50" s="4" t="inlineStr">
        <is>
          <t>Pickup : 2026-10-20, Return : 2026-10-22
Extend Closing Time 2026-10-27 @ 12.00</t>
        </is>
      </c>
      <c r="Q50" s="4" t="n">
        <v>1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HASLS22261000640</t>
        </is>
      </c>
      <c r="B51" s="4" t="inlineStr">
        <is>
          <t>SWMM</t>
        </is>
      </c>
      <c r="C51" s="4" t="inlineStr">
        <is>
          <t>2610N</t>
        </is>
      </c>
      <c r="D51" s="4" t="inlineStr">
        <is>
          <t>202610251730</t>
        </is>
      </c>
      <c r="E51" s="4" t="inlineStr"/>
      <c r="F51" s="4" t="inlineStr">
        <is>
          <t>THLCH</t>
        </is>
      </c>
      <c r="G51" s="4" t="inlineStr">
        <is>
          <t>VNSGN</t>
        </is>
      </c>
      <c r="H51" s="4" t="inlineStr">
        <is>
          <t xml:space="preserve">20'x6 </t>
        </is>
      </c>
      <c r="I51" s="4" t="inlineStr">
        <is>
          <t>LCH27</t>
        </is>
      </c>
      <c r="J51" s="4" t="inlineStr">
        <is>
          <t xml:space="preserve">HAST Logistics Co.,Ltd. </t>
        </is>
      </c>
      <c r="K51" s="4" t="inlineStr">
        <is>
          <t>20261014</t>
        </is>
      </c>
      <c r="L51" s="4" t="inlineStr">
        <is>
          <t>WHA GC LOGISTICS COMPANY LIMITED</t>
        </is>
      </c>
      <c r="M51" s="4" t="inlineStr">
        <is>
          <t>PTT GLOBAL CHEMICAL PUBLIC COMPANY LIMITED</t>
        </is>
      </c>
      <c r="N51" s="4" t="inlineStr">
        <is>
          <t>RESIN</t>
        </is>
      </c>
      <c r="O51" s="4" t="inlineStr">
        <is>
          <t>GOOD AND CLEAN CTNR</t>
        </is>
      </c>
      <c r="P51" s="4" t="inlineStr">
        <is>
          <t>CY-RTN 14-17/10/26 [1ST RTN 16/10/2026 W/O RENT](PR2610003800)
** PLEASE CHECK OPEN GATE BEFORE RETURN CONTAINER **</t>
        </is>
      </c>
      <c r="Q51" s="4" t="n">
        <v>6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HASLS22261000676</t>
        </is>
      </c>
      <c r="B52" s="4" t="inlineStr">
        <is>
          <t>DJCF</t>
        </is>
      </c>
      <c r="C52" s="4" t="inlineStr">
        <is>
          <t>0153N</t>
        </is>
      </c>
      <c r="D52" s="4" t="inlineStr">
        <is>
          <t>202611030400</t>
        </is>
      </c>
      <c r="E52" s="4" t="inlineStr"/>
      <c r="F52" s="4" t="inlineStr">
        <is>
          <t>THLCH</t>
        </is>
      </c>
      <c r="G52" s="4" t="inlineStr">
        <is>
          <t>KRPTK</t>
        </is>
      </c>
      <c r="H52" s="4" t="inlineStr">
        <is>
          <t xml:space="preserve">40Hx8 </t>
        </is>
      </c>
      <c r="I52" s="4" t="inlineStr">
        <is>
          <t>LCH27</t>
        </is>
      </c>
      <c r="J52" s="4" t="inlineStr">
        <is>
          <t xml:space="preserve">HAST Logistics Co.,Ltd. </t>
        </is>
      </c>
      <c r="K52" s="4" t="inlineStr">
        <is>
          <t>20261019</t>
        </is>
      </c>
      <c r="L52" s="4" t="inlineStr">
        <is>
          <t>SAMSUNG SDS GLOBAL SCL (THAILAND) CO.,LTD.</t>
        </is>
      </c>
      <c r="M52" s="4" t="inlineStr">
        <is>
          <t>THAI SAMSUNG ELECTRONICS CO., LTD.</t>
        </is>
      </c>
      <c r="N52" s="4" t="inlineStr">
        <is>
          <t>REFRIGERATOR</t>
        </is>
      </c>
      <c r="O52" s="4" t="inlineStr">
        <is>
          <t>*No containers with cut and patch marks inside*
GOOD CLEAN CONTIANER NO BLEAM (ELECTRONICS GOODS)</t>
        </is>
      </c>
      <c r="P52" s="4" t="inlineStr">
        <is>
          <t>Pickup : 2026-10-19, Return : 2026-10-28</t>
        </is>
      </c>
      <c r="Q52" s="4" t="n">
        <v>0</v>
      </c>
      <c r="R52" s="4" t="n">
        <v>0</v>
      </c>
      <c r="S52" s="4" t="n">
        <v>8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6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HASLS22261001082</t>
        </is>
      </c>
      <c r="B53" s="4" t="inlineStr">
        <is>
          <t>KXM</t>
        </is>
      </c>
      <c r="C53" s="4" t="inlineStr">
        <is>
          <t>2609S</t>
        </is>
      </c>
      <c r="D53" s="4" t="inlineStr">
        <is>
          <t>202611090200</t>
        </is>
      </c>
      <c r="E53" s="4" t="inlineStr"/>
      <c r="F53" s="4" t="inlineStr">
        <is>
          <t>THLCH</t>
        </is>
      </c>
      <c r="G53" s="4" t="inlineStr">
        <is>
          <t>IDJKT</t>
        </is>
      </c>
      <c r="H53" s="4" t="inlineStr">
        <is>
          <t xml:space="preserve">20'x5 </t>
        </is>
      </c>
      <c r="I53" s="4" t="inlineStr">
        <is>
          <t>LCH27</t>
        </is>
      </c>
      <c r="J53" s="4" t="inlineStr">
        <is>
          <t xml:space="preserve">HAST Logistics Co.,Ltd. </t>
        </is>
      </c>
      <c r="K53" s="4" t="inlineStr">
        <is>
          <t>20261019</t>
        </is>
      </c>
      <c r="L53" s="4" t="inlineStr">
        <is>
          <t>YUSEN LOGISTICS (THAILAND) CO., LTD.</t>
        </is>
      </c>
      <c r="M53" s="4" t="inlineStr">
        <is>
          <t>NIKKEI MC ALUMINUM (THAILAND) CO., LTD.</t>
        </is>
      </c>
      <c r="N53" s="4" t="inlineStr">
        <is>
          <t xml:space="preserve">ALUMINUM ALLOY INGOT </t>
        </is>
      </c>
      <c r="O53" s="4" t="inlineStr">
        <is>
          <t>GOOD AND CLEAN CONTAINER</t>
        </is>
      </c>
      <c r="P53" s="4" t="inlineStr">
        <is>
          <t>Pickup : 2026-10-19, Return : 2026-10-19</t>
        </is>
      </c>
      <c r="Q53" s="4" t="n">
        <v>5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HASLS22261001119</t>
        </is>
      </c>
      <c r="B54" s="4" t="inlineStr">
        <is>
          <t>SWBT</t>
        </is>
      </c>
      <c r="C54" s="4" t="inlineStr">
        <is>
          <t>2618N</t>
        </is>
      </c>
      <c r="D54" s="4" t="inlineStr">
        <is>
          <t>202611071800</t>
        </is>
      </c>
      <c r="E54" s="4" t="inlineStr"/>
      <c r="F54" s="4" t="inlineStr">
        <is>
          <t>THLCH</t>
        </is>
      </c>
      <c r="G54" s="4" t="inlineStr">
        <is>
          <t>KRINC</t>
        </is>
      </c>
      <c r="H54" s="4" t="inlineStr">
        <is>
          <t xml:space="preserve">20'x1 </t>
        </is>
      </c>
      <c r="I54" s="4" t="inlineStr">
        <is>
          <t>LCH27</t>
        </is>
      </c>
      <c r="J54" s="4" t="inlineStr">
        <is>
          <t xml:space="preserve">HAST Logistics Co.,Ltd. </t>
        </is>
      </c>
      <c r="K54" s="4" t="inlineStr">
        <is>
          <t>20261019</t>
        </is>
      </c>
      <c r="L54" s="4" t="inlineStr">
        <is>
          <t>CANVAS GLOBAL LOGISTICS (THAILAND) CO., LTD.</t>
        </is>
      </c>
      <c r="M54" s="4" t="inlineStr">
        <is>
          <t>SRI TRANG GLOVES (THAILAND) PUBLIC COMPANY LIMITED</t>
        </is>
      </c>
      <c r="N54" s="4" t="inlineStr">
        <is>
          <t>LATEX GLOVES</t>
        </is>
      </c>
      <c r="O54" s="4" t="inlineStr">
        <is>
          <t>GOOD AND CLEAN CONTAINER</t>
        </is>
      </c>
      <c r="P54" s="4" t="inlineStr">
        <is>
          <t xml:space="preserve">Pickup : 2026-10-19, Return : 2026-10-21 (1ST RTN 03/11 W/O RENT) 
 </t>
        </is>
      </c>
      <c r="Q54" s="4" t="n">
        <v>1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HASLS22261001156</t>
        </is>
      </c>
      <c r="B55" s="4" t="inlineStr">
        <is>
          <t>KMGY</t>
        </is>
      </c>
      <c r="C55" s="4" t="inlineStr">
        <is>
          <t>2611N</t>
        </is>
      </c>
      <c r="D55" s="4" t="inlineStr">
        <is>
          <t>202610241900</t>
        </is>
      </c>
      <c r="E55" s="4" t="inlineStr"/>
      <c r="F55" s="4" t="inlineStr">
        <is>
          <t>THLCH</t>
        </is>
      </c>
      <c r="G55" s="4" t="inlineStr">
        <is>
          <t>HKHKG</t>
        </is>
      </c>
      <c r="H55" s="4" t="inlineStr">
        <is>
          <t xml:space="preserve">40Hx9 </t>
        </is>
      </c>
      <c r="I55" s="4" t="inlineStr">
        <is>
          <t>LCH27</t>
        </is>
      </c>
      <c r="J55" s="4" t="inlineStr">
        <is>
          <t xml:space="preserve">HAST Logistics Co.,Ltd. </t>
        </is>
      </c>
      <c r="K55" s="4" t="inlineStr">
        <is>
          <t>20261019</t>
        </is>
      </c>
      <c r="L55" s="4" t="inlineStr">
        <is>
          <t>YUSEN LOGISTICS (THAILAND) CO., LTD.</t>
        </is>
      </c>
      <c r="M55" s="4" t="inlineStr">
        <is>
          <t>KURARAY GC ADVANCED MATERIALS CO.,LTD.</t>
        </is>
      </c>
      <c r="N55" s="4" t="inlineStr">
        <is>
          <t>GENESTAR</t>
        </is>
      </c>
      <c r="O55" s="4" t="inlineStr">
        <is>
          <t>Good dry and clean container</t>
        </is>
      </c>
      <c r="P55" s="4" t="inlineStr">
        <is>
          <t xml:space="preserve">Pickup : 2026-10-19, Return : 2026-10-20 (EXTEND CLOSING 22/10/26 @23.59)
 ** PLEASE CHECK OPEN GATE BEFORE RETURN C NTR ** </t>
        </is>
      </c>
      <c r="Q55" s="4" t="n">
        <v>0</v>
      </c>
      <c r="R55" s="4" t="n">
        <v>0</v>
      </c>
      <c r="S55" s="4" t="n">
        <v>9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6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HASLS22261001232</t>
        </is>
      </c>
      <c r="B56" s="4" t="inlineStr">
        <is>
          <t>NSSJ</t>
        </is>
      </c>
      <c r="C56" s="4" t="inlineStr">
        <is>
          <t>2608S</t>
        </is>
      </c>
      <c r="D56" s="4" t="inlineStr">
        <is>
          <t>202610290200</t>
        </is>
      </c>
      <c r="E56" s="4" t="inlineStr"/>
      <c r="F56" s="4" t="inlineStr">
        <is>
          <t>THLCH</t>
        </is>
      </c>
      <c r="G56" s="4" t="inlineStr">
        <is>
          <t>IDJKT</t>
        </is>
      </c>
      <c r="H56" s="4" t="inlineStr">
        <is>
          <t xml:space="preserve">20'x2 </t>
        </is>
      </c>
      <c r="I56" s="4" t="inlineStr">
        <is>
          <t>LCH27</t>
        </is>
      </c>
      <c r="J56" s="4" t="inlineStr">
        <is>
          <t xml:space="preserve">HAST Logistics Co.,Ltd. </t>
        </is>
      </c>
      <c r="K56" s="4" t="inlineStr">
        <is>
          <t>20261020</t>
        </is>
      </c>
      <c r="L56" s="4" t="inlineStr">
        <is>
          <t>THAI MFC CO., LTD.</t>
        </is>
      </c>
      <c r="M56" s="4" t="inlineStr">
        <is>
          <t>THAI MFC CO., LTD.</t>
        </is>
      </c>
      <c r="N56" s="4" t="inlineStr">
        <is>
          <t>MELAMINE MOULDING COMPOUND</t>
        </is>
      </c>
      <c r="O56" s="4" t="inlineStr">
        <is>
          <t>No damaged and clean container request</t>
        </is>
      </c>
      <c r="P56" s="4" t="inlineStr">
        <is>
          <t>Pickup : 2026-10-20, Return : 2026-10-22</t>
        </is>
      </c>
      <c r="Q56" s="4" t="n">
        <v>2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HASLS22261001347</t>
        </is>
      </c>
      <c r="B57" s="4" t="inlineStr">
        <is>
          <t>HAHM</t>
        </is>
      </c>
      <c r="C57" s="4" t="inlineStr">
        <is>
          <t>2612N</t>
        </is>
      </c>
      <c r="D57" s="4" t="inlineStr">
        <is>
          <t>202610280700</t>
        </is>
      </c>
      <c r="E57" s="4" t="inlineStr"/>
      <c r="F57" s="4" t="inlineStr">
        <is>
          <t>THLCH</t>
        </is>
      </c>
      <c r="G57" s="4" t="inlineStr">
        <is>
          <t>RUVVO</t>
        </is>
      </c>
      <c r="H57" s="4" t="inlineStr">
        <is>
          <t xml:space="preserve">R40Hx1 </t>
        </is>
      </c>
      <c r="I57" s="4" t="inlineStr">
        <is>
          <t>LCH27</t>
        </is>
      </c>
      <c r="J57" s="4" t="inlineStr">
        <is>
          <t xml:space="preserve">HAST Logistics Co.,Ltd. </t>
        </is>
      </c>
      <c r="K57" s="4" t="inlineStr">
        <is>
          <t>20261020</t>
        </is>
      </c>
      <c r="L57" s="4" t="inlineStr">
        <is>
          <t>EXOTIC FOOD PUBLIC COMPANY LIMITED</t>
        </is>
      </c>
      <c r="M57" s="4" t="inlineStr">
        <is>
          <t>EXOTIC FOOD PUBLIC COMPANY LIMITED</t>
        </is>
      </c>
      <c r="N57" s="4" t="inlineStr">
        <is>
          <t>General Foodstuff</t>
        </is>
      </c>
      <c r="O57" s="4" t="inlineStr">
        <is>
          <t>(TEMP : +18.0'C / VENT CLOSE)</t>
        </is>
      </c>
      <c r="P57" s="4" t="inlineStr">
        <is>
          <t>CY - RTN DD: 20-22/10/26 (TEMP : +18.0'C / VENT CLOSE)
CLS TIME DD.26/10/2026 @ 12.00Hrs. (1ST RETURN CNTR DD.25/10/2026 WITHOUT CHARGE)</t>
        </is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1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HASLS22261001401</t>
        </is>
      </c>
      <c r="B58" s="4" t="inlineStr">
        <is>
          <t>HAHM</t>
        </is>
      </c>
      <c r="C58" s="4" t="inlineStr">
        <is>
          <t>2612N</t>
        </is>
      </c>
      <c r="D58" s="4" t="inlineStr">
        <is>
          <t>202610280700</t>
        </is>
      </c>
      <c r="E58" s="4" t="inlineStr"/>
      <c r="F58" s="4" t="inlineStr">
        <is>
          <t>THLCH</t>
        </is>
      </c>
      <c r="G58" s="4" t="inlineStr">
        <is>
          <t>VNSGN</t>
        </is>
      </c>
      <c r="H58" s="4" t="inlineStr">
        <is>
          <t xml:space="preserve">R40Hx1 </t>
        </is>
      </c>
      <c r="I58" s="4" t="inlineStr">
        <is>
          <t>LCH27</t>
        </is>
      </c>
      <c r="J58" s="4" t="inlineStr">
        <is>
          <t xml:space="preserve">HAST Logistics Co.,Ltd. </t>
        </is>
      </c>
      <c r="K58" s="4" t="inlineStr">
        <is>
          <t>20261020</t>
        </is>
      </c>
      <c r="L58" s="4" t="inlineStr">
        <is>
          <t>GOLDEN SEA FROZEN FOODS CO.,LTD</t>
        </is>
      </c>
      <c r="M58" s="4" t="inlineStr">
        <is>
          <t>GOLDEN SEA FROZEN FOODS CO.,LTD</t>
        </is>
      </c>
      <c r="N58" s="4" t="inlineStr">
        <is>
          <t>FROZEN FISH</t>
        </is>
      </c>
      <c r="O58" s="4" t="inlineStr">
        <is>
          <t>(Temp -18.0℃ / Vent Close)</t>
        </is>
      </c>
      <c r="P58" s="4" t="inlineStr">
        <is>
          <t>Pickup : 2026-10-20, Return : 2026-10-24  (Temp -18.0 / Vent Close) 
CLS TIME 26/10/26 @12.00 (1ST DATE RTN 25/10/2026 W/O RENT,ELECTRIC)</t>
        </is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1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HASLS22260900691</t>
        </is>
      </c>
      <c r="B59" s="4" t="inlineStr">
        <is>
          <t>SWDN</t>
        </is>
      </c>
      <c r="C59" s="4" t="inlineStr">
        <is>
          <t>2611N</t>
        </is>
      </c>
      <c r="D59" s="4" t="inlineStr">
        <is>
          <t>202610312100</t>
        </is>
      </c>
      <c r="E59" s="4" t="inlineStr"/>
      <c r="F59" s="4" t="inlineStr">
        <is>
          <t>THBKK</t>
        </is>
      </c>
      <c r="G59" s="4" t="inlineStr">
        <is>
          <t>KRINC</t>
        </is>
      </c>
      <c r="H59" s="4" t="inlineStr">
        <is>
          <t xml:space="preserve">40Hx1 </t>
        </is>
      </c>
      <c r="I59" s="4" t="inlineStr">
        <is>
          <t>BKK04</t>
        </is>
      </c>
      <c r="J59" s="4" t="inlineStr">
        <is>
          <t>PAT TERMINAL 1 (PORT AUTHORITY OF THAILAND)</t>
        </is>
      </c>
      <c r="K59" s="4" t="inlineStr">
        <is>
          <t>20261015</t>
        </is>
      </c>
      <c r="L59" s="4" t="inlineStr">
        <is>
          <t>ECU WORLDWIDE (THAILAND) CO., LTD.</t>
        </is>
      </c>
      <c r="M59" s="4" t="inlineStr">
        <is>
          <t>ECU WORLDWIDE (THAILAND) CO., LTD.</t>
        </is>
      </c>
      <c r="N59" s="4" t="inlineStr">
        <is>
          <t>GENERAL CARGO (CONSOL)</t>
        </is>
      </c>
      <c r="O59" s="4" t="inlineStr">
        <is>
          <t>CONSOL</t>
        </is>
      </c>
      <c r="P59" s="4" t="inlineStr">
        <is>
          <t>Pickup : 2026-10-15, Return : 2026-10-16 CONSOL</t>
        </is>
      </c>
      <c r="Q59" s="4" t="n">
        <v>0</v>
      </c>
      <c r="R59" s="4" t="n">
        <v>0</v>
      </c>
      <c r="S59" s="4" t="n">
        <v>1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HASLS22260900901</t>
        </is>
      </c>
      <c r="B60" s="4" t="inlineStr">
        <is>
          <t>SWMM</t>
        </is>
      </c>
      <c r="C60" s="4" t="inlineStr">
        <is>
          <t>2610N</t>
        </is>
      </c>
      <c r="D60" s="4" t="inlineStr">
        <is>
          <t>202610250030</t>
        </is>
      </c>
      <c r="E60" s="4" t="inlineStr"/>
      <c r="F60" s="4" t="inlineStr">
        <is>
          <t>THBKK</t>
        </is>
      </c>
      <c r="G60" s="4" t="inlineStr">
        <is>
          <t>VNSGN</t>
        </is>
      </c>
      <c r="H60" s="4" t="inlineStr">
        <is>
          <t xml:space="preserve">40Hx2 </t>
        </is>
      </c>
      <c r="I60" s="4" t="inlineStr">
        <is>
          <t>BKK04</t>
        </is>
      </c>
      <c r="J60" s="4" t="inlineStr">
        <is>
          <t>PAT TERMINAL 1 (PORT AUTHORITY OF THAILAND)</t>
        </is>
      </c>
      <c r="K60" s="4" t="inlineStr">
        <is>
          <t>20261019</t>
        </is>
      </c>
      <c r="L60" s="4" t="inlineStr">
        <is>
          <t>ECU WORLDWIDE (THAILAND) CO., LTD.</t>
        </is>
      </c>
      <c r="M60" s="4" t="inlineStr">
        <is>
          <t>ECU WORLDWIDE (THAILAND) CO., LTD.</t>
        </is>
      </c>
      <c r="N60" s="4" t="inlineStr">
        <is>
          <t>GENERAL CARGO (CONSOL)</t>
        </is>
      </c>
      <c r="O60" s="4" t="inlineStr">
        <is>
          <t>CONSOL</t>
        </is>
      </c>
      <c r="P60" s="4" t="inlineStr">
        <is>
          <t>Pickup : 2026-10-19, Return : 2026-10-20 CONSOL</t>
        </is>
      </c>
      <c r="Q60" s="4" t="n">
        <v>0</v>
      </c>
      <c r="R60" s="4" t="n">
        <v>0</v>
      </c>
      <c r="S60" s="4" t="n">
        <v>2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1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HASLS22260901264</t>
        </is>
      </c>
      <c r="B61" s="4" t="inlineStr">
        <is>
          <t>KMGY</t>
        </is>
      </c>
      <c r="C61" s="4" t="inlineStr">
        <is>
          <t>2611N</t>
        </is>
      </c>
      <c r="D61" s="4" t="inlineStr">
        <is>
          <t>202610240200</t>
        </is>
      </c>
      <c r="E61" s="4" t="inlineStr"/>
      <c r="F61" s="4" t="inlineStr">
        <is>
          <t>THBKK</t>
        </is>
      </c>
      <c r="G61" s="4" t="inlineStr">
        <is>
          <t>CNTAO</t>
        </is>
      </c>
      <c r="H61" s="4" t="inlineStr">
        <is>
          <t xml:space="preserve">20'x1 </t>
        </is>
      </c>
      <c r="I61" s="4" t="inlineStr">
        <is>
          <t>BKK04</t>
        </is>
      </c>
      <c r="J61" s="4" t="inlineStr">
        <is>
          <t>PAT TERMINAL 1 (PORT AUTHORITY OF THAILAND)</t>
        </is>
      </c>
      <c r="K61" s="4" t="inlineStr">
        <is>
          <t>20261019</t>
        </is>
      </c>
      <c r="L61" s="4" t="inlineStr">
        <is>
          <t>CARGOPORT (THAILAND) LTD.</t>
        </is>
      </c>
      <c r="M61" s="4" t="inlineStr">
        <is>
          <t>CARGOPORT (THAILAND) LTD.</t>
        </is>
      </c>
      <c r="N61" s="4" t="inlineStr">
        <is>
          <t>GENERAL CARGO (CONSOL)</t>
        </is>
      </c>
      <c r="O61" s="4" t="inlineStr">
        <is>
          <t>CONSOL</t>
        </is>
      </c>
      <c r="P61" s="4" t="inlineStr">
        <is>
          <t xml:space="preserve">Pickup : 2026-10-19, Return : 2026-10-20 CONSOL </t>
        </is>
      </c>
      <c r="Q61" s="4" t="n">
        <v>1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HASLS22260902815</t>
        </is>
      </c>
      <c r="B62" s="4" t="inlineStr">
        <is>
          <t>KMGY</t>
        </is>
      </c>
      <c r="C62" s="4" t="inlineStr">
        <is>
          <t>2611N</t>
        </is>
      </c>
      <c r="D62" s="4" t="inlineStr">
        <is>
          <t>202610240200</t>
        </is>
      </c>
      <c r="E62" s="4" t="inlineStr"/>
      <c r="F62" s="4" t="inlineStr">
        <is>
          <t>THBKK</t>
        </is>
      </c>
      <c r="G62" s="4" t="inlineStr">
        <is>
          <t>HKHKG</t>
        </is>
      </c>
      <c r="H62" s="4" t="inlineStr">
        <is>
          <t xml:space="preserve">40Hx1 </t>
        </is>
      </c>
      <c r="I62" s="4" t="inlineStr">
        <is>
          <t>BKK04</t>
        </is>
      </c>
      <c r="J62" s="4" t="inlineStr">
        <is>
          <t>PAT TERMINAL 1 (PORT AUTHORITY OF THAILAND)</t>
        </is>
      </c>
      <c r="K62" s="4" t="inlineStr">
        <is>
          <t>20261015</t>
        </is>
      </c>
      <c r="L62" s="4" t="inlineStr">
        <is>
          <t>YUSEN LOGISTICS (THAILAND) CO., LTD.</t>
        </is>
      </c>
      <c r="M62" s="4" t="inlineStr">
        <is>
          <t>YUSEN LOGISTICS (THAILAND) CO., LTD.</t>
        </is>
      </c>
      <c r="N62" s="4" t="inlineStr">
        <is>
          <t>GENERAL CARGO (CONSOL)</t>
        </is>
      </c>
      <c r="O62" s="4" t="inlineStr">
        <is>
          <t>CONSOL</t>
        </is>
      </c>
      <c r="P62" s="4" t="inlineStr">
        <is>
          <t>Pickup : 2026-10-15, Return : 2026-10-16 CONSOL</t>
        </is>
      </c>
      <c r="Q62" s="4" t="n">
        <v>0</v>
      </c>
      <c r="R62" s="4" t="n">
        <v>0</v>
      </c>
      <c r="S62" s="4" t="n">
        <v>1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HASLS22260902826</t>
        </is>
      </c>
      <c r="B63" s="4" t="inlineStr">
        <is>
          <t>SWDN</t>
        </is>
      </c>
      <c r="C63" s="4" t="inlineStr">
        <is>
          <t>2611N</t>
        </is>
      </c>
      <c r="D63" s="4" t="inlineStr">
        <is>
          <t>202610312100</t>
        </is>
      </c>
      <c r="E63" s="4" t="inlineStr"/>
      <c r="F63" s="4" t="inlineStr">
        <is>
          <t>THBKK</t>
        </is>
      </c>
      <c r="G63" s="4" t="inlineStr">
        <is>
          <t>CNTAO</t>
        </is>
      </c>
      <c r="H63" s="4" t="inlineStr">
        <is>
          <t xml:space="preserve">40Hx1 </t>
        </is>
      </c>
      <c r="I63" s="4" t="inlineStr">
        <is>
          <t>BKK04</t>
        </is>
      </c>
      <c r="J63" s="4" t="inlineStr">
        <is>
          <t>PAT TERMINAL 1 (PORT AUTHORITY OF THAILAND)</t>
        </is>
      </c>
      <c r="K63" s="4" t="inlineStr">
        <is>
          <t>20261020</t>
        </is>
      </c>
      <c r="L63" s="4" t="inlineStr">
        <is>
          <t>GATEWAY CONTAINER LINE CO., LTD.</t>
        </is>
      </c>
      <c r="M63" s="4" t="inlineStr">
        <is>
          <t>GATEWAY CONTAINER LINE CO., LTD.</t>
        </is>
      </c>
      <c r="N63" s="4" t="inlineStr">
        <is>
          <t>GENERAL CARGO (CONSOL)</t>
        </is>
      </c>
      <c r="O63" s="4" t="inlineStr">
        <is>
          <t>CONSOL</t>
        </is>
      </c>
      <c r="P63" s="4" t="inlineStr">
        <is>
          <t xml:space="preserve">Pickup : 2026-10-20, Return : 2026-10-22 CONSOL
 (1ST CY : 22/10 W/O RENT) </t>
        </is>
      </c>
      <c r="Q63" s="4" t="n">
        <v>0</v>
      </c>
      <c r="R63" s="4" t="n">
        <v>0</v>
      </c>
      <c r="S63" s="4" t="n">
        <v>1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HASLS22261000736</t>
        </is>
      </c>
      <c r="B64" s="4" t="inlineStr">
        <is>
          <t>SWMM</t>
        </is>
      </c>
      <c r="C64" s="4" t="inlineStr">
        <is>
          <t>2610N</t>
        </is>
      </c>
      <c r="D64" s="4" t="inlineStr">
        <is>
          <t>202610250030</t>
        </is>
      </c>
      <c r="E64" s="4" t="inlineStr"/>
      <c r="F64" s="4" t="inlineStr">
        <is>
          <t>THBKK</t>
        </is>
      </c>
      <c r="G64" s="4" t="inlineStr">
        <is>
          <t>VNSGN</t>
        </is>
      </c>
      <c r="H64" s="4" t="inlineStr">
        <is>
          <t xml:space="preserve">40Hx1 </t>
        </is>
      </c>
      <c r="I64" s="4" t="inlineStr">
        <is>
          <t>BKK04</t>
        </is>
      </c>
      <c r="J64" s="4" t="inlineStr">
        <is>
          <t>PAT TERMINAL 1 (PORT AUTHORITY OF THAILAND)</t>
        </is>
      </c>
      <c r="K64" s="4" t="inlineStr">
        <is>
          <t>20261020</t>
        </is>
      </c>
      <c r="L64" s="4" t="inlineStr">
        <is>
          <t>GRANDLINK LOGISTICS CO., LTD.</t>
        </is>
      </c>
      <c r="M64" s="4" t="inlineStr">
        <is>
          <t>GRANDLINK LOGISTICS CO., LTD.</t>
        </is>
      </c>
      <c r="N64" s="4" t="inlineStr">
        <is>
          <t>GENERAL CARGO (CONSOL)</t>
        </is>
      </c>
      <c r="O64" s="4" t="inlineStr">
        <is>
          <t>CONSOL</t>
        </is>
      </c>
      <c r="P64" s="4" t="inlineStr">
        <is>
          <t xml:space="preserve">Pickup : 2026-10-20, Return : 2026-10-20 CONSOL </t>
        </is>
      </c>
      <c r="Q64" s="4" t="n">
        <v>0</v>
      </c>
      <c r="R64" s="4" t="n">
        <v>0</v>
      </c>
      <c r="S64" s="4" t="n">
        <v>1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HASLS22260901133</t>
        </is>
      </c>
      <c r="B65" s="4" t="inlineStr">
        <is>
          <t>SKOR</t>
        </is>
      </c>
      <c r="C65" s="4" t="inlineStr">
        <is>
          <t>2612N</t>
        </is>
      </c>
      <c r="D65" s="4" t="inlineStr">
        <is>
          <t>202610240100</t>
        </is>
      </c>
      <c r="E65" s="4" t="inlineStr"/>
      <c r="F65" s="4" t="inlineStr">
        <is>
          <t>THBKK</t>
        </is>
      </c>
      <c r="G65" s="4" t="inlineStr">
        <is>
          <t>KRPUS</t>
        </is>
      </c>
      <c r="H65" s="4" t="inlineStr">
        <is>
          <t xml:space="preserve">40Hx1 </t>
        </is>
      </c>
      <c r="I65" s="4" t="inlineStr">
        <is>
          <t>BKK01</t>
        </is>
      </c>
      <c r="J65" s="4" t="inlineStr">
        <is>
          <t>PAT TERMINAL 2 (PORT AUTHORITY OF THAILAND)</t>
        </is>
      </c>
      <c r="K65" s="4" t="inlineStr">
        <is>
          <t>20261012</t>
        </is>
      </c>
      <c r="L65" s="4" t="inlineStr">
        <is>
          <t>CARGOPORT (THAILAND) LTD.</t>
        </is>
      </c>
      <c r="M65" s="4" t="inlineStr">
        <is>
          <t>CARGOPORT (THAILAND) LTD.</t>
        </is>
      </c>
      <c r="N65" s="4" t="inlineStr">
        <is>
          <t>GENERAL CARGO (CONSOL)</t>
        </is>
      </c>
      <c r="O65" s="4" t="inlineStr">
        <is>
          <t>(CONSOL)</t>
        </is>
      </c>
      <c r="P65" s="4" t="inlineStr">
        <is>
          <t xml:space="preserve">CY-RTN : 12-14/10/20206 (CONSOL)
</t>
        </is>
      </c>
      <c r="Q65" s="4" t="n">
        <v>0</v>
      </c>
      <c r="R65" s="4" t="n">
        <v>0</v>
      </c>
      <c r="S65" s="4" t="n">
        <v>1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HASLS22260901135</t>
        </is>
      </c>
      <c r="B66" s="4" t="inlineStr">
        <is>
          <t>KMBK</t>
        </is>
      </c>
      <c r="C66" s="4" t="inlineStr">
        <is>
          <t>2612N</t>
        </is>
      </c>
      <c r="D66" s="4" t="inlineStr">
        <is>
          <t>202610260700</t>
        </is>
      </c>
      <c r="E66" s="4" t="inlineStr"/>
      <c r="F66" s="4" t="inlineStr">
        <is>
          <t>THBKK</t>
        </is>
      </c>
      <c r="G66" s="4" t="inlineStr">
        <is>
          <t>KRPUS</t>
        </is>
      </c>
      <c r="H66" s="4" t="inlineStr">
        <is>
          <t xml:space="preserve">40Hx1 </t>
        </is>
      </c>
      <c r="I66" s="4" t="inlineStr">
        <is>
          <t>BKK01</t>
        </is>
      </c>
      <c r="J66" s="4" t="inlineStr">
        <is>
          <t>PAT TERMINAL 2 (PORT AUTHORITY OF THAILAND)</t>
        </is>
      </c>
      <c r="K66" s="4" t="inlineStr">
        <is>
          <t>20261019</t>
        </is>
      </c>
      <c r="L66" s="4" t="inlineStr">
        <is>
          <t>CARGOPORT (THAILAND) LTD.</t>
        </is>
      </c>
      <c r="M66" s="4" t="inlineStr">
        <is>
          <t>CARGOPORT (THAILAND) LTD.</t>
        </is>
      </c>
      <c r="N66" s="4" t="inlineStr">
        <is>
          <t>GENERAL CARGO (CONSOL)</t>
        </is>
      </c>
      <c r="O66" s="4" t="inlineStr">
        <is>
          <t>(CONSOL)</t>
        </is>
      </c>
      <c r="P66" s="4" t="inlineStr">
        <is>
          <t xml:space="preserve">CY-RTN :19-20/10/20206 (CONSOL)
</t>
        </is>
      </c>
      <c r="Q66" s="4" t="n">
        <v>0</v>
      </c>
      <c r="R66" s="4" t="n">
        <v>0</v>
      </c>
      <c r="S66" s="4" t="n">
        <v>1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HASLS22260902253</t>
        </is>
      </c>
      <c r="B67" s="4" t="inlineStr">
        <is>
          <t>HAHM</t>
        </is>
      </c>
      <c r="C67" s="4" t="inlineStr">
        <is>
          <t>2612N</t>
        </is>
      </c>
      <c r="D67" s="4" t="inlineStr">
        <is>
          <t>202610271500</t>
        </is>
      </c>
      <c r="E67" s="4" t="inlineStr"/>
      <c r="F67" s="4" t="inlineStr">
        <is>
          <t>THBKK</t>
        </is>
      </c>
      <c r="G67" s="4" t="inlineStr">
        <is>
          <t>JPMIZ</t>
        </is>
      </c>
      <c r="H67" s="4" t="inlineStr">
        <is>
          <t xml:space="preserve">20'x30 </t>
        </is>
      </c>
      <c r="I67" s="4" t="inlineStr">
        <is>
          <t>BKK01</t>
        </is>
      </c>
      <c r="J67" s="4" t="inlineStr">
        <is>
          <t>PAT TERMINAL 2 (PORT AUTHORITY OF THAILAND)</t>
        </is>
      </c>
      <c r="K67" s="4" t="inlineStr">
        <is>
          <t>20261020</t>
        </is>
      </c>
      <c r="L67" s="4" t="inlineStr">
        <is>
          <t>THAI KAWANISHI LIMITED</t>
        </is>
      </c>
      <c r="M67" s="4" t="inlineStr">
        <is>
          <t>THAI QUALITY STARCH CO.,LTD.</t>
        </is>
      </c>
      <c r="N67" s="4" t="inlineStr">
        <is>
          <t>NATIVE TAPIOCA STARCH</t>
        </is>
      </c>
      <c r="O67" s="4" t="inlineStr">
        <is>
          <t>REQUEST CRANE &amp; FORKLIFT / FOOD GRADE / SMOOTH FLOOR / N O SMELL / UNDER DECK /</t>
        </is>
      </c>
      <c r="P67" s="4" t="inlineStr">
        <is>
          <t xml:space="preserve">STUFFING DD.20/10/2026 @ PAT (SPORTLIGHT TOWER NO.2) CLS TIME DD.20/10/2026 @ 17.00
CFS : 20 OCT 2026  12X20’DC (LOAD CARGO : 10X20’DC / STORGE PALLET : 2X20’DC)
CFS : 21 OCT 2026  WAITING
CFS : 22 OCT 2026  WAITING
</t>
        </is>
      </c>
      <c r="Q67" s="4" t="n">
        <v>30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HASLS22260902434</t>
        </is>
      </c>
      <c r="B68" s="4" t="inlineStr">
        <is>
          <t>SWAT</t>
        </is>
      </c>
      <c r="C68" s="4" t="inlineStr">
        <is>
          <t>2611N</t>
        </is>
      </c>
      <c r="D68" s="4" t="inlineStr">
        <is>
          <t>202611040500</t>
        </is>
      </c>
      <c r="E68" s="4" t="inlineStr"/>
      <c r="F68" s="4" t="inlineStr">
        <is>
          <t>THBKK</t>
        </is>
      </c>
      <c r="G68" s="4" t="inlineStr">
        <is>
          <t>HKHKG</t>
        </is>
      </c>
      <c r="H68" s="4" t="inlineStr">
        <is>
          <t xml:space="preserve">40Hx1 </t>
        </is>
      </c>
      <c r="I68" s="4" t="inlineStr">
        <is>
          <t>BKK01</t>
        </is>
      </c>
      <c r="J68" s="4" t="inlineStr">
        <is>
          <t>PAT TERMINAL 2 (PORT AUTHORITY OF THAILAND)</t>
        </is>
      </c>
      <c r="K68" s="4" t="inlineStr">
        <is>
          <t>20260923</t>
        </is>
      </c>
      <c r="L68" s="4" t="inlineStr">
        <is>
          <t>YUSEN LOGISTICS (THAILAND) CO., LTD.</t>
        </is>
      </c>
      <c r="M68" s="4" t="inlineStr">
        <is>
          <t>YUSEN LOGISTICS (THAILAND) CO., LTD.</t>
        </is>
      </c>
      <c r="N68" s="4" t="inlineStr">
        <is>
          <t>GENERAL CARGO (CONSOL)</t>
        </is>
      </c>
      <c r="O68" s="4" t="inlineStr">
        <is>
          <t>CONSOL</t>
        </is>
      </c>
      <c r="P68" s="4" t="inlineStr">
        <is>
          <t>Pickup : 2026-09-23, Return : 2026-09-23 CONSOL</t>
        </is>
      </c>
      <c r="Q68" s="4" t="n">
        <v>0</v>
      </c>
      <c r="R68" s="4" t="n">
        <v>0</v>
      </c>
      <c r="S68" s="4" t="n">
        <v>1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HASLS22260801848</t>
        </is>
      </c>
      <c r="B69" s="4" t="inlineStr">
        <is>
          <t>TBN</t>
        </is>
      </c>
      <c r="C69" s="4" t="inlineStr">
        <is>
          <t>001</t>
        </is>
      </c>
      <c r="D69" s="4" t="inlineStr"/>
      <c r="E69" s="4" t="inlineStr"/>
      <c r="F69" s="4" t="inlineStr">
        <is>
          <t>THLCH</t>
        </is>
      </c>
      <c r="G69" s="4" t="inlineStr">
        <is>
          <t>JPYKK</t>
        </is>
      </c>
      <c r="H69" s="4" t="inlineStr">
        <is>
          <t xml:space="preserve">20'x3 </t>
        </is>
      </c>
      <c r="I69" s="4" t="inlineStr">
        <is>
          <t>LCHY5</t>
        </is>
      </c>
      <c r="J69" s="4" t="inlineStr">
        <is>
          <t>PW DEPOT CO., LTD.</t>
        </is>
      </c>
      <c r="K69" s="4" t="inlineStr">
        <is>
          <t>20260908</t>
        </is>
      </c>
      <c r="L69" s="4" t="inlineStr">
        <is>
          <t>DOW CHEMICAL THAILAND LTD.</t>
        </is>
      </c>
      <c r="M69" s="4" t="inlineStr">
        <is>
          <t>DOW CHEMICAL THAILAND LTD.</t>
        </is>
      </c>
      <c r="N69" s="4" t="inlineStr">
        <is>
          <t>RESIN</t>
        </is>
      </c>
      <c r="O69" s="4" t="inlineStr">
        <is>
          <t>RQST CNTR SEABULK &amp; GRADE A</t>
        </is>
      </c>
      <c r="P69" s="4" t="inlineStr">
        <is>
          <t>CY CNTR DD.09/09/2026 RQST CNTR SEABULK &amp; GRADE A</t>
        </is>
      </c>
      <c r="Q69" s="4" t="n">
        <v>3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HASLS22260900168</t>
        </is>
      </c>
      <c r="B70" s="4" t="inlineStr">
        <is>
          <t>KMBK</t>
        </is>
      </c>
      <c r="C70" s="4" t="inlineStr">
        <is>
          <t>2612N</t>
        </is>
      </c>
      <c r="D70" s="4" t="inlineStr">
        <is>
          <t>202610262300</t>
        </is>
      </c>
      <c r="E70" s="4" t="inlineStr"/>
      <c r="F70" s="4" t="inlineStr">
        <is>
          <t>THLCH</t>
        </is>
      </c>
      <c r="G70" s="4" t="inlineStr">
        <is>
          <t>JPTRG</t>
        </is>
      </c>
      <c r="H70" s="4" t="inlineStr">
        <is>
          <t xml:space="preserve">20'x32 </t>
        </is>
      </c>
      <c r="I70" s="4" t="inlineStr">
        <is>
          <t>LCHY5</t>
        </is>
      </c>
      <c r="J70" s="4" t="inlineStr">
        <is>
          <t>PW DEPOT CO., LTD.</t>
        </is>
      </c>
      <c r="K70" s="4" t="inlineStr">
        <is>
          <t>20261019</t>
        </is>
      </c>
      <c r="L70" s="4" t="inlineStr">
        <is>
          <t>PANDA GOGO LOGISTICS CO., LTD.</t>
        </is>
      </c>
      <c r="M70" s="4" t="inlineStr">
        <is>
          <t>GC-M PTA COMPANY LIMITED</t>
        </is>
      </c>
      <c r="N70" s="4" t="inlineStr">
        <is>
          <t>PURIFIED TEREPHTHALIC ACID (HS CODE: 291736)</t>
        </is>
      </c>
      <c r="O70" s="4" t="inlineStr">
        <is>
          <t>SPECIAL REQUEST : SEABULK CONTAINER (FOR TOYOBO SHIPMENT)</t>
        </is>
      </c>
      <c r="P70" s="4" t="inlineStr">
        <is>
          <t>Pickup : 2026-10-19, Return : 2026-10-20</t>
        </is>
      </c>
      <c r="Q70" s="4" t="n">
        <v>32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12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HASLS22260900175</t>
        </is>
      </c>
      <c r="B71" s="4" t="inlineStr">
        <is>
          <t>HAB</t>
        </is>
      </c>
      <c r="C71" s="4" t="inlineStr">
        <is>
          <t>2612N</t>
        </is>
      </c>
      <c r="D71" s="4" t="inlineStr">
        <is>
          <t>202610282300</t>
        </is>
      </c>
      <c r="E71" s="4" t="inlineStr"/>
      <c r="F71" s="4" t="inlineStr">
        <is>
          <t>THLCH</t>
        </is>
      </c>
      <c r="G71" s="4" t="inlineStr">
        <is>
          <t>JPTYO</t>
        </is>
      </c>
      <c r="H71" s="4" t="inlineStr">
        <is>
          <t xml:space="preserve">20'x1 </t>
        </is>
      </c>
      <c r="I71" s="4" t="inlineStr">
        <is>
          <t>LCHY5</t>
        </is>
      </c>
      <c r="J71" s="4" t="inlineStr">
        <is>
          <t>PW DEPOT CO., LTD.</t>
        </is>
      </c>
      <c r="K71" s="4" t="inlineStr">
        <is>
          <t>20261020</t>
        </is>
      </c>
      <c r="L71" s="4" t="inlineStr">
        <is>
          <t>WHA GC LOGISTICS COMPANY LIMITED</t>
        </is>
      </c>
      <c r="M71" s="4" t="inlineStr">
        <is>
          <t>PTT GLOBAL CHEMICAL PUBLIC COMPANY LIMITED</t>
        </is>
      </c>
      <c r="N71" s="4" t="inlineStr">
        <is>
          <t>RESIN</t>
        </is>
      </c>
      <c r="O71" s="4" t="inlineStr">
        <is>
          <t>REQUEST GRADE A CONTAIER + SURVEY EMPTY BEFORE PICK UP DD.15/09/26</t>
        </is>
      </c>
      <c r="P71" s="4" t="inlineStr">
        <is>
          <t xml:space="preserve">SURVER 20/10/2026 CY-RTN 20-24/10/26 (PR2610002350 )
**CHECK OPENGATE BEFORE RETURN CNTR**
</t>
        </is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HASLS22260900547</t>
        </is>
      </c>
      <c r="B72" s="4" t="inlineStr">
        <is>
          <t>TBN</t>
        </is>
      </c>
      <c r="C72" s="4" t="inlineStr">
        <is>
          <t>001</t>
        </is>
      </c>
      <c r="D72" s="4" t="inlineStr"/>
      <c r="E72" s="4" t="inlineStr"/>
      <c r="F72" s="4" t="inlineStr">
        <is>
          <t>THLCH</t>
        </is>
      </c>
      <c r="G72" s="4" t="inlineStr">
        <is>
          <t>JPTRG</t>
        </is>
      </c>
      <c r="H72" s="4" t="inlineStr">
        <is>
          <t xml:space="preserve">20'x3 </t>
        </is>
      </c>
      <c r="I72" s="4" t="inlineStr">
        <is>
          <t>LCHY5</t>
        </is>
      </c>
      <c r="J72" s="4" t="inlineStr">
        <is>
          <t>PW DEPOT CO., LTD.</t>
        </is>
      </c>
      <c r="K72" s="4" t="inlineStr">
        <is>
          <t>20260924</t>
        </is>
      </c>
      <c r="L72" s="4" t="inlineStr">
        <is>
          <t>DOW CHEMICAL THAILAND LTD.</t>
        </is>
      </c>
      <c r="M72" s="4" t="inlineStr">
        <is>
          <t>DOW CHEMICAL THAILAND LTD.</t>
        </is>
      </c>
      <c r="N72" s="4" t="inlineStr">
        <is>
          <t>RESIN</t>
        </is>
      </c>
      <c r="O72" s="4" t="inlineStr">
        <is>
          <t>RQST CNTR SEABULK &amp; GRADE A</t>
        </is>
      </c>
      <c r="P72" s="4" t="inlineStr">
        <is>
          <t>CY CNTR DD.24/09/2026 RQST CNTR SEABULK &amp; GRADE A</t>
        </is>
      </c>
      <c r="Q72" s="4" t="n">
        <v>3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HASLS22260900548</t>
        </is>
      </c>
      <c r="B73" s="4" t="inlineStr">
        <is>
          <t>TBN</t>
        </is>
      </c>
      <c r="C73" s="4" t="inlineStr">
        <is>
          <t>001</t>
        </is>
      </c>
      <c r="D73" s="4" t="inlineStr"/>
      <c r="E73" s="4" t="inlineStr"/>
      <c r="F73" s="4" t="inlineStr">
        <is>
          <t>THLCH</t>
        </is>
      </c>
      <c r="G73" s="4" t="inlineStr">
        <is>
          <t>JPTRG</t>
        </is>
      </c>
      <c r="H73" s="4" t="inlineStr">
        <is>
          <t xml:space="preserve">20'x11 </t>
        </is>
      </c>
      <c r="I73" s="4" t="inlineStr">
        <is>
          <t>LCHY5</t>
        </is>
      </c>
      <c r="J73" s="4" t="inlineStr">
        <is>
          <t>PW DEPOT CO., LTD.</t>
        </is>
      </c>
      <c r="K73" s="4" t="inlineStr">
        <is>
          <t>20260925</t>
        </is>
      </c>
      <c r="L73" s="4" t="inlineStr">
        <is>
          <t>DOW CHEMICAL THAILAND LTD.</t>
        </is>
      </c>
      <c r="M73" s="4" t="inlineStr">
        <is>
          <t>DOW CHEMICAL THAILAND LTD.</t>
        </is>
      </c>
      <c r="N73" s="4" t="inlineStr">
        <is>
          <t>RESIN</t>
        </is>
      </c>
      <c r="O73" s="4" t="inlineStr">
        <is>
          <t>RQST CNTR SEABULK &amp; GRADE A</t>
        </is>
      </c>
      <c r="P73" s="4" t="inlineStr">
        <is>
          <t>CY CNTR DD.25/09/2026 RQST CNTR SEABULK &amp; GRADE A</t>
        </is>
      </c>
      <c r="Q73" s="4" t="n">
        <v>11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HASLS22260900550</t>
        </is>
      </c>
      <c r="B74" s="4" t="inlineStr">
        <is>
          <t>TBN</t>
        </is>
      </c>
      <c r="C74" s="4" t="inlineStr">
        <is>
          <t>001</t>
        </is>
      </c>
      <c r="D74" s="4" t="inlineStr"/>
      <c r="E74" s="4" t="inlineStr"/>
      <c r="F74" s="4" t="inlineStr">
        <is>
          <t>THLCH</t>
        </is>
      </c>
      <c r="G74" s="4" t="inlineStr">
        <is>
          <t>JPYKK</t>
        </is>
      </c>
      <c r="H74" s="4" t="inlineStr">
        <is>
          <t xml:space="preserve">20'x9 </t>
        </is>
      </c>
      <c r="I74" s="4" t="inlineStr">
        <is>
          <t>LCHY5</t>
        </is>
      </c>
      <c r="J74" s="4" t="inlineStr">
        <is>
          <t>PW DEPOT CO., LTD.</t>
        </is>
      </c>
      <c r="K74" s="4" t="inlineStr">
        <is>
          <t>20260917</t>
        </is>
      </c>
      <c r="L74" s="4" t="inlineStr">
        <is>
          <t>DOW CHEMICAL THAILAND LTD.</t>
        </is>
      </c>
      <c r="M74" s="4" t="inlineStr">
        <is>
          <t>DOW CHEMICAL THAILAND LTD.</t>
        </is>
      </c>
      <c r="N74" s="4" t="inlineStr">
        <is>
          <t>RESIN</t>
        </is>
      </c>
      <c r="O74" s="4" t="inlineStr">
        <is>
          <t>RQST CNTR SEABULK &amp; GRADE A</t>
        </is>
      </c>
      <c r="P74" s="4" t="inlineStr">
        <is>
          <t>CY CNTR DD.17/09/2026 RQST CNTR SEABULK &amp; GRADE A</t>
        </is>
      </c>
      <c r="Q74" s="4" t="n">
        <v>9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5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HASLS22260900551</t>
        </is>
      </c>
      <c r="B75" s="4" t="inlineStr">
        <is>
          <t>TBN</t>
        </is>
      </c>
      <c r="C75" s="4" t="inlineStr">
        <is>
          <t>001</t>
        </is>
      </c>
      <c r="D75" s="4" t="inlineStr"/>
      <c r="E75" s="4" t="inlineStr"/>
      <c r="F75" s="4" t="inlineStr">
        <is>
          <t>THLCH</t>
        </is>
      </c>
      <c r="G75" s="4" t="inlineStr">
        <is>
          <t>JPYKK</t>
        </is>
      </c>
      <c r="H75" s="4" t="inlineStr">
        <is>
          <t xml:space="preserve">20'x10 </t>
        </is>
      </c>
      <c r="I75" s="4" t="inlineStr">
        <is>
          <t>LCHY5</t>
        </is>
      </c>
      <c r="J75" s="4" t="inlineStr">
        <is>
          <t>PW DEPOT CO., LTD.</t>
        </is>
      </c>
      <c r="K75" s="4" t="inlineStr">
        <is>
          <t>20260926</t>
        </is>
      </c>
      <c r="L75" s="4" t="inlineStr">
        <is>
          <t>DOW CHEMICAL THAILAND LTD.</t>
        </is>
      </c>
      <c r="M75" s="4" t="inlineStr">
        <is>
          <t>DOW CHEMICAL THAILAND LTD.</t>
        </is>
      </c>
      <c r="N75" s="4" t="inlineStr">
        <is>
          <t>RESIN</t>
        </is>
      </c>
      <c r="O75" s="4" t="inlineStr">
        <is>
          <t>RQST CNTR SEABULK &amp; GRADE A</t>
        </is>
      </c>
      <c r="P75" s="4" t="inlineStr">
        <is>
          <t>CY CNTR DD.26/09/2026 RQST CNTR SEABULK &amp; GRADE A</t>
        </is>
      </c>
      <c r="Q75" s="4" t="n">
        <v>10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HASLS22260900767</t>
        </is>
      </c>
      <c r="B76" s="4" t="inlineStr">
        <is>
          <t>HAB</t>
        </is>
      </c>
      <c r="C76" s="4" t="inlineStr">
        <is>
          <t>2612N</t>
        </is>
      </c>
      <c r="D76" s="4" t="inlineStr">
        <is>
          <t>202610282300</t>
        </is>
      </c>
      <c r="E76" s="4" t="inlineStr"/>
      <c r="F76" s="4" t="inlineStr">
        <is>
          <t>THLCH</t>
        </is>
      </c>
      <c r="G76" s="4" t="inlineStr">
        <is>
          <t>CNSHA</t>
        </is>
      </c>
      <c r="H76" s="4" t="inlineStr">
        <is>
          <t xml:space="preserve">20'x25 </t>
        </is>
      </c>
      <c r="I76" s="4" t="inlineStr">
        <is>
          <t>LCHY5</t>
        </is>
      </c>
      <c r="J76" s="4" t="inlineStr">
        <is>
          <t>PW DEPOT CO., LTD.</t>
        </is>
      </c>
      <c r="K76" s="4" t="inlineStr">
        <is>
          <t>20261016</t>
        </is>
      </c>
      <c r="L76" s="4" t="inlineStr">
        <is>
          <t>CANVAS GLOBAL LOGISTICS (THAILAND) CO., LTD.</t>
        </is>
      </c>
      <c r="M76" s="4" t="inlineStr">
        <is>
          <t>NEW BIODIESEL CO.,LTD.</t>
        </is>
      </c>
      <c r="N76" s="4" t="inlineStr">
        <is>
          <t>PALM OIL IN FLEXIBAG</t>
        </is>
      </c>
      <c r="O76" s="4" t="inlineStr">
        <is>
          <t>**APPROVAL BY MR. KIM JAE-HYUNG DD.22/09/2026** *FLEXIBAG*</t>
        </is>
      </c>
      <c r="P76" s="4" t="inlineStr">
        <is>
          <t>**APPROVAL BY MR. KIM JAE-HYUNG DD.22/09/2026** *FLEXIBAG*
Pickup : 2026-10-16, Return : 2026-10-20</t>
        </is>
      </c>
      <c r="Q76" s="4" t="n">
        <v>25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4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HASLS22260900989</t>
        </is>
      </c>
      <c r="B77" s="4" t="inlineStr">
        <is>
          <t>HAB</t>
        </is>
      </c>
      <c r="C77" s="4" t="inlineStr">
        <is>
          <t>2612N</t>
        </is>
      </c>
      <c r="D77" s="4" t="inlineStr">
        <is>
          <t>202610282300</t>
        </is>
      </c>
      <c r="E77" s="4" t="inlineStr"/>
      <c r="F77" s="4" t="inlineStr">
        <is>
          <t>THLCH</t>
        </is>
      </c>
      <c r="G77" s="4" t="inlineStr">
        <is>
          <t>CNSHA</t>
        </is>
      </c>
      <c r="H77" s="4" t="inlineStr">
        <is>
          <t xml:space="preserve">20'x2 </t>
        </is>
      </c>
      <c r="I77" s="4" t="inlineStr">
        <is>
          <t>LCHY5</t>
        </is>
      </c>
      <c r="J77" s="4" t="inlineStr">
        <is>
          <t>PW DEPOT CO., LTD.</t>
        </is>
      </c>
      <c r="K77" s="4" t="inlineStr">
        <is>
          <t>20261020</t>
        </is>
      </c>
      <c r="L77" s="4" t="inlineStr">
        <is>
          <t>L.A.1 CO.,LTD.</t>
        </is>
      </c>
      <c r="M77" s="4" t="inlineStr">
        <is>
          <t>TANATEX CHEMICALS (THAILAND) CO., LTD.</t>
        </is>
      </c>
      <c r="N77" s="4" t="inlineStr">
        <is>
          <t>CHEMICALS PRODUCT (NON DG)</t>
        </is>
      </c>
      <c r="O77" s="4" t="inlineStr">
        <is>
          <t>GOOD AND CLEAN CONTAINER</t>
        </is>
      </c>
      <c r="P77" s="4" t="inlineStr">
        <is>
          <t>Pickup : 2026-10-20, Return : 2026-10-21</t>
        </is>
      </c>
      <c r="Q77" s="4" t="n">
        <v>2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HASLS22260901009</t>
        </is>
      </c>
      <c r="B78" s="4" t="inlineStr">
        <is>
          <t>SWMM</t>
        </is>
      </c>
      <c r="C78" s="4" t="inlineStr">
        <is>
          <t>2610N</t>
        </is>
      </c>
      <c r="D78" s="4" t="inlineStr">
        <is>
          <t>202610251730</t>
        </is>
      </c>
      <c r="E78" s="4" t="inlineStr"/>
      <c r="F78" s="4" t="inlineStr">
        <is>
          <t>THLCH</t>
        </is>
      </c>
      <c r="G78" s="4" t="inlineStr">
        <is>
          <t>VNSGN</t>
        </is>
      </c>
      <c r="H78" s="4" t="inlineStr">
        <is>
          <t xml:space="preserve">20'x1 </t>
        </is>
      </c>
      <c r="I78" s="4" t="inlineStr">
        <is>
          <t>LCHY5</t>
        </is>
      </c>
      <c r="J78" s="4" t="inlineStr">
        <is>
          <t>PW DEPOT CO., LTD.</t>
        </is>
      </c>
      <c r="K78" s="4" t="inlineStr">
        <is>
          <t>20261016</t>
        </is>
      </c>
      <c r="L78" s="4" t="inlineStr">
        <is>
          <t>UBE CHEMICALS (ASIA) PUBLIC COMPANY LIMITED</t>
        </is>
      </c>
      <c r="M78" s="4" t="inlineStr">
        <is>
          <t>UBE CHEMICALS (ASIA) PUBLIC COMPANY LIMITED</t>
        </is>
      </c>
      <c r="N78" s="4" t="inlineStr">
        <is>
          <t>RESIN</t>
        </is>
      </c>
      <c r="O78" s="4" t="inlineStr">
        <is>
          <t>Good grade or food grade container for WITHOUT PALLET</t>
        </is>
      </c>
      <c r="P78" s="4" t="inlineStr">
        <is>
          <t xml:space="preserve">CY-RTN 16-17/10/26 (2002054476) </t>
        </is>
      </c>
      <c r="Q78" s="4" t="n">
        <v>1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HASLS22260901014</t>
        </is>
      </c>
      <c r="B79" s="4" t="inlineStr">
        <is>
          <t>SWMM</t>
        </is>
      </c>
      <c r="C79" s="4" t="inlineStr">
        <is>
          <t>2610N</t>
        </is>
      </c>
      <c r="D79" s="4" t="inlineStr">
        <is>
          <t>202610251730</t>
        </is>
      </c>
      <c r="E79" s="4" t="inlineStr"/>
      <c r="F79" s="4" t="inlineStr">
        <is>
          <t>THLCH</t>
        </is>
      </c>
      <c r="G79" s="4" t="inlineStr">
        <is>
          <t>VNSGN</t>
        </is>
      </c>
      <c r="H79" s="4" t="inlineStr">
        <is>
          <t xml:space="preserve">20'x1 </t>
        </is>
      </c>
      <c r="I79" s="4" t="inlineStr">
        <is>
          <t>LCHY5</t>
        </is>
      </c>
      <c r="J79" s="4" t="inlineStr">
        <is>
          <t>PW DEPOT CO., LTD.</t>
        </is>
      </c>
      <c r="K79" s="4" t="inlineStr">
        <is>
          <t>20261016</t>
        </is>
      </c>
      <c r="L79" s="4" t="inlineStr">
        <is>
          <t>UBE CHEMICALS (ASIA) PUBLIC COMPANY LIMITED</t>
        </is>
      </c>
      <c r="M79" s="4" t="inlineStr">
        <is>
          <t>UBE CHEMICALS (ASIA) PUBLIC COMPANY LIMITED</t>
        </is>
      </c>
      <c r="N79" s="4" t="inlineStr">
        <is>
          <t>RESIN</t>
        </is>
      </c>
      <c r="O79" s="4" t="inlineStr">
        <is>
          <t>Good grade or food grade container for WITHOUT PALLET</t>
        </is>
      </c>
      <c r="P79" s="4" t="inlineStr">
        <is>
          <t>CY-RTN 16-17/10/26 (2002054477)</t>
        </is>
      </c>
      <c r="Q79" s="4" t="n">
        <v>1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HASLS22260901176</t>
        </is>
      </c>
      <c r="B80" s="4" t="inlineStr">
        <is>
          <t>HAHM</t>
        </is>
      </c>
      <c r="C80" s="4" t="inlineStr">
        <is>
          <t>2612N</t>
        </is>
      </c>
      <c r="D80" s="4" t="inlineStr">
        <is>
          <t>202610280700</t>
        </is>
      </c>
      <c r="E80" s="4" t="inlineStr"/>
      <c r="F80" s="4" t="inlineStr">
        <is>
          <t>THLCH</t>
        </is>
      </c>
      <c r="G80" s="4" t="inlineStr">
        <is>
          <t>VNSGN</t>
        </is>
      </c>
      <c r="H80" s="4" t="inlineStr">
        <is>
          <t xml:space="preserve">40Hx2 </t>
        </is>
      </c>
      <c r="I80" s="4" t="inlineStr">
        <is>
          <t>LCHY5</t>
        </is>
      </c>
      <c r="J80" s="4" t="inlineStr">
        <is>
          <t>PW DEPOT CO., LTD.</t>
        </is>
      </c>
      <c r="K80" s="4" t="inlineStr">
        <is>
          <t>20261016</t>
        </is>
      </c>
      <c r="L80" s="4" t="inlineStr">
        <is>
          <t>WHA GC LOGISTICS COMPANY LIMITED</t>
        </is>
      </c>
      <c r="M80" s="4" t="inlineStr">
        <is>
          <t>PTT GLOBAL CHEMICAL PUBLIC COMPANY LIMITED</t>
        </is>
      </c>
      <c r="N80" s="4" t="inlineStr">
        <is>
          <t>RESIN</t>
        </is>
      </c>
      <c r="O80" s="4" t="inlineStr">
        <is>
          <t>*** REQ. GOOD &amp; CLEAN  CONT. .( NO SMELL)  ***</t>
        </is>
      </c>
      <c r="P80" s="4" t="inlineStr">
        <is>
          <t>CY-RTN 16-20/10/26 
*PLS CHECK OPEN GATE BEFORE RETURN CTNR*</t>
        </is>
      </c>
      <c r="Q80" s="4" t="n">
        <v>0</v>
      </c>
      <c r="R80" s="4" t="n">
        <v>0</v>
      </c>
      <c r="S80" s="4" t="n">
        <v>2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HASLS22260901311</t>
        </is>
      </c>
      <c r="B81" s="4" t="inlineStr">
        <is>
          <t>HAB</t>
        </is>
      </c>
      <c r="C81" s="4" t="inlineStr">
        <is>
          <t>2612N</t>
        </is>
      </c>
      <c r="D81" s="4" t="inlineStr">
        <is>
          <t>202610282300</t>
        </is>
      </c>
      <c r="E81" s="4" t="inlineStr"/>
      <c r="F81" s="4" t="inlineStr">
        <is>
          <t>THLCH</t>
        </is>
      </c>
      <c r="G81" s="4" t="inlineStr">
        <is>
          <t>CNSHA</t>
        </is>
      </c>
      <c r="H81" s="4" t="inlineStr">
        <is>
          <t xml:space="preserve">40Hx12 </t>
        </is>
      </c>
      <c r="I81" s="4" t="inlineStr">
        <is>
          <t>LCHY5</t>
        </is>
      </c>
      <c r="J81" s="4" t="inlineStr">
        <is>
          <t>PW DEPOT CO., LTD.</t>
        </is>
      </c>
      <c r="K81" s="4" t="inlineStr">
        <is>
          <t>20261020</t>
        </is>
      </c>
      <c r="L81" s="4" t="inlineStr">
        <is>
          <t>WHA GC LOGISTICS COMPANY LIMITED</t>
        </is>
      </c>
      <c r="M81" s="4" t="inlineStr">
        <is>
          <t>PTT GLOBAL CHEMICAL PUBLIC COMPANY LIMITED</t>
        </is>
      </c>
      <c r="N81" s="4" t="inlineStr">
        <is>
          <t>RESIN</t>
        </is>
      </c>
      <c r="O81" s="4" t="inlineStr">
        <is>
          <t>GOOD AND CLEAN CONTAINER</t>
        </is>
      </c>
      <c r="P81" s="4" t="inlineStr">
        <is>
          <t>CY-RTN: 20-23/10/2026  (1ST RETURN 22/10/26)</t>
        </is>
      </c>
      <c r="Q81" s="4" t="n">
        <v>0</v>
      </c>
      <c r="R81" s="4" t="n">
        <v>0</v>
      </c>
      <c r="S81" s="4" t="n">
        <v>12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2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HASLS22260901660</t>
        </is>
      </c>
      <c r="B82" s="4" t="inlineStr">
        <is>
          <t>KXM</t>
        </is>
      </c>
      <c r="C82" s="4" t="inlineStr">
        <is>
          <t>2609S</t>
        </is>
      </c>
      <c r="D82" s="4" t="inlineStr">
        <is>
          <t>202611090200</t>
        </is>
      </c>
      <c r="E82" s="4" t="inlineStr"/>
      <c r="F82" s="4" t="inlineStr">
        <is>
          <t>THLCH</t>
        </is>
      </c>
      <c r="G82" s="4" t="inlineStr">
        <is>
          <t>IDJKT</t>
        </is>
      </c>
      <c r="H82" s="4" t="inlineStr">
        <is>
          <t xml:space="preserve">40Hx3 </t>
        </is>
      </c>
      <c r="I82" s="4" t="inlineStr">
        <is>
          <t>LCHY5</t>
        </is>
      </c>
      <c r="J82" s="4" t="inlineStr">
        <is>
          <t>PW DEPOT CO., LTD.</t>
        </is>
      </c>
      <c r="K82" s="4" t="inlineStr">
        <is>
          <t>20261005</t>
        </is>
      </c>
      <c r="L82" s="4" t="inlineStr">
        <is>
          <t>YUSEN LOGISTICS (THAILAND) CO., LTD.</t>
        </is>
      </c>
      <c r="M82" s="4" t="inlineStr">
        <is>
          <t>OATSIDE (THAILAND) LIMITED.</t>
        </is>
      </c>
      <c r="N82" s="4" t="inlineStr">
        <is>
          <t>OAT MILK ( GOOD GRADE CONTAINER REQUIRED)</t>
        </is>
      </c>
      <c r="O82" s="4" t="inlineStr">
        <is>
          <t>Good dry and clean container
Food grade container only
Rust-Free interior
No Physical Damage.</t>
        </is>
      </c>
      <c r="P82" s="4" t="inlineStr">
        <is>
          <t>Pickup : 2026-10-05, Return : 2026-10-05</t>
        </is>
      </c>
      <c r="Q82" s="4" t="n">
        <v>0</v>
      </c>
      <c r="R82" s="4" t="n">
        <v>0</v>
      </c>
      <c r="S82" s="4" t="n">
        <v>3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HASLS22260901945</t>
        </is>
      </c>
      <c r="B83" s="4" t="inlineStr">
        <is>
          <t>TBN</t>
        </is>
      </c>
      <c r="C83" s="4" t="inlineStr">
        <is>
          <t>001</t>
        </is>
      </c>
      <c r="D83" s="4" t="inlineStr"/>
      <c r="E83" s="4" t="inlineStr"/>
      <c r="F83" s="4" t="inlineStr">
        <is>
          <t>THLCH</t>
        </is>
      </c>
      <c r="G83" s="4" t="inlineStr">
        <is>
          <t>JPYKK</t>
        </is>
      </c>
      <c r="H83" s="4" t="inlineStr">
        <is>
          <t xml:space="preserve">20'x7 </t>
        </is>
      </c>
      <c r="I83" s="4" t="inlineStr">
        <is>
          <t>LCHY5</t>
        </is>
      </c>
      <c r="J83" s="4" t="inlineStr">
        <is>
          <t>PW DEPOT CO., LTD.</t>
        </is>
      </c>
      <c r="K83" s="4" t="inlineStr">
        <is>
          <t>20260924</t>
        </is>
      </c>
      <c r="L83" s="4" t="inlineStr">
        <is>
          <t>DOW CHEMICAL THAILAND LTD.</t>
        </is>
      </c>
      <c r="M83" s="4" t="inlineStr">
        <is>
          <t>DOW CHEMICAL THAILAND LTD.</t>
        </is>
      </c>
      <c r="N83" s="4" t="inlineStr">
        <is>
          <t>RESIN</t>
        </is>
      </c>
      <c r="O83" s="4" t="inlineStr">
        <is>
          <t>RQST CNTR SEABULK &amp; GRADE A</t>
        </is>
      </c>
      <c r="P83" s="4" t="inlineStr">
        <is>
          <t>CY CNTR DD.24/09/2026 RQST CNTR SEABULK &amp; GRADE A</t>
        </is>
      </c>
      <c r="Q83" s="4" t="n">
        <v>7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6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HASLS22260901946</t>
        </is>
      </c>
      <c r="B84" s="4" t="inlineStr">
        <is>
          <t>TBN</t>
        </is>
      </c>
      <c r="C84" s="4" t="inlineStr">
        <is>
          <t>001</t>
        </is>
      </c>
      <c r="D84" s="4" t="inlineStr"/>
      <c r="E84" s="4" t="inlineStr"/>
      <c r="F84" s="4" t="inlineStr">
        <is>
          <t>THLCH</t>
        </is>
      </c>
      <c r="G84" s="4" t="inlineStr">
        <is>
          <t>JPYKK</t>
        </is>
      </c>
      <c r="H84" s="4" t="inlineStr">
        <is>
          <t xml:space="preserve">20'x4 </t>
        </is>
      </c>
      <c r="I84" s="4" t="inlineStr">
        <is>
          <t>LCHY5</t>
        </is>
      </c>
      <c r="J84" s="4" t="inlineStr">
        <is>
          <t>PW DEPOT CO., LTD.</t>
        </is>
      </c>
      <c r="K84" s="4" t="inlineStr">
        <is>
          <t>20260925</t>
        </is>
      </c>
      <c r="L84" s="4" t="inlineStr">
        <is>
          <t>DOW CHEMICAL THAILAND LTD.</t>
        </is>
      </c>
      <c r="M84" s="4" t="inlineStr">
        <is>
          <t>DOW CHEMICAL THAILAND LTD.</t>
        </is>
      </c>
      <c r="N84" s="4" t="inlineStr">
        <is>
          <t>RESIN</t>
        </is>
      </c>
      <c r="O84" s="4" t="inlineStr">
        <is>
          <t>RQST CNTR SEABULK &amp; GRADE A</t>
        </is>
      </c>
      <c r="P84" s="4" t="inlineStr">
        <is>
          <t>CY CNTR DD.25/09/2026 RQST CNTR SEABULK &amp; GRADE A</t>
        </is>
      </c>
      <c r="Q84" s="4" t="n">
        <v>4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1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HASLS22260902385</t>
        </is>
      </c>
      <c r="B85" s="4" t="inlineStr">
        <is>
          <t>SWMM</t>
        </is>
      </c>
      <c r="C85" s="4" t="inlineStr">
        <is>
          <t>2610N</t>
        </is>
      </c>
      <c r="D85" s="4" t="inlineStr">
        <is>
          <t>202610251730</t>
        </is>
      </c>
      <c r="E85" s="4" t="inlineStr"/>
      <c r="F85" s="4" t="inlineStr">
        <is>
          <t>THLCH</t>
        </is>
      </c>
      <c r="G85" s="4" t="inlineStr">
        <is>
          <t>VNSGN</t>
        </is>
      </c>
      <c r="H85" s="4" t="inlineStr">
        <is>
          <t xml:space="preserve">40Hx6 </t>
        </is>
      </c>
      <c r="I85" s="4" t="inlineStr">
        <is>
          <t>LCHY5</t>
        </is>
      </c>
      <c r="J85" s="4" t="inlineStr">
        <is>
          <t>PW DEPOT CO., LTD.</t>
        </is>
      </c>
      <c r="K85" s="4" t="inlineStr">
        <is>
          <t>20261019</t>
        </is>
      </c>
      <c r="L85" s="4" t="inlineStr">
        <is>
          <t>GGS LINES (THAILAND) CO., LTD.</t>
        </is>
      </c>
      <c r="M85" s="4" t="inlineStr">
        <is>
          <t>BERLI JUCKER CELLOX LIMITED</t>
        </is>
      </c>
      <c r="N85" s="4" t="inlineStr">
        <is>
          <t>TISSUE</t>
        </is>
      </c>
      <c r="O85" s="4" t="inlineStr">
        <is>
          <t>REQUEST GOOD GRADE CONTAINER</t>
        </is>
      </c>
      <c r="P85" s="4" t="inlineStr">
        <is>
          <t xml:space="preserve">Pickup : 2026-10-19, Return : 2026-10-20 
 ** PLEASE CHECK OPEN GATE BEFORE RETURN CNTR **
</t>
        </is>
      </c>
      <c r="Q85" s="4" t="n">
        <v>0</v>
      </c>
      <c r="R85" s="4" t="n">
        <v>0</v>
      </c>
      <c r="S85" s="4" t="n">
        <v>6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3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HASLS22260902488</t>
        </is>
      </c>
      <c r="B86" s="4" t="inlineStr">
        <is>
          <t>HAB</t>
        </is>
      </c>
      <c r="C86" s="4" t="inlineStr">
        <is>
          <t>2612N</t>
        </is>
      </c>
      <c r="D86" s="4" t="inlineStr">
        <is>
          <t>202610282300</t>
        </is>
      </c>
      <c r="E86" s="4" t="inlineStr"/>
      <c r="F86" s="4" t="inlineStr">
        <is>
          <t>THLCH</t>
        </is>
      </c>
      <c r="G86" s="4" t="inlineStr">
        <is>
          <t>CNSHA</t>
        </is>
      </c>
      <c r="H86" s="4" t="inlineStr">
        <is>
          <t xml:space="preserve">40Hx4 </t>
        </is>
      </c>
      <c r="I86" s="4" t="inlineStr">
        <is>
          <t>LCHY5</t>
        </is>
      </c>
      <c r="J86" s="4" t="inlineStr">
        <is>
          <t>PW DEPOT CO., LTD.</t>
        </is>
      </c>
      <c r="K86" s="4" t="inlineStr">
        <is>
          <t>20261016</t>
        </is>
      </c>
      <c r="L86" s="4" t="inlineStr">
        <is>
          <t>SCGJWD LOGISTICS PUBLIC COMPANY LIMITED</t>
        </is>
      </c>
      <c r="M86" s="4" t="inlineStr">
        <is>
          <t>THAI POLYETHYLENE CO., LTD.</t>
        </is>
      </c>
      <c r="N86" s="4" t="inlineStr">
        <is>
          <t>RESIN</t>
        </is>
      </c>
      <c r="O86" s="4" t="inlineStr">
        <is>
          <t>REQ GOOD AND CLEAN CONT., NO OIL, NO RUSTY</t>
        </is>
      </c>
      <c r="P86" s="4" t="inlineStr">
        <is>
          <t>CY-RTN: 16-20/10/2026 
INV.3031062366 
REQ GOOD AND CLEAN CONT., NO OIL, NO RUSTY</t>
        </is>
      </c>
      <c r="Q86" s="4" t="n">
        <v>0</v>
      </c>
      <c r="R86" s="4" t="n">
        <v>0</v>
      </c>
      <c r="S86" s="4" t="n">
        <v>4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HASLS22260902492</t>
        </is>
      </c>
      <c r="B87" s="4" t="inlineStr">
        <is>
          <t>HMVY</t>
        </is>
      </c>
      <c r="C87" s="4" t="inlineStr">
        <is>
          <t>2609N</t>
        </is>
      </c>
      <c r="D87" s="4" t="inlineStr">
        <is>
          <t>202610271300</t>
        </is>
      </c>
      <c r="E87" s="4" t="inlineStr"/>
      <c r="F87" s="4" t="inlineStr">
        <is>
          <t>THLCH</t>
        </is>
      </c>
      <c r="G87" s="4" t="inlineStr">
        <is>
          <t>CNSHA</t>
        </is>
      </c>
      <c r="H87" s="4" t="inlineStr">
        <is>
          <t xml:space="preserve">40Hx3 </t>
        </is>
      </c>
      <c r="I87" s="4" t="inlineStr">
        <is>
          <t>LCHY5</t>
        </is>
      </c>
      <c r="J87" s="4" t="inlineStr">
        <is>
          <t>PW DEPOT CO., LTD.</t>
        </is>
      </c>
      <c r="K87" s="4" t="inlineStr">
        <is>
          <t>20261009</t>
        </is>
      </c>
      <c r="L87" s="4" t="inlineStr">
        <is>
          <t>SCGJWD LOGISTICS PUBLIC COMPANY LIMITED</t>
        </is>
      </c>
      <c r="M87" s="4" t="inlineStr">
        <is>
          <t>THAI POLYETHYLENE CO., LTD.</t>
        </is>
      </c>
      <c r="N87" s="4" t="inlineStr">
        <is>
          <t>RESIN</t>
        </is>
      </c>
      <c r="O87" s="4" t="inlineStr">
        <is>
          <t>REQ GOOD AND CLEAN CONT., NO OIL, NO RUSTY</t>
        </is>
      </c>
      <c r="P87" s="4" t="inlineStr">
        <is>
          <t xml:space="preserve">CY-RTN 09-12/10/26 (INV. 3031062392)
</t>
        </is>
      </c>
      <c r="Q87" s="4" t="n">
        <v>0</v>
      </c>
      <c r="R87" s="4" t="n">
        <v>0</v>
      </c>
      <c r="S87" s="4" t="n">
        <v>3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HASLS22260902504</t>
        </is>
      </c>
      <c r="B88" s="4" t="inlineStr">
        <is>
          <t>HAHM</t>
        </is>
      </c>
      <c r="C88" s="4" t="inlineStr">
        <is>
          <t>2612N</t>
        </is>
      </c>
      <c r="D88" s="4" t="inlineStr">
        <is>
          <t>202610280700</t>
        </is>
      </c>
      <c r="E88" s="4" t="inlineStr"/>
      <c r="F88" s="4" t="inlineStr">
        <is>
          <t>THLCH</t>
        </is>
      </c>
      <c r="G88" s="4" t="inlineStr">
        <is>
          <t>VNSGN</t>
        </is>
      </c>
      <c r="H88" s="4" t="inlineStr">
        <is>
          <t xml:space="preserve">40Hx1 20'x1 </t>
        </is>
      </c>
      <c r="I88" s="4" t="inlineStr">
        <is>
          <t>LCHY5</t>
        </is>
      </c>
      <c r="J88" s="4" t="inlineStr">
        <is>
          <t>PW DEPOT CO., LTD.</t>
        </is>
      </c>
      <c r="K88" s="4" t="inlineStr">
        <is>
          <t>20261019</t>
        </is>
      </c>
      <c r="L88" s="4" t="inlineStr">
        <is>
          <t>MILLENNIUM AIR-SEA SERVICE CO., LTD.</t>
        </is>
      </c>
      <c r="M88" s="4" t="inlineStr">
        <is>
          <t>TIETEX ASIA LIMITED</t>
        </is>
      </c>
      <c r="N88" s="4" t="inlineStr">
        <is>
          <t>POLYESTER</t>
        </is>
      </c>
      <c r="O88" s="4" t="inlineStr">
        <is>
          <t>GOOD AND CLEAN CONTAINER</t>
        </is>
      </c>
      <c r="P88" s="4" t="inlineStr">
        <is>
          <t>Pickup : 2026-10-19, Return : 2026-10-20</t>
        </is>
      </c>
      <c r="Q88" s="4" t="n">
        <v>1</v>
      </c>
      <c r="R88" s="4" t="n">
        <v>0</v>
      </c>
      <c r="S88" s="4" t="n">
        <v>1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HASLS22260902549</t>
        </is>
      </c>
      <c r="B89" s="4" t="inlineStr">
        <is>
          <t>SWAT</t>
        </is>
      </c>
      <c r="C89" s="4" t="inlineStr">
        <is>
          <t>2611N</t>
        </is>
      </c>
      <c r="D89" s="4" t="inlineStr">
        <is>
          <t>202611042200</t>
        </is>
      </c>
      <c r="E89" s="4" t="inlineStr"/>
      <c r="F89" s="4" t="inlineStr">
        <is>
          <t>THLCH</t>
        </is>
      </c>
      <c r="G89" s="4" t="inlineStr">
        <is>
          <t>CNSHK</t>
        </is>
      </c>
      <c r="H89" s="4" t="inlineStr">
        <is>
          <t xml:space="preserve">40Hx1 </t>
        </is>
      </c>
      <c r="I89" s="4" t="inlineStr">
        <is>
          <t>LCHY5</t>
        </is>
      </c>
      <c r="J89" s="4" t="inlineStr">
        <is>
          <t>PW DEPOT CO., LTD.</t>
        </is>
      </c>
      <c r="K89" s="4" t="inlineStr">
        <is>
          <t>20260926</t>
        </is>
      </c>
      <c r="L89" s="4" t="inlineStr">
        <is>
          <t>AWOT GLOBAL LOGISTICS (THAILAND) CO., LTD.</t>
        </is>
      </c>
      <c r="M89" s="4" t="inlineStr">
        <is>
          <t>THAIXING CIRCUITS CO., LTD.</t>
        </is>
      </c>
      <c r="N89" s="4" t="inlineStr">
        <is>
          <t>MULTILAYER PRINTED CIRCUIT BOARD</t>
        </is>
      </c>
      <c r="O89" s="4" t="inlineStr">
        <is>
          <t>GOOD AND CLEAN CONTAINER</t>
        </is>
      </c>
      <c r="P89" s="4" t="inlineStr">
        <is>
          <t>Pickup : 2026-09-26, Return : 2026-09-27</t>
        </is>
      </c>
      <c r="Q89" s="4" t="n">
        <v>0</v>
      </c>
      <c r="R89" s="4" t="n">
        <v>0</v>
      </c>
      <c r="S89" s="4" t="n">
        <v>1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HASLS22261000008</t>
        </is>
      </c>
      <c r="B90" s="4" t="inlineStr">
        <is>
          <t>KMBK</t>
        </is>
      </c>
      <c r="C90" s="4" t="inlineStr">
        <is>
          <t>2612N</t>
        </is>
      </c>
      <c r="D90" s="4" t="inlineStr">
        <is>
          <t>202610262300</t>
        </is>
      </c>
      <c r="E90" s="4" t="inlineStr"/>
      <c r="F90" s="4" t="inlineStr">
        <is>
          <t>THLCH</t>
        </is>
      </c>
      <c r="G90" s="4" t="inlineStr">
        <is>
          <t>KRPUS</t>
        </is>
      </c>
      <c r="H90" s="4" t="inlineStr">
        <is>
          <t xml:space="preserve">20'x1 </t>
        </is>
      </c>
      <c r="I90" s="4" t="inlineStr">
        <is>
          <t>LCHY5</t>
        </is>
      </c>
      <c r="J90" s="4" t="inlineStr">
        <is>
          <t>PW DEPOT CO., LTD.</t>
        </is>
      </c>
      <c r="K90" s="4" t="inlineStr">
        <is>
          <t>20261019</t>
        </is>
      </c>
      <c r="L90" s="4" t="inlineStr">
        <is>
          <t>UBE CHEMICALS (ASIA) PUBLIC COMPANY LIMITED</t>
        </is>
      </c>
      <c r="M90" s="4" t="inlineStr">
        <is>
          <t>UBE CHEMICALS (ASIA) PUBLIC COMPANY LIMITED</t>
        </is>
      </c>
      <c r="N90" s="4" t="inlineStr">
        <is>
          <t>POLYAMIDE RESIN</t>
        </is>
      </c>
      <c r="O90" s="4" t="inlineStr">
        <is>
          <t>Sound and Clean</t>
        </is>
      </c>
      <c r="P90" s="4" t="inlineStr">
        <is>
          <t>CY-RTN 19-21/1/26 
SAP SO : 2002054816</t>
        </is>
      </c>
      <c r="Q90" s="4" t="n">
        <v>1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HASLS22261000084</t>
        </is>
      </c>
      <c r="B91" s="4" t="inlineStr">
        <is>
          <t>HAB</t>
        </is>
      </c>
      <c r="C91" s="4" t="inlineStr">
        <is>
          <t>2612N</t>
        </is>
      </c>
      <c r="D91" s="4" t="inlineStr">
        <is>
          <t>202610282300</t>
        </is>
      </c>
      <c r="E91" s="4" t="inlineStr"/>
      <c r="F91" s="4" t="inlineStr">
        <is>
          <t>THLCH</t>
        </is>
      </c>
      <c r="G91" s="4" t="inlineStr">
        <is>
          <t>JPKMJ</t>
        </is>
      </c>
      <c r="H91" s="4" t="inlineStr">
        <is>
          <t xml:space="preserve">20'x3 </t>
        </is>
      </c>
      <c r="I91" s="4" t="inlineStr">
        <is>
          <t>LCHY5</t>
        </is>
      </c>
      <c r="J91" s="4" t="inlineStr">
        <is>
          <t>PW DEPOT CO., LTD.</t>
        </is>
      </c>
      <c r="K91" s="4" t="inlineStr">
        <is>
          <t>20261019</t>
        </is>
      </c>
      <c r="L91" s="4" t="inlineStr">
        <is>
          <t>WHA GC LOGISTICS COMPANY LIMITED</t>
        </is>
      </c>
      <c r="M91" s="4" t="inlineStr">
        <is>
          <t>PTT GLOBAL CHEMICAL PUBLIC COMPANY LIMITED</t>
        </is>
      </c>
      <c r="N91" s="4" t="inlineStr">
        <is>
          <t>RESIN</t>
        </is>
      </c>
      <c r="O91" s="4" t="inlineStr">
        <is>
          <t>GOOD AND CLEAN CONTAINERS</t>
        </is>
      </c>
      <c r="P91" s="4" t="inlineStr">
        <is>
          <t xml:space="preserve">CY-RTN 19-22/10/26 (PR2610002576 )
</t>
        </is>
      </c>
      <c r="Q91" s="4" t="n">
        <v>3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2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HASLS22261000171</t>
        </is>
      </c>
      <c r="B92" s="4" t="inlineStr">
        <is>
          <t>HAB</t>
        </is>
      </c>
      <c r="C92" s="4" t="inlineStr">
        <is>
          <t>2612N</t>
        </is>
      </c>
      <c r="D92" s="4" t="inlineStr">
        <is>
          <t>202610282300</t>
        </is>
      </c>
      <c r="E92" s="4" t="inlineStr"/>
      <c r="F92" s="4" t="inlineStr">
        <is>
          <t>THLCH</t>
        </is>
      </c>
      <c r="G92" s="4" t="inlineStr">
        <is>
          <t>CNSHA</t>
        </is>
      </c>
      <c r="H92" s="4" t="inlineStr">
        <is>
          <t xml:space="preserve">20'x5 </t>
        </is>
      </c>
      <c r="I92" s="4" t="inlineStr">
        <is>
          <t>LCHY5</t>
        </is>
      </c>
      <c r="J92" s="4" t="inlineStr">
        <is>
          <t>PW DEPOT CO., LTD.</t>
        </is>
      </c>
      <c r="K92" s="4" t="inlineStr">
        <is>
          <t>20261016</t>
        </is>
      </c>
      <c r="L92" s="4" t="inlineStr">
        <is>
          <t>WHA GC LOGISTICS COMPANY LIMITED</t>
        </is>
      </c>
      <c r="M92" s="4" t="inlineStr">
        <is>
          <t>PTT GLOBAL CHEMICAL PUBLIC COMPANY LIMITED</t>
        </is>
      </c>
      <c r="N92" s="4" t="inlineStr">
        <is>
          <t>RESIN</t>
        </is>
      </c>
      <c r="O92" s="4" t="inlineStr">
        <is>
          <t>GOOD AND CLEAN CONTAINER</t>
        </is>
      </c>
      <c r="P92" s="4" t="inlineStr">
        <is>
          <t xml:space="preserve">CY-RTN : 16-21/10/2026 </t>
        </is>
      </c>
      <c r="Q92" s="4" t="n">
        <v>5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HASLS22261000172</t>
        </is>
      </c>
      <c r="B93" s="4" t="inlineStr">
        <is>
          <t>HAB</t>
        </is>
      </c>
      <c r="C93" s="4" t="inlineStr">
        <is>
          <t>2612N</t>
        </is>
      </c>
      <c r="D93" s="4" t="inlineStr">
        <is>
          <t>202610282300</t>
        </is>
      </c>
      <c r="E93" s="4" t="inlineStr"/>
      <c r="F93" s="4" t="inlineStr">
        <is>
          <t>THLCH</t>
        </is>
      </c>
      <c r="G93" s="4" t="inlineStr">
        <is>
          <t>CNSHA</t>
        </is>
      </c>
      <c r="H93" s="4" t="inlineStr">
        <is>
          <t xml:space="preserve">20'x11 </t>
        </is>
      </c>
      <c r="I93" s="4" t="inlineStr">
        <is>
          <t>LCHY5</t>
        </is>
      </c>
      <c r="J93" s="4" t="inlineStr">
        <is>
          <t>PW DEPOT CO., LTD.</t>
        </is>
      </c>
      <c r="K93" s="4" t="inlineStr">
        <is>
          <t>20261016</t>
        </is>
      </c>
      <c r="L93" s="4" t="inlineStr">
        <is>
          <t>WHA GC LOGISTICS COMPANY LIMITED</t>
        </is>
      </c>
      <c r="M93" s="4" t="inlineStr">
        <is>
          <t>PTT GLOBAL CHEMICAL PUBLIC COMPANY LIMITED</t>
        </is>
      </c>
      <c r="N93" s="4" t="inlineStr">
        <is>
          <t>RESIN</t>
        </is>
      </c>
      <c r="O93" s="4" t="inlineStr">
        <is>
          <t>GOOD AND CLEAN CONTAINER</t>
        </is>
      </c>
      <c r="P93" s="4" t="inlineStr">
        <is>
          <t xml:space="preserve">CY-RTN : 16-21/10/2026 </t>
        </is>
      </c>
      <c r="Q93" s="4" t="n">
        <v>11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HASLS22261000344</t>
        </is>
      </c>
      <c r="B94" s="4" t="inlineStr">
        <is>
          <t>HAHM</t>
        </is>
      </c>
      <c r="C94" s="4" t="inlineStr">
        <is>
          <t>2612N</t>
        </is>
      </c>
      <c r="D94" s="4" t="inlineStr">
        <is>
          <t>202610280700</t>
        </is>
      </c>
      <c r="E94" s="4" t="inlineStr"/>
      <c r="F94" s="4" t="inlineStr">
        <is>
          <t>THLCH</t>
        </is>
      </c>
      <c r="G94" s="4" t="inlineStr">
        <is>
          <t>JPNGO</t>
        </is>
      </c>
      <c r="H94" s="4" t="inlineStr">
        <is>
          <t xml:space="preserve">20'x1 </t>
        </is>
      </c>
      <c r="I94" s="4" t="inlineStr">
        <is>
          <t>LCHY5</t>
        </is>
      </c>
      <c r="J94" s="4" t="inlineStr">
        <is>
          <t>PW DEPOT CO., LTD.</t>
        </is>
      </c>
      <c r="K94" s="4" t="inlineStr">
        <is>
          <t>20261019</t>
        </is>
      </c>
      <c r="L94" s="4" t="inlineStr">
        <is>
          <t>DOW CHEMICAL THAILAND LTD.</t>
        </is>
      </c>
      <c r="M94" s="4" t="inlineStr">
        <is>
          <t>SIAM POLYETHYLENE CO., LTD.</t>
        </is>
      </c>
      <c r="N94" s="4" t="inlineStr">
        <is>
          <t>RESIN</t>
        </is>
      </c>
      <c r="O94" s="4" t="inlineStr">
        <is>
          <t>1X20' SEABULK</t>
        </is>
      </c>
      <c r="P94" s="4" t="inlineStr">
        <is>
          <t xml:space="preserve">Pickup : 2026-10-19, Return : 2026-10-22
** PLEASE CHECK OPEN GATE BEFORE RETURN CONTAINER ** </t>
        </is>
      </c>
      <c r="Q94" s="4" t="n">
        <v>1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HASLS22261000345</t>
        </is>
      </c>
      <c r="B95" s="4" t="inlineStr">
        <is>
          <t>HAHM</t>
        </is>
      </c>
      <c r="C95" s="4" t="inlineStr">
        <is>
          <t>2612N</t>
        </is>
      </c>
      <c r="D95" s="4" t="inlineStr">
        <is>
          <t>202610280700</t>
        </is>
      </c>
      <c r="E95" s="4" t="inlineStr"/>
      <c r="F95" s="4" t="inlineStr">
        <is>
          <t>THLCH</t>
        </is>
      </c>
      <c r="G95" s="4" t="inlineStr">
        <is>
          <t>JPNGO</t>
        </is>
      </c>
      <c r="H95" s="4" t="inlineStr">
        <is>
          <t xml:space="preserve">20'x1 </t>
        </is>
      </c>
      <c r="I95" s="4" t="inlineStr">
        <is>
          <t>LCHY5</t>
        </is>
      </c>
      <c r="J95" s="4" t="inlineStr">
        <is>
          <t>PW DEPOT CO., LTD.</t>
        </is>
      </c>
      <c r="K95" s="4" t="inlineStr">
        <is>
          <t>20261019</t>
        </is>
      </c>
      <c r="L95" s="4" t="inlineStr">
        <is>
          <t>DOW CHEMICAL THAILAND LTD.</t>
        </is>
      </c>
      <c r="M95" s="4" t="inlineStr">
        <is>
          <t>SIAM POLYETHYLENE CO., LTD.</t>
        </is>
      </c>
      <c r="N95" s="4" t="inlineStr">
        <is>
          <t>RESIN</t>
        </is>
      </c>
      <c r="O95" s="4" t="inlineStr">
        <is>
          <t>1X20' SEABULK</t>
        </is>
      </c>
      <c r="P95" s="4" t="inlineStr">
        <is>
          <t xml:space="preserve">Pickup : 2026-10-19, Return : 2026-10-22 </t>
        </is>
      </c>
      <c r="Q95" s="4" t="n">
        <v>1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HASLS22261000347</t>
        </is>
      </c>
      <c r="B96" s="4" t="inlineStr">
        <is>
          <t>HAHM</t>
        </is>
      </c>
      <c r="C96" s="4" t="inlineStr">
        <is>
          <t>2612N</t>
        </is>
      </c>
      <c r="D96" s="4" t="inlineStr">
        <is>
          <t>202610280700</t>
        </is>
      </c>
      <c r="E96" s="4" t="inlineStr"/>
      <c r="F96" s="4" t="inlineStr">
        <is>
          <t>THLCH</t>
        </is>
      </c>
      <c r="G96" s="4" t="inlineStr">
        <is>
          <t>JPNGO</t>
        </is>
      </c>
      <c r="H96" s="4" t="inlineStr">
        <is>
          <t xml:space="preserve">20'x1 </t>
        </is>
      </c>
      <c r="I96" s="4" t="inlineStr">
        <is>
          <t>LCHY5</t>
        </is>
      </c>
      <c r="J96" s="4" t="inlineStr">
        <is>
          <t>PW DEPOT CO., LTD.</t>
        </is>
      </c>
      <c r="K96" s="4" t="inlineStr">
        <is>
          <t>20261019</t>
        </is>
      </c>
      <c r="L96" s="4" t="inlineStr">
        <is>
          <t>DOW CHEMICAL THAILAND LTD.</t>
        </is>
      </c>
      <c r="M96" s="4" t="inlineStr">
        <is>
          <t>SIAM POLYETHYLENE CO., LTD.</t>
        </is>
      </c>
      <c r="N96" s="4" t="inlineStr">
        <is>
          <t>RESIN</t>
        </is>
      </c>
      <c r="O96" s="4" t="inlineStr">
        <is>
          <t>1X20' SEABULK</t>
        </is>
      </c>
      <c r="P96" s="4" t="inlineStr">
        <is>
          <t xml:space="preserve">Pickup : 2026-10-19, Return : 2026-10-22
** PLEASE CHECK OPEN GATE BEFORE RETURN CONTAINER **
</t>
        </is>
      </c>
      <c r="Q96" s="4" t="n">
        <v>1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HASLS22261000348</t>
        </is>
      </c>
      <c r="B97" s="4" t="inlineStr">
        <is>
          <t>HAB</t>
        </is>
      </c>
      <c r="C97" s="4" t="inlineStr">
        <is>
          <t>2612N</t>
        </is>
      </c>
      <c r="D97" s="4" t="inlineStr">
        <is>
          <t>202610282300</t>
        </is>
      </c>
      <c r="E97" s="4" t="inlineStr"/>
      <c r="F97" s="4" t="inlineStr">
        <is>
          <t>THLCH</t>
        </is>
      </c>
      <c r="G97" s="4" t="inlineStr">
        <is>
          <t>JPYKK</t>
        </is>
      </c>
      <c r="H97" s="4" t="inlineStr">
        <is>
          <t xml:space="preserve">20'x1 </t>
        </is>
      </c>
      <c r="I97" s="4" t="inlineStr">
        <is>
          <t>LCHY5</t>
        </is>
      </c>
      <c r="J97" s="4" t="inlineStr">
        <is>
          <t>PW DEPOT CO., LTD.</t>
        </is>
      </c>
      <c r="K97" s="4" t="inlineStr">
        <is>
          <t>20261019</t>
        </is>
      </c>
      <c r="L97" s="4" t="inlineStr">
        <is>
          <t>DOW CHEMICAL THAILAND LTD.</t>
        </is>
      </c>
      <c r="M97" s="4" t="inlineStr">
        <is>
          <t>SIAM POLYETHYLENE CO., LTD.</t>
        </is>
      </c>
      <c r="N97" s="4" t="inlineStr">
        <is>
          <t>RESIN</t>
        </is>
      </c>
      <c r="O97" s="4" t="inlineStr">
        <is>
          <t>1X20' SEABULK</t>
        </is>
      </c>
      <c r="P97" s="4" t="inlineStr">
        <is>
          <t xml:space="preserve">Pickup : 2026-10-19, Return : 2026-10-22 
** PLEASE CHECK OPEN GATE BEFORE RETURN CONTAINER ** </t>
        </is>
      </c>
      <c r="Q97" s="4" t="n">
        <v>1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HASLS22261000349</t>
        </is>
      </c>
      <c r="B98" s="4" t="inlineStr">
        <is>
          <t>HAB</t>
        </is>
      </c>
      <c r="C98" s="4" t="inlineStr">
        <is>
          <t>2612N</t>
        </is>
      </c>
      <c r="D98" s="4" t="inlineStr">
        <is>
          <t>202610282300</t>
        </is>
      </c>
      <c r="E98" s="4" t="inlineStr"/>
      <c r="F98" s="4" t="inlineStr">
        <is>
          <t>THLCH</t>
        </is>
      </c>
      <c r="G98" s="4" t="inlineStr">
        <is>
          <t>JPYKK</t>
        </is>
      </c>
      <c r="H98" s="4" t="inlineStr">
        <is>
          <t xml:space="preserve">20'x1 </t>
        </is>
      </c>
      <c r="I98" s="4" t="inlineStr">
        <is>
          <t>LCHY5</t>
        </is>
      </c>
      <c r="J98" s="4" t="inlineStr">
        <is>
          <t>PW DEPOT CO., LTD.</t>
        </is>
      </c>
      <c r="K98" s="4" t="inlineStr">
        <is>
          <t>20261019</t>
        </is>
      </c>
      <c r="L98" s="4" t="inlineStr">
        <is>
          <t>DOW CHEMICAL THAILAND LTD.</t>
        </is>
      </c>
      <c r="M98" s="4" t="inlineStr">
        <is>
          <t>SIAM POLYETHYLENE CO., LTD.</t>
        </is>
      </c>
      <c r="N98" s="4" t="inlineStr">
        <is>
          <t>RESIN</t>
        </is>
      </c>
      <c r="O98" s="4" t="inlineStr">
        <is>
          <t>1X20' SEABULK</t>
        </is>
      </c>
      <c r="P98" s="4" t="inlineStr">
        <is>
          <t xml:space="preserve">Pickup : 2026-10-19, Return : 2026-10-22 
** PLEASE CHECK OPEN GATE BEFORE RETURN CONTAINER ** </t>
        </is>
      </c>
      <c r="Q98" s="4" t="n">
        <v>1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HASLS22261000396</t>
        </is>
      </c>
      <c r="B99" s="4" t="inlineStr">
        <is>
          <t>HMVY</t>
        </is>
      </c>
      <c r="C99" s="4" t="inlineStr">
        <is>
          <t>2609N</t>
        </is>
      </c>
      <c r="D99" s="4" t="inlineStr">
        <is>
          <t>202610271300</t>
        </is>
      </c>
      <c r="E99" s="4" t="inlineStr"/>
      <c r="F99" s="4" t="inlineStr">
        <is>
          <t>THLCH</t>
        </is>
      </c>
      <c r="G99" s="4" t="inlineStr">
        <is>
          <t>CNSHA</t>
        </is>
      </c>
      <c r="H99" s="4" t="inlineStr">
        <is>
          <t xml:space="preserve">20'x1 </t>
        </is>
      </c>
      <c r="I99" s="4" t="inlineStr">
        <is>
          <t>LCHY5</t>
        </is>
      </c>
      <c r="J99" s="4" t="inlineStr">
        <is>
          <t>PW DEPOT CO., LTD.</t>
        </is>
      </c>
      <c r="K99" s="4" t="inlineStr">
        <is>
          <t>20261020</t>
        </is>
      </c>
      <c r="L99" s="4" t="inlineStr">
        <is>
          <t>SGL (THAI) CO., LTD.</t>
        </is>
      </c>
      <c r="M99" s="4" t="inlineStr">
        <is>
          <t>DAECHANG TRADING (THAILAND) CO.,LTD.</t>
        </is>
      </c>
      <c r="N99" s="4" t="inlineStr">
        <is>
          <t>BRASS ROD</t>
        </is>
      </c>
      <c r="O99" s="4" t="inlineStr">
        <is>
          <t>REQUEST GOOD &amp; CLEAN CONTAINER / WITHOUT HOLE</t>
        </is>
      </c>
      <c r="P99" s="4" t="inlineStr">
        <is>
          <t xml:space="preserve">Pickup : 2026-10-20, Return : 2026-10-21 
 ** PLEASE CHECK OPEN GATE BEFORE RETURN CNTR **
 </t>
        </is>
      </c>
      <c r="Q99" s="4" t="n">
        <v>1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HASLS22261000411</t>
        </is>
      </c>
      <c r="B100" s="4" t="inlineStr">
        <is>
          <t>SWSP</t>
        </is>
      </c>
      <c r="C100" s="4" t="inlineStr">
        <is>
          <t>2610N</t>
        </is>
      </c>
      <c r="D100" s="4" t="inlineStr">
        <is>
          <t>202611041200</t>
        </is>
      </c>
      <c r="E100" s="4" t="inlineStr"/>
      <c r="F100" s="4" t="inlineStr">
        <is>
          <t>THLCH</t>
        </is>
      </c>
      <c r="G100" s="4" t="inlineStr">
        <is>
          <t>JPYKK</t>
        </is>
      </c>
      <c r="H100" s="4" t="inlineStr">
        <is>
          <t xml:space="preserve">20'x1 </t>
        </is>
      </c>
      <c r="I100" s="4" t="inlineStr">
        <is>
          <t>LCHY5</t>
        </is>
      </c>
      <c r="J100" s="4" t="inlineStr">
        <is>
          <t>PW DEPOT CO., LTD.</t>
        </is>
      </c>
      <c r="K100" s="4" t="inlineStr">
        <is>
          <t>20261019</t>
        </is>
      </c>
      <c r="L100" s="4" t="inlineStr">
        <is>
          <t>DOW CHEMICAL THAILAND LTD.</t>
        </is>
      </c>
      <c r="M100" s="4" t="inlineStr">
        <is>
          <t>SIAM POLYETHYLENE CO., LTD.</t>
        </is>
      </c>
      <c r="N100" s="4" t="inlineStr">
        <is>
          <t>RESIN</t>
        </is>
      </c>
      <c r="O100" s="4" t="inlineStr">
        <is>
          <t>1X20' SEABULK</t>
        </is>
      </c>
      <c r="P100" s="4" t="inlineStr">
        <is>
          <t>Pickup : 2026-10-19, Return : 2026-10-22 (1ST RTN DD: 27/10/26 WO/RENT)
**CHECK OPENGATE BEFORE RETURN CNTR**</t>
        </is>
      </c>
      <c r="Q100" s="4" t="n">
        <v>1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HASLS22261000414</t>
        </is>
      </c>
      <c r="B101" s="4" t="inlineStr">
        <is>
          <t>SWSP</t>
        </is>
      </c>
      <c r="C101" s="4" t="inlineStr">
        <is>
          <t>2610N</t>
        </is>
      </c>
      <c r="D101" s="4" t="inlineStr">
        <is>
          <t>202611041200</t>
        </is>
      </c>
      <c r="E101" s="4" t="inlineStr"/>
      <c r="F101" s="4" t="inlineStr">
        <is>
          <t>THLCH</t>
        </is>
      </c>
      <c r="G101" s="4" t="inlineStr">
        <is>
          <t>JPYKK</t>
        </is>
      </c>
      <c r="H101" s="4" t="inlineStr">
        <is>
          <t xml:space="preserve">20'x1 </t>
        </is>
      </c>
      <c r="I101" s="4" t="inlineStr">
        <is>
          <t>LCHY5</t>
        </is>
      </c>
      <c r="J101" s="4" t="inlineStr">
        <is>
          <t>PW DEPOT CO., LTD.</t>
        </is>
      </c>
      <c r="K101" s="4" t="inlineStr">
        <is>
          <t>20261019</t>
        </is>
      </c>
      <c r="L101" s="4" t="inlineStr">
        <is>
          <t>DOW CHEMICAL THAILAND LTD.</t>
        </is>
      </c>
      <c r="M101" s="4" t="inlineStr">
        <is>
          <t>SIAM POLYETHYLENE CO., LTD.</t>
        </is>
      </c>
      <c r="N101" s="4" t="inlineStr">
        <is>
          <t>RESIN</t>
        </is>
      </c>
      <c r="O101" s="4" t="inlineStr">
        <is>
          <t>1X20' SEABULK</t>
        </is>
      </c>
      <c r="P101" s="4" t="inlineStr">
        <is>
          <t>Pickup : 2026-10-19, Return : 2026-10-22 (1ST RTN DD: 27/10/26 WO/RENT)
**CHECK OPENGATE BEFORE RETURN CNTR**</t>
        </is>
      </c>
      <c r="Q101" s="4" t="n">
        <v>1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HASLS22261000643</t>
        </is>
      </c>
      <c r="B102" s="4" t="inlineStr">
        <is>
          <t>HAHM</t>
        </is>
      </c>
      <c r="C102" s="4" t="inlineStr">
        <is>
          <t>2612N</t>
        </is>
      </c>
      <c r="D102" s="4" t="inlineStr">
        <is>
          <t>202610280700</t>
        </is>
      </c>
      <c r="E102" s="4" t="inlineStr"/>
      <c r="F102" s="4" t="inlineStr">
        <is>
          <t>THLCH</t>
        </is>
      </c>
      <c r="G102" s="4" t="inlineStr">
        <is>
          <t>VNSGN</t>
        </is>
      </c>
      <c r="H102" s="4" t="inlineStr">
        <is>
          <t xml:space="preserve">20'x2 </t>
        </is>
      </c>
      <c r="I102" s="4" t="inlineStr">
        <is>
          <t>LCHY5</t>
        </is>
      </c>
      <c r="J102" s="4" t="inlineStr">
        <is>
          <t>PW DEPOT CO., LTD.</t>
        </is>
      </c>
      <c r="K102" s="4" t="inlineStr">
        <is>
          <t>20261020</t>
        </is>
      </c>
      <c r="L102" s="4" t="inlineStr">
        <is>
          <t>WHA GC LOGISTICS COMPANY LIMITED</t>
        </is>
      </c>
      <c r="M102" s="4" t="inlineStr">
        <is>
          <t>PTT GLOBAL CHEMICAL PUBLIC COMPANY LIMITED</t>
        </is>
      </c>
      <c r="N102" s="4" t="inlineStr">
        <is>
          <t>RESIN</t>
        </is>
      </c>
      <c r="O102" s="4" t="inlineStr">
        <is>
          <t>*** REQ. GOOD &amp; CLEAN  CONT. .( NO SMELL)  ***</t>
        </is>
      </c>
      <c r="P102" s="4" t="inlineStr">
        <is>
          <t>CY-RTN 20-23/10/26 
*PLS CHECK OPEN GATE BEFORE RETURN CTNR*</t>
        </is>
      </c>
      <c r="Q102" s="4" t="n">
        <v>2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HASLS22261000707</t>
        </is>
      </c>
      <c r="B103" s="4" t="inlineStr">
        <is>
          <t>HAB</t>
        </is>
      </c>
      <c r="C103" s="4" t="inlineStr">
        <is>
          <t>2612N</t>
        </is>
      </c>
      <c r="D103" s="4" t="inlineStr">
        <is>
          <t>202610282300</t>
        </is>
      </c>
      <c r="E103" s="4" t="inlineStr"/>
      <c r="F103" s="4" t="inlineStr">
        <is>
          <t>THLCH</t>
        </is>
      </c>
      <c r="G103" s="4" t="inlineStr">
        <is>
          <t>CNSHA</t>
        </is>
      </c>
      <c r="H103" s="4" t="inlineStr">
        <is>
          <t xml:space="preserve">20'x1 </t>
        </is>
      </c>
      <c r="I103" s="4" t="inlineStr">
        <is>
          <t>LCHY5</t>
        </is>
      </c>
      <c r="J103" s="4" t="inlineStr">
        <is>
          <t>PW DEPOT CO., LTD.</t>
        </is>
      </c>
      <c r="K103" s="4" t="inlineStr">
        <is>
          <t>20261020</t>
        </is>
      </c>
      <c r="L103" s="4" t="inlineStr">
        <is>
          <t>YUSEN LOGISTICS (THAILAND) CO., LTD.</t>
        </is>
      </c>
      <c r="M103" s="4" t="inlineStr">
        <is>
          <t>KUBOTA ENGINE ( THAILAND ) CO., LTD.</t>
        </is>
      </c>
      <c r="N103" s="4" t="inlineStr">
        <is>
          <t>DIESEL ENGINE</t>
        </is>
      </c>
      <c r="O103" s="4" t="inlineStr">
        <is>
          <t>GOOD AND CLEAN CONTAINER</t>
        </is>
      </c>
      <c r="P103" s="4" t="inlineStr">
        <is>
          <t>Pickup : 2026-10-20, Return : 2026-10-21</t>
        </is>
      </c>
      <c r="Q103" s="4" t="n">
        <v>1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HASLS22261000813</t>
        </is>
      </c>
      <c r="B104" s="4" t="inlineStr">
        <is>
          <t>KMGY</t>
        </is>
      </c>
      <c r="C104" s="4" t="inlineStr">
        <is>
          <t>2611N</t>
        </is>
      </c>
      <c r="D104" s="4" t="inlineStr">
        <is>
          <t>202610241900</t>
        </is>
      </c>
      <c r="E104" s="4" t="inlineStr"/>
      <c r="F104" s="4" t="inlineStr">
        <is>
          <t>THLCH</t>
        </is>
      </c>
      <c r="G104" s="4" t="inlineStr">
        <is>
          <t>HKHKG</t>
        </is>
      </c>
      <c r="H104" s="4" t="inlineStr">
        <is>
          <t xml:space="preserve">40Hx12 </t>
        </is>
      </c>
      <c r="I104" s="4" t="inlineStr">
        <is>
          <t>LCHY5</t>
        </is>
      </c>
      <c r="J104" s="4" t="inlineStr">
        <is>
          <t>PW DEPOT CO., LTD.</t>
        </is>
      </c>
      <c r="K104" s="4" t="inlineStr">
        <is>
          <t>20261017</t>
        </is>
      </c>
      <c r="L104" s="4" t="inlineStr">
        <is>
          <t>YUSEN LOGISTICS (THAILAND) CO., LTD.</t>
        </is>
      </c>
      <c r="M104" s="4" t="inlineStr">
        <is>
          <t>KURARAY CO., LTD.</t>
        </is>
      </c>
      <c r="N104" s="4" t="inlineStr">
        <is>
          <t>GENESTAR</t>
        </is>
      </c>
      <c r="O104" s="4" t="inlineStr">
        <is>
          <t>GOOD DRY AND CLEAN CONTAINER.</t>
        </is>
      </c>
      <c r="P104" s="4" t="inlineStr">
        <is>
          <t>Pickup : 2026-10-17, Return : 2026-10-19 (1ST RTN 20/10 W/O RENT) 
 ** PLEASE CHECK OPEN GATE BEFORE RETURN CNTR **(EXTEND CLOSING DD.22/10/26 @23.59)</t>
        </is>
      </c>
      <c r="Q104" s="4" t="n">
        <v>0</v>
      </c>
      <c r="R104" s="4" t="n">
        <v>0</v>
      </c>
      <c r="S104" s="4" t="n">
        <v>12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2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HASLS22261000969</t>
        </is>
      </c>
      <c r="B105" s="4" t="inlineStr">
        <is>
          <t>HAB</t>
        </is>
      </c>
      <c r="C105" s="4" t="inlineStr">
        <is>
          <t>2612N</t>
        </is>
      </c>
      <c r="D105" s="4" t="inlineStr">
        <is>
          <t>202610282300</t>
        </is>
      </c>
      <c r="E105" s="4" t="inlineStr"/>
      <c r="F105" s="4" t="inlineStr">
        <is>
          <t>THLCH</t>
        </is>
      </c>
      <c r="G105" s="4" t="inlineStr">
        <is>
          <t>CNSHA</t>
        </is>
      </c>
      <c r="H105" s="4" t="inlineStr">
        <is>
          <t xml:space="preserve">40Hx6 </t>
        </is>
      </c>
      <c r="I105" s="4" t="inlineStr">
        <is>
          <t>LCHY5</t>
        </is>
      </c>
      <c r="J105" s="4" t="inlineStr">
        <is>
          <t>PW DEPOT CO., LTD.</t>
        </is>
      </c>
      <c r="K105" s="4" t="inlineStr">
        <is>
          <t>20261020</t>
        </is>
      </c>
      <c r="L105" s="4" t="inlineStr">
        <is>
          <t>WHA GC LOGISTICS COMPANY LIMITED</t>
        </is>
      </c>
      <c r="M105" s="4" t="inlineStr">
        <is>
          <t>PTT GLOBAL CHEMICAL PUBLIC COMPANY LIMITED</t>
        </is>
      </c>
      <c r="N105" s="4" t="inlineStr">
        <is>
          <t>RESIN</t>
        </is>
      </c>
      <c r="O105" s="4" t="inlineStr">
        <is>
          <t>GOOD AND CLEAN CONTAINER</t>
        </is>
      </c>
      <c r="P105" s="4" t="inlineStr">
        <is>
          <t>CY-RTN: 20-23/10/2026  (1ST RETURN 22/10/26)</t>
        </is>
      </c>
      <c r="Q105" s="4" t="n">
        <v>0</v>
      </c>
      <c r="R105" s="4" t="n">
        <v>0</v>
      </c>
      <c r="S105" s="4" t="n">
        <v>6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HASLS22261000979</t>
        </is>
      </c>
      <c r="B106" s="4" t="inlineStr">
        <is>
          <t>KMBK</t>
        </is>
      </c>
      <c r="C106" s="4" t="inlineStr">
        <is>
          <t>2612N</t>
        </is>
      </c>
      <c r="D106" s="4" t="inlineStr">
        <is>
          <t>202610262300</t>
        </is>
      </c>
      <c r="E106" s="4" t="inlineStr"/>
      <c r="F106" s="4" t="inlineStr">
        <is>
          <t>THLCH</t>
        </is>
      </c>
      <c r="G106" s="4" t="inlineStr">
        <is>
          <t>VNSGN</t>
        </is>
      </c>
      <c r="H106" s="4" t="inlineStr">
        <is>
          <t xml:space="preserve">40Hx4 </t>
        </is>
      </c>
      <c r="I106" s="4" t="inlineStr">
        <is>
          <t>LCHY5</t>
        </is>
      </c>
      <c r="J106" s="4" t="inlineStr">
        <is>
          <t>PW DEPOT CO., LTD.</t>
        </is>
      </c>
      <c r="K106" s="4" t="inlineStr">
        <is>
          <t>20261020</t>
        </is>
      </c>
      <c r="L106" s="4" t="inlineStr">
        <is>
          <t>LOGMAN INTERNATIONAL CO., LTD.</t>
        </is>
      </c>
      <c r="M106" s="4" t="inlineStr">
        <is>
          <t>HUAYI GROUP (THAILAND) COMPANY LIMITED</t>
        </is>
      </c>
      <c r="N106" s="4" t="inlineStr">
        <is>
          <t>NEW TIRE</t>
        </is>
      </c>
      <c r="O106" s="4" t="inlineStr">
        <is>
          <t>REQUEST GOOD AND CLEAN CONTAINER</t>
        </is>
      </c>
      <c r="P106" s="4" t="inlineStr">
        <is>
          <t>Pickup : 2026-10-20, Return : 2026-10-21</t>
        </is>
      </c>
      <c r="Q106" s="4" t="n">
        <v>0</v>
      </c>
      <c r="R106" s="4" t="n">
        <v>0</v>
      </c>
      <c r="S106" s="4" t="n">
        <v>4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HASLS22261000991</t>
        </is>
      </c>
      <c r="B107" s="4" t="inlineStr">
        <is>
          <t>KMBK</t>
        </is>
      </c>
      <c r="C107" s="4" t="inlineStr">
        <is>
          <t>2612N</t>
        </is>
      </c>
      <c r="D107" s="4" t="inlineStr">
        <is>
          <t>202610262300</t>
        </is>
      </c>
      <c r="E107" s="4" t="inlineStr"/>
      <c r="F107" s="4" t="inlineStr">
        <is>
          <t>THLCH</t>
        </is>
      </c>
      <c r="G107" s="4" t="inlineStr">
        <is>
          <t>VNSGN</t>
        </is>
      </c>
      <c r="H107" s="4" t="inlineStr">
        <is>
          <t xml:space="preserve">40Hx3 </t>
        </is>
      </c>
      <c r="I107" s="4" t="inlineStr">
        <is>
          <t>LCHY5</t>
        </is>
      </c>
      <c r="J107" s="4" t="inlineStr">
        <is>
          <t>PW DEPOT CO., LTD.</t>
        </is>
      </c>
      <c r="K107" s="4" t="inlineStr">
        <is>
          <t>20261019</t>
        </is>
      </c>
      <c r="L107" s="4" t="inlineStr">
        <is>
          <t>CAPRICORN LOGISTICS CO., LTD.</t>
        </is>
      </c>
      <c r="M107" s="4" t="inlineStr">
        <is>
          <t>MAXXIS INTERNATIONAL (THAILAND) CO., LTD.</t>
        </is>
      </c>
      <c r="N107" s="4" t="inlineStr">
        <is>
          <t>TIRES</t>
        </is>
      </c>
      <c r="O107" s="4" t="inlineStr">
        <is>
          <t>REQUEST CONTAINER GOOD GRADE</t>
        </is>
      </c>
      <c r="P107" s="4" t="inlineStr">
        <is>
          <t>Pickup : 2026-10-19, Return : 2026-10-21
** PLEASE CHECK OPEN GATE BEFORE RETURN CONTAINER **</t>
        </is>
      </c>
      <c r="Q107" s="4" t="n">
        <v>0</v>
      </c>
      <c r="R107" s="4" t="n">
        <v>0</v>
      </c>
      <c r="S107" s="4" t="n">
        <v>3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1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HASLS22261001118</t>
        </is>
      </c>
      <c r="B108" s="4" t="inlineStr">
        <is>
          <t>HMVY</t>
        </is>
      </c>
      <c r="C108" s="4" t="inlineStr">
        <is>
          <t>2609N</t>
        </is>
      </c>
      <c r="D108" s="4" t="inlineStr">
        <is>
          <t>202610271300</t>
        </is>
      </c>
      <c r="E108" s="4" t="inlineStr"/>
      <c r="F108" s="4" t="inlineStr">
        <is>
          <t>THLCH</t>
        </is>
      </c>
      <c r="G108" s="4" t="inlineStr">
        <is>
          <t>CNSHA</t>
        </is>
      </c>
      <c r="H108" s="4" t="inlineStr">
        <is>
          <t xml:space="preserve">40Hx4 </t>
        </is>
      </c>
      <c r="I108" s="4" t="inlineStr">
        <is>
          <t>LCHY5</t>
        </is>
      </c>
      <c r="J108" s="4" t="inlineStr">
        <is>
          <t>PW DEPOT CO., LTD.</t>
        </is>
      </c>
      <c r="K108" s="4" t="inlineStr">
        <is>
          <t>20261020</t>
        </is>
      </c>
      <c r="L108" s="4" t="inlineStr">
        <is>
          <t>K-APEX (THAILAND) CO., LTD.</t>
        </is>
      </c>
      <c r="M108" s="4" t="inlineStr">
        <is>
          <t>FIRST MATERIAL SCIENCE (THAILAND) CO., LTD.</t>
        </is>
      </c>
      <c r="N108" s="4" t="inlineStr">
        <is>
          <t xml:space="preserve">ETHYLENE VINYL ACETATE RESIN </t>
        </is>
      </c>
      <c r="O108" s="4" t="inlineStr">
        <is>
          <t>REQUEST GOOD AND CLEAN CONTAINER</t>
        </is>
      </c>
      <c r="P108" s="4" t="inlineStr">
        <is>
          <t>Pickup : 2026-10-20, Return : 2026-10-21</t>
        </is>
      </c>
      <c r="Q108" s="4" t="n">
        <v>0</v>
      </c>
      <c r="R108" s="4" t="n">
        <v>0</v>
      </c>
      <c r="S108" s="4" t="n">
        <v>4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HASLS22261001128</t>
        </is>
      </c>
      <c r="B109" s="4" t="inlineStr">
        <is>
          <t>SWMM</t>
        </is>
      </c>
      <c r="C109" s="4" t="inlineStr">
        <is>
          <t>2610N</t>
        </is>
      </c>
      <c r="D109" s="4" t="inlineStr">
        <is>
          <t>202610251730</t>
        </is>
      </c>
      <c r="E109" s="4" t="inlineStr"/>
      <c r="F109" s="4" t="inlineStr">
        <is>
          <t>THLCH</t>
        </is>
      </c>
      <c r="G109" s="4" t="inlineStr">
        <is>
          <t>VNSGN</t>
        </is>
      </c>
      <c r="H109" s="4" t="inlineStr">
        <is>
          <t xml:space="preserve">40Hx4 </t>
        </is>
      </c>
      <c r="I109" s="4" t="inlineStr">
        <is>
          <t>LCHY5</t>
        </is>
      </c>
      <c r="J109" s="4" t="inlineStr">
        <is>
          <t>PW DEPOT CO., LTD.</t>
        </is>
      </c>
      <c r="K109" s="4" t="inlineStr">
        <is>
          <t>20261019</t>
        </is>
      </c>
      <c r="L109" s="4" t="inlineStr">
        <is>
          <t>ACCORD PILOT LOGISTICS (THAILAND) CO., LTD.</t>
        </is>
      </c>
      <c r="M109" s="4" t="inlineStr">
        <is>
          <t>AVERY DENNISON (THAILAND) LTD.</t>
        </is>
      </c>
      <c r="N109" s="4" t="inlineStr">
        <is>
          <t>PAPER/FILM</t>
        </is>
      </c>
      <c r="O109" s="4" t="inlineStr">
        <is>
          <t>GOOD AND CLEAN CONTAINER</t>
        </is>
      </c>
      <c r="P109" s="4" t="inlineStr">
        <is>
          <t>Pickup : 2026-10-19, Return : 2026-10-22</t>
        </is>
      </c>
      <c r="Q109" s="4" t="n">
        <v>0</v>
      </c>
      <c r="R109" s="4" t="n">
        <v>0</v>
      </c>
      <c r="S109" s="4" t="n">
        <v>4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2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HASLS22261001424</t>
        </is>
      </c>
      <c r="B110" s="4" t="inlineStr">
        <is>
          <t>KMGY</t>
        </is>
      </c>
      <c r="C110" s="4" t="inlineStr">
        <is>
          <t>2611N</t>
        </is>
      </c>
      <c r="D110" s="4" t="inlineStr">
        <is>
          <t>202610241900</t>
        </is>
      </c>
      <c r="E110" s="4" t="inlineStr"/>
      <c r="F110" s="4" t="inlineStr">
        <is>
          <t>THLCH</t>
        </is>
      </c>
      <c r="G110" s="4" t="inlineStr">
        <is>
          <t>KRINC</t>
        </is>
      </c>
      <c r="H110" s="4" t="inlineStr">
        <is>
          <t xml:space="preserve">40Hx1 </t>
        </is>
      </c>
      <c r="I110" s="4" t="inlineStr">
        <is>
          <t>LCHY5</t>
        </is>
      </c>
      <c r="J110" s="4" t="inlineStr">
        <is>
          <t>PW DEPOT CO., LTD.</t>
        </is>
      </c>
      <c r="K110" s="4" t="inlineStr">
        <is>
          <t>20261020</t>
        </is>
      </c>
      <c r="L110" s="4" t="inlineStr">
        <is>
          <t>CARGO NETWORK DELIVERY (THAILAND) CO., LTD.</t>
        </is>
      </c>
      <c r="M110" s="4" t="inlineStr">
        <is>
          <t>THAI GULF JELLYFISH CO., LTD.</t>
        </is>
      </c>
      <c r="N110" s="4" t="inlineStr">
        <is>
          <t>SALTED JELLYFISH</t>
        </is>
      </c>
      <c r="O110" s="4" t="inlineStr">
        <is>
          <t>UNDER DECK &amp; AWAYS FROM HOT AREA"</t>
        </is>
      </c>
      <c r="P110" s="4" t="inlineStr">
        <is>
          <t xml:space="preserve">Pickup : 2026-10-20, Return : 2026-10-21
 ** PLEASE CHECK OPEN GATE BEFORE RETURN CNTR **
</t>
        </is>
      </c>
      <c r="Q110" s="4" t="n">
        <v>0</v>
      </c>
      <c r="R110" s="4" t="n">
        <v>0</v>
      </c>
      <c r="S110" s="4" t="n">
        <v>1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HASLS22261001499</t>
        </is>
      </c>
      <c r="B111" s="4" t="inlineStr">
        <is>
          <t>CMA</t>
        </is>
      </c>
      <c r="C111" s="4" t="inlineStr">
        <is>
          <t>2615N</t>
        </is>
      </c>
      <c r="D111" s="4" t="inlineStr">
        <is>
          <t>202610260100</t>
        </is>
      </c>
      <c r="E111" s="4" t="inlineStr"/>
      <c r="F111" s="4" t="inlineStr">
        <is>
          <t>THLCH</t>
        </is>
      </c>
      <c r="G111" s="4" t="inlineStr">
        <is>
          <t>CNSHK</t>
        </is>
      </c>
      <c r="H111" s="4" t="inlineStr">
        <is>
          <t xml:space="preserve">20'x4 </t>
        </is>
      </c>
      <c r="I111" s="4" t="inlineStr">
        <is>
          <t>LCHY5</t>
        </is>
      </c>
      <c r="J111" s="4" t="inlineStr">
        <is>
          <t>PW DEPOT CO., LTD.</t>
        </is>
      </c>
      <c r="K111" s="4" t="inlineStr">
        <is>
          <t>20261020</t>
        </is>
      </c>
      <c r="L111" s="4" t="inlineStr">
        <is>
          <t>UBE CHEMICALS (ASIA) PUBLIC COMPANY LIMITED</t>
        </is>
      </c>
      <c r="M111" s="4" t="inlineStr">
        <is>
          <t>UBE CHEMICALS (ASIA) PUBLIC COMPANY LIMITED</t>
        </is>
      </c>
      <c r="N111" s="4" t="inlineStr">
        <is>
          <t xml:space="preserve">POLYAMIDE RESIN </t>
        </is>
      </c>
      <c r="O111" s="4" t="inlineStr">
        <is>
          <t>RQST CNTR GRADE A</t>
        </is>
      </c>
      <c r="P111" s="4" t="inlineStr">
        <is>
          <t>CY-RTN : 20-22/10/2026 
SAP SO : 2002054854
RQST CNTR GRADE A</t>
        </is>
      </c>
      <c r="Q111" s="4" t="n">
        <v>4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2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HASLS22261001518</t>
        </is>
      </c>
      <c r="B112" s="4" t="inlineStr">
        <is>
          <t>HAHM</t>
        </is>
      </c>
      <c r="C112" s="4" t="inlineStr">
        <is>
          <t>2613N</t>
        </is>
      </c>
      <c r="D112" s="4" t="inlineStr">
        <is>
          <t>202611190400</t>
        </is>
      </c>
      <c r="E112" s="4" t="inlineStr"/>
      <c r="F112" s="4" t="inlineStr">
        <is>
          <t>THLCH</t>
        </is>
      </c>
      <c r="G112" s="4" t="inlineStr">
        <is>
          <t>KRPUS</t>
        </is>
      </c>
      <c r="H112" s="4" t="inlineStr">
        <is>
          <t xml:space="preserve">20'x1 </t>
        </is>
      </c>
      <c r="I112" s="4" t="inlineStr">
        <is>
          <t>LCHY5</t>
        </is>
      </c>
      <c r="J112" s="4" t="inlineStr">
        <is>
          <t>PW DEPOT CO., LTD.</t>
        </is>
      </c>
      <c r="K112" s="4" t="inlineStr">
        <is>
          <t>20261016</t>
        </is>
      </c>
      <c r="L112" s="4" t="inlineStr">
        <is>
          <t>LEO GLOBAL LOGISTICS PUBLIC COMPANY LIMITED</t>
        </is>
      </c>
      <c r="M112" s="4" t="inlineStr">
        <is>
          <t>BASF (THAI) LIMITED</t>
        </is>
      </c>
      <c r="N112" s="4" t="inlineStr">
        <is>
          <t>TEXAPON N 70 AC 1 (NON DG)</t>
        </is>
      </c>
      <c r="O112" s="4" t="inlineStr">
        <is>
          <t>**REQUESTED FOR GOOD CNTR WITH NO HOLE / NO RUST / NO BURR / NOT WET / NO BAD SMELL**</t>
        </is>
      </c>
      <c r="P112" s="4" t="inlineStr">
        <is>
          <t>Pickup : 2026-10-16, Return : 2026-10-16
**REQUESTED FOR GOOD CNTR WITH NO HOLE / NO RUST / NO BURR / NOT WET / NO BAD SMELL**</t>
        </is>
      </c>
      <c r="Q112" s="4" t="n">
        <v>1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HASLS22261001519</t>
        </is>
      </c>
      <c r="B113" s="4" t="inlineStr">
        <is>
          <t>HMVY</t>
        </is>
      </c>
      <c r="C113" s="4" t="inlineStr">
        <is>
          <t>2610N</t>
        </is>
      </c>
      <c r="D113" s="4" t="inlineStr">
        <is>
          <t>202611230830</t>
        </is>
      </c>
      <c r="E113" s="4" t="inlineStr"/>
      <c r="F113" s="4" t="inlineStr">
        <is>
          <t>THLCH</t>
        </is>
      </c>
      <c r="G113" s="4" t="inlineStr">
        <is>
          <t>KRPUS</t>
        </is>
      </c>
      <c r="H113" s="4" t="inlineStr">
        <is>
          <t xml:space="preserve">20'x1 </t>
        </is>
      </c>
      <c r="I113" s="4" t="inlineStr">
        <is>
          <t>LCHY5</t>
        </is>
      </c>
      <c r="J113" s="4" t="inlineStr">
        <is>
          <t>PW DEPOT CO., LTD.</t>
        </is>
      </c>
      <c r="K113" s="4" t="inlineStr">
        <is>
          <t>20261019</t>
        </is>
      </c>
      <c r="L113" s="4" t="inlineStr">
        <is>
          <t>LEO GLOBAL LOGISTICS PUBLIC COMPANY LIMITED</t>
        </is>
      </c>
      <c r="M113" s="4" t="inlineStr">
        <is>
          <t>BASF (THAI) LIMITED</t>
        </is>
      </c>
      <c r="N113" s="4" t="inlineStr">
        <is>
          <t>TEXAPON N 70 AC 1 (NON DG)</t>
        </is>
      </c>
      <c r="O113" s="4" t="inlineStr">
        <is>
          <t>**REQUESTED FOR GOOD CNTR WITH NO HOLE / NO RUST / NO BURR / NOT WET / NO BAD SMELL**</t>
        </is>
      </c>
      <c r="P113" s="4" t="inlineStr">
        <is>
          <t>Pickup : 2026-10-19, Return : 2026-10-20
**REQUESTED FOR GOOD CNTR WITH NO HOLE / NO RUST / NO BURR / NOT WET / NO BAD SMELL**</t>
        </is>
      </c>
      <c r="Q113" s="4" t="n">
        <v>1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HASLS22261001539</t>
        </is>
      </c>
      <c r="B114" s="4" t="inlineStr">
        <is>
          <t>KMBK</t>
        </is>
      </c>
      <c r="C114" s="4" t="inlineStr">
        <is>
          <t>2612N</t>
        </is>
      </c>
      <c r="D114" s="4" t="inlineStr">
        <is>
          <t>202610262300</t>
        </is>
      </c>
      <c r="E114" s="4" t="inlineStr"/>
      <c r="F114" s="4" t="inlineStr">
        <is>
          <t>THLCH</t>
        </is>
      </c>
      <c r="G114" s="4" t="inlineStr">
        <is>
          <t>VNSGN</t>
        </is>
      </c>
      <c r="H114" s="4" t="inlineStr">
        <is>
          <t xml:space="preserve">40Hx2 </t>
        </is>
      </c>
      <c r="I114" s="4" t="inlineStr">
        <is>
          <t>LCHY5</t>
        </is>
      </c>
      <c r="J114" s="4" t="inlineStr">
        <is>
          <t>PW DEPOT CO., LTD.</t>
        </is>
      </c>
      <c r="K114" s="4" t="inlineStr">
        <is>
          <t>20261020</t>
        </is>
      </c>
      <c r="L114" s="4" t="inlineStr">
        <is>
          <t>PERFECT TRANSIT CO., LTD.</t>
        </is>
      </c>
      <c r="M114" s="4" t="inlineStr">
        <is>
          <t>PKT PLUS CO.,LTD</t>
        </is>
      </c>
      <c r="N114" s="4" t="inlineStr">
        <is>
          <t>SYRUP</t>
        </is>
      </c>
      <c r="O114" s="4" t="inlineStr">
        <is>
          <t>UPGRADE CNTR / CLEAN CONTAINER AND CONTAINER GOOD CONDITION</t>
        </is>
      </c>
      <c r="P114" s="4" t="inlineStr">
        <is>
          <t xml:space="preserve">Pickup : 2026-10-20, Return : 2026-10-21 [1ST RTN 22/10/2026 W/O RENT]
** PLEASE CHECK OPEN GATE BEFORE RETURN CONTAINER ** </t>
        </is>
      </c>
      <c r="Q114" s="4" t="n">
        <v>0</v>
      </c>
      <c r="R114" s="4" t="n">
        <v>0</v>
      </c>
      <c r="S114" s="4" t="n">
        <v>2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HASLS22260900235</t>
        </is>
      </c>
      <c r="B115" s="4" t="inlineStr">
        <is>
          <t>SWAT</t>
        </is>
      </c>
      <c r="C115" s="4" t="inlineStr">
        <is>
          <t>2611N</t>
        </is>
      </c>
      <c r="D115" s="4" t="inlineStr">
        <is>
          <t>202611040500</t>
        </is>
      </c>
      <c r="E115" s="4" t="inlineStr"/>
      <c r="F115" s="4" t="inlineStr">
        <is>
          <t>THBKK</t>
        </is>
      </c>
      <c r="G115" s="4" t="inlineStr">
        <is>
          <t>HKHKG</t>
        </is>
      </c>
      <c r="H115" s="4" t="inlineStr">
        <is>
          <t xml:space="preserve">20'x1 </t>
        </is>
      </c>
      <c r="I115" s="4" t="inlineStr">
        <is>
          <t>BKK25</t>
        </is>
      </c>
      <c r="J115" s="4" t="inlineStr">
        <is>
          <t xml:space="preserve">Smart Logistics Service (Thailand ) Co.,Ltd. </t>
        </is>
      </c>
      <c r="K115" s="4" t="inlineStr">
        <is>
          <t>20261014</t>
        </is>
      </c>
      <c r="L115" s="4" t="inlineStr">
        <is>
          <t>ACE INTER FREIGHT CO., LTD.</t>
        </is>
      </c>
      <c r="M115" s="4" t="inlineStr">
        <is>
          <t>S. KHONKAEN FOODS PUBLIC COMPANY LIMITED</t>
        </is>
      </c>
      <c r="N115" s="4" t="inlineStr">
        <is>
          <t xml:space="preserve">FOODSTUFF </t>
        </is>
      </c>
      <c r="O115" s="4" t="inlineStr">
        <is>
          <t>GOOD AND CLEAN CONTAINER</t>
        </is>
      </c>
      <c r="P115" s="4" t="inlineStr">
        <is>
          <t>Pickup : 2026-10-14, Return : 2026-10-15</t>
        </is>
      </c>
      <c r="Q115" s="4" t="n">
        <v>1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HASLS22261001177</t>
        </is>
      </c>
      <c r="B116" s="4" t="inlineStr">
        <is>
          <t>HAHM</t>
        </is>
      </c>
      <c r="C116" s="4" t="inlineStr">
        <is>
          <t>2612N</t>
        </is>
      </c>
      <c r="D116" s="4" t="inlineStr">
        <is>
          <t>202610280700</t>
        </is>
      </c>
      <c r="E116" s="4" t="inlineStr"/>
      <c r="F116" s="4" t="inlineStr">
        <is>
          <t>THLCH</t>
        </is>
      </c>
      <c r="G116" s="4" t="inlineStr">
        <is>
          <t>VNSGN</t>
        </is>
      </c>
      <c r="H116" s="4" t="inlineStr">
        <is>
          <t xml:space="preserve">20'x5 </t>
        </is>
      </c>
      <c r="I116" s="4" t="inlineStr">
        <is>
          <t>BKK25</t>
        </is>
      </c>
      <c r="J116" s="4" t="inlineStr">
        <is>
          <t xml:space="preserve">Smart Logistics Service (Thailand ) Co.,Ltd. </t>
        </is>
      </c>
      <c r="K116" s="4" t="inlineStr">
        <is>
          <t>20261020</t>
        </is>
      </c>
      <c r="L116" s="4" t="inlineStr">
        <is>
          <t>GUARDIAN INDUSTRIES CORP LTD.</t>
        </is>
      </c>
      <c r="M116" s="4" t="inlineStr">
        <is>
          <t>GUARDIAN INDUSTRIES CORP LTD.</t>
        </is>
      </c>
      <c r="N116" s="4" t="inlineStr">
        <is>
          <t>CLEAR FLOAT GLASS</t>
        </is>
      </c>
      <c r="O116" s="4" t="inlineStr">
        <is>
          <t>REQUIREMENT1. LOAD UNDER DECK
2. NEED CONTAINER WITH GOOD CONDITION TO SUPPORT CARGO WEIGHT 24 TONS
3. NEED WOODEN FLOOR ONLY WITH SMOOTH AND STRE</t>
        </is>
      </c>
      <c r="P116" s="4" t="inlineStr">
        <is>
          <t>Pickup : 2026-10-20, Return : 2026-10-20 (1ST RETURN DATE DD.23/10/26)
*PLS CHECK OPEN GATE BEFORE RETURN CTNR*</t>
        </is>
      </c>
      <c r="Q116" s="4" t="n">
        <v>5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4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</sheetData>
  <autoFilter ref="A2:AL116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6" t="inlineStr">
        <is>
          <t>TOTAL</t>
        </is>
      </c>
      <c r="B118" s="6" t="n"/>
      <c r="C118" s="6" t="n"/>
      <c r="D118" s="6" t="n"/>
      <c r="E118" s="6" t="n"/>
      <c r="F118" s="6" t="n"/>
      <c r="G118" s="6">
        <f>SUM(G4:G117)</f>
        <v/>
      </c>
      <c r="H118" s="6">
        <f>SUM(H4:H117)</f>
        <v/>
      </c>
      <c r="I118" s="6">
        <f>SUM(I4:I117)</f>
        <v/>
      </c>
      <c r="J118" s="6">
        <f>SUM(J4:J117)</f>
        <v/>
      </c>
      <c r="K118" s="6">
        <f>SUM(K4:K117)</f>
        <v/>
      </c>
      <c r="L118" s="6">
        <f>SUM(L4:L117)</f>
        <v/>
      </c>
      <c r="M118" s="6">
        <f>SUM(M4:M117)</f>
        <v/>
      </c>
      <c r="N118" s="6">
        <f>SUM(N4:N117)</f>
        <v/>
      </c>
      <c r="O118" s="6">
        <f>SUM(O4:O117)</f>
        <v/>
      </c>
      <c r="P118" s="6">
        <f>SUM(P4:P117)</f>
        <v/>
      </c>
      <c r="Q118" s="6">
        <f>SUM(Q4:Q117)</f>
        <v/>
      </c>
      <c r="R118" s="6">
        <f>SUM(R4:R117)</f>
        <v/>
      </c>
    </row>
  </sheetData>
  <autoFilter ref="A3:R117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BKK25</t>
        </is>
      </c>
      <c r="C4" s="4" t="inlineStr">
        <is>
          <t>Smart Logistics Service (Thailand ) Co.,Ltd.</t>
        </is>
      </c>
      <c r="D4" s="7">
        <f>COUNTIF(Data!$I:$I,"BKK25")</f>
        <v/>
      </c>
      <c r="E4" s="7">
        <f>SUMIF(Data!$I:$I,"BKK25",Data!$AD:$AD)</f>
        <v/>
      </c>
      <c r="F4" s="7">
        <f>SUMIF(Data!$I:$I,"BKK25",Data!$AE:$AE)</f>
        <v/>
      </c>
      <c r="G4" s="7">
        <f>SUMIF(Data!$I:$I,"BKK25",Data!$AF:$AF)</f>
        <v/>
      </c>
      <c r="H4" s="7">
        <f>SUMIF(Data!$I:$I,"BKK25",Data!$AG:$AG)</f>
        <v/>
      </c>
      <c r="I4" s="7">
        <f>SUMIF(Data!$I:$I,"BKK25",Data!$AH:$AH)</f>
        <v/>
      </c>
      <c r="J4" s="7">
        <f>SUMIF(Data!$I:$I,"BKK25",Data!$AI:$AI)</f>
        <v/>
      </c>
      <c r="K4" s="7">
        <f>SUMIF(Data!$I:$I,"BKK25",Data!$AJ:$AJ)</f>
        <v/>
      </c>
      <c r="L4" s="7">
        <f>SUMIF(Data!$I:$I,"BKK25",Data!$AK:$AK)</f>
        <v/>
      </c>
      <c r="M4" s="7">
        <f>SUMIF(Data!$I:$I,"BKK25",Data!$AL:$AL)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BKK27</t>
        </is>
      </c>
      <c r="C5" s="4" t="inlineStr">
        <is>
          <t>B.C. DEPOT CO.,LTD. ( Bang-Na KM.18)</t>
        </is>
      </c>
      <c r="D5" s="7">
        <f>COUNTIF(Data!$I:$I,"BKK27")</f>
        <v/>
      </c>
      <c r="E5" s="7">
        <f>SUMIF(Data!$I:$I,"BKK27",Data!$AD:$AD)</f>
        <v/>
      </c>
      <c r="F5" s="7">
        <f>SUMIF(Data!$I:$I,"BKK27",Data!$AE:$AE)</f>
        <v/>
      </c>
      <c r="G5" s="7">
        <f>SUMIF(Data!$I:$I,"BKK27",Data!$AF:$AF)</f>
        <v/>
      </c>
      <c r="H5" s="7">
        <f>SUMIF(Data!$I:$I,"BKK27",Data!$AG:$AG)</f>
        <v/>
      </c>
      <c r="I5" s="7">
        <f>SUMIF(Data!$I:$I,"BKK27",Data!$AH:$AH)</f>
        <v/>
      </c>
      <c r="J5" s="7">
        <f>SUMIF(Data!$I:$I,"BKK27",Data!$AI:$AI)</f>
        <v/>
      </c>
      <c r="K5" s="7">
        <f>SUMIF(Data!$I:$I,"BKK27",Data!$AJ:$AJ)</f>
        <v/>
      </c>
      <c r="L5" s="7">
        <f>SUMIF(Data!$I:$I,"BKK27",Data!$AK:$AK)</f>
        <v/>
      </c>
      <c r="M5" s="7">
        <f>SUMIF(Data!$I:$I,"BKK27",Data!$AL:$AL)</f>
        <v/>
      </c>
      <c r="N5" s="7">
        <f>SUM(E5:M5)</f>
        <v/>
      </c>
    </row>
    <row r="6">
      <c r="A6" s="4" t="inlineStr">
        <is>
          <t>LCH</t>
        </is>
      </c>
      <c r="B6" s="4" t="inlineStr">
        <is>
          <t>LCH27</t>
        </is>
      </c>
      <c r="C6" s="4" t="inlineStr">
        <is>
          <t>HAST Logistics Co.,Ltd.</t>
        </is>
      </c>
      <c r="D6" s="7">
        <f>COUNTIF(Data!$I:$I,"LCH27")</f>
        <v/>
      </c>
      <c r="E6" s="7">
        <f>SUMIF(Data!$I:$I,"LCH27",Data!$AD:$AD)</f>
        <v/>
      </c>
      <c r="F6" s="7">
        <f>SUMIF(Data!$I:$I,"LCH27",Data!$AE:$AE)</f>
        <v/>
      </c>
      <c r="G6" s="7">
        <f>SUMIF(Data!$I:$I,"LCH27",Data!$AF:$AF)</f>
        <v/>
      </c>
      <c r="H6" s="7">
        <f>SUMIF(Data!$I:$I,"LCH27",Data!$AG:$AG)</f>
        <v/>
      </c>
      <c r="I6" s="7">
        <f>SUMIF(Data!$I:$I,"LCH27",Data!$AH:$AH)</f>
        <v/>
      </c>
      <c r="J6" s="7">
        <f>SUMIF(Data!$I:$I,"LCH27",Data!$AI:$AI)</f>
        <v/>
      </c>
      <c r="K6" s="7">
        <f>SUMIF(Data!$I:$I,"LCH27",Data!$AJ:$AJ)</f>
        <v/>
      </c>
      <c r="L6" s="7">
        <f>SUMIF(Data!$I:$I,"LCH27",Data!$AK:$AK)</f>
        <v/>
      </c>
      <c r="M6" s="7">
        <f>SUMIF(Data!$I:$I,"LCH27",Data!$AL:$AL)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LCH28</t>
        </is>
      </c>
      <c r="C7" s="4" t="inlineStr">
        <is>
          <t>CELLO</t>
        </is>
      </c>
      <c r="D7" s="7">
        <f>COUNTIF(Data!$I:$I,"LCH28")</f>
        <v/>
      </c>
      <c r="E7" s="7">
        <f>SUMIF(Data!$I:$I,"LCH28",Data!$AD:$AD)</f>
        <v/>
      </c>
      <c r="F7" s="7">
        <f>SUMIF(Data!$I:$I,"LCH28",Data!$AE:$AE)</f>
        <v/>
      </c>
      <c r="G7" s="7">
        <f>SUMIF(Data!$I:$I,"LCH28",Data!$AF:$AF)</f>
        <v/>
      </c>
      <c r="H7" s="7">
        <f>SUMIF(Data!$I:$I,"LCH28",Data!$AG:$AG)</f>
        <v/>
      </c>
      <c r="I7" s="7">
        <f>SUMIF(Data!$I:$I,"LCH28",Data!$AH:$AH)</f>
        <v/>
      </c>
      <c r="J7" s="7">
        <f>SUMIF(Data!$I:$I,"LCH28",Data!$AI:$AI)</f>
        <v/>
      </c>
      <c r="K7" s="7">
        <f>SUMIF(Data!$I:$I,"LCH28",Data!$AJ:$AJ)</f>
        <v/>
      </c>
      <c r="L7" s="7">
        <f>SUMIF(Data!$I:$I,"LCH28",Data!$AK:$AK)</f>
        <v/>
      </c>
      <c r="M7" s="7">
        <f>SUMIF(Data!$I:$I,"LCH28",Data!$AL:$AL)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LCHY5</t>
        </is>
      </c>
      <c r="C8" s="4" t="inlineStr">
        <is>
          <t>PW DEPOT CO., LTD.</t>
        </is>
      </c>
      <c r="D8" s="7">
        <f>COUNTIF(Data!$I:$I,"LCHY5")</f>
        <v/>
      </c>
      <c r="E8" s="7">
        <f>SUMIF(Data!$I:$I,"LCHY5",Data!$AD:$AD)</f>
        <v/>
      </c>
      <c r="F8" s="7">
        <f>SUMIF(Data!$I:$I,"LCHY5",Data!$AE:$AE)</f>
        <v/>
      </c>
      <c r="G8" s="7">
        <f>SUMIF(Data!$I:$I,"LCHY5",Data!$AF:$AF)</f>
        <v/>
      </c>
      <c r="H8" s="7">
        <f>SUMIF(Data!$I:$I,"LCHY5",Data!$AG:$AG)</f>
        <v/>
      </c>
      <c r="I8" s="7">
        <f>SUMIF(Data!$I:$I,"LCHY5",Data!$AH:$AH)</f>
        <v/>
      </c>
      <c r="J8" s="7">
        <f>SUMIF(Data!$I:$I,"LCHY5",Data!$AI:$AI)</f>
        <v/>
      </c>
      <c r="K8" s="7">
        <f>SUMIF(Data!$I:$I,"LCHY5",Data!$AJ:$AJ)</f>
        <v/>
      </c>
      <c r="L8" s="7">
        <f>SUMIF(Data!$I:$I,"LCHY5",Data!$AK:$AK)</f>
        <v/>
      </c>
      <c r="M8" s="7">
        <f>SUMIF(Data!$I:$I,"LCHY5",Data!$AL:$AL)</f>
        <v/>
      </c>
      <c r="N8" s="7">
        <f>SUM(E8:M8)</f>
        <v/>
      </c>
    </row>
    <row r="9">
      <c r="A9" s="6" t="inlineStr">
        <is>
          <t>TOTAL</t>
        </is>
      </c>
      <c r="B9" s="6" t="n"/>
      <c r="C9" s="6" t="n"/>
      <c r="D9" s="8">
        <f>SUM(D3:D8)</f>
        <v/>
      </c>
      <c r="E9" s="8">
        <f>SUM(E3:E8)</f>
        <v/>
      </c>
      <c r="F9" s="8">
        <f>SUM(F3:F8)</f>
        <v/>
      </c>
      <c r="G9" s="8">
        <f>SUM(G3:G8)</f>
        <v/>
      </c>
      <c r="H9" s="8">
        <f>SUM(H3:H8)</f>
        <v/>
      </c>
      <c r="I9" s="8">
        <f>SUM(I3:I8)</f>
        <v/>
      </c>
      <c r="J9" s="8">
        <f>SUM(J3:J8)</f>
        <v/>
      </c>
      <c r="K9" s="8">
        <f>SUM(K3:K8)</f>
        <v/>
      </c>
      <c r="L9" s="8">
        <f>SUM(L3:L8)</f>
        <v/>
      </c>
      <c r="M9" s="8">
        <f>SUM(M3:M8)</f>
        <v/>
      </c>
      <c r="N9" s="8">
        <f>SUM(N3:N8)</f>
        <v/>
      </c>
    </row>
    <row r="12">
      <c r="C12" s="9" t="inlineStr">
        <is>
          <t>Group</t>
        </is>
      </c>
      <c r="D12" s="9" t="inlineStr">
        <is>
          <t>Number of Records</t>
        </is>
      </c>
      <c r="E12" s="9" t="inlineStr">
        <is>
          <t>GP22</t>
        </is>
      </c>
      <c r="F12" s="9" t="inlineStr">
        <is>
          <t>GP42</t>
        </is>
      </c>
      <c r="G12" s="9" t="inlineStr">
        <is>
          <t>GP45</t>
        </is>
      </c>
      <c r="H12" s="9" t="inlineStr">
        <is>
          <t>RE22</t>
        </is>
      </c>
      <c r="I12" s="9" t="inlineStr">
        <is>
          <t>RE45</t>
        </is>
      </c>
      <c r="J12" s="9" t="inlineStr">
        <is>
          <t>UT22</t>
        </is>
      </c>
      <c r="K12" s="9" t="inlineStr">
        <is>
          <t>UT42</t>
        </is>
      </c>
      <c r="L12" s="9" t="inlineStr">
        <is>
          <t>PC22</t>
        </is>
      </c>
      <c r="M12" s="9" t="inlineStr">
        <is>
          <t>PC42</t>
        </is>
      </c>
      <c r="N12" s="9" t="inlineStr">
        <is>
          <t>Total Containers</t>
        </is>
      </c>
    </row>
    <row r="13">
      <c r="C13" s="9" t="inlineStr">
        <is>
          <t>BKK</t>
        </is>
      </c>
      <c r="D13" s="10">
        <f>COUNTIF(Data!$AC:$AC,"BKK")</f>
        <v/>
      </c>
      <c r="E13" s="10">
        <f>SUMIF(Data!$AC:$AC,"BKK",Data!$AD:$AD)</f>
        <v/>
      </c>
      <c r="F13" s="10">
        <f>SUMIF(Data!$AC:$AC,"BKK",Data!$AE:$AE)</f>
        <v/>
      </c>
      <c r="G13" s="10">
        <f>SUMIF(Data!$AC:$AC,"BKK",Data!$AF:$AF)</f>
        <v/>
      </c>
      <c r="H13" s="10">
        <f>SUMIF(Data!$AC:$AC,"BKK",Data!$AG:$AG)</f>
        <v/>
      </c>
      <c r="I13" s="10">
        <f>SUMIF(Data!$AC:$AC,"BKK",Data!$AH:$AH)</f>
        <v/>
      </c>
      <c r="J13" s="10">
        <f>SUMIF(Data!$AC:$AC,"BKK",Data!$AI:$AI)</f>
        <v/>
      </c>
      <c r="K13" s="10">
        <f>SUMIF(Data!$AC:$AC,"BKK",Data!$AJ:$AJ)</f>
        <v/>
      </c>
      <c r="L13" s="10">
        <f>SUMIF(Data!$AC:$AC,"BKK",Data!$AK:$AK)</f>
        <v/>
      </c>
      <c r="M13" s="10">
        <f>SUMIF(Data!$AC:$AC,"BKK",Data!$AL:$AL)</f>
        <v/>
      </c>
      <c r="N13" s="10">
        <f>SUM(E13:M13)</f>
        <v/>
      </c>
    </row>
    <row r="14">
      <c r="C14" s="9" t="inlineStr">
        <is>
          <t>LCH</t>
        </is>
      </c>
      <c r="D14" s="10">
        <f>COUNTIF(Data!$AC:$AC,"LCH")</f>
        <v/>
      </c>
      <c r="E14" s="10">
        <f>SUMIF(Data!$AC:$AC,"LCH",Data!$AD:$AD)</f>
        <v/>
      </c>
      <c r="F14" s="10">
        <f>SUMIF(Data!$AC:$AC,"LCH",Data!$AE:$AE)</f>
        <v/>
      </c>
      <c r="G14" s="10">
        <f>SUMIF(Data!$AC:$AC,"LCH",Data!$AF:$AF)</f>
        <v/>
      </c>
      <c r="H14" s="10">
        <f>SUMIF(Data!$AC:$AC,"LCH",Data!$AG:$AG)</f>
        <v/>
      </c>
      <c r="I14" s="10">
        <f>SUMIF(Data!$AC:$AC,"LCH",Data!$AH:$AH)</f>
        <v/>
      </c>
      <c r="J14" s="10">
        <f>SUMIF(Data!$AC:$AC,"LCH",Data!$AI:$AI)</f>
        <v/>
      </c>
      <c r="K14" s="10">
        <f>SUMIF(Data!$AC:$AC,"LCH",Data!$AJ:$AJ)</f>
        <v/>
      </c>
      <c r="L14" s="10">
        <f>SUMIF(Data!$AC:$AC,"LCH",Data!$AK:$AK)</f>
        <v/>
      </c>
      <c r="M14" s="10">
        <f>SUMIF(Data!$AC:$AC,"LCH",Data!$AL:$AL)</f>
        <v/>
      </c>
      <c r="N14" s="10">
        <f>SUM(E14:M14)</f>
        <v/>
      </c>
    </row>
    <row r="15">
      <c r="C15" s="6" t="inlineStr">
        <is>
          <t>GRAND TOTAL</t>
        </is>
      </c>
      <c r="D15" s="8">
        <f>SUM(D13:D14)</f>
        <v/>
      </c>
      <c r="E15" s="8">
        <f>SUM(E13:E14)</f>
        <v/>
      </c>
      <c r="F15" s="8">
        <f>SUM(F13:F14)</f>
        <v/>
      </c>
      <c r="G15" s="8">
        <f>SUM(G13:G14)</f>
        <v/>
      </c>
      <c r="H15" s="8">
        <f>SUM(H13:H14)</f>
        <v/>
      </c>
      <c r="I15" s="8">
        <f>SUM(I13:I14)</f>
        <v/>
      </c>
      <c r="J15" s="8">
        <f>SUM(J13:J14)</f>
        <v/>
      </c>
      <c r="K15" s="8">
        <f>SUM(K13:K14)</f>
        <v/>
      </c>
      <c r="L15" s="8">
        <f>SUM(L13:L14)</f>
        <v/>
      </c>
      <c r="M15" s="8">
        <f>SUM(M13:M14)</f>
        <v/>
      </c>
      <c r="N15" s="8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2026-10-20T10:34:17Z</dcterms:created>
  <dcterms:modified xmlns:dcterms="http://purl.org/dc/terms/" xmlns:xsi="http://www.w3.org/2001/XMLSchema-instance" xsi:type="dcterms:W3CDTF">2026-10-20T10:34:17Z</dcterms:modified>
</cp:coreProperties>
</file>